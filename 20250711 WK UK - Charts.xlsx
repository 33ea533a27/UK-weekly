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5-07/Weekly 1/"/>
    </mc:Choice>
  </mc:AlternateContent>
  <xr:revisionPtr revIDLastSave="224" documentId="13_ncr:1_{3995D211-30E1-4B7B-BB73-97E93D8FFC5C}" xr6:coauthVersionLast="47" xr6:coauthVersionMax="47" xr10:uidLastSave="{A4E4D751-F25C-486E-A9B8-7ED62A2FECD1}"/>
  <bookViews>
    <workbookView xWindow="-15345" yWindow="-16320" windowWidth="29040" windowHeight="15720" tabRatio="800" firstSheet="1" activeTab="3" xr2:uid="{A7C36D2F-239F-460A-BB7C-3CCAC435B955}"/>
  </bookViews>
  <sheets>
    <sheet name="&gt;&gt; CHARTS" sheetId="12" r:id="rId1"/>
    <sheet name="Quoted mortgage rates" sheetId="10" r:id="rId2"/>
    <sheet name="Change in fixed mort rate" sheetId="14" r:id="rId3"/>
    <sheet name="Change in mort rate inc SVR" sheetId="13" r:id="rId4"/>
    <sheet name="Interest rates change" sheetId="17" r:id="rId5"/>
    <sheet name="Int rates - mort &amp; corp" sheetId="19" r:id="rId6"/>
    <sheet name="&gt;&gt; DATA" sheetId="11" r:id="rId7"/>
    <sheet name="Chart Data" sheetId="8" r:id="rId8"/>
    <sheet name="HAVERM" sheetId="2" r:id="rId9"/>
    <sheet name="Data" sheetId="7" r:id="rId10"/>
    <sheet name="GMW" sheetId="4" r:id="rId11"/>
  </sheets>
  <externalReferences>
    <externalReference r:id="rId12"/>
    <externalReference r:id="rId13"/>
    <externalReference r:id="rId14"/>
  </externalReferences>
  <definedNames>
    <definedName name="_DLX1.INC">HAVERM!$A$1:$AG$6</definedName>
    <definedName name="Data">[1]sheet0!$C$2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0" i="8" l="1"/>
  <c r="S161" i="8"/>
  <c r="S162" i="8"/>
  <c r="S163" i="8"/>
  <c r="S164" i="8"/>
  <c r="S165" i="8"/>
  <c r="S166" i="8"/>
  <c r="S167" i="8"/>
  <c r="S168" i="8"/>
  <c r="S169" i="8"/>
  <c r="S170" i="8"/>
  <c r="S171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L172" i="8"/>
  <c r="L173" i="8"/>
  <c r="N171" i="8"/>
  <c r="N172" i="8" s="1"/>
  <c r="M171" i="8"/>
  <c r="M172" i="8" s="1"/>
  <c r="N168" i="8"/>
  <c r="N169" i="8" s="1"/>
  <c r="M168" i="8"/>
  <c r="M169" i="8" s="1"/>
  <c r="N165" i="8"/>
  <c r="N166" i="8" s="1"/>
  <c r="M165" i="8"/>
  <c r="M166" i="8" s="1"/>
  <c r="N162" i="8"/>
  <c r="N163" i="8" s="1"/>
  <c r="M162" i="8"/>
  <c r="M163" i="8" s="1"/>
  <c r="M173" i="8"/>
  <c r="N173" i="8"/>
  <c r="L171" i="8"/>
  <c r="I173" i="8"/>
  <c r="I171" i="8" s="1"/>
  <c r="I172" i="8" s="1"/>
  <c r="J173" i="8"/>
  <c r="J171" i="8" s="1"/>
  <c r="J172" i="8" s="1"/>
  <c r="H173" i="8"/>
  <c r="H172" i="8"/>
  <c r="H171" i="8"/>
  <c r="H169" i="8"/>
  <c r="J168" i="8"/>
  <c r="J169" i="8" s="1"/>
  <c r="I168" i="8"/>
  <c r="I169" i="8" s="1"/>
  <c r="H168" i="8"/>
  <c r="H166" i="8"/>
  <c r="J165" i="8"/>
  <c r="J166" i="8" s="1"/>
  <c r="I165" i="8"/>
  <c r="I166" i="8" s="1"/>
  <c r="H165" i="8"/>
  <c r="J163" i="8"/>
  <c r="H163" i="8"/>
  <c r="J162" i="8"/>
  <c r="I162" i="8"/>
  <c r="I163" i="8" s="1"/>
  <c r="H162" i="8"/>
  <c r="N164" i="8"/>
  <c r="N167" i="8"/>
  <c r="N170" i="8"/>
  <c r="M170" i="8"/>
  <c r="M167" i="8"/>
  <c r="M164" i="8"/>
  <c r="L163" i="8"/>
  <c r="L164" i="8"/>
  <c r="L165" i="8"/>
  <c r="L166" i="8"/>
  <c r="L167" i="8"/>
  <c r="L168" i="8"/>
  <c r="L169" i="8"/>
  <c r="L170" i="8"/>
  <c r="L162" i="8"/>
  <c r="H167" i="8"/>
  <c r="I167" i="8"/>
  <c r="J167" i="8"/>
  <c r="H170" i="8"/>
  <c r="I170" i="8"/>
  <c r="J170" i="8"/>
  <c r="I164" i="8"/>
  <c r="J164" i="8"/>
  <c r="H164" i="8"/>
  <c r="D141" i="8" l="1"/>
  <c r="C141" i="8"/>
  <c r="B141" i="8"/>
  <c r="B140" i="8"/>
  <c r="C140" i="8"/>
  <c r="D140" i="8"/>
  <c r="L140" i="8"/>
  <c r="M140" i="8"/>
  <c r="N140" i="8"/>
  <c r="J140" i="8" l="1"/>
  <c r="H140" i="8"/>
  <c r="I140" i="8"/>
  <c r="D6" i="7" a="1"/>
  <c r="D6" i="7" s="1"/>
  <c r="E6" i="7" a="1"/>
  <c r="E6" i="7" s="1"/>
  <c r="F6" i="7" a="1"/>
  <c r="F6" i="7" s="1"/>
  <c r="G6" i="7" a="1"/>
  <c r="G6" i="7" s="1"/>
  <c r="H6" i="7" a="1"/>
  <c r="H6" i="7" s="1"/>
  <c r="C6" i="7" a="1"/>
  <c r="C6" i="7" s="1"/>
  <c r="C8" i="7" a="1"/>
  <c r="C8" i="7" s="1"/>
  <c r="D8" i="7" a="1"/>
  <c r="D8" i="7" s="1"/>
  <c r="E8" i="7" a="1"/>
  <c r="E8" i="7" s="1"/>
  <c r="F8" i="7" a="1"/>
  <c r="F8" i="7" s="1"/>
  <c r="G8" i="7" a="1"/>
  <c r="G8" i="7" s="1"/>
  <c r="H8" i="7" a="1"/>
  <c r="H8" i="7" s="1"/>
  <c r="C9" i="7" a="1"/>
  <c r="C9" i="7" s="1"/>
  <c r="D9" i="7" a="1"/>
  <c r="D9" i="7" s="1"/>
  <c r="E9" i="7" a="1"/>
  <c r="E9" i="7" s="1"/>
  <c r="F9" i="7" a="1"/>
  <c r="F9" i="7" s="1"/>
  <c r="G9" i="7" a="1"/>
  <c r="G9" i="7" s="1"/>
  <c r="H9" i="7" a="1"/>
  <c r="H9" i="7" s="1"/>
  <c r="C10" i="7" a="1"/>
  <c r="C10" i="7" s="1"/>
  <c r="D10" i="7" a="1"/>
  <c r="D10" i="7" s="1"/>
  <c r="E10" i="7" a="1"/>
  <c r="E10" i="7" s="1"/>
  <c r="F10" i="7" a="1"/>
  <c r="F10" i="7" s="1"/>
  <c r="G10" i="7" a="1"/>
  <c r="G10" i="7" s="1"/>
  <c r="H10" i="7" a="1"/>
  <c r="H10" i="7" s="1"/>
  <c r="C11" i="7" a="1"/>
  <c r="C11" i="7" s="1"/>
  <c r="D11" i="7" a="1"/>
  <c r="D11" i="7" s="1"/>
  <c r="E11" i="7" a="1"/>
  <c r="E11" i="7" s="1"/>
  <c r="F11" i="7" a="1"/>
  <c r="F11" i="7" s="1"/>
  <c r="G11" i="7" a="1"/>
  <c r="G11" i="7" s="1"/>
  <c r="H11" i="7" a="1"/>
  <c r="H11" i="7" s="1"/>
  <c r="C12" i="7" a="1"/>
  <c r="C12" i="7" s="1"/>
  <c r="D12" i="7" a="1"/>
  <c r="D12" i="7" s="1"/>
  <c r="E12" i="7" a="1"/>
  <c r="E12" i="7" s="1"/>
  <c r="F12" i="7" a="1"/>
  <c r="F12" i="7" s="1"/>
  <c r="G12" i="7" a="1"/>
  <c r="G12" i="7" s="1"/>
  <c r="H12" i="7" a="1"/>
  <c r="H12" i="7" s="1"/>
  <c r="C13" i="7" a="1"/>
  <c r="C13" i="7" s="1"/>
  <c r="D13" i="7" a="1"/>
  <c r="D13" i="7" s="1"/>
  <c r="E13" i="7" a="1"/>
  <c r="E13" i="7" s="1"/>
  <c r="F13" i="7" a="1"/>
  <c r="F13" i="7" s="1"/>
  <c r="G13" i="7" a="1"/>
  <c r="G13" i="7" s="1"/>
  <c r="H13" i="7" a="1"/>
  <c r="H13" i="7" s="1"/>
  <c r="C14" i="7" a="1"/>
  <c r="C14" i="7" s="1"/>
  <c r="D14" i="7" a="1"/>
  <c r="D14" i="7" s="1"/>
  <c r="E14" i="7" a="1"/>
  <c r="E14" i="7" s="1"/>
  <c r="F14" i="7" a="1"/>
  <c r="F14" i="7" s="1"/>
  <c r="G14" i="7" a="1"/>
  <c r="G14" i="7" s="1"/>
  <c r="H14" i="7" a="1"/>
  <c r="H14" i="7" s="1"/>
  <c r="C15" i="7" a="1"/>
  <c r="C15" i="7" s="1"/>
  <c r="D15" i="7" a="1"/>
  <c r="D15" i="7" s="1"/>
  <c r="E15" i="7" a="1"/>
  <c r="E15" i="7" s="1"/>
  <c r="F15" i="7" a="1"/>
  <c r="F15" i="7" s="1"/>
  <c r="G15" i="7" a="1"/>
  <c r="G15" i="7" s="1"/>
  <c r="H15" i="7" a="1"/>
  <c r="H15" i="7" s="1"/>
  <c r="C16" i="7" a="1"/>
  <c r="C16" i="7" s="1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C17" i="7" a="1"/>
  <c r="C17" i="7" s="1"/>
  <c r="D17" i="7" a="1"/>
  <c r="D17" i="7" s="1"/>
  <c r="E17" i="7" a="1"/>
  <c r="E17" i="7" s="1"/>
  <c r="F17" i="7" a="1"/>
  <c r="F17" i="7" s="1"/>
  <c r="G17" i="7" a="1"/>
  <c r="G17" i="7" s="1"/>
  <c r="H17" i="7" a="1"/>
  <c r="H17" i="7" s="1"/>
  <c r="C18" i="7" a="1"/>
  <c r="C18" i="7" s="1"/>
  <c r="D18" i="7" a="1"/>
  <c r="D18" i="7" s="1"/>
  <c r="E18" i="7" a="1"/>
  <c r="E18" i="7" s="1"/>
  <c r="F18" i="7" a="1"/>
  <c r="F18" i="7" s="1"/>
  <c r="G18" i="7" a="1"/>
  <c r="G18" i="7" s="1"/>
  <c r="H18" i="7" a="1"/>
  <c r="H18" i="7" s="1"/>
  <c r="C19" i="7" a="1"/>
  <c r="C19" i="7" s="1"/>
  <c r="D19" i="7" a="1"/>
  <c r="D19" i="7" s="1"/>
  <c r="E19" i="7" a="1"/>
  <c r="E19" i="7" s="1"/>
  <c r="F19" i="7" a="1"/>
  <c r="F19" i="7" s="1"/>
  <c r="G19" i="7" a="1"/>
  <c r="G19" i="7" s="1"/>
  <c r="H19" i="7" a="1"/>
  <c r="H19" i="7" s="1"/>
  <c r="C20" i="7" a="1"/>
  <c r="C20" i="7" s="1"/>
  <c r="D20" i="7" a="1"/>
  <c r="D20" i="7" s="1"/>
  <c r="E20" i="7" a="1"/>
  <c r="E20" i="7" s="1"/>
  <c r="F20" i="7" a="1"/>
  <c r="F20" i="7" s="1"/>
  <c r="G20" i="7" a="1"/>
  <c r="G20" i="7" s="1"/>
  <c r="H20" i="7" a="1"/>
  <c r="H20" i="7" s="1"/>
  <c r="C21" i="7" a="1"/>
  <c r="C21" i="7" s="1"/>
  <c r="D21" i="7" a="1"/>
  <c r="D21" i="7" s="1"/>
  <c r="E21" i="7" a="1"/>
  <c r="E21" i="7" s="1"/>
  <c r="F21" i="7" a="1"/>
  <c r="F21" i="7" s="1"/>
  <c r="G21" i="7" a="1"/>
  <c r="G21" i="7" s="1"/>
  <c r="H21" i="7" a="1"/>
  <c r="H21" i="7" s="1"/>
  <c r="C22" i="7" a="1"/>
  <c r="C22" i="7" s="1"/>
  <c r="D22" i="7" a="1"/>
  <c r="D22" i="7" s="1"/>
  <c r="E22" i="7" a="1"/>
  <c r="E22" i="7" s="1"/>
  <c r="F22" i="7" a="1"/>
  <c r="F22" i="7" s="1"/>
  <c r="G22" i="7" a="1"/>
  <c r="G22" i="7" s="1"/>
  <c r="H22" i="7" a="1"/>
  <c r="H22" i="7" s="1"/>
  <c r="C23" i="7" a="1"/>
  <c r="C23" i="7" s="1"/>
  <c r="D23" i="7" a="1"/>
  <c r="D23" i="7" s="1"/>
  <c r="E23" i="7" a="1"/>
  <c r="E23" i="7" s="1"/>
  <c r="F23" i="7" a="1"/>
  <c r="F23" i="7" s="1"/>
  <c r="G23" i="7" a="1"/>
  <c r="G23" i="7" s="1"/>
  <c r="H23" i="7" a="1"/>
  <c r="H23" i="7" s="1"/>
  <c r="C24" i="7" a="1"/>
  <c r="C24" i="7" s="1"/>
  <c r="D24" i="7" a="1"/>
  <c r="D24" i="7" s="1"/>
  <c r="E24" i="7" a="1"/>
  <c r="E24" i="7" s="1"/>
  <c r="F24" i="7" a="1"/>
  <c r="F24" i="7" s="1"/>
  <c r="G24" i="7" a="1"/>
  <c r="G24" i="7" s="1"/>
  <c r="H24" i="7" a="1"/>
  <c r="H24" i="7" s="1"/>
  <c r="C25" i="7" a="1"/>
  <c r="C25" i="7" s="1"/>
  <c r="D25" i="7" a="1"/>
  <c r="D25" i="7" s="1"/>
  <c r="E25" i="7" a="1"/>
  <c r="E25" i="7" s="1"/>
  <c r="F25" i="7" a="1"/>
  <c r="F25" i="7" s="1"/>
  <c r="G25" i="7" a="1"/>
  <c r="G25" i="7" s="1"/>
  <c r="H25" i="7" a="1"/>
  <c r="H25" i="7" s="1"/>
  <c r="C26" i="7" a="1"/>
  <c r="C26" i="7" s="1"/>
  <c r="D26" i="7" a="1"/>
  <c r="D26" i="7" s="1"/>
  <c r="E26" i="7" a="1"/>
  <c r="E26" i="7" s="1"/>
  <c r="F26" i="7" a="1"/>
  <c r="F26" i="7" s="1"/>
  <c r="G26" i="7" a="1"/>
  <c r="G26" i="7" s="1"/>
  <c r="H26" i="7" a="1"/>
  <c r="H26" i="7" s="1"/>
  <c r="C27" i="7" a="1"/>
  <c r="C27" i="7" s="1"/>
  <c r="D27" i="7" a="1"/>
  <c r="D27" i="7" s="1"/>
  <c r="E27" i="7" a="1"/>
  <c r="E27" i="7" s="1"/>
  <c r="F27" i="7" a="1"/>
  <c r="F27" i="7" s="1"/>
  <c r="G27" i="7" a="1"/>
  <c r="G27" i="7" s="1"/>
  <c r="H27" i="7" a="1"/>
  <c r="H27" i="7" s="1"/>
  <c r="C28" i="7" a="1"/>
  <c r="C28" i="7" s="1"/>
  <c r="D28" i="7" a="1"/>
  <c r="D28" i="7" s="1"/>
  <c r="E28" i="7" a="1"/>
  <c r="E28" i="7" s="1"/>
  <c r="F28" i="7" a="1"/>
  <c r="F28" i="7" s="1"/>
  <c r="G28" i="7" a="1"/>
  <c r="G28" i="7" s="1"/>
  <c r="H28" i="7" a="1"/>
  <c r="H28" i="7" s="1"/>
  <c r="C29" i="7" a="1"/>
  <c r="C29" i="7" s="1"/>
  <c r="D29" i="7" a="1"/>
  <c r="D29" i="7" s="1"/>
  <c r="E29" i="7" a="1"/>
  <c r="E29" i="7" s="1"/>
  <c r="F29" i="7" a="1"/>
  <c r="F29" i="7" s="1"/>
  <c r="G29" i="7" a="1"/>
  <c r="G29" i="7" s="1"/>
  <c r="H29" i="7" a="1"/>
  <c r="H29" i="7" s="1"/>
  <c r="C30" i="7" a="1"/>
  <c r="C30" i="7" s="1"/>
  <c r="D30" i="7" a="1"/>
  <c r="D30" i="7" s="1"/>
  <c r="E30" i="7" a="1"/>
  <c r="E30" i="7" s="1"/>
  <c r="F30" i="7" a="1"/>
  <c r="F30" i="7" s="1"/>
  <c r="G30" i="7" a="1"/>
  <c r="G30" i="7" s="1"/>
  <c r="H30" i="7" a="1"/>
  <c r="H30" i="7" s="1"/>
  <c r="C31" i="7" a="1"/>
  <c r="C31" i="7" s="1"/>
  <c r="D31" i="7" a="1"/>
  <c r="D31" i="7" s="1"/>
  <c r="E31" i="7" a="1"/>
  <c r="E31" i="7" s="1"/>
  <c r="F31" i="7" a="1"/>
  <c r="F31" i="7" s="1"/>
  <c r="G31" i="7" a="1"/>
  <c r="G31" i="7" s="1"/>
  <c r="H31" i="7" a="1"/>
  <c r="H31" i="7" s="1"/>
  <c r="C32" i="7" a="1"/>
  <c r="C32" i="7" s="1"/>
  <c r="D32" i="7" a="1"/>
  <c r="D32" i="7" s="1"/>
  <c r="E32" i="7" a="1"/>
  <c r="E32" i="7" s="1"/>
  <c r="F32" i="7" a="1"/>
  <c r="F32" i="7" s="1"/>
  <c r="G32" i="7" a="1"/>
  <c r="G32" i="7" s="1"/>
  <c r="H32" i="7" a="1"/>
  <c r="H32" i="7" s="1"/>
  <c r="C33" i="7" a="1"/>
  <c r="C33" i="7" s="1"/>
  <c r="D33" i="7" a="1"/>
  <c r="D33" i="7" s="1"/>
  <c r="E33" i="7" a="1"/>
  <c r="E33" i="7" s="1"/>
  <c r="F33" i="7" a="1"/>
  <c r="F33" i="7" s="1"/>
  <c r="G33" i="7" a="1"/>
  <c r="G33" i="7" s="1"/>
  <c r="H33" i="7" a="1"/>
  <c r="H33" i="7" s="1"/>
  <c r="C34" i="7" a="1"/>
  <c r="C34" i="7" s="1"/>
  <c r="D34" i="7" a="1"/>
  <c r="D34" i="7" s="1"/>
  <c r="E34" i="7" a="1"/>
  <c r="E34" i="7" s="1"/>
  <c r="F34" i="7" a="1"/>
  <c r="F34" i="7" s="1"/>
  <c r="G34" i="7" a="1"/>
  <c r="G34" i="7" s="1"/>
  <c r="H34" i="7" a="1"/>
  <c r="H34" i="7" s="1"/>
  <c r="C35" i="7" a="1"/>
  <c r="C35" i="7" s="1"/>
  <c r="D35" i="7" a="1"/>
  <c r="D35" i="7" s="1"/>
  <c r="E35" i="7" a="1"/>
  <c r="E35" i="7" s="1"/>
  <c r="F35" i="7" a="1"/>
  <c r="F35" i="7" s="1"/>
  <c r="G35" i="7" a="1"/>
  <c r="G35" i="7" s="1"/>
  <c r="H35" i="7" a="1"/>
  <c r="H35" i="7" s="1"/>
  <c r="C36" i="7" a="1"/>
  <c r="C36" i="7" s="1"/>
  <c r="D36" i="7" a="1"/>
  <c r="D36" i="7" s="1"/>
  <c r="E36" i="7" a="1"/>
  <c r="E36" i="7" s="1"/>
  <c r="F36" i="7" a="1"/>
  <c r="F36" i="7" s="1"/>
  <c r="G36" i="7" a="1"/>
  <c r="G36" i="7" s="1"/>
  <c r="H36" i="7" a="1"/>
  <c r="H36" i="7" s="1"/>
  <c r="C37" i="7" a="1"/>
  <c r="C37" i="7" s="1"/>
  <c r="D37" i="7" a="1"/>
  <c r="D37" i="7" s="1"/>
  <c r="E37" i="7" a="1"/>
  <c r="E37" i="7" s="1"/>
  <c r="F37" i="7" a="1"/>
  <c r="F37" i="7" s="1"/>
  <c r="G37" i="7" a="1"/>
  <c r="G37" i="7" s="1"/>
  <c r="H37" i="7" a="1"/>
  <c r="H37" i="7" s="1"/>
  <c r="C38" i="7" a="1"/>
  <c r="C38" i="7" s="1"/>
  <c r="D38" i="7" a="1"/>
  <c r="D38" i="7" s="1"/>
  <c r="E38" i="7" a="1"/>
  <c r="E38" i="7" s="1"/>
  <c r="F38" i="7" a="1"/>
  <c r="F38" i="7" s="1"/>
  <c r="G38" i="7" a="1"/>
  <c r="G38" i="7" s="1"/>
  <c r="H38" i="7" a="1"/>
  <c r="H38" i="7" s="1"/>
  <c r="C39" i="7" a="1"/>
  <c r="C39" i="7" s="1"/>
  <c r="D39" i="7" a="1"/>
  <c r="D39" i="7" s="1"/>
  <c r="E39" i="7" a="1"/>
  <c r="E39" i="7" s="1"/>
  <c r="F39" i="7" a="1"/>
  <c r="F39" i="7" s="1"/>
  <c r="G39" i="7" a="1"/>
  <c r="G39" i="7" s="1"/>
  <c r="H39" i="7" a="1"/>
  <c r="H39" i="7" s="1"/>
  <c r="C40" i="7" a="1"/>
  <c r="C40" i="7" s="1"/>
  <c r="D40" i="7" a="1"/>
  <c r="D40" i="7" s="1"/>
  <c r="E40" i="7" a="1"/>
  <c r="E40" i="7" s="1"/>
  <c r="F40" i="7" a="1"/>
  <c r="F40" i="7" s="1"/>
  <c r="G40" i="7" a="1"/>
  <c r="G40" i="7" s="1"/>
  <c r="H40" i="7" a="1"/>
  <c r="H40" i="7" s="1"/>
  <c r="C41" i="7" a="1"/>
  <c r="C41" i="7" s="1"/>
  <c r="D41" i="7" a="1"/>
  <c r="D41" i="7" s="1"/>
  <c r="E41" i="7" a="1"/>
  <c r="E41" i="7" s="1"/>
  <c r="F41" i="7" a="1"/>
  <c r="F41" i="7" s="1"/>
  <c r="G41" i="7" a="1"/>
  <c r="G41" i="7" s="1"/>
  <c r="H41" i="7" a="1"/>
  <c r="H41" i="7" s="1"/>
  <c r="C42" i="7" a="1"/>
  <c r="C42" i="7" s="1"/>
  <c r="D42" i="7" a="1"/>
  <c r="D42" i="7" s="1"/>
  <c r="E42" i="7" a="1"/>
  <c r="E42" i="7" s="1"/>
  <c r="F42" i="7" a="1"/>
  <c r="F42" i="7" s="1"/>
  <c r="G42" i="7" a="1"/>
  <c r="G42" i="7" s="1"/>
  <c r="H42" i="7" a="1"/>
  <c r="H42" i="7" s="1"/>
  <c r="C43" i="7" a="1"/>
  <c r="C43" i="7" s="1"/>
  <c r="D43" i="7" a="1"/>
  <c r="D43" i="7" s="1"/>
  <c r="E43" i="7" a="1"/>
  <c r="E43" i="7" s="1"/>
  <c r="F43" i="7" a="1"/>
  <c r="F43" i="7" s="1"/>
  <c r="G43" i="7" a="1"/>
  <c r="G43" i="7" s="1"/>
  <c r="H43" i="7" a="1"/>
  <c r="H43" i="7" s="1"/>
  <c r="C44" i="7" a="1"/>
  <c r="C44" i="7" s="1"/>
  <c r="D44" i="7" a="1"/>
  <c r="D44" i="7" s="1"/>
  <c r="E44" i="7" a="1"/>
  <c r="E44" i="7" s="1"/>
  <c r="F44" i="7" a="1"/>
  <c r="F44" i="7" s="1"/>
  <c r="G44" i="7" a="1"/>
  <c r="G44" i="7" s="1"/>
  <c r="H44" i="7" a="1"/>
  <c r="H44" i="7" s="1"/>
  <c r="C45" i="7" a="1"/>
  <c r="C45" i="7" s="1"/>
  <c r="D45" i="7" a="1"/>
  <c r="D45" i="7" s="1"/>
  <c r="E45" i="7" a="1"/>
  <c r="E45" i="7" s="1"/>
  <c r="F45" i="7" a="1"/>
  <c r="F45" i="7" s="1"/>
  <c r="G45" i="7" a="1"/>
  <c r="G45" i="7" s="1"/>
  <c r="H45" i="7" a="1"/>
  <c r="H45" i="7" s="1"/>
  <c r="C46" i="7" a="1"/>
  <c r="C46" i="7" s="1"/>
  <c r="D46" i="7" a="1"/>
  <c r="D46" i="7" s="1"/>
  <c r="E46" i="7" a="1"/>
  <c r="E46" i="7" s="1"/>
  <c r="F46" i="7" a="1"/>
  <c r="F46" i="7" s="1"/>
  <c r="G46" i="7" a="1"/>
  <c r="G46" i="7" s="1"/>
  <c r="H46" i="7" a="1"/>
  <c r="H46" i="7" s="1"/>
  <c r="C47" i="7" a="1"/>
  <c r="C47" i="7" s="1"/>
  <c r="D47" i="7" a="1"/>
  <c r="D47" i="7" s="1"/>
  <c r="E47" i="7" a="1"/>
  <c r="E47" i="7" s="1"/>
  <c r="F47" i="7" a="1"/>
  <c r="F47" i="7" s="1"/>
  <c r="G47" i="7" a="1"/>
  <c r="G47" i="7" s="1"/>
  <c r="H47" i="7" a="1"/>
  <c r="H47" i="7" s="1"/>
  <c r="C48" i="7" a="1"/>
  <c r="C48" i="7" s="1"/>
  <c r="D48" i="7" a="1"/>
  <c r="D48" i="7" s="1"/>
  <c r="E48" i="7" a="1"/>
  <c r="E48" i="7" s="1"/>
  <c r="F48" i="7" a="1"/>
  <c r="F48" i="7" s="1"/>
  <c r="G48" i="7" a="1"/>
  <c r="G48" i="7" s="1"/>
  <c r="H48" i="7" a="1"/>
  <c r="H48" i="7" s="1"/>
  <c r="C49" i="7" a="1"/>
  <c r="C49" i="7" s="1"/>
  <c r="D49" i="7" a="1"/>
  <c r="D49" i="7" s="1"/>
  <c r="E49" i="7" a="1"/>
  <c r="E49" i="7" s="1"/>
  <c r="F49" i="7" a="1"/>
  <c r="F49" i="7" s="1"/>
  <c r="G49" i="7" a="1"/>
  <c r="G49" i="7" s="1"/>
  <c r="H49" i="7" a="1"/>
  <c r="H49" i="7" s="1"/>
  <c r="C50" i="7" a="1"/>
  <c r="C50" i="7" s="1"/>
  <c r="D50" i="7" a="1"/>
  <c r="D50" i="7" s="1"/>
  <c r="E50" i="7" a="1"/>
  <c r="E50" i="7" s="1"/>
  <c r="F50" i="7" a="1"/>
  <c r="F50" i="7" s="1"/>
  <c r="G50" i="7" a="1"/>
  <c r="G50" i="7" s="1"/>
  <c r="H50" i="7" a="1"/>
  <c r="H50" i="7" s="1"/>
  <c r="C51" i="7" a="1"/>
  <c r="C51" i="7" s="1"/>
  <c r="D51" i="7" a="1"/>
  <c r="D51" i="7" s="1"/>
  <c r="E51" i="7" a="1"/>
  <c r="E51" i="7" s="1"/>
  <c r="F51" i="7" a="1"/>
  <c r="F51" i="7" s="1"/>
  <c r="G51" i="7" a="1"/>
  <c r="G51" i="7" s="1"/>
  <c r="H51" i="7" a="1"/>
  <c r="H51" i="7" s="1"/>
  <c r="C52" i="7" a="1"/>
  <c r="C52" i="7" s="1"/>
  <c r="D52" i="7" a="1"/>
  <c r="D52" i="7" s="1"/>
  <c r="E52" i="7" a="1"/>
  <c r="E52" i="7" s="1"/>
  <c r="F52" i="7" a="1"/>
  <c r="F52" i="7" s="1"/>
  <c r="G52" i="7" a="1"/>
  <c r="G52" i="7" s="1"/>
  <c r="H52" i="7" a="1"/>
  <c r="H52" i="7" s="1"/>
  <c r="C53" i="7" a="1"/>
  <c r="C53" i="7" s="1"/>
  <c r="D53" i="7" a="1"/>
  <c r="D53" i="7" s="1"/>
  <c r="E53" i="7" a="1"/>
  <c r="E53" i="7" s="1"/>
  <c r="F53" i="7" a="1"/>
  <c r="F53" i="7" s="1"/>
  <c r="G53" i="7" a="1"/>
  <c r="G53" i="7" s="1"/>
  <c r="H53" i="7" a="1"/>
  <c r="H53" i="7" s="1"/>
  <c r="C54" i="7" a="1"/>
  <c r="C54" i="7" s="1"/>
  <c r="D54" i="7" a="1"/>
  <c r="D54" i="7" s="1"/>
  <c r="E54" i="7" a="1"/>
  <c r="E54" i="7" s="1"/>
  <c r="F54" i="7" a="1"/>
  <c r="F54" i="7" s="1"/>
  <c r="G54" i="7" a="1"/>
  <c r="G54" i="7" s="1"/>
  <c r="H54" i="7" a="1"/>
  <c r="H54" i="7" s="1"/>
  <c r="C55" i="7" a="1"/>
  <c r="C55" i="7" s="1"/>
  <c r="D55" i="7" a="1"/>
  <c r="D55" i="7" s="1"/>
  <c r="E55" i="7" a="1"/>
  <c r="E55" i="7" s="1"/>
  <c r="F55" i="7" a="1"/>
  <c r="F55" i="7" s="1"/>
  <c r="G55" i="7" a="1"/>
  <c r="G55" i="7" s="1"/>
  <c r="H55" i="7" a="1"/>
  <c r="H55" i="7" s="1"/>
  <c r="C56" i="7" a="1"/>
  <c r="C56" i="7" s="1"/>
  <c r="D56" i="7" a="1"/>
  <c r="D56" i="7" s="1"/>
  <c r="E56" i="7" a="1"/>
  <c r="E56" i="7" s="1"/>
  <c r="F56" i="7" a="1"/>
  <c r="F56" i="7" s="1"/>
  <c r="G56" i="7" a="1"/>
  <c r="G56" i="7" s="1"/>
  <c r="H56" i="7" a="1"/>
  <c r="H56" i="7" s="1"/>
  <c r="C57" i="7" a="1"/>
  <c r="C57" i="7" s="1"/>
  <c r="D57" i="7" a="1"/>
  <c r="D57" i="7" s="1"/>
  <c r="E57" i="7" a="1"/>
  <c r="E57" i="7" s="1"/>
  <c r="F57" i="7" a="1"/>
  <c r="F57" i="7" s="1"/>
  <c r="G57" i="7" a="1"/>
  <c r="G57" i="7" s="1"/>
  <c r="H57" i="7" a="1"/>
  <c r="H57" i="7" s="1"/>
  <c r="C58" i="7" a="1"/>
  <c r="C58" i="7" s="1"/>
  <c r="D58" i="7" a="1"/>
  <c r="D58" i="7" s="1"/>
  <c r="E58" i="7" a="1"/>
  <c r="E58" i="7" s="1"/>
  <c r="F58" i="7" a="1"/>
  <c r="F58" i="7" s="1"/>
  <c r="G58" i="7" a="1"/>
  <c r="G58" i="7" s="1"/>
  <c r="H58" i="7" a="1"/>
  <c r="H58" i="7" s="1"/>
  <c r="C59" i="7" a="1"/>
  <c r="C59" i="7" s="1"/>
  <c r="D59" i="7" a="1"/>
  <c r="D59" i="7" s="1"/>
  <c r="E59" i="7" a="1"/>
  <c r="E59" i="7" s="1"/>
  <c r="F59" i="7" a="1"/>
  <c r="F59" i="7" s="1"/>
  <c r="G59" i="7" a="1"/>
  <c r="G59" i="7" s="1"/>
  <c r="H59" i="7" a="1"/>
  <c r="H59" i="7" s="1"/>
  <c r="C60" i="7" a="1"/>
  <c r="C60" i="7" s="1"/>
  <c r="D60" i="7" a="1"/>
  <c r="D60" i="7" s="1"/>
  <c r="E60" i="7" a="1"/>
  <c r="E60" i="7" s="1"/>
  <c r="F60" i="7" a="1"/>
  <c r="F60" i="7" s="1"/>
  <c r="G60" i="7" a="1"/>
  <c r="G60" i="7" s="1"/>
  <c r="H60" i="7" a="1"/>
  <c r="H60" i="7" s="1"/>
  <c r="C61" i="7" a="1"/>
  <c r="C61" i="7" s="1"/>
  <c r="D61" i="7" a="1"/>
  <c r="D61" i="7" s="1"/>
  <c r="E61" i="7" a="1"/>
  <c r="E61" i="7" s="1"/>
  <c r="F61" i="7" a="1"/>
  <c r="F61" i="7" s="1"/>
  <c r="G61" i="7" a="1"/>
  <c r="G61" i="7" s="1"/>
  <c r="H61" i="7" a="1"/>
  <c r="H61" i="7" s="1"/>
  <c r="C62" i="7" a="1"/>
  <c r="C62" i="7" s="1"/>
  <c r="D62" i="7" a="1"/>
  <c r="D62" i="7" s="1"/>
  <c r="E62" i="7" a="1"/>
  <c r="E62" i="7" s="1"/>
  <c r="F62" i="7" a="1"/>
  <c r="F62" i="7" s="1"/>
  <c r="G62" i="7" a="1"/>
  <c r="G62" i="7" s="1"/>
  <c r="H62" i="7" a="1"/>
  <c r="H62" i="7" s="1"/>
  <c r="C63" i="7" a="1"/>
  <c r="C63" i="7" s="1"/>
  <c r="D63" i="7" a="1"/>
  <c r="D63" i="7" s="1"/>
  <c r="E63" i="7" a="1"/>
  <c r="E63" i="7" s="1"/>
  <c r="F63" i="7" a="1"/>
  <c r="F63" i="7" s="1"/>
  <c r="G63" i="7" a="1"/>
  <c r="G63" i="7" s="1"/>
  <c r="H63" i="7" a="1"/>
  <c r="H63" i="7" s="1"/>
  <c r="C64" i="7" a="1"/>
  <c r="C64" i="7" s="1"/>
  <c r="D64" i="7" a="1"/>
  <c r="D64" i="7" s="1"/>
  <c r="E64" i="7" a="1"/>
  <c r="E64" i="7" s="1"/>
  <c r="F64" i="7" a="1"/>
  <c r="F64" i="7" s="1"/>
  <c r="G64" i="7" a="1"/>
  <c r="G64" i="7" s="1"/>
  <c r="H64" i="7" a="1"/>
  <c r="H64" i="7" s="1"/>
  <c r="C65" i="7" a="1"/>
  <c r="C65" i="7" s="1"/>
  <c r="D65" i="7" a="1"/>
  <c r="D65" i="7" s="1"/>
  <c r="E65" i="7" a="1"/>
  <c r="E65" i="7" s="1"/>
  <c r="F65" i="7" a="1"/>
  <c r="F65" i="7" s="1"/>
  <c r="G65" i="7" a="1"/>
  <c r="G65" i="7" s="1"/>
  <c r="H65" i="7" a="1"/>
  <c r="H65" i="7" s="1"/>
  <c r="C66" i="7" a="1"/>
  <c r="C66" i="7" s="1"/>
  <c r="D66" i="7" a="1"/>
  <c r="D66" i="7" s="1"/>
  <c r="E66" i="7" a="1"/>
  <c r="E66" i="7" s="1"/>
  <c r="F66" i="7" a="1"/>
  <c r="F66" i="7" s="1"/>
  <c r="G66" i="7" a="1"/>
  <c r="G66" i="7" s="1"/>
  <c r="H66" i="7" a="1"/>
  <c r="H66" i="7" s="1"/>
  <c r="C67" i="7" a="1"/>
  <c r="C67" i="7" s="1"/>
  <c r="D67" i="7" a="1"/>
  <c r="D67" i="7" s="1"/>
  <c r="E67" i="7" a="1"/>
  <c r="E67" i="7" s="1"/>
  <c r="F67" i="7" a="1"/>
  <c r="F67" i="7" s="1"/>
  <c r="G67" i="7" a="1"/>
  <c r="G67" i="7" s="1"/>
  <c r="H67" i="7" a="1"/>
  <c r="H67" i="7" s="1"/>
  <c r="C68" i="7" a="1"/>
  <c r="C68" i="7" s="1"/>
  <c r="D68" i="7" a="1"/>
  <c r="D68" i="7" s="1"/>
  <c r="E68" i="7" a="1"/>
  <c r="E68" i="7" s="1"/>
  <c r="F68" i="7" a="1"/>
  <c r="F68" i="7" s="1"/>
  <c r="G68" i="7" a="1"/>
  <c r="G68" i="7" s="1"/>
  <c r="H68" i="7" a="1"/>
  <c r="H68" i="7" s="1"/>
  <c r="C69" i="7" a="1"/>
  <c r="C69" i="7" s="1"/>
  <c r="D69" i="7" a="1"/>
  <c r="D69" i="7" s="1"/>
  <c r="E69" i="7" a="1"/>
  <c r="E69" i="7" s="1"/>
  <c r="F69" i="7" a="1"/>
  <c r="F69" i="7" s="1"/>
  <c r="G69" i="7" a="1"/>
  <c r="G69" i="7" s="1"/>
  <c r="H69" i="7" a="1"/>
  <c r="H69" i="7" s="1"/>
  <c r="C70" i="7" a="1"/>
  <c r="C70" i="7" s="1"/>
  <c r="D70" i="7" a="1"/>
  <c r="D70" i="7" s="1"/>
  <c r="E70" i="7" a="1"/>
  <c r="E70" i="7" s="1"/>
  <c r="F70" i="7" a="1"/>
  <c r="F70" i="7" s="1"/>
  <c r="G70" i="7" a="1"/>
  <c r="G70" i="7" s="1"/>
  <c r="H70" i="7" a="1"/>
  <c r="H70" i="7" s="1"/>
  <c r="C71" i="7" a="1"/>
  <c r="C71" i="7" s="1"/>
  <c r="D71" i="7" a="1"/>
  <c r="D71" i="7" s="1"/>
  <c r="E71" i="7" a="1"/>
  <c r="E71" i="7" s="1"/>
  <c r="F71" i="7" a="1"/>
  <c r="F71" i="7" s="1"/>
  <c r="G71" i="7" a="1"/>
  <c r="G71" i="7" s="1"/>
  <c r="H71" i="7" a="1"/>
  <c r="H71" i="7" s="1"/>
  <c r="C72" i="7" a="1"/>
  <c r="C72" i="7" s="1"/>
  <c r="D72" i="7" a="1"/>
  <c r="D72" i="7" s="1"/>
  <c r="E72" i="7" a="1"/>
  <c r="E72" i="7" s="1"/>
  <c r="F72" i="7" a="1"/>
  <c r="F72" i="7" s="1"/>
  <c r="G72" i="7" a="1"/>
  <c r="G72" i="7" s="1"/>
  <c r="H72" i="7" a="1"/>
  <c r="H72" i="7" s="1"/>
  <c r="C73" i="7" a="1"/>
  <c r="C73" i="7" s="1"/>
  <c r="D73" i="7" a="1"/>
  <c r="D73" i="7" s="1"/>
  <c r="E73" i="7" a="1"/>
  <c r="E73" i="7" s="1"/>
  <c r="F73" i="7" a="1"/>
  <c r="F73" i="7" s="1"/>
  <c r="G73" i="7" a="1"/>
  <c r="G73" i="7" s="1"/>
  <c r="H73" i="7" a="1"/>
  <c r="H73" i="7" s="1"/>
  <c r="C74" i="7" a="1"/>
  <c r="C74" i="7" s="1"/>
  <c r="D74" i="7" a="1"/>
  <c r="D74" i="7" s="1"/>
  <c r="E74" i="7" a="1"/>
  <c r="E74" i="7" s="1"/>
  <c r="F74" i="7" a="1"/>
  <c r="F74" i="7" s="1"/>
  <c r="G74" i="7" a="1"/>
  <c r="G74" i="7" s="1"/>
  <c r="H74" i="7" a="1"/>
  <c r="H74" i="7" s="1"/>
  <c r="C75" i="7" a="1"/>
  <c r="C75" i="7" s="1"/>
  <c r="D75" i="7" a="1"/>
  <c r="D75" i="7" s="1"/>
  <c r="E75" i="7" a="1"/>
  <c r="E75" i="7" s="1"/>
  <c r="F75" i="7" a="1"/>
  <c r="F75" i="7" s="1"/>
  <c r="G75" i="7" a="1"/>
  <c r="G75" i="7" s="1"/>
  <c r="H75" i="7" a="1"/>
  <c r="H75" i="7" s="1"/>
  <c r="C76" i="7" a="1"/>
  <c r="C76" i="7" s="1"/>
  <c r="D76" i="7" a="1"/>
  <c r="D76" i="7" s="1"/>
  <c r="E76" i="7" a="1"/>
  <c r="E76" i="7" s="1"/>
  <c r="F76" i="7" a="1"/>
  <c r="F76" i="7" s="1"/>
  <c r="G76" i="7" a="1"/>
  <c r="G76" i="7" s="1"/>
  <c r="H76" i="7" a="1"/>
  <c r="H76" i="7" s="1"/>
  <c r="C77" i="7" a="1"/>
  <c r="C77" i="7" s="1"/>
  <c r="D77" i="7" a="1"/>
  <c r="D77" i="7" s="1"/>
  <c r="E77" i="7" a="1"/>
  <c r="E77" i="7" s="1"/>
  <c r="F77" i="7" a="1"/>
  <c r="F77" i="7" s="1"/>
  <c r="G77" i="7" a="1"/>
  <c r="G77" i="7" s="1"/>
  <c r="H77" i="7" a="1"/>
  <c r="H77" i="7" s="1"/>
  <c r="C78" i="7" a="1"/>
  <c r="C78" i="7" s="1"/>
  <c r="D78" i="7" a="1"/>
  <c r="D78" i="7" s="1"/>
  <c r="E78" i="7" a="1"/>
  <c r="E78" i="7" s="1"/>
  <c r="F78" i="7" a="1"/>
  <c r="F78" i="7" s="1"/>
  <c r="G78" i="7" a="1"/>
  <c r="G78" i="7" s="1"/>
  <c r="H78" i="7" a="1"/>
  <c r="H78" i="7" s="1"/>
  <c r="C79" i="7" a="1"/>
  <c r="C79" i="7" s="1"/>
  <c r="D79" i="7" a="1"/>
  <c r="D79" i="7" s="1"/>
  <c r="E79" i="7" a="1"/>
  <c r="E79" i="7" s="1"/>
  <c r="F79" i="7" a="1"/>
  <c r="F79" i="7" s="1"/>
  <c r="G79" i="7" a="1"/>
  <c r="G79" i="7" s="1"/>
  <c r="H79" i="7" a="1"/>
  <c r="H79" i="7" s="1"/>
  <c r="C80" i="7" a="1"/>
  <c r="C80" i="7" s="1"/>
  <c r="D80" i="7" a="1"/>
  <c r="D80" i="7" s="1"/>
  <c r="E80" i="7" a="1"/>
  <c r="E80" i="7" s="1"/>
  <c r="F80" i="7" a="1"/>
  <c r="F80" i="7" s="1"/>
  <c r="G80" i="7" a="1"/>
  <c r="G80" i="7" s="1"/>
  <c r="H80" i="7" a="1"/>
  <c r="H80" i="7" s="1"/>
  <c r="C81" i="7" a="1"/>
  <c r="C81" i="7" s="1"/>
  <c r="D81" i="7" a="1"/>
  <c r="D81" i="7" s="1"/>
  <c r="E81" i="7" a="1"/>
  <c r="E81" i="7" s="1"/>
  <c r="F81" i="7" a="1"/>
  <c r="F81" i="7" s="1"/>
  <c r="G81" i="7" a="1"/>
  <c r="G81" i="7" s="1"/>
  <c r="H81" i="7" a="1"/>
  <c r="H81" i="7" s="1"/>
  <c r="C82" i="7" a="1"/>
  <c r="C82" i="7" s="1"/>
  <c r="D82" i="7" a="1"/>
  <c r="D82" i="7" s="1"/>
  <c r="E82" i="7" a="1"/>
  <c r="E82" i="7" s="1"/>
  <c r="F82" i="7" a="1"/>
  <c r="F82" i="7" s="1"/>
  <c r="G82" i="7" a="1"/>
  <c r="G82" i="7" s="1"/>
  <c r="H82" i="7" a="1"/>
  <c r="H82" i="7" s="1"/>
  <c r="C83" i="7" a="1"/>
  <c r="C83" i="7" s="1"/>
  <c r="D83" i="7" a="1"/>
  <c r="D83" i="7" s="1"/>
  <c r="E83" i="7" a="1"/>
  <c r="E83" i="7" s="1"/>
  <c r="F83" i="7" a="1"/>
  <c r="F83" i="7" s="1"/>
  <c r="G83" i="7" a="1"/>
  <c r="G83" i="7" s="1"/>
  <c r="H83" i="7" a="1"/>
  <c r="H83" i="7" s="1"/>
  <c r="C84" i="7" a="1"/>
  <c r="C84" i="7" s="1"/>
  <c r="D84" i="7" a="1"/>
  <c r="D84" i="7" s="1"/>
  <c r="E84" i="7" a="1"/>
  <c r="E84" i="7" s="1"/>
  <c r="F84" i="7" a="1"/>
  <c r="F84" i="7" s="1"/>
  <c r="G84" i="7" a="1"/>
  <c r="G84" i="7" s="1"/>
  <c r="H84" i="7" a="1"/>
  <c r="H84" i="7" s="1"/>
  <c r="C85" i="7" a="1"/>
  <c r="C85" i="7" s="1"/>
  <c r="D85" i="7" a="1"/>
  <c r="D85" i="7" s="1"/>
  <c r="E85" i="7" a="1"/>
  <c r="E85" i="7" s="1"/>
  <c r="F85" i="7" a="1"/>
  <c r="F85" i="7" s="1"/>
  <c r="G85" i="7" a="1"/>
  <c r="G85" i="7" s="1"/>
  <c r="H85" i="7" a="1"/>
  <c r="H85" i="7" s="1"/>
  <c r="C86" i="7" a="1"/>
  <c r="C86" i="7" s="1"/>
  <c r="D86" i="7" a="1"/>
  <c r="D86" i="7" s="1"/>
  <c r="E86" i="7" a="1"/>
  <c r="E86" i="7" s="1"/>
  <c r="F86" i="7" a="1"/>
  <c r="F86" i="7" s="1"/>
  <c r="G86" i="7" a="1"/>
  <c r="G86" i="7" s="1"/>
  <c r="H86" i="7" a="1"/>
  <c r="H86" i="7" s="1"/>
  <c r="C87" i="7" a="1"/>
  <c r="C87" i="7" s="1"/>
  <c r="D87" i="7" a="1"/>
  <c r="D87" i="7" s="1"/>
  <c r="E87" i="7" a="1"/>
  <c r="E87" i="7" s="1"/>
  <c r="F87" i="7" a="1"/>
  <c r="F87" i="7" s="1"/>
  <c r="G87" i="7" a="1"/>
  <c r="G87" i="7" s="1"/>
  <c r="H87" i="7" a="1"/>
  <c r="H87" i="7" s="1"/>
  <c r="C88" i="7" a="1"/>
  <c r="C88" i="7" s="1"/>
  <c r="D88" i="7" a="1"/>
  <c r="D88" i="7" s="1"/>
  <c r="E88" i="7" a="1"/>
  <c r="E88" i="7" s="1"/>
  <c r="F88" i="7" a="1"/>
  <c r="F88" i="7" s="1"/>
  <c r="G88" i="7" a="1"/>
  <c r="G88" i="7" s="1"/>
  <c r="H88" i="7" a="1"/>
  <c r="H88" i="7" s="1"/>
  <c r="C89" i="7" a="1"/>
  <c r="C89" i="7" s="1"/>
  <c r="D89" i="7" a="1"/>
  <c r="D89" i="7" s="1"/>
  <c r="E89" i="7" a="1"/>
  <c r="E89" i="7" s="1"/>
  <c r="F89" i="7" a="1"/>
  <c r="F89" i="7" s="1"/>
  <c r="G89" i="7" a="1"/>
  <c r="G89" i="7" s="1"/>
  <c r="H89" i="7" a="1"/>
  <c r="H89" i="7" s="1"/>
  <c r="C90" i="7" a="1"/>
  <c r="C90" i="7" s="1"/>
  <c r="D90" i="7" a="1"/>
  <c r="D90" i="7" s="1"/>
  <c r="E90" i="7" a="1"/>
  <c r="E90" i="7" s="1"/>
  <c r="F90" i="7" a="1"/>
  <c r="F90" i="7" s="1"/>
  <c r="G90" i="7" a="1"/>
  <c r="G90" i="7" s="1"/>
  <c r="H90" i="7" a="1"/>
  <c r="H90" i="7" s="1"/>
  <c r="C91" i="7" a="1"/>
  <c r="C91" i="7" s="1"/>
  <c r="D91" i="7" a="1"/>
  <c r="D91" i="7" s="1"/>
  <c r="E91" i="7" a="1"/>
  <c r="E91" i="7" s="1"/>
  <c r="F91" i="7" a="1"/>
  <c r="F91" i="7" s="1"/>
  <c r="G91" i="7" a="1"/>
  <c r="G91" i="7" s="1"/>
  <c r="H91" i="7" a="1"/>
  <c r="H91" i="7" s="1"/>
  <c r="C92" i="7" a="1"/>
  <c r="C92" i="7" s="1"/>
  <c r="D92" i="7" a="1"/>
  <c r="D92" i="7" s="1"/>
  <c r="E92" i="7" a="1"/>
  <c r="E92" i="7" s="1"/>
  <c r="F92" i="7" a="1"/>
  <c r="F92" i="7" s="1"/>
  <c r="G92" i="7" a="1"/>
  <c r="G92" i="7" s="1"/>
  <c r="H92" i="7" a="1"/>
  <c r="H92" i="7" s="1"/>
  <c r="C93" i="7" a="1"/>
  <c r="C93" i="7" s="1"/>
  <c r="D93" i="7" a="1"/>
  <c r="D93" i="7" s="1"/>
  <c r="E93" i="7" a="1"/>
  <c r="E93" i="7" s="1"/>
  <c r="F93" i="7" a="1"/>
  <c r="F93" i="7" s="1"/>
  <c r="G93" i="7" a="1"/>
  <c r="G93" i="7" s="1"/>
  <c r="H93" i="7" a="1"/>
  <c r="H93" i="7" s="1"/>
  <c r="C94" i="7" a="1"/>
  <c r="C94" i="7" s="1"/>
  <c r="D94" i="7" a="1"/>
  <c r="D94" i="7" s="1"/>
  <c r="E94" i="7" a="1"/>
  <c r="E94" i="7" s="1"/>
  <c r="F94" i="7" a="1"/>
  <c r="F94" i="7" s="1"/>
  <c r="G94" i="7" a="1"/>
  <c r="G94" i="7" s="1"/>
  <c r="H94" i="7" a="1"/>
  <c r="H94" i="7" s="1"/>
  <c r="C95" i="7" a="1"/>
  <c r="C95" i="7" s="1"/>
  <c r="D95" i="7" a="1"/>
  <c r="D95" i="7" s="1"/>
  <c r="E95" i="7" a="1"/>
  <c r="E95" i="7" s="1"/>
  <c r="F95" i="7" a="1"/>
  <c r="F95" i="7" s="1"/>
  <c r="G95" i="7" a="1"/>
  <c r="G95" i="7" s="1"/>
  <c r="H95" i="7" a="1"/>
  <c r="H95" i="7" s="1"/>
  <c r="C96" i="7" a="1"/>
  <c r="C96" i="7" s="1"/>
  <c r="D96" i="7" a="1"/>
  <c r="D96" i="7" s="1"/>
  <c r="E96" i="7" a="1"/>
  <c r="E96" i="7" s="1"/>
  <c r="F96" i="7" a="1"/>
  <c r="F96" i="7" s="1"/>
  <c r="G96" i="7" a="1"/>
  <c r="G96" i="7" s="1"/>
  <c r="H96" i="7" a="1"/>
  <c r="H96" i="7" s="1"/>
  <c r="C97" i="7" a="1"/>
  <c r="C97" i="7" s="1"/>
  <c r="D97" i="7" a="1"/>
  <c r="D97" i="7" s="1"/>
  <c r="E97" i="7" a="1"/>
  <c r="E97" i="7" s="1"/>
  <c r="F97" i="7" a="1"/>
  <c r="F97" i="7" s="1"/>
  <c r="G97" i="7" a="1"/>
  <c r="G97" i="7" s="1"/>
  <c r="H97" i="7" a="1"/>
  <c r="H97" i="7" s="1"/>
  <c r="C98" i="7" a="1"/>
  <c r="C98" i="7" s="1"/>
  <c r="D98" i="7" a="1"/>
  <c r="D98" i="7" s="1"/>
  <c r="E98" i="7" a="1"/>
  <c r="E98" i="7" s="1"/>
  <c r="F98" i="7" a="1"/>
  <c r="F98" i="7" s="1"/>
  <c r="G98" i="7" a="1"/>
  <c r="G98" i="7" s="1"/>
  <c r="H98" i="7" a="1"/>
  <c r="H98" i="7" s="1"/>
  <c r="C99" i="7" a="1"/>
  <c r="C99" i="7" s="1"/>
  <c r="D99" i="7" a="1"/>
  <c r="D99" i="7" s="1"/>
  <c r="E99" i="7" a="1"/>
  <c r="E99" i="7" s="1"/>
  <c r="F99" i="7" a="1"/>
  <c r="F99" i="7" s="1"/>
  <c r="G99" i="7" a="1"/>
  <c r="G99" i="7" s="1"/>
  <c r="H99" i="7" a="1"/>
  <c r="H99" i="7" s="1"/>
  <c r="C100" i="7" a="1"/>
  <c r="C100" i="7" s="1"/>
  <c r="D100" i="7" a="1"/>
  <c r="D100" i="7" s="1"/>
  <c r="E100" i="7" a="1"/>
  <c r="E100" i="7" s="1"/>
  <c r="F100" i="7" a="1"/>
  <c r="F100" i="7" s="1"/>
  <c r="G100" i="7" a="1"/>
  <c r="G100" i="7" s="1"/>
  <c r="H100" i="7" a="1"/>
  <c r="H100" i="7" s="1"/>
  <c r="C101" i="7" a="1"/>
  <c r="C101" i="7" s="1"/>
  <c r="D101" i="7" a="1"/>
  <c r="D101" i="7" s="1"/>
  <c r="E101" i="7" a="1"/>
  <c r="E101" i="7" s="1"/>
  <c r="F101" i="7" a="1"/>
  <c r="F101" i="7" s="1"/>
  <c r="G101" i="7" a="1"/>
  <c r="G101" i="7" s="1"/>
  <c r="H101" i="7" a="1"/>
  <c r="H101" i="7" s="1"/>
  <c r="C102" i="7" a="1"/>
  <c r="C102" i="7" s="1"/>
  <c r="D102" i="7" a="1"/>
  <c r="D102" i="7" s="1"/>
  <c r="E102" i="7" a="1"/>
  <c r="E102" i="7" s="1"/>
  <c r="F102" i="7" a="1"/>
  <c r="F102" i="7" s="1"/>
  <c r="G102" i="7" a="1"/>
  <c r="G102" i="7" s="1"/>
  <c r="H102" i="7" a="1"/>
  <c r="H102" i="7" s="1"/>
  <c r="C103" i="7" a="1"/>
  <c r="C103" i="7" s="1"/>
  <c r="D103" i="7" a="1"/>
  <c r="D103" i="7" s="1"/>
  <c r="E103" i="7" a="1"/>
  <c r="E103" i="7" s="1"/>
  <c r="F103" i="7" a="1"/>
  <c r="F103" i="7" s="1"/>
  <c r="G103" i="7" a="1"/>
  <c r="G103" i="7" s="1"/>
  <c r="H103" i="7" a="1"/>
  <c r="H103" i="7" s="1"/>
  <c r="C104" i="7" a="1"/>
  <c r="C104" i="7" s="1"/>
  <c r="D104" i="7" a="1"/>
  <c r="D104" i="7" s="1"/>
  <c r="E104" i="7" a="1"/>
  <c r="E104" i="7" s="1"/>
  <c r="F104" i="7" a="1"/>
  <c r="F104" i="7" s="1"/>
  <c r="G104" i="7" a="1"/>
  <c r="G104" i="7" s="1"/>
  <c r="H104" i="7" a="1"/>
  <c r="H104" i="7" s="1"/>
  <c r="C105" i="7" a="1"/>
  <c r="C105" i="7" s="1"/>
  <c r="D105" i="7" a="1"/>
  <c r="D105" i="7" s="1"/>
  <c r="E105" i="7" a="1"/>
  <c r="E105" i="7" s="1"/>
  <c r="F105" i="7" a="1"/>
  <c r="F105" i="7" s="1"/>
  <c r="G105" i="7" a="1"/>
  <c r="G105" i="7" s="1"/>
  <c r="H105" i="7" a="1"/>
  <c r="H105" i="7" s="1"/>
  <c r="C106" i="7" a="1"/>
  <c r="C106" i="7" s="1"/>
  <c r="D106" i="7" a="1"/>
  <c r="D106" i="7" s="1"/>
  <c r="E106" i="7" a="1"/>
  <c r="E106" i="7" s="1"/>
  <c r="F106" i="7" a="1"/>
  <c r="F106" i="7" s="1"/>
  <c r="G106" i="7" a="1"/>
  <c r="G106" i="7" s="1"/>
  <c r="H106" i="7" a="1"/>
  <c r="H106" i="7" s="1"/>
  <c r="C107" i="7" a="1"/>
  <c r="C107" i="7" s="1"/>
  <c r="D107" i="7" a="1"/>
  <c r="D107" i="7" s="1"/>
  <c r="E107" i="7" a="1"/>
  <c r="E107" i="7" s="1"/>
  <c r="F107" i="7" a="1"/>
  <c r="F107" i="7" s="1"/>
  <c r="G107" i="7" a="1"/>
  <c r="G107" i="7" s="1"/>
  <c r="H107" i="7" a="1"/>
  <c r="H107" i="7" s="1"/>
  <c r="C108" i="7" a="1"/>
  <c r="C108" i="7" s="1"/>
  <c r="D108" i="7" a="1"/>
  <c r="D108" i="7" s="1"/>
  <c r="E108" i="7" a="1"/>
  <c r="E108" i="7" s="1"/>
  <c r="F108" i="7" a="1"/>
  <c r="F108" i="7" s="1"/>
  <c r="G108" i="7" a="1"/>
  <c r="G108" i="7" s="1"/>
  <c r="H108" i="7" a="1"/>
  <c r="H108" i="7" s="1"/>
  <c r="C109" i="7" a="1"/>
  <c r="C109" i="7" s="1"/>
  <c r="D109" i="7" a="1"/>
  <c r="D109" i="7" s="1"/>
  <c r="E109" i="7" a="1"/>
  <c r="E109" i="7" s="1"/>
  <c r="F109" i="7" a="1"/>
  <c r="F109" i="7" s="1"/>
  <c r="G109" i="7" a="1"/>
  <c r="G109" i="7" s="1"/>
  <c r="H109" i="7" a="1"/>
  <c r="H109" i="7" s="1"/>
  <c r="C110" i="7" a="1"/>
  <c r="C110" i="7" s="1"/>
  <c r="D110" i="7" a="1"/>
  <c r="D110" i="7" s="1"/>
  <c r="E110" i="7" a="1"/>
  <c r="E110" i="7" s="1"/>
  <c r="F110" i="7" a="1"/>
  <c r="F110" i="7" s="1"/>
  <c r="G110" i="7" a="1"/>
  <c r="G110" i="7" s="1"/>
  <c r="H110" i="7" a="1"/>
  <c r="H110" i="7" s="1"/>
  <c r="C111" i="7" a="1"/>
  <c r="C111" i="7" s="1"/>
  <c r="D111" i="7" a="1"/>
  <c r="D111" i="7" s="1"/>
  <c r="E111" i="7" a="1"/>
  <c r="E111" i="7" s="1"/>
  <c r="F111" i="7" a="1"/>
  <c r="F111" i="7" s="1"/>
  <c r="G111" i="7" a="1"/>
  <c r="G111" i="7" s="1"/>
  <c r="H111" i="7" a="1"/>
  <c r="H111" i="7" s="1"/>
  <c r="C112" i="7" a="1"/>
  <c r="C112" i="7" s="1"/>
  <c r="D112" i="7" a="1"/>
  <c r="D112" i="7" s="1"/>
  <c r="E112" i="7" a="1"/>
  <c r="E112" i="7" s="1"/>
  <c r="F112" i="7" a="1"/>
  <c r="F112" i="7" s="1"/>
  <c r="G112" i="7" a="1"/>
  <c r="G112" i="7" s="1"/>
  <c r="H112" i="7" a="1"/>
  <c r="H112" i="7" s="1"/>
  <c r="C113" i="7" a="1"/>
  <c r="C113" i="7" s="1"/>
  <c r="D113" i="7" a="1"/>
  <c r="D113" i="7" s="1"/>
  <c r="E113" i="7" a="1"/>
  <c r="E113" i="7" s="1"/>
  <c r="F113" i="7" a="1"/>
  <c r="F113" i="7" s="1"/>
  <c r="G113" i="7" a="1"/>
  <c r="G113" i="7" s="1"/>
  <c r="H113" i="7" a="1"/>
  <c r="H113" i="7" s="1"/>
  <c r="C114" i="7" a="1"/>
  <c r="C114" i="7" s="1"/>
  <c r="D114" i="7" a="1"/>
  <c r="D114" i="7" s="1"/>
  <c r="E114" i="7" a="1"/>
  <c r="E114" i="7" s="1"/>
  <c r="F114" i="7" a="1"/>
  <c r="F114" i="7" s="1"/>
  <c r="G114" i="7" a="1"/>
  <c r="G114" i="7" s="1"/>
  <c r="H114" i="7" a="1"/>
  <c r="H114" i="7" s="1"/>
  <c r="C115" i="7" a="1"/>
  <c r="C115" i="7" s="1"/>
  <c r="D115" i="7" a="1"/>
  <c r="D115" i="7" s="1"/>
  <c r="E115" i="7" a="1"/>
  <c r="E115" i="7" s="1"/>
  <c r="F115" i="7" a="1"/>
  <c r="F115" i="7" s="1"/>
  <c r="G115" i="7" a="1"/>
  <c r="G115" i="7" s="1"/>
  <c r="H115" i="7" a="1"/>
  <c r="H115" i="7" s="1"/>
  <c r="C116" i="7" a="1"/>
  <c r="C116" i="7" s="1"/>
  <c r="D116" i="7" a="1"/>
  <c r="D116" i="7" s="1"/>
  <c r="E116" i="7" a="1"/>
  <c r="E116" i="7" s="1"/>
  <c r="F116" i="7" a="1"/>
  <c r="F116" i="7" s="1"/>
  <c r="G116" i="7" a="1"/>
  <c r="G116" i="7" s="1"/>
  <c r="H116" i="7" a="1"/>
  <c r="H116" i="7" s="1"/>
  <c r="C117" i="7" a="1"/>
  <c r="C117" i="7" s="1"/>
  <c r="D117" i="7" a="1"/>
  <c r="D117" i="7" s="1"/>
  <c r="E117" i="7" a="1"/>
  <c r="E117" i="7" s="1"/>
  <c r="F117" i="7" a="1"/>
  <c r="F117" i="7" s="1"/>
  <c r="G117" i="7" a="1"/>
  <c r="G117" i="7" s="1"/>
  <c r="H117" i="7" a="1"/>
  <c r="H117" i="7" s="1"/>
  <c r="C118" i="7" a="1"/>
  <c r="C118" i="7" s="1"/>
  <c r="D118" i="7" a="1"/>
  <c r="D118" i="7" s="1"/>
  <c r="E118" i="7" a="1"/>
  <c r="E118" i="7" s="1"/>
  <c r="F118" i="7" a="1"/>
  <c r="F118" i="7" s="1"/>
  <c r="G118" i="7" a="1"/>
  <c r="G118" i="7" s="1"/>
  <c r="H118" i="7" a="1"/>
  <c r="H118" i="7" s="1"/>
  <c r="C119" i="7" a="1"/>
  <c r="C119" i="7" s="1"/>
  <c r="D119" i="7" a="1"/>
  <c r="D119" i="7" s="1"/>
  <c r="E119" i="7" a="1"/>
  <c r="E119" i="7" s="1"/>
  <c r="F119" i="7" a="1"/>
  <c r="F119" i="7" s="1"/>
  <c r="G119" i="7" a="1"/>
  <c r="G119" i="7" s="1"/>
  <c r="H119" i="7" a="1"/>
  <c r="H119" i="7" s="1"/>
  <c r="C120" i="7" a="1"/>
  <c r="C120" i="7" s="1"/>
  <c r="D120" i="7" a="1"/>
  <c r="D120" i="7" s="1"/>
  <c r="E120" i="7" a="1"/>
  <c r="E120" i="7" s="1"/>
  <c r="F120" i="7" a="1"/>
  <c r="F120" i="7" s="1"/>
  <c r="G120" i="7" a="1"/>
  <c r="G120" i="7" s="1"/>
  <c r="H120" i="7" a="1"/>
  <c r="H120" i="7" s="1"/>
  <c r="C121" i="7" a="1"/>
  <c r="C121" i="7" s="1"/>
  <c r="D121" i="7" a="1"/>
  <c r="D121" i="7" s="1"/>
  <c r="E121" i="7" a="1"/>
  <c r="E121" i="7" s="1"/>
  <c r="F121" i="7" a="1"/>
  <c r="F121" i="7" s="1"/>
  <c r="G121" i="7" a="1"/>
  <c r="G121" i="7" s="1"/>
  <c r="H121" i="7" a="1"/>
  <c r="H121" i="7" s="1"/>
  <c r="C122" i="7" a="1"/>
  <c r="C122" i="7" s="1"/>
  <c r="D122" i="7" a="1"/>
  <c r="D122" i="7" s="1"/>
  <c r="E122" i="7" a="1"/>
  <c r="E122" i="7" s="1"/>
  <c r="F122" i="7" a="1"/>
  <c r="F122" i="7" s="1"/>
  <c r="G122" i="7" a="1"/>
  <c r="G122" i="7" s="1"/>
  <c r="H122" i="7" a="1"/>
  <c r="H122" i="7" s="1"/>
  <c r="C123" i="7" a="1"/>
  <c r="C123" i="7" s="1"/>
  <c r="D123" i="7" a="1"/>
  <c r="D123" i="7" s="1"/>
  <c r="E123" i="7" a="1"/>
  <c r="E123" i="7" s="1"/>
  <c r="F123" i="7" a="1"/>
  <c r="F123" i="7" s="1"/>
  <c r="G123" i="7" a="1"/>
  <c r="G123" i="7" s="1"/>
  <c r="H123" i="7" a="1"/>
  <c r="H123" i="7" s="1"/>
  <c r="C124" i="7" a="1"/>
  <c r="C124" i="7" s="1"/>
  <c r="D124" i="7" a="1"/>
  <c r="D124" i="7" s="1"/>
  <c r="E124" i="7" a="1"/>
  <c r="E124" i="7" s="1"/>
  <c r="F124" i="7" a="1"/>
  <c r="F124" i="7" s="1"/>
  <c r="G124" i="7" a="1"/>
  <c r="G124" i="7" s="1"/>
  <c r="H124" i="7" a="1"/>
  <c r="H124" i="7" s="1"/>
  <c r="C125" i="7" a="1"/>
  <c r="C125" i="7" s="1"/>
  <c r="D125" i="7" a="1"/>
  <c r="D125" i="7" s="1"/>
  <c r="E125" i="7" a="1"/>
  <c r="E125" i="7" s="1"/>
  <c r="F125" i="7" a="1"/>
  <c r="F125" i="7" s="1"/>
  <c r="G125" i="7" a="1"/>
  <c r="G125" i="7" s="1"/>
  <c r="H125" i="7" a="1"/>
  <c r="H125" i="7" s="1"/>
  <c r="C126" i="7" a="1"/>
  <c r="C126" i="7" s="1"/>
  <c r="D126" i="7" a="1"/>
  <c r="D126" i="7" s="1"/>
  <c r="E126" i="7" a="1"/>
  <c r="E126" i="7" s="1"/>
  <c r="F126" i="7" a="1"/>
  <c r="F126" i="7" s="1"/>
  <c r="G126" i="7" a="1"/>
  <c r="G126" i="7" s="1"/>
  <c r="H126" i="7" a="1"/>
  <c r="H126" i="7" s="1"/>
  <c r="C127" i="7" a="1"/>
  <c r="C127" i="7" s="1"/>
  <c r="D127" i="7" a="1"/>
  <c r="D127" i="7" s="1"/>
  <c r="E127" i="7" a="1"/>
  <c r="E127" i="7" s="1"/>
  <c r="F127" i="7" a="1"/>
  <c r="F127" i="7" s="1"/>
  <c r="G127" i="7" a="1"/>
  <c r="G127" i="7" s="1"/>
  <c r="H127" i="7" a="1"/>
  <c r="H127" i="7" s="1"/>
  <c r="C128" i="7" a="1"/>
  <c r="C128" i="7" s="1"/>
  <c r="D128" i="7" a="1"/>
  <c r="D128" i="7" s="1"/>
  <c r="E128" i="7" a="1"/>
  <c r="E128" i="7" s="1"/>
  <c r="F128" i="7" a="1"/>
  <c r="F128" i="7" s="1"/>
  <c r="G128" i="7" a="1"/>
  <c r="G128" i="7" s="1"/>
  <c r="H128" i="7" a="1"/>
  <c r="H128" i="7" s="1"/>
  <c r="C129" i="7" a="1"/>
  <c r="C129" i="7" s="1"/>
  <c r="D129" i="7" a="1"/>
  <c r="D129" i="7" s="1"/>
  <c r="E129" i="7" a="1"/>
  <c r="E129" i="7" s="1"/>
  <c r="F129" i="7" a="1"/>
  <c r="F129" i="7" s="1"/>
  <c r="G129" i="7" a="1"/>
  <c r="G129" i="7" s="1"/>
  <c r="H129" i="7" a="1"/>
  <c r="H129" i="7" s="1"/>
  <c r="C130" i="7" a="1"/>
  <c r="C130" i="7" s="1"/>
  <c r="D130" i="7" a="1"/>
  <c r="D130" i="7" s="1"/>
  <c r="E130" i="7" a="1"/>
  <c r="E130" i="7" s="1"/>
  <c r="F130" i="7" a="1"/>
  <c r="F130" i="7" s="1"/>
  <c r="G130" i="7" a="1"/>
  <c r="G130" i="7" s="1"/>
  <c r="H130" i="7" a="1"/>
  <c r="H130" i="7" s="1"/>
  <c r="C131" i="7" a="1"/>
  <c r="C131" i="7" s="1"/>
  <c r="D131" i="7" a="1"/>
  <c r="D131" i="7" s="1"/>
  <c r="E131" i="7" a="1"/>
  <c r="E131" i="7" s="1"/>
  <c r="F131" i="7" a="1"/>
  <c r="F131" i="7" s="1"/>
  <c r="G131" i="7" a="1"/>
  <c r="G131" i="7" s="1"/>
  <c r="H131" i="7" a="1"/>
  <c r="H131" i="7" s="1"/>
  <c r="C132" i="7" a="1"/>
  <c r="C132" i="7" s="1"/>
  <c r="D132" i="7" a="1"/>
  <c r="D132" i="7" s="1"/>
  <c r="E132" i="7" a="1"/>
  <c r="E132" i="7" s="1"/>
  <c r="F132" i="7" a="1"/>
  <c r="F132" i="7" s="1"/>
  <c r="G132" i="7" a="1"/>
  <c r="G132" i="7" s="1"/>
  <c r="H132" i="7" a="1"/>
  <c r="H132" i="7" s="1"/>
  <c r="C133" i="7" a="1"/>
  <c r="C133" i="7" s="1"/>
  <c r="D133" i="7" a="1"/>
  <c r="D133" i="7" s="1"/>
  <c r="E133" i="7" a="1"/>
  <c r="E133" i="7" s="1"/>
  <c r="F133" i="7" a="1"/>
  <c r="F133" i="7" s="1"/>
  <c r="G133" i="7" a="1"/>
  <c r="G133" i="7" s="1"/>
  <c r="H133" i="7" a="1"/>
  <c r="H133" i="7" s="1"/>
  <c r="C134" i="7" a="1"/>
  <c r="C134" i="7" s="1"/>
  <c r="D134" i="7" a="1"/>
  <c r="D134" i="7" s="1"/>
  <c r="E134" i="7" a="1"/>
  <c r="E134" i="7" s="1"/>
  <c r="F134" i="7" a="1"/>
  <c r="F134" i="7" s="1"/>
  <c r="G134" i="7" a="1"/>
  <c r="G134" i="7" s="1"/>
  <c r="H134" i="7" a="1"/>
  <c r="H134" i="7" s="1"/>
  <c r="C135" i="7" a="1"/>
  <c r="C135" i="7" s="1"/>
  <c r="D135" i="7" a="1"/>
  <c r="D135" i="7" s="1"/>
  <c r="E135" i="7" a="1"/>
  <c r="E135" i="7" s="1"/>
  <c r="F135" i="7" a="1"/>
  <c r="F135" i="7" s="1"/>
  <c r="G135" i="7" a="1"/>
  <c r="G135" i="7" s="1"/>
  <c r="H135" i="7" a="1"/>
  <c r="H135" i="7" s="1"/>
  <c r="C136" i="7" a="1"/>
  <c r="C136" i="7" s="1"/>
  <c r="D136" i="7" a="1"/>
  <c r="D136" i="7" s="1"/>
  <c r="E136" i="7" a="1"/>
  <c r="E136" i="7" s="1"/>
  <c r="F136" i="7" a="1"/>
  <c r="F136" i="7" s="1"/>
  <c r="G136" i="7" a="1"/>
  <c r="G136" i="7" s="1"/>
  <c r="H136" i="7" a="1"/>
  <c r="H136" i="7" s="1"/>
  <c r="C137" i="7" a="1"/>
  <c r="C137" i="7" s="1"/>
  <c r="D137" i="7" a="1"/>
  <c r="D137" i="7" s="1"/>
  <c r="E137" i="7" a="1"/>
  <c r="E137" i="7" s="1"/>
  <c r="F137" i="7" a="1"/>
  <c r="F137" i="7" s="1"/>
  <c r="G137" i="7" a="1"/>
  <c r="G137" i="7" s="1"/>
  <c r="H137" i="7" a="1"/>
  <c r="H137" i="7" s="1"/>
  <c r="C138" i="7" a="1"/>
  <c r="C138" i="7" s="1"/>
  <c r="D138" i="7" a="1"/>
  <c r="D138" i="7" s="1"/>
  <c r="E138" i="7" a="1"/>
  <c r="E138" i="7" s="1"/>
  <c r="F138" i="7" a="1"/>
  <c r="F138" i="7" s="1"/>
  <c r="G138" i="7" a="1"/>
  <c r="G138" i="7" s="1"/>
  <c r="H138" i="7" a="1"/>
  <c r="H138" i="7" s="1"/>
  <c r="C139" i="7" a="1"/>
  <c r="C139" i="7" s="1"/>
  <c r="D139" i="7" a="1"/>
  <c r="D139" i="7" s="1"/>
  <c r="E139" i="7" a="1"/>
  <c r="E139" i="7" s="1"/>
  <c r="F139" i="7" a="1"/>
  <c r="F139" i="7" s="1"/>
  <c r="G139" i="7" a="1"/>
  <c r="G139" i="7" s="1"/>
  <c r="H139" i="7" a="1"/>
  <c r="H139" i="7" s="1"/>
  <c r="C140" i="7" a="1"/>
  <c r="C140" i="7" s="1"/>
  <c r="D140" i="7" a="1"/>
  <c r="D140" i="7" s="1"/>
  <c r="E140" i="7" a="1"/>
  <c r="E140" i="7" s="1"/>
  <c r="F140" i="7" a="1"/>
  <c r="F140" i="7" s="1"/>
  <c r="G140" i="7" a="1"/>
  <c r="G140" i="7" s="1"/>
  <c r="H140" i="7" a="1"/>
  <c r="H140" i="7" s="1"/>
  <c r="C141" i="7" a="1"/>
  <c r="C141" i="7" s="1"/>
  <c r="D141" i="7" a="1"/>
  <c r="D141" i="7" s="1"/>
  <c r="E141" i="7" a="1"/>
  <c r="E141" i="7" s="1"/>
  <c r="F141" i="7" a="1"/>
  <c r="F141" i="7" s="1"/>
  <c r="G141" i="7" a="1"/>
  <c r="G141" i="7" s="1"/>
  <c r="H141" i="7" a="1"/>
  <c r="H141" i="7" s="1"/>
  <c r="C142" i="7" a="1"/>
  <c r="C142" i="7" s="1"/>
  <c r="D142" i="7" a="1"/>
  <c r="D142" i="7" s="1"/>
  <c r="E142" i="7" a="1"/>
  <c r="E142" i="7" s="1"/>
  <c r="F142" i="7" a="1"/>
  <c r="F142" i="7" s="1"/>
  <c r="G142" i="7" a="1"/>
  <c r="G142" i="7" s="1"/>
  <c r="H142" i="7" a="1"/>
  <c r="H142" i="7" s="1"/>
  <c r="C143" i="7" a="1"/>
  <c r="C143" i="7" s="1"/>
  <c r="D143" i="7" a="1"/>
  <c r="D143" i="7" s="1"/>
  <c r="E143" i="7" a="1"/>
  <c r="E143" i="7" s="1"/>
  <c r="F143" i="7" a="1"/>
  <c r="F143" i="7" s="1"/>
  <c r="G143" i="7" a="1"/>
  <c r="G143" i="7" s="1"/>
  <c r="H143" i="7" a="1"/>
  <c r="H143" i="7" s="1"/>
  <c r="C144" i="7" a="1"/>
  <c r="C144" i="7" s="1"/>
  <c r="D144" i="7" a="1"/>
  <c r="D144" i="7" s="1"/>
  <c r="E144" i="7" a="1"/>
  <c r="E144" i="7" s="1"/>
  <c r="F144" i="7" a="1"/>
  <c r="F144" i="7" s="1"/>
  <c r="G144" i="7" a="1"/>
  <c r="G144" i="7" s="1"/>
  <c r="H144" i="7" a="1"/>
  <c r="H144" i="7" s="1"/>
  <c r="C145" i="7" a="1"/>
  <c r="C145" i="7" s="1"/>
  <c r="D145" i="7" a="1"/>
  <c r="D145" i="7" s="1"/>
  <c r="E145" i="7" a="1"/>
  <c r="E145" i="7" s="1"/>
  <c r="F145" i="7" a="1"/>
  <c r="F145" i="7" s="1"/>
  <c r="G145" i="7" a="1"/>
  <c r="G145" i="7" s="1"/>
  <c r="H145" i="7" a="1"/>
  <c r="H145" i="7" s="1"/>
  <c r="C146" i="7" a="1"/>
  <c r="C146" i="7" s="1"/>
  <c r="D146" i="7" a="1"/>
  <c r="D146" i="7" s="1"/>
  <c r="E146" i="7" a="1"/>
  <c r="E146" i="7" s="1"/>
  <c r="F146" i="7" a="1"/>
  <c r="F146" i="7" s="1"/>
  <c r="G146" i="7" a="1"/>
  <c r="G146" i="7" s="1"/>
  <c r="H146" i="7" a="1"/>
  <c r="H146" i="7" s="1"/>
  <c r="C147" i="7" a="1"/>
  <c r="C147" i="7" s="1"/>
  <c r="D147" i="7" a="1"/>
  <c r="D147" i="7" s="1"/>
  <c r="E147" i="7" a="1"/>
  <c r="E147" i="7" s="1"/>
  <c r="F147" i="7" a="1"/>
  <c r="F147" i="7" s="1"/>
  <c r="G147" i="7" a="1"/>
  <c r="G147" i="7" s="1"/>
  <c r="H147" i="7" a="1"/>
  <c r="H147" i="7" s="1"/>
  <c r="C148" i="7" a="1"/>
  <c r="C148" i="7" s="1"/>
  <c r="D148" i="7" a="1"/>
  <c r="D148" i="7" s="1"/>
  <c r="E148" i="7" a="1"/>
  <c r="E148" i="7" s="1"/>
  <c r="F148" i="7" a="1"/>
  <c r="F148" i="7" s="1"/>
  <c r="G148" i="7" a="1"/>
  <c r="G148" i="7" s="1"/>
  <c r="H148" i="7" a="1"/>
  <c r="H148" i="7" s="1"/>
  <c r="C149" i="7" a="1"/>
  <c r="C149" i="7" s="1"/>
  <c r="D149" i="7" a="1"/>
  <c r="D149" i="7" s="1"/>
  <c r="E149" i="7" a="1"/>
  <c r="E149" i="7" s="1"/>
  <c r="F149" i="7" a="1"/>
  <c r="F149" i="7" s="1"/>
  <c r="G149" i="7" a="1"/>
  <c r="G149" i="7" s="1"/>
  <c r="H149" i="7" a="1"/>
  <c r="H149" i="7" s="1"/>
  <c r="C150" i="7" a="1"/>
  <c r="C150" i="7" s="1"/>
  <c r="D150" i="7" a="1"/>
  <c r="D150" i="7" s="1"/>
  <c r="E150" i="7" a="1"/>
  <c r="E150" i="7" s="1"/>
  <c r="F150" i="7" a="1"/>
  <c r="F150" i="7" s="1"/>
  <c r="G150" i="7" a="1"/>
  <c r="G150" i="7" s="1"/>
  <c r="H150" i="7" a="1"/>
  <c r="H150" i="7" s="1"/>
  <c r="C151" i="7" a="1"/>
  <c r="C151" i="7" s="1"/>
  <c r="D151" i="7" a="1"/>
  <c r="D151" i="7" s="1"/>
  <c r="E151" i="7" a="1"/>
  <c r="E151" i="7" s="1"/>
  <c r="F151" i="7" a="1"/>
  <c r="F151" i="7" s="1"/>
  <c r="G151" i="7" a="1"/>
  <c r="G151" i="7" s="1"/>
  <c r="H151" i="7" a="1"/>
  <c r="H151" i="7" s="1"/>
  <c r="C152" i="7" a="1"/>
  <c r="C152" i="7" s="1"/>
  <c r="D152" i="7" a="1"/>
  <c r="D152" i="7" s="1"/>
  <c r="E152" i="7" a="1"/>
  <c r="E152" i="7" s="1"/>
  <c r="F152" i="7" a="1"/>
  <c r="F152" i="7" s="1"/>
  <c r="G152" i="7" a="1"/>
  <c r="G152" i="7" s="1"/>
  <c r="H152" i="7" a="1"/>
  <c r="H152" i="7" s="1"/>
  <c r="C153" i="7" a="1"/>
  <c r="C153" i="7" s="1"/>
  <c r="D153" i="7" a="1"/>
  <c r="D153" i="7" s="1"/>
  <c r="E153" i="7" a="1"/>
  <c r="E153" i="7" s="1"/>
  <c r="F153" i="7" a="1"/>
  <c r="F153" i="7" s="1"/>
  <c r="G153" i="7" a="1"/>
  <c r="G153" i="7" s="1"/>
  <c r="H153" i="7" a="1"/>
  <c r="H153" i="7" s="1"/>
  <c r="C154" i="7" a="1"/>
  <c r="C154" i="7" s="1"/>
  <c r="D154" i="7" a="1"/>
  <c r="D154" i="7" s="1"/>
  <c r="E154" i="7" a="1"/>
  <c r="E154" i="7" s="1"/>
  <c r="F154" i="7" a="1"/>
  <c r="F154" i="7" s="1"/>
  <c r="G154" i="7" a="1"/>
  <c r="G154" i="7" s="1"/>
  <c r="H154" i="7" a="1"/>
  <c r="H154" i="7" s="1"/>
  <c r="C155" i="7" a="1"/>
  <c r="C155" i="7" s="1"/>
  <c r="D155" i="7" a="1"/>
  <c r="D155" i="7" s="1"/>
  <c r="E155" i="7" a="1"/>
  <c r="E155" i="7" s="1"/>
  <c r="F155" i="7" a="1"/>
  <c r="F155" i="7" s="1"/>
  <c r="G155" i="7" a="1"/>
  <c r="G155" i="7" s="1"/>
  <c r="H155" i="7" a="1"/>
  <c r="H155" i="7" s="1"/>
  <c r="C156" i="7" a="1"/>
  <c r="C156" i="7" s="1"/>
  <c r="D156" i="7" a="1"/>
  <c r="D156" i="7" s="1"/>
  <c r="E156" i="7" a="1"/>
  <c r="E156" i="7" s="1"/>
  <c r="F156" i="7" a="1"/>
  <c r="F156" i="7" s="1"/>
  <c r="G156" i="7" a="1"/>
  <c r="G156" i="7" s="1"/>
  <c r="H156" i="7" a="1"/>
  <c r="H156" i="7" s="1"/>
  <c r="C157" i="7" a="1"/>
  <c r="C157" i="7" s="1"/>
  <c r="D157" i="7" a="1"/>
  <c r="D157" i="7" s="1"/>
  <c r="E157" i="7" a="1"/>
  <c r="E157" i="7" s="1"/>
  <c r="F157" i="7" a="1"/>
  <c r="F157" i="7" s="1"/>
  <c r="G157" i="7" a="1"/>
  <c r="G157" i="7" s="1"/>
  <c r="H157" i="7" a="1"/>
  <c r="H157" i="7" s="1"/>
  <c r="C158" i="7" a="1"/>
  <c r="C158" i="7" s="1"/>
  <c r="D158" i="7" a="1"/>
  <c r="D158" i="7" s="1"/>
  <c r="E158" i="7" a="1"/>
  <c r="E158" i="7" s="1"/>
  <c r="F158" i="7" a="1"/>
  <c r="F158" i="7" s="1"/>
  <c r="G158" i="7" a="1"/>
  <c r="G158" i="7" s="1"/>
  <c r="H158" i="7" a="1"/>
  <c r="H158" i="7" s="1"/>
  <c r="C159" i="7" a="1"/>
  <c r="C159" i="7" s="1"/>
  <c r="D159" i="7" a="1"/>
  <c r="D159" i="7" s="1"/>
  <c r="E159" i="7" a="1"/>
  <c r="E159" i="7" s="1"/>
  <c r="F159" i="7" a="1"/>
  <c r="F159" i="7" s="1"/>
  <c r="G159" i="7" a="1"/>
  <c r="G159" i="7" s="1"/>
  <c r="H159" i="7" a="1"/>
  <c r="H159" i="7" s="1"/>
  <c r="C160" i="7" a="1"/>
  <c r="C160" i="7" s="1"/>
  <c r="D160" i="7" a="1"/>
  <c r="D160" i="7" s="1"/>
  <c r="E160" i="7" a="1"/>
  <c r="E160" i="7" s="1"/>
  <c r="F160" i="7" a="1"/>
  <c r="F160" i="7" s="1"/>
  <c r="G160" i="7" a="1"/>
  <c r="G160" i="7" s="1"/>
  <c r="H160" i="7" a="1"/>
  <c r="H160" i="7" s="1"/>
  <c r="C161" i="7" a="1"/>
  <c r="C161" i="7" s="1"/>
  <c r="D161" i="7" a="1"/>
  <c r="D161" i="7" s="1"/>
  <c r="E161" i="7" a="1"/>
  <c r="E161" i="7" s="1"/>
  <c r="F161" i="7" a="1"/>
  <c r="F161" i="7" s="1"/>
  <c r="G161" i="7" a="1"/>
  <c r="G161" i="7" s="1"/>
  <c r="H161" i="7" a="1"/>
  <c r="H161" i="7" s="1"/>
  <c r="C162" i="7" a="1"/>
  <c r="C162" i="7" s="1"/>
  <c r="D162" i="7" a="1"/>
  <c r="D162" i="7" s="1"/>
  <c r="E162" i="7" a="1"/>
  <c r="E162" i="7" s="1"/>
  <c r="F162" i="7" a="1"/>
  <c r="F162" i="7" s="1"/>
  <c r="G162" i="7" a="1"/>
  <c r="G162" i="7" s="1"/>
  <c r="H162" i="7" a="1"/>
  <c r="H162" i="7" s="1"/>
  <c r="C163" i="7" a="1"/>
  <c r="C163" i="7" s="1"/>
  <c r="D163" i="7" a="1"/>
  <c r="D163" i="7" s="1"/>
  <c r="E163" i="7" a="1"/>
  <c r="E163" i="7" s="1"/>
  <c r="F163" i="7" a="1"/>
  <c r="F163" i="7" s="1"/>
  <c r="G163" i="7" a="1"/>
  <c r="G163" i="7" s="1"/>
  <c r="H163" i="7" a="1"/>
  <c r="H163" i="7" s="1"/>
  <c r="C164" i="7" a="1"/>
  <c r="C164" i="7" s="1"/>
  <c r="D164" i="7" a="1"/>
  <c r="D164" i="7" s="1"/>
  <c r="E164" i="7" a="1"/>
  <c r="E164" i="7" s="1"/>
  <c r="F164" i="7" a="1"/>
  <c r="F164" i="7" s="1"/>
  <c r="G164" i="7" a="1"/>
  <c r="G164" i="7" s="1"/>
  <c r="H164" i="7" a="1"/>
  <c r="H164" i="7" s="1"/>
  <c r="C165" i="7" a="1"/>
  <c r="C165" i="7" s="1"/>
  <c r="D165" i="7" a="1"/>
  <c r="D165" i="7" s="1"/>
  <c r="E165" i="7" a="1"/>
  <c r="E165" i="7" s="1"/>
  <c r="F165" i="7" a="1"/>
  <c r="F165" i="7" s="1"/>
  <c r="G165" i="7" a="1"/>
  <c r="G165" i="7" s="1"/>
  <c r="H165" i="7" a="1"/>
  <c r="H165" i="7" s="1"/>
  <c r="C166" i="7" a="1"/>
  <c r="C166" i="7" s="1"/>
  <c r="D166" i="7" a="1"/>
  <c r="D166" i="7" s="1"/>
  <c r="E166" i="7" a="1"/>
  <c r="E166" i="7" s="1"/>
  <c r="F166" i="7" a="1"/>
  <c r="F166" i="7" s="1"/>
  <c r="G166" i="7" a="1"/>
  <c r="G166" i="7" s="1"/>
  <c r="H166" i="7" a="1"/>
  <c r="H166" i="7" s="1"/>
  <c r="C167" i="7" a="1"/>
  <c r="C167" i="7" s="1"/>
  <c r="D167" i="7" a="1"/>
  <c r="D167" i="7" s="1"/>
  <c r="E167" i="7" a="1"/>
  <c r="E167" i="7" s="1"/>
  <c r="F167" i="7" a="1"/>
  <c r="F167" i="7" s="1"/>
  <c r="G167" i="7" a="1"/>
  <c r="G167" i="7" s="1"/>
  <c r="H167" i="7" a="1"/>
  <c r="H167" i="7" s="1"/>
  <c r="C168" i="7" a="1"/>
  <c r="C168" i="7" s="1"/>
  <c r="D168" i="7" a="1"/>
  <c r="D168" i="7" s="1"/>
  <c r="E168" i="7" a="1"/>
  <c r="E168" i="7" s="1"/>
  <c r="F168" i="7" a="1"/>
  <c r="F168" i="7" s="1"/>
  <c r="G168" i="7" a="1"/>
  <c r="G168" i="7" s="1"/>
  <c r="H168" i="7" a="1"/>
  <c r="H168" i="7" s="1"/>
  <c r="C169" i="7" a="1"/>
  <c r="C169" i="7" s="1"/>
  <c r="D169" i="7" a="1"/>
  <c r="D169" i="7" s="1"/>
  <c r="E169" i="7" a="1"/>
  <c r="E169" i="7" s="1"/>
  <c r="F169" i="7" a="1"/>
  <c r="F169" i="7" s="1"/>
  <c r="G169" i="7" a="1"/>
  <c r="G169" i="7" s="1"/>
  <c r="H169" i="7" a="1"/>
  <c r="H169" i="7" s="1"/>
  <c r="C170" i="7" a="1"/>
  <c r="C170" i="7" s="1"/>
  <c r="D170" i="7" a="1"/>
  <c r="D170" i="7" s="1"/>
  <c r="E170" i="7" a="1"/>
  <c r="E170" i="7" s="1"/>
  <c r="F170" i="7" a="1"/>
  <c r="F170" i="7" s="1"/>
  <c r="G170" i="7" a="1"/>
  <c r="G170" i="7" s="1"/>
  <c r="H170" i="7" a="1"/>
  <c r="H170" i="7" s="1"/>
  <c r="C171" i="7" a="1"/>
  <c r="C171" i="7" s="1"/>
  <c r="D171" i="7" a="1"/>
  <c r="D171" i="7" s="1"/>
  <c r="E171" i="7" a="1"/>
  <c r="E171" i="7" s="1"/>
  <c r="F171" i="7" a="1"/>
  <c r="F171" i="7" s="1"/>
  <c r="G171" i="7" a="1"/>
  <c r="G171" i="7" s="1"/>
  <c r="H171" i="7" a="1"/>
  <c r="H171" i="7" s="1"/>
  <c r="C172" i="7" a="1"/>
  <c r="C172" i="7" s="1"/>
  <c r="D172" i="7" a="1"/>
  <c r="D172" i="7" s="1"/>
  <c r="E172" i="7" a="1"/>
  <c r="E172" i="7" s="1"/>
  <c r="F172" i="7" a="1"/>
  <c r="F172" i="7" s="1"/>
  <c r="G172" i="7" a="1"/>
  <c r="G172" i="7" s="1"/>
  <c r="H172" i="7" a="1"/>
  <c r="H172" i="7" s="1"/>
  <c r="C173" i="7" a="1"/>
  <c r="C173" i="7" s="1"/>
  <c r="D173" i="7" a="1"/>
  <c r="D173" i="7" s="1"/>
  <c r="E173" i="7" a="1"/>
  <c r="E173" i="7" s="1"/>
  <c r="F173" i="7" a="1"/>
  <c r="F173" i="7" s="1"/>
  <c r="G173" i="7" a="1"/>
  <c r="G173" i="7" s="1"/>
  <c r="H173" i="7" a="1"/>
  <c r="H173" i="7" s="1"/>
  <c r="C174" i="7" a="1"/>
  <c r="C174" i="7" s="1"/>
  <c r="D174" i="7" a="1"/>
  <c r="D174" i="7" s="1"/>
  <c r="E174" i="7" a="1"/>
  <c r="E174" i="7" s="1"/>
  <c r="F174" i="7" a="1"/>
  <c r="F174" i="7" s="1"/>
  <c r="G174" i="7" a="1"/>
  <c r="G174" i="7" s="1"/>
  <c r="H174" i="7" a="1"/>
  <c r="H174" i="7" s="1"/>
  <c r="C175" i="7" a="1"/>
  <c r="C175" i="7" s="1"/>
  <c r="D175" i="7" a="1"/>
  <c r="D175" i="7" s="1"/>
  <c r="E175" i="7" a="1"/>
  <c r="E175" i="7" s="1"/>
  <c r="F175" i="7" a="1"/>
  <c r="F175" i="7" s="1"/>
  <c r="G175" i="7" a="1"/>
  <c r="G175" i="7" s="1"/>
  <c r="H175" i="7" a="1"/>
  <c r="H175" i="7" s="1"/>
  <c r="C176" i="7" a="1"/>
  <c r="C176" i="7" s="1"/>
  <c r="D176" i="7" a="1"/>
  <c r="D176" i="7" s="1"/>
  <c r="E176" i="7" a="1"/>
  <c r="E176" i="7" s="1"/>
  <c r="F176" i="7" a="1"/>
  <c r="F176" i="7" s="1"/>
  <c r="G176" i="7" a="1"/>
  <c r="G176" i="7" s="1"/>
  <c r="H176" i="7" a="1"/>
  <c r="H176" i="7" s="1"/>
  <c r="C177" i="7" a="1"/>
  <c r="C177" i="7" s="1"/>
  <c r="D177" i="7" a="1"/>
  <c r="D177" i="7" s="1"/>
  <c r="E177" i="7" a="1"/>
  <c r="E177" i="7" s="1"/>
  <c r="F177" i="7" a="1"/>
  <c r="F177" i="7" s="1"/>
  <c r="G177" i="7" a="1"/>
  <c r="G177" i="7" s="1"/>
  <c r="H177" i="7" a="1"/>
  <c r="H177" i="7" s="1"/>
  <c r="C178" i="7" a="1"/>
  <c r="C178" i="7" s="1"/>
  <c r="D178" i="7" a="1"/>
  <c r="D178" i="7" s="1"/>
  <c r="E178" i="7" a="1"/>
  <c r="E178" i="7" s="1"/>
  <c r="F178" i="7" a="1"/>
  <c r="F178" i="7" s="1"/>
  <c r="G178" i="7" a="1"/>
  <c r="G178" i="7" s="1"/>
  <c r="H178" i="7" a="1"/>
  <c r="H178" i="7" s="1"/>
  <c r="C179" i="7" a="1"/>
  <c r="C179" i="7" s="1"/>
  <c r="D179" i="7" a="1"/>
  <c r="D179" i="7" s="1"/>
  <c r="E179" i="7" a="1"/>
  <c r="E179" i="7" s="1"/>
  <c r="F179" i="7" a="1"/>
  <c r="F179" i="7" s="1"/>
  <c r="G179" i="7" a="1"/>
  <c r="G179" i="7" s="1"/>
  <c r="H179" i="7" a="1"/>
  <c r="H179" i="7" s="1"/>
  <c r="C180" i="7" a="1"/>
  <c r="C180" i="7" s="1"/>
  <c r="D180" i="7" a="1"/>
  <c r="D180" i="7" s="1"/>
  <c r="E180" i="7" a="1"/>
  <c r="E180" i="7" s="1"/>
  <c r="F180" i="7" a="1"/>
  <c r="F180" i="7" s="1"/>
  <c r="G180" i="7" a="1"/>
  <c r="G180" i="7" s="1"/>
  <c r="H180" i="7" a="1"/>
  <c r="H180" i="7" s="1"/>
  <c r="C181" i="7" a="1"/>
  <c r="C181" i="7" s="1"/>
  <c r="D181" i="7" a="1"/>
  <c r="D181" i="7" s="1"/>
  <c r="E181" i="7" a="1"/>
  <c r="E181" i="7" s="1"/>
  <c r="F181" i="7" a="1"/>
  <c r="F181" i="7" s="1"/>
  <c r="G181" i="7" a="1"/>
  <c r="G181" i="7" s="1"/>
  <c r="H181" i="7" a="1"/>
  <c r="H181" i="7" s="1"/>
  <c r="C182" i="7" a="1"/>
  <c r="C182" i="7" s="1"/>
  <c r="D182" i="7" a="1"/>
  <c r="D182" i="7" s="1"/>
  <c r="E182" i="7" a="1"/>
  <c r="E182" i="7" s="1"/>
  <c r="F182" i="7" a="1"/>
  <c r="F182" i="7" s="1"/>
  <c r="G182" i="7" a="1"/>
  <c r="G182" i="7" s="1"/>
  <c r="H182" i="7" a="1"/>
  <c r="H182" i="7" s="1"/>
  <c r="C183" i="7" a="1"/>
  <c r="C183" i="7" s="1"/>
  <c r="D183" i="7" a="1"/>
  <c r="D183" i="7" s="1"/>
  <c r="E183" i="7" a="1"/>
  <c r="E183" i="7" s="1"/>
  <c r="F183" i="7" a="1"/>
  <c r="F183" i="7" s="1"/>
  <c r="G183" i="7" a="1"/>
  <c r="G183" i="7" s="1"/>
  <c r="H183" i="7" a="1"/>
  <c r="H183" i="7" s="1"/>
  <c r="C184" i="7" a="1"/>
  <c r="C184" i="7" s="1"/>
  <c r="D184" i="7" a="1"/>
  <c r="D184" i="7" s="1"/>
  <c r="E184" i="7" a="1"/>
  <c r="E184" i="7" s="1"/>
  <c r="F184" i="7" a="1"/>
  <c r="F184" i="7" s="1"/>
  <c r="G184" i="7" a="1"/>
  <c r="G184" i="7" s="1"/>
  <c r="H184" i="7" a="1"/>
  <c r="H184" i="7" s="1"/>
  <c r="C185" i="7" a="1"/>
  <c r="C185" i="7" s="1"/>
  <c r="D185" i="7" a="1"/>
  <c r="D185" i="7" s="1"/>
  <c r="E185" i="7" a="1"/>
  <c r="E185" i="7" s="1"/>
  <c r="F185" i="7" a="1"/>
  <c r="F185" i="7" s="1"/>
  <c r="G185" i="7" a="1"/>
  <c r="G185" i="7" s="1"/>
  <c r="H185" i="7" a="1"/>
  <c r="H185" i="7" s="1"/>
  <c r="C186" i="7" a="1"/>
  <c r="C186" i="7" s="1"/>
  <c r="D186" i="7" a="1"/>
  <c r="D186" i="7" s="1"/>
  <c r="E186" i="7" a="1"/>
  <c r="E186" i="7" s="1"/>
  <c r="F186" i="7" a="1"/>
  <c r="F186" i="7" s="1"/>
  <c r="G186" i="7" a="1"/>
  <c r="G186" i="7" s="1"/>
  <c r="H186" i="7" a="1"/>
  <c r="H186" i="7" s="1"/>
  <c r="C187" i="7" a="1"/>
  <c r="C187" i="7" s="1"/>
  <c r="D187" i="7" a="1"/>
  <c r="D187" i="7" s="1"/>
  <c r="E187" i="7" a="1"/>
  <c r="E187" i="7" s="1"/>
  <c r="F187" i="7" a="1"/>
  <c r="F187" i="7" s="1"/>
  <c r="G187" i="7" a="1"/>
  <c r="G187" i="7" s="1"/>
  <c r="H187" i="7" a="1"/>
  <c r="H187" i="7" s="1"/>
  <c r="C188" i="7" a="1"/>
  <c r="C188" i="7" s="1"/>
  <c r="D188" i="7" a="1"/>
  <c r="D188" i="7" s="1"/>
  <c r="E188" i="7" a="1"/>
  <c r="E188" i="7" s="1"/>
  <c r="F188" i="7" a="1"/>
  <c r="F188" i="7" s="1"/>
  <c r="G188" i="7" a="1"/>
  <c r="G188" i="7" s="1"/>
  <c r="H188" i="7" a="1"/>
  <c r="H188" i="7" s="1"/>
  <c r="C189" i="7" a="1"/>
  <c r="C189" i="7" s="1"/>
  <c r="D189" i="7" a="1"/>
  <c r="D189" i="7" s="1"/>
  <c r="E189" i="7" a="1"/>
  <c r="E189" i="7" s="1"/>
  <c r="F189" i="7" a="1"/>
  <c r="F189" i="7" s="1"/>
  <c r="G189" i="7" a="1"/>
  <c r="G189" i="7" s="1"/>
  <c r="H189" i="7" a="1"/>
  <c r="H189" i="7" s="1"/>
  <c r="C190" i="7" a="1"/>
  <c r="C190" i="7" s="1"/>
  <c r="D190" i="7" a="1"/>
  <c r="D190" i="7" s="1"/>
  <c r="E190" i="7" a="1"/>
  <c r="E190" i="7" s="1"/>
  <c r="F190" i="7" a="1"/>
  <c r="F190" i="7" s="1"/>
  <c r="G190" i="7" a="1"/>
  <c r="G190" i="7" s="1"/>
  <c r="H190" i="7" a="1"/>
  <c r="H190" i="7" s="1"/>
  <c r="C191" i="7" a="1"/>
  <c r="C191" i="7" s="1"/>
  <c r="D191" i="7" a="1"/>
  <c r="D191" i="7" s="1"/>
  <c r="E191" i="7" a="1"/>
  <c r="E191" i="7" s="1"/>
  <c r="F191" i="7" a="1"/>
  <c r="F191" i="7" s="1"/>
  <c r="G191" i="7" a="1"/>
  <c r="G191" i="7" s="1"/>
  <c r="AG4" i="8" s="1"/>
  <c r="H191" i="7" a="1"/>
  <c r="H191" i="7" s="1"/>
  <c r="AH4" i="8" s="1"/>
  <c r="C192" i="7" a="1"/>
  <c r="C192" i="7" s="1"/>
  <c r="D192" i="7" a="1"/>
  <c r="D192" i="7" s="1"/>
  <c r="E192" i="7" a="1"/>
  <c r="E192" i="7" s="1"/>
  <c r="F192" i="7" a="1"/>
  <c r="F192" i="7" s="1"/>
  <c r="G192" i="7" a="1"/>
  <c r="G192" i="7" s="1"/>
  <c r="AG5" i="8" s="1"/>
  <c r="H192" i="7" a="1"/>
  <c r="H192" i="7" s="1"/>
  <c r="AH5" i="8" s="1"/>
  <c r="C193" i="7" a="1"/>
  <c r="C193" i="7" s="1"/>
  <c r="D193" i="7" a="1"/>
  <c r="D193" i="7" s="1"/>
  <c r="E193" i="7" a="1"/>
  <c r="E193" i="7" s="1"/>
  <c r="F193" i="7" a="1"/>
  <c r="F193" i="7" s="1"/>
  <c r="G193" i="7" a="1"/>
  <c r="G193" i="7" s="1"/>
  <c r="AG6" i="8" s="1"/>
  <c r="H193" i="7" a="1"/>
  <c r="H193" i="7" s="1"/>
  <c r="AH6" i="8" s="1"/>
  <c r="C194" i="7" a="1"/>
  <c r="C194" i="7" s="1"/>
  <c r="D194" i="7" a="1"/>
  <c r="D194" i="7" s="1"/>
  <c r="E194" i="7" a="1"/>
  <c r="E194" i="7" s="1"/>
  <c r="F194" i="7" a="1"/>
  <c r="F194" i="7" s="1"/>
  <c r="G194" i="7" a="1"/>
  <c r="G194" i="7" s="1"/>
  <c r="AG7" i="8" s="1"/>
  <c r="H194" i="7" a="1"/>
  <c r="H194" i="7" s="1"/>
  <c r="AH7" i="8" s="1"/>
  <c r="C195" i="7" a="1"/>
  <c r="C195" i="7" s="1"/>
  <c r="D195" i="7" a="1"/>
  <c r="D195" i="7" s="1"/>
  <c r="E195" i="7" a="1"/>
  <c r="E195" i="7" s="1"/>
  <c r="F195" i="7" a="1"/>
  <c r="F195" i="7" s="1"/>
  <c r="G195" i="7" a="1"/>
  <c r="G195" i="7" s="1"/>
  <c r="AG8" i="8" s="1"/>
  <c r="H195" i="7" a="1"/>
  <c r="H195" i="7" s="1"/>
  <c r="AH8" i="8" s="1"/>
  <c r="C196" i="7" a="1"/>
  <c r="C196" i="7" s="1"/>
  <c r="D196" i="7" a="1"/>
  <c r="D196" i="7" s="1"/>
  <c r="E196" i="7" a="1"/>
  <c r="E196" i="7" s="1"/>
  <c r="F196" i="7" a="1"/>
  <c r="F196" i="7" s="1"/>
  <c r="G196" i="7" a="1"/>
  <c r="G196" i="7" s="1"/>
  <c r="AG9" i="8" s="1"/>
  <c r="H196" i="7" a="1"/>
  <c r="H196" i="7" s="1"/>
  <c r="AH9" i="8" s="1"/>
  <c r="C197" i="7" a="1"/>
  <c r="C197" i="7" s="1"/>
  <c r="D197" i="7" a="1"/>
  <c r="D197" i="7" s="1"/>
  <c r="E197" i="7" a="1"/>
  <c r="E197" i="7" s="1"/>
  <c r="F197" i="7" a="1"/>
  <c r="F197" i="7" s="1"/>
  <c r="G197" i="7" a="1"/>
  <c r="G197" i="7" s="1"/>
  <c r="AG10" i="8" s="1"/>
  <c r="H197" i="7" a="1"/>
  <c r="H197" i="7" s="1"/>
  <c r="AH10" i="8" s="1"/>
  <c r="C198" i="7" a="1"/>
  <c r="C198" i="7" s="1"/>
  <c r="D198" i="7" a="1"/>
  <c r="D198" i="7" s="1"/>
  <c r="E198" i="7" a="1"/>
  <c r="E198" i="7"/>
  <c r="F198" i="7" a="1"/>
  <c r="F198" i="7" s="1"/>
  <c r="G198" i="7" a="1"/>
  <c r="G198" i="7" s="1"/>
  <c r="AG11" i="8" s="1"/>
  <c r="H198" i="7" a="1"/>
  <c r="H198" i="7" s="1"/>
  <c r="AH11" i="8" s="1"/>
  <c r="C199" i="7" a="1"/>
  <c r="C199" i="7" s="1"/>
  <c r="D199" i="7" a="1"/>
  <c r="D199" i="7" s="1"/>
  <c r="E199" i="7" a="1"/>
  <c r="E199" i="7" s="1"/>
  <c r="F199" i="7" a="1"/>
  <c r="F199" i="7" s="1"/>
  <c r="G199" i="7" a="1"/>
  <c r="G199" i="7" s="1"/>
  <c r="AG12" i="8" s="1"/>
  <c r="H199" i="7" a="1"/>
  <c r="H199" i="7" s="1"/>
  <c r="AH12" i="8" s="1"/>
  <c r="C200" i="7" a="1"/>
  <c r="C200" i="7" s="1"/>
  <c r="D200" i="7" a="1"/>
  <c r="D200" i="7" s="1"/>
  <c r="E200" i="7" a="1"/>
  <c r="E200" i="7" s="1"/>
  <c r="F200" i="7" a="1"/>
  <c r="F200" i="7" s="1"/>
  <c r="G200" i="7" a="1"/>
  <c r="G200" i="7" s="1"/>
  <c r="AG13" i="8" s="1"/>
  <c r="H200" i="7" a="1"/>
  <c r="H200" i="7" s="1"/>
  <c r="AH13" i="8" s="1"/>
  <c r="C201" i="7" a="1"/>
  <c r="C201" i="7" s="1"/>
  <c r="D201" i="7" a="1"/>
  <c r="D201" i="7" s="1"/>
  <c r="E201" i="7" a="1"/>
  <c r="E201" i="7" s="1"/>
  <c r="F201" i="7" a="1"/>
  <c r="F201" i="7" s="1"/>
  <c r="G201" i="7" a="1"/>
  <c r="G201" i="7" s="1"/>
  <c r="AG14" i="8" s="1"/>
  <c r="H201" i="7" a="1"/>
  <c r="H201" i="7" s="1"/>
  <c r="AH14" i="8" s="1"/>
  <c r="C202" i="7" a="1"/>
  <c r="C202" i="7" s="1"/>
  <c r="D202" i="7" a="1"/>
  <c r="D202" i="7" s="1"/>
  <c r="E202" i="7" a="1"/>
  <c r="E202" i="7" s="1"/>
  <c r="F202" i="7" a="1"/>
  <c r="F202" i="7" s="1"/>
  <c r="G202" i="7" a="1"/>
  <c r="G202" i="7" s="1"/>
  <c r="AG15" i="8" s="1"/>
  <c r="H202" i="7" a="1"/>
  <c r="H202" i="7" s="1"/>
  <c r="AH15" i="8" s="1"/>
  <c r="C203" i="7" a="1"/>
  <c r="C203" i="7" s="1"/>
  <c r="D203" i="7" a="1"/>
  <c r="D203" i="7" s="1"/>
  <c r="E203" i="7" a="1"/>
  <c r="E203" i="7" s="1"/>
  <c r="F203" i="7" a="1"/>
  <c r="F203" i="7" s="1"/>
  <c r="G203" i="7" a="1"/>
  <c r="G203" i="7" s="1"/>
  <c r="AG16" i="8" s="1"/>
  <c r="H203" i="7" a="1"/>
  <c r="H203" i="7" s="1"/>
  <c r="AH16" i="8" s="1"/>
  <c r="C204" i="7" a="1"/>
  <c r="C204" i="7" s="1"/>
  <c r="D204" i="7" a="1"/>
  <c r="D204" i="7" s="1"/>
  <c r="E204" i="7" a="1"/>
  <c r="E204" i="7" s="1"/>
  <c r="F204" i="7" a="1"/>
  <c r="F204" i="7" s="1"/>
  <c r="G204" i="7" a="1"/>
  <c r="G204" i="7" s="1"/>
  <c r="AG17" i="8" s="1"/>
  <c r="H204" i="7" a="1"/>
  <c r="H204" i="7" s="1"/>
  <c r="AH17" i="8" s="1"/>
  <c r="C205" i="7" a="1"/>
  <c r="C205" i="7" s="1"/>
  <c r="D205" i="7" a="1"/>
  <c r="D205" i="7" s="1"/>
  <c r="E205" i="7" a="1"/>
  <c r="E205" i="7" s="1"/>
  <c r="F205" i="7" a="1"/>
  <c r="F205" i="7" s="1"/>
  <c r="G205" i="7" a="1"/>
  <c r="G205" i="7" s="1"/>
  <c r="AG18" i="8" s="1"/>
  <c r="H205" i="7" a="1"/>
  <c r="H205" i="7" s="1"/>
  <c r="AH18" i="8" s="1"/>
  <c r="C206" i="7" a="1"/>
  <c r="C206" i="7" s="1"/>
  <c r="D206" i="7" a="1"/>
  <c r="D206" i="7" s="1"/>
  <c r="E206" i="7" a="1"/>
  <c r="E206" i="7" s="1"/>
  <c r="F206" i="7" a="1"/>
  <c r="F206" i="7" s="1"/>
  <c r="G206" i="7" a="1"/>
  <c r="G206" i="7" s="1"/>
  <c r="AG19" i="8" s="1"/>
  <c r="H206" i="7" a="1"/>
  <c r="H206" i="7" s="1"/>
  <c r="AH19" i="8" s="1"/>
  <c r="C207" i="7" a="1"/>
  <c r="C207" i="7" s="1"/>
  <c r="D207" i="7" a="1"/>
  <c r="D207" i="7" s="1"/>
  <c r="E207" i="7" a="1"/>
  <c r="E207" i="7" s="1"/>
  <c r="F207" i="7" a="1"/>
  <c r="F207" i="7" s="1"/>
  <c r="G207" i="7" a="1"/>
  <c r="G207" i="7" s="1"/>
  <c r="AG20" i="8" s="1"/>
  <c r="H207" i="7" a="1"/>
  <c r="H207" i="7" s="1"/>
  <c r="AH20" i="8" s="1"/>
  <c r="C208" i="7" a="1"/>
  <c r="C208" i="7" s="1"/>
  <c r="D208" i="7" a="1"/>
  <c r="D208" i="7" s="1"/>
  <c r="E208" i="7" a="1"/>
  <c r="E208" i="7" s="1"/>
  <c r="F208" i="7" a="1"/>
  <c r="F208" i="7" s="1"/>
  <c r="G208" i="7" a="1"/>
  <c r="G208" i="7" s="1"/>
  <c r="AG21" i="8" s="1"/>
  <c r="H208" i="7" a="1"/>
  <c r="H208" i="7" s="1"/>
  <c r="AH21" i="8" s="1"/>
  <c r="C209" i="7" a="1"/>
  <c r="C209" i="7" s="1"/>
  <c r="D209" i="7" a="1"/>
  <c r="D209" i="7" s="1"/>
  <c r="E209" i="7" a="1"/>
  <c r="E209" i="7" s="1"/>
  <c r="F209" i="7" a="1"/>
  <c r="F209" i="7" s="1"/>
  <c r="G209" i="7" a="1"/>
  <c r="G209" i="7" s="1"/>
  <c r="AG22" i="8" s="1"/>
  <c r="H209" i="7" a="1"/>
  <c r="H209" i="7" s="1"/>
  <c r="AH22" i="8" s="1"/>
  <c r="C210" i="7" a="1"/>
  <c r="C210" i="7" s="1"/>
  <c r="D210" i="7" a="1"/>
  <c r="D210" i="7" s="1"/>
  <c r="E210" i="7" a="1"/>
  <c r="E210" i="7" s="1"/>
  <c r="F210" i="7" a="1"/>
  <c r="F210" i="7" s="1"/>
  <c r="G210" i="7" a="1"/>
  <c r="G210" i="7" s="1"/>
  <c r="AG23" i="8" s="1"/>
  <c r="H210" i="7" a="1"/>
  <c r="H210" i="7" s="1"/>
  <c r="AH23" i="8" s="1"/>
  <c r="C211" i="7" a="1"/>
  <c r="C211" i="7" s="1"/>
  <c r="D211" i="7" a="1"/>
  <c r="D211" i="7" s="1"/>
  <c r="E211" i="7" a="1"/>
  <c r="E211" i="7" s="1"/>
  <c r="F211" i="7" a="1"/>
  <c r="F211" i="7" s="1"/>
  <c r="G211" i="7" a="1"/>
  <c r="G211" i="7" s="1"/>
  <c r="AG24" i="8" s="1"/>
  <c r="H211" i="7" a="1"/>
  <c r="H211" i="7" s="1"/>
  <c r="AH24" i="8" s="1"/>
  <c r="C212" i="7" a="1"/>
  <c r="C212" i="7" s="1"/>
  <c r="D212" i="7" a="1"/>
  <c r="D212" i="7" s="1"/>
  <c r="E212" i="7" a="1"/>
  <c r="E212" i="7" s="1"/>
  <c r="F212" i="7" a="1"/>
  <c r="F212" i="7" s="1"/>
  <c r="G212" i="7" a="1"/>
  <c r="G212" i="7" s="1"/>
  <c r="AG25" i="8" s="1"/>
  <c r="H212" i="7" a="1"/>
  <c r="H212" i="7" s="1"/>
  <c r="AH25" i="8" s="1"/>
  <c r="C213" i="7" a="1"/>
  <c r="C213" i="7" s="1"/>
  <c r="D213" i="7" a="1"/>
  <c r="D213" i="7" s="1"/>
  <c r="E213" i="7" a="1"/>
  <c r="E213" i="7" s="1"/>
  <c r="F213" i="7" a="1"/>
  <c r="F213" i="7" s="1"/>
  <c r="G213" i="7" a="1"/>
  <c r="G213" i="7" s="1"/>
  <c r="AG26" i="8" s="1"/>
  <c r="H213" i="7" a="1"/>
  <c r="H213" i="7" s="1"/>
  <c r="AH26" i="8" s="1"/>
  <c r="C214" i="7" a="1"/>
  <c r="C214" i="7" s="1"/>
  <c r="D214" i="7" a="1"/>
  <c r="D214" i="7" s="1"/>
  <c r="E214" i="7" a="1"/>
  <c r="E214" i="7" s="1"/>
  <c r="F214" i="7" a="1"/>
  <c r="F214" i="7" s="1"/>
  <c r="G214" i="7" a="1"/>
  <c r="G214" i="7" s="1"/>
  <c r="AG27" i="8" s="1"/>
  <c r="H214" i="7" a="1"/>
  <c r="H214" i="7" s="1"/>
  <c r="AH27" i="8" s="1"/>
  <c r="C215" i="7" a="1"/>
  <c r="C215" i="7" s="1"/>
  <c r="D215" i="7" a="1"/>
  <c r="D215" i="7" s="1"/>
  <c r="E215" i="7" a="1"/>
  <c r="E215" i="7" s="1"/>
  <c r="F215" i="7" a="1"/>
  <c r="F215" i="7" s="1"/>
  <c r="G215" i="7" a="1"/>
  <c r="G215" i="7" s="1"/>
  <c r="AG28" i="8" s="1"/>
  <c r="H215" i="7" a="1"/>
  <c r="H215" i="7" s="1"/>
  <c r="AH28" i="8" s="1"/>
  <c r="C216" i="7" a="1"/>
  <c r="C216" i="7" s="1"/>
  <c r="D216" i="7" a="1"/>
  <c r="D216" i="7" s="1"/>
  <c r="E216" i="7" a="1"/>
  <c r="E216" i="7" s="1"/>
  <c r="F216" i="7" a="1"/>
  <c r="F216" i="7" s="1"/>
  <c r="G216" i="7" a="1"/>
  <c r="G216" i="7" s="1"/>
  <c r="H216" i="7" a="1"/>
  <c r="H216" i="7" s="1"/>
  <c r="C217" i="7" a="1"/>
  <c r="C217" i="7" s="1"/>
  <c r="D217" i="7" a="1"/>
  <c r="D217" i="7" s="1"/>
  <c r="E217" i="7" a="1"/>
  <c r="E217" i="7" s="1"/>
  <c r="F217" i="7" a="1"/>
  <c r="F217" i="7" s="1"/>
  <c r="G217" i="7" a="1"/>
  <c r="G217" i="7" s="1"/>
  <c r="H217" i="7" a="1"/>
  <c r="H217" i="7" s="1"/>
  <c r="C218" i="7" a="1"/>
  <c r="C218" i="7" s="1"/>
  <c r="D218" i="7" a="1"/>
  <c r="D218" i="7" s="1"/>
  <c r="E218" i="7" a="1"/>
  <c r="E218" i="7" s="1"/>
  <c r="F218" i="7" a="1"/>
  <c r="F218" i="7" s="1"/>
  <c r="G218" i="7" a="1"/>
  <c r="G218" i="7" s="1"/>
  <c r="H218" i="7" a="1"/>
  <c r="H218" i="7" s="1"/>
  <c r="C219" i="7" a="1"/>
  <c r="C219" i="7" s="1"/>
  <c r="D219" i="7" a="1"/>
  <c r="D219" i="7" s="1"/>
  <c r="E219" i="7" a="1"/>
  <c r="E219" i="7" s="1"/>
  <c r="F219" i="7" a="1"/>
  <c r="F219" i="7" s="1"/>
  <c r="G219" i="7" a="1"/>
  <c r="G219" i="7" s="1"/>
  <c r="H219" i="7" a="1"/>
  <c r="H219" i="7" s="1"/>
  <c r="C220" i="7" a="1"/>
  <c r="C220" i="7" s="1"/>
  <c r="D220" i="7" a="1"/>
  <c r="D220" i="7" s="1"/>
  <c r="E220" i="7" a="1"/>
  <c r="E220" i="7" s="1"/>
  <c r="F220" i="7" a="1"/>
  <c r="F220" i="7" s="1"/>
  <c r="G220" i="7" a="1"/>
  <c r="G220" i="7" s="1"/>
  <c r="H220" i="7" a="1"/>
  <c r="H220" i="7" s="1"/>
  <c r="C221" i="7" a="1"/>
  <c r="C221" i="7" s="1"/>
  <c r="D221" i="7" a="1"/>
  <c r="D221" i="7" s="1"/>
  <c r="E221" i="7" a="1"/>
  <c r="E221" i="7" s="1"/>
  <c r="F221" i="7" a="1"/>
  <c r="F221" i="7" s="1"/>
  <c r="G221" i="7" a="1"/>
  <c r="G221" i="7" s="1"/>
  <c r="H221" i="7" a="1"/>
  <c r="H221" i="7" s="1"/>
  <c r="C222" i="7" a="1"/>
  <c r="C222" i="7" s="1"/>
  <c r="D222" i="7" a="1"/>
  <c r="D222" i="7" s="1"/>
  <c r="E222" i="7" a="1"/>
  <c r="E222" i="7" s="1"/>
  <c r="F222" i="7" a="1"/>
  <c r="F222" i="7" s="1"/>
  <c r="G222" i="7" a="1"/>
  <c r="G222" i="7" s="1"/>
  <c r="H222" i="7" a="1"/>
  <c r="H222" i="7" s="1"/>
  <c r="C223" i="7" a="1"/>
  <c r="C223" i="7" s="1"/>
  <c r="D223" i="7" a="1"/>
  <c r="D223" i="7" s="1"/>
  <c r="E223" i="7" a="1"/>
  <c r="E223" i="7" s="1"/>
  <c r="F223" i="7" a="1"/>
  <c r="F223" i="7" s="1"/>
  <c r="G223" i="7" a="1"/>
  <c r="G223" i="7" s="1"/>
  <c r="H223" i="7" a="1"/>
  <c r="H223" i="7" s="1"/>
  <c r="C224" i="7" a="1"/>
  <c r="C224" i="7" s="1"/>
  <c r="D224" i="7" a="1"/>
  <c r="D224" i="7" s="1"/>
  <c r="E224" i="7" a="1"/>
  <c r="E224" i="7" s="1"/>
  <c r="F224" i="7" a="1"/>
  <c r="F224" i="7" s="1"/>
  <c r="G224" i="7" a="1"/>
  <c r="G224" i="7" s="1"/>
  <c r="AG37" i="8" s="1"/>
  <c r="H224" i="7" a="1"/>
  <c r="H224" i="7" s="1"/>
  <c r="AH37" i="8" s="1"/>
  <c r="C225" i="7" a="1"/>
  <c r="C225" i="7" s="1"/>
  <c r="D225" i="7" a="1"/>
  <c r="D225" i="7" s="1"/>
  <c r="E225" i="7" a="1"/>
  <c r="E225" i="7" s="1"/>
  <c r="F225" i="7" a="1"/>
  <c r="F225" i="7" s="1"/>
  <c r="G225" i="7" a="1"/>
  <c r="G225" i="7" s="1"/>
  <c r="AG38" i="8" s="1"/>
  <c r="H225" i="7" a="1"/>
  <c r="H225" i="7" s="1"/>
  <c r="AH38" i="8" s="1"/>
  <c r="C226" i="7" a="1"/>
  <c r="C226" i="7" s="1"/>
  <c r="D226" i="7" a="1"/>
  <c r="D226" i="7" s="1"/>
  <c r="E226" i="7" a="1"/>
  <c r="E226" i="7" s="1"/>
  <c r="F226" i="7" a="1"/>
  <c r="F226" i="7" s="1"/>
  <c r="G226" i="7" a="1"/>
  <c r="G226" i="7" s="1"/>
  <c r="AG39" i="8" s="1"/>
  <c r="H226" i="7" a="1"/>
  <c r="H226" i="7" s="1"/>
  <c r="AH39" i="8" s="1"/>
  <c r="C227" i="7" a="1"/>
  <c r="C227" i="7" s="1"/>
  <c r="D227" i="7" a="1"/>
  <c r="D227" i="7" s="1"/>
  <c r="E227" i="7" a="1"/>
  <c r="E227" i="7" s="1"/>
  <c r="F227" i="7" a="1"/>
  <c r="F227" i="7" s="1"/>
  <c r="G227" i="7" a="1"/>
  <c r="G227" i="7" s="1"/>
  <c r="AG40" i="8" s="1"/>
  <c r="H227" i="7" a="1"/>
  <c r="H227" i="7" s="1"/>
  <c r="AH40" i="8" s="1"/>
  <c r="C228" i="7" a="1"/>
  <c r="C228" i="7" s="1"/>
  <c r="D228" i="7" a="1"/>
  <c r="D228" i="7" s="1"/>
  <c r="E228" i="7" a="1"/>
  <c r="E228" i="7" s="1"/>
  <c r="F228" i="7" a="1"/>
  <c r="F228" i="7" s="1"/>
  <c r="G228" i="7" a="1"/>
  <c r="G228" i="7" s="1"/>
  <c r="AG41" i="8" s="1"/>
  <c r="H228" i="7" a="1"/>
  <c r="H228" i="7" s="1"/>
  <c r="AH41" i="8" s="1"/>
  <c r="C229" i="7" a="1"/>
  <c r="C229" i="7" s="1"/>
  <c r="D229" i="7" a="1"/>
  <c r="D229" i="7" s="1"/>
  <c r="E229" i="7" a="1"/>
  <c r="E229" i="7" s="1"/>
  <c r="F229" i="7" a="1"/>
  <c r="F229" i="7" s="1"/>
  <c r="G229" i="7" a="1"/>
  <c r="G229" i="7" s="1"/>
  <c r="AG42" i="8" s="1"/>
  <c r="H229" i="7" a="1"/>
  <c r="H229" i="7" s="1"/>
  <c r="AH42" i="8" s="1"/>
  <c r="C230" i="7" a="1"/>
  <c r="C230" i="7" s="1"/>
  <c r="D230" i="7" a="1"/>
  <c r="D230" i="7" s="1"/>
  <c r="E230" i="7" a="1"/>
  <c r="E230" i="7" s="1"/>
  <c r="F230" i="7" a="1"/>
  <c r="F230" i="7" s="1"/>
  <c r="G230" i="7" a="1"/>
  <c r="G230" i="7" s="1"/>
  <c r="AG43" i="8" s="1"/>
  <c r="H230" i="7" a="1"/>
  <c r="H230" i="7" s="1"/>
  <c r="AH43" i="8" s="1"/>
  <c r="C231" i="7" a="1"/>
  <c r="C231" i="7" s="1"/>
  <c r="D231" i="7" a="1"/>
  <c r="D231" i="7" s="1"/>
  <c r="E231" i="7" a="1"/>
  <c r="E231" i="7" s="1"/>
  <c r="F231" i="7" a="1"/>
  <c r="F231" i="7" s="1"/>
  <c r="G231" i="7" a="1"/>
  <c r="G231" i="7" s="1"/>
  <c r="H231" i="7" a="1"/>
  <c r="H231" i="7"/>
  <c r="C232" i="7" a="1"/>
  <c r="C232" i="7" s="1"/>
  <c r="D232" i="7" a="1"/>
  <c r="D232" i="7" s="1"/>
  <c r="E232" i="7" a="1"/>
  <c r="E232" i="7" s="1"/>
  <c r="F232" i="7" a="1"/>
  <c r="F232" i="7" s="1"/>
  <c r="G232" i="7" a="1"/>
  <c r="G232" i="7" s="1"/>
  <c r="H232" i="7" a="1"/>
  <c r="H232" i="7" s="1"/>
  <c r="C233" i="7" a="1"/>
  <c r="C233" i="7" s="1"/>
  <c r="D233" i="7" a="1"/>
  <c r="D233" i="7" s="1"/>
  <c r="E233" i="7" a="1"/>
  <c r="E233" i="7" s="1"/>
  <c r="F233" i="7" a="1"/>
  <c r="F233" i="7" s="1"/>
  <c r="G233" i="7" a="1"/>
  <c r="G233" i="7" s="1"/>
  <c r="H233" i="7" a="1"/>
  <c r="H233" i="7" s="1"/>
  <c r="C234" i="7" a="1"/>
  <c r="C234" i="7" s="1"/>
  <c r="D234" i="7" a="1"/>
  <c r="D234" i="7" s="1"/>
  <c r="E234" i="7" a="1"/>
  <c r="E234" i="7" s="1"/>
  <c r="F234" i="7" a="1"/>
  <c r="F234" i="7" s="1"/>
  <c r="G234" i="7" a="1"/>
  <c r="G234" i="7" s="1"/>
  <c r="H234" i="7" a="1"/>
  <c r="H234" i="7" s="1"/>
  <c r="C235" i="7" a="1"/>
  <c r="C235" i="7" s="1"/>
  <c r="D235" i="7" a="1"/>
  <c r="D235" i="7" s="1"/>
  <c r="E235" i="7" a="1"/>
  <c r="E235" i="7" s="1"/>
  <c r="F235" i="7" a="1"/>
  <c r="F235" i="7" s="1"/>
  <c r="G235" i="7" a="1"/>
  <c r="G235" i="7"/>
  <c r="H235" i="7" a="1"/>
  <c r="H235" i="7" s="1"/>
  <c r="C236" i="7" a="1"/>
  <c r="C236" i="7" s="1"/>
  <c r="D236" i="7" a="1"/>
  <c r="D236" i="7" s="1"/>
  <c r="E236" i="7" a="1"/>
  <c r="E236" i="7" s="1"/>
  <c r="F236" i="7" a="1"/>
  <c r="F236" i="7" s="1"/>
  <c r="G236" i="7" a="1"/>
  <c r="G236" i="7" s="1"/>
  <c r="H236" i="7" a="1"/>
  <c r="H236" i="7"/>
  <c r="C237" i="7" a="1"/>
  <c r="C237" i="7" s="1"/>
  <c r="D237" i="7" a="1"/>
  <c r="D237" i="7" s="1"/>
  <c r="E237" i="7" a="1"/>
  <c r="E237" i="7" s="1"/>
  <c r="F237" i="7" a="1"/>
  <c r="F237" i="7" s="1"/>
  <c r="G237" i="7" a="1"/>
  <c r="G237" i="7" s="1"/>
  <c r="H237" i="7" a="1"/>
  <c r="H237" i="7" s="1"/>
  <c r="C238" i="7" a="1"/>
  <c r="C238" i="7" s="1"/>
  <c r="D238" i="7" a="1"/>
  <c r="D238" i="7" s="1"/>
  <c r="E238" i="7" a="1"/>
  <c r="E238" i="7" s="1"/>
  <c r="F238" i="7" a="1"/>
  <c r="F238" i="7" s="1"/>
  <c r="G238" i="7" a="1"/>
  <c r="G238" i="7" s="1"/>
  <c r="H238" i="7" a="1"/>
  <c r="H238" i="7" s="1"/>
  <c r="C239" i="7" a="1"/>
  <c r="C239" i="7" s="1"/>
  <c r="D239" i="7" a="1"/>
  <c r="D239" i="7" s="1"/>
  <c r="E239" i="7" a="1"/>
  <c r="E239" i="7" s="1"/>
  <c r="F239" i="7" a="1"/>
  <c r="F239" i="7" s="1"/>
  <c r="G239" i="7" a="1"/>
  <c r="G239" i="7" s="1"/>
  <c r="H239" i="7" a="1"/>
  <c r="H239" i="7" s="1"/>
  <c r="C240" i="7" a="1"/>
  <c r="C240" i="7" s="1"/>
  <c r="D240" i="7" a="1"/>
  <c r="D240" i="7" s="1"/>
  <c r="E240" i="7" a="1"/>
  <c r="E240" i="7" s="1"/>
  <c r="F240" i="7" a="1"/>
  <c r="F240" i="7" s="1"/>
  <c r="G240" i="7" a="1"/>
  <c r="G240" i="7" s="1"/>
  <c r="H240" i="7" a="1"/>
  <c r="H240" i="7" s="1"/>
  <c r="C241" i="7" a="1"/>
  <c r="C241" i="7" s="1"/>
  <c r="D241" i="7" a="1"/>
  <c r="D241" i="7" s="1"/>
  <c r="E241" i="7" a="1"/>
  <c r="E241" i="7" s="1"/>
  <c r="F241" i="7" a="1"/>
  <c r="F241" i="7" s="1"/>
  <c r="G241" i="7" a="1"/>
  <c r="G241" i="7" s="1"/>
  <c r="H241" i="7" a="1"/>
  <c r="H241" i="7" s="1"/>
  <c r="C242" i="7" a="1"/>
  <c r="C242" i="7" s="1"/>
  <c r="D242" i="7" a="1"/>
  <c r="D242" i="7" s="1"/>
  <c r="E242" i="7" a="1"/>
  <c r="E242" i="7" s="1"/>
  <c r="F242" i="7" a="1"/>
  <c r="F242" i="7" s="1"/>
  <c r="G242" i="7" a="1"/>
  <c r="G242" i="7" s="1"/>
  <c r="H242" i="7" a="1"/>
  <c r="H242" i="7" s="1"/>
  <c r="C243" i="7" a="1"/>
  <c r="C243" i="7" s="1"/>
  <c r="D243" i="7" a="1"/>
  <c r="D243" i="7" s="1"/>
  <c r="E243" i="7" a="1"/>
  <c r="E243" i="7" s="1"/>
  <c r="F243" i="7" a="1"/>
  <c r="F243" i="7" s="1"/>
  <c r="G243" i="7" a="1"/>
  <c r="G243" i="7" s="1"/>
  <c r="H243" i="7" a="1"/>
  <c r="H243" i="7" s="1"/>
  <c r="C244" i="7" a="1"/>
  <c r="C244" i="7" s="1"/>
  <c r="D244" i="7" a="1"/>
  <c r="D244" i="7" s="1"/>
  <c r="E244" i="7" a="1"/>
  <c r="E244" i="7" s="1"/>
  <c r="F244" i="7" a="1"/>
  <c r="F244" i="7" s="1"/>
  <c r="G244" i="7" a="1"/>
  <c r="G244" i="7" s="1"/>
  <c r="H244" i="7" a="1"/>
  <c r="H244" i="7" s="1"/>
  <c r="C245" i="7" a="1"/>
  <c r="C245" i="7" s="1"/>
  <c r="D245" i="7" a="1"/>
  <c r="D245" i="7" s="1"/>
  <c r="E245" i="7" a="1"/>
  <c r="E245" i="7" s="1"/>
  <c r="F245" i="7" a="1"/>
  <c r="F245" i="7" s="1"/>
  <c r="G245" i="7" a="1"/>
  <c r="G245" i="7" s="1"/>
  <c r="H245" i="7" a="1"/>
  <c r="H245" i="7" s="1"/>
  <c r="C246" i="7" a="1"/>
  <c r="C246" i="7" s="1"/>
  <c r="D246" i="7" a="1"/>
  <c r="D246" i="7" s="1"/>
  <c r="E246" i="7" a="1"/>
  <c r="E246" i="7" s="1"/>
  <c r="F246" i="7" a="1"/>
  <c r="F246" i="7" s="1"/>
  <c r="G246" i="7" a="1"/>
  <c r="G246" i="7" s="1"/>
  <c r="H246" i="7" a="1"/>
  <c r="H246" i="7" s="1"/>
  <c r="C247" i="7" a="1"/>
  <c r="C247" i="7" s="1"/>
  <c r="D247" i="7" a="1"/>
  <c r="D247" i="7" s="1"/>
  <c r="E247" i="7" a="1"/>
  <c r="E247" i="7" s="1"/>
  <c r="F247" i="7" a="1"/>
  <c r="F247" i="7" s="1"/>
  <c r="G247" i="7" a="1"/>
  <c r="G247" i="7" s="1"/>
  <c r="H247" i="7" a="1"/>
  <c r="H247" i="7" s="1"/>
  <c r="C248" i="7" a="1"/>
  <c r="C248" i="7" s="1"/>
  <c r="D248" i="7" a="1"/>
  <c r="D248" i="7" s="1"/>
  <c r="E248" i="7" a="1"/>
  <c r="E248" i="7" s="1"/>
  <c r="F248" i="7" a="1"/>
  <c r="F248" i="7" s="1"/>
  <c r="G248" i="7" a="1"/>
  <c r="G248" i="7" s="1"/>
  <c r="H248" i="7" a="1"/>
  <c r="H248" i="7" s="1"/>
  <c r="C249" i="7" a="1"/>
  <c r="C249" i="7" s="1"/>
  <c r="D249" i="7" a="1"/>
  <c r="D249" i="7" s="1"/>
  <c r="E249" i="7" a="1"/>
  <c r="E249" i="7" s="1"/>
  <c r="F249" i="7" a="1"/>
  <c r="F249" i="7" s="1"/>
  <c r="G249" i="7" a="1"/>
  <c r="G249" i="7" s="1"/>
  <c r="H249" i="7" a="1"/>
  <c r="H249" i="7" s="1"/>
  <c r="C250" i="7" a="1"/>
  <c r="C250" i="7" s="1"/>
  <c r="D250" i="7" a="1"/>
  <c r="D250" i="7" s="1"/>
  <c r="E250" i="7" a="1"/>
  <c r="E250" i="7" s="1"/>
  <c r="F250" i="7" a="1"/>
  <c r="F250" i="7" s="1"/>
  <c r="G250" i="7" a="1"/>
  <c r="G250" i="7" s="1"/>
  <c r="H250" i="7" a="1"/>
  <c r="H250" i="7" s="1"/>
  <c r="C251" i="7" a="1"/>
  <c r="C251" i="7" s="1"/>
  <c r="D251" i="7" a="1"/>
  <c r="D251" i="7" s="1"/>
  <c r="E251" i="7" a="1"/>
  <c r="E251" i="7" s="1"/>
  <c r="F251" i="7" a="1"/>
  <c r="F251" i="7" s="1"/>
  <c r="G251" i="7" a="1"/>
  <c r="G251" i="7" s="1"/>
  <c r="H251" i="7" a="1"/>
  <c r="H251" i="7" s="1"/>
  <c r="C252" i="7" a="1"/>
  <c r="C252" i="7" s="1"/>
  <c r="D252" i="7" a="1"/>
  <c r="D252" i="7" s="1"/>
  <c r="E252" i="7" a="1"/>
  <c r="E252" i="7" s="1"/>
  <c r="F252" i="7" a="1"/>
  <c r="F252" i="7" s="1"/>
  <c r="G252" i="7" a="1"/>
  <c r="G252" i="7" s="1"/>
  <c r="H252" i="7" a="1"/>
  <c r="H252" i="7" s="1"/>
  <c r="C253" i="7" a="1"/>
  <c r="C253" i="7" s="1"/>
  <c r="D253" i="7" a="1"/>
  <c r="D253" i="7" s="1"/>
  <c r="E253" i="7" a="1"/>
  <c r="E253" i="7" s="1"/>
  <c r="F253" i="7" a="1"/>
  <c r="F253" i="7" s="1"/>
  <c r="G253" i="7" a="1"/>
  <c r="G253" i="7" s="1"/>
  <c r="H253" i="7" a="1"/>
  <c r="H253" i="7" s="1"/>
  <c r="C254" i="7" a="1"/>
  <c r="C254" i="7" s="1"/>
  <c r="D254" i="7" a="1"/>
  <c r="D254" i="7" s="1"/>
  <c r="E254" i="7" a="1"/>
  <c r="E254" i="7" s="1"/>
  <c r="F254" i="7" a="1"/>
  <c r="F254" i="7" s="1"/>
  <c r="G254" i="7" a="1"/>
  <c r="G254" i="7" s="1"/>
  <c r="H254" i="7" a="1"/>
  <c r="H254" i="7" s="1"/>
  <c r="C255" i="7" a="1"/>
  <c r="C255" i="7" s="1"/>
  <c r="D255" i="7" a="1"/>
  <c r="D255" i="7" s="1"/>
  <c r="E255" i="7" a="1"/>
  <c r="E255" i="7" s="1"/>
  <c r="F255" i="7" a="1"/>
  <c r="F255" i="7" s="1"/>
  <c r="G255" i="7" a="1"/>
  <c r="G255" i="7" s="1"/>
  <c r="H255" i="7" a="1"/>
  <c r="H255" i="7" s="1"/>
  <c r="C256" i="7" a="1"/>
  <c r="C256" i="7" s="1"/>
  <c r="D256" i="7" a="1"/>
  <c r="D256" i="7" s="1"/>
  <c r="E256" i="7" a="1"/>
  <c r="E256" i="7" s="1"/>
  <c r="F256" i="7" a="1"/>
  <c r="F256" i="7" s="1"/>
  <c r="G256" i="7" a="1"/>
  <c r="G256" i="7" s="1"/>
  <c r="H256" i="7" a="1"/>
  <c r="H256" i="7" s="1"/>
  <c r="C257" i="7" a="1"/>
  <c r="C257" i="7" s="1"/>
  <c r="D257" i="7" a="1"/>
  <c r="D257" i="7" s="1"/>
  <c r="E257" i="7" a="1"/>
  <c r="E257" i="7" s="1"/>
  <c r="F257" i="7" a="1"/>
  <c r="F257" i="7" s="1"/>
  <c r="G257" i="7" a="1"/>
  <c r="G257" i="7" s="1"/>
  <c r="H257" i="7" a="1"/>
  <c r="H257" i="7" s="1"/>
  <c r="C258" i="7" a="1"/>
  <c r="C258" i="7" s="1"/>
  <c r="D258" i="7" a="1"/>
  <c r="D258" i="7" s="1"/>
  <c r="E258" i="7" a="1"/>
  <c r="E258" i="7" s="1"/>
  <c r="F258" i="7" a="1"/>
  <c r="F258" i="7" s="1"/>
  <c r="G258" i="7" a="1"/>
  <c r="G258" i="7" s="1"/>
  <c r="H258" i="7" a="1"/>
  <c r="H258" i="7" s="1"/>
  <c r="C259" i="7" a="1"/>
  <c r="C259" i="7" s="1"/>
  <c r="D259" i="7" a="1"/>
  <c r="D259" i="7" s="1"/>
  <c r="E259" i="7" a="1"/>
  <c r="E259" i="7" s="1"/>
  <c r="F259" i="7" a="1"/>
  <c r="F259" i="7" s="1"/>
  <c r="G259" i="7" a="1"/>
  <c r="G259" i="7" s="1"/>
  <c r="H259" i="7" a="1"/>
  <c r="H259" i="7" s="1"/>
  <c r="C260" i="7" a="1"/>
  <c r="C260" i="7" s="1"/>
  <c r="D260" i="7" a="1"/>
  <c r="D260" i="7" s="1"/>
  <c r="E260" i="7" a="1"/>
  <c r="E260" i="7" s="1"/>
  <c r="F260" i="7" a="1"/>
  <c r="F260" i="7" s="1"/>
  <c r="G260" i="7" a="1"/>
  <c r="G260" i="7" s="1"/>
  <c r="H260" i="7" a="1"/>
  <c r="H260" i="7" s="1"/>
  <c r="C261" i="7" a="1"/>
  <c r="C261" i="7" s="1"/>
  <c r="D261" i="7" a="1"/>
  <c r="D261" i="7" s="1"/>
  <c r="E261" i="7" a="1"/>
  <c r="E261" i="7" s="1"/>
  <c r="F261" i="7" a="1"/>
  <c r="F261" i="7" s="1"/>
  <c r="G261" i="7" a="1"/>
  <c r="G261" i="7" s="1"/>
  <c r="H261" i="7" a="1"/>
  <c r="H261" i="7" s="1"/>
  <c r="C262" i="7" a="1"/>
  <c r="C262" i="7" s="1"/>
  <c r="D262" i="7" a="1"/>
  <c r="D262" i="7" s="1"/>
  <c r="E262" i="7" a="1"/>
  <c r="E262" i="7" s="1"/>
  <c r="F262" i="7" a="1"/>
  <c r="F262" i="7" s="1"/>
  <c r="G262" i="7" a="1"/>
  <c r="G262" i="7" s="1"/>
  <c r="H262" i="7" a="1"/>
  <c r="H262" i="7" s="1"/>
  <c r="C263" i="7" a="1"/>
  <c r="C263" i="7" s="1"/>
  <c r="D263" i="7" a="1"/>
  <c r="D263" i="7" s="1"/>
  <c r="E263" i="7" a="1"/>
  <c r="E263" i="7" s="1"/>
  <c r="F263" i="7" a="1"/>
  <c r="F263" i="7" s="1"/>
  <c r="G263" i="7" a="1"/>
  <c r="G263" i="7" s="1"/>
  <c r="H263" i="7" a="1"/>
  <c r="H263" i="7" s="1"/>
  <c r="C264" i="7" a="1"/>
  <c r="C264" i="7" s="1"/>
  <c r="D264" i="7" a="1"/>
  <c r="D264" i="7" s="1"/>
  <c r="E264" i="7" a="1"/>
  <c r="E264" i="7" s="1"/>
  <c r="F264" i="7" a="1"/>
  <c r="F264" i="7" s="1"/>
  <c r="G264" i="7" a="1"/>
  <c r="G264" i="7" s="1"/>
  <c r="H264" i="7" a="1"/>
  <c r="H264" i="7" s="1"/>
  <c r="C265" i="7" a="1"/>
  <c r="C265" i="7" s="1"/>
  <c r="D265" i="7" a="1"/>
  <c r="D265" i="7" s="1"/>
  <c r="E265" i="7" a="1"/>
  <c r="E265" i="7" s="1"/>
  <c r="F265" i="7" a="1"/>
  <c r="F265" i="7" s="1"/>
  <c r="G265" i="7" a="1"/>
  <c r="G265" i="7" s="1"/>
  <c r="H265" i="7" a="1"/>
  <c r="H265" i="7" s="1"/>
  <c r="C266" i="7" a="1"/>
  <c r="C266" i="7" s="1"/>
  <c r="D266" i="7" a="1"/>
  <c r="D266" i="7" s="1"/>
  <c r="E266" i="7" a="1"/>
  <c r="E266" i="7" s="1"/>
  <c r="F266" i="7" a="1"/>
  <c r="F266" i="7" s="1"/>
  <c r="G266" i="7" a="1"/>
  <c r="G266" i="7" s="1"/>
  <c r="H266" i="7" a="1"/>
  <c r="H266" i="7" s="1"/>
  <c r="C267" i="7" a="1"/>
  <c r="C267" i="7" s="1"/>
  <c r="D267" i="7" a="1"/>
  <c r="D267" i="7" s="1"/>
  <c r="E267" i="7" a="1"/>
  <c r="E267" i="7" s="1"/>
  <c r="F267" i="7" a="1"/>
  <c r="F267" i="7" s="1"/>
  <c r="G267" i="7" a="1"/>
  <c r="G267" i="7" s="1"/>
  <c r="H267" i="7" a="1"/>
  <c r="H267" i="7" s="1"/>
  <c r="C268" i="7" a="1"/>
  <c r="C268" i="7" s="1"/>
  <c r="D268" i="7" a="1"/>
  <c r="D268" i="7" s="1"/>
  <c r="E268" i="7" a="1"/>
  <c r="E268" i="7" s="1"/>
  <c r="F268" i="7" a="1"/>
  <c r="F268" i="7" s="1"/>
  <c r="G268" i="7" a="1"/>
  <c r="G268" i="7" s="1"/>
  <c r="H268" i="7" a="1"/>
  <c r="H268" i="7" s="1"/>
  <c r="C269" i="7" a="1"/>
  <c r="C269" i="7" s="1"/>
  <c r="D269" i="7" a="1"/>
  <c r="D269" i="7" s="1"/>
  <c r="E269" i="7" a="1"/>
  <c r="E269" i="7" s="1"/>
  <c r="F269" i="7" a="1"/>
  <c r="F269" i="7" s="1"/>
  <c r="G269" i="7" a="1"/>
  <c r="G269" i="7" s="1"/>
  <c r="H269" i="7" a="1"/>
  <c r="H269" i="7" s="1"/>
  <c r="C270" i="7" a="1"/>
  <c r="C270" i="7" s="1"/>
  <c r="D270" i="7" a="1"/>
  <c r="D270" i="7" s="1"/>
  <c r="E270" i="7" a="1"/>
  <c r="E270" i="7" s="1"/>
  <c r="F270" i="7" a="1"/>
  <c r="F270" i="7" s="1"/>
  <c r="G270" i="7" a="1"/>
  <c r="G270" i="7" s="1"/>
  <c r="H270" i="7" a="1"/>
  <c r="H270" i="7" s="1"/>
  <c r="C271" i="7" a="1"/>
  <c r="C271" i="7" s="1"/>
  <c r="D271" i="7" a="1"/>
  <c r="D271" i="7" s="1"/>
  <c r="E271" i="7" a="1"/>
  <c r="E271" i="7" s="1"/>
  <c r="F271" i="7" a="1"/>
  <c r="F271" i="7" s="1"/>
  <c r="G271" i="7" a="1"/>
  <c r="G271" i="7" s="1"/>
  <c r="H271" i="7" a="1"/>
  <c r="H271" i="7" s="1"/>
  <c r="C272" i="7" a="1"/>
  <c r="C272" i="7" s="1"/>
  <c r="D272" i="7" a="1"/>
  <c r="D272" i="7" s="1"/>
  <c r="E272" i="7" a="1"/>
  <c r="E272" i="7" s="1"/>
  <c r="F272" i="7" a="1"/>
  <c r="F272" i="7" s="1"/>
  <c r="G272" i="7" a="1"/>
  <c r="G272" i="7" s="1"/>
  <c r="H272" i="7" a="1"/>
  <c r="H272" i="7" s="1"/>
  <c r="C273" i="7" a="1"/>
  <c r="C273" i="7" s="1"/>
  <c r="D273" i="7" a="1"/>
  <c r="D273" i="7" s="1"/>
  <c r="E273" i="7" a="1"/>
  <c r="E273" i="7" s="1"/>
  <c r="F273" i="7" a="1"/>
  <c r="F273" i="7" s="1"/>
  <c r="G273" i="7" a="1"/>
  <c r="G273" i="7" s="1"/>
  <c r="H273" i="7" a="1"/>
  <c r="H273" i="7" s="1"/>
  <c r="C274" i="7" a="1"/>
  <c r="C274" i="7" s="1"/>
  <c r="D274" i="7" a="1"/>
  <c r="D274" i="7" s="1"/>
  <c r="E274" i="7" a="1"/>
  <c r="E274" i="7" s="1"/>
  <c r="F274" i="7" a="1"/>
  <c r="F274" i="7" s="1"/>
  <c r="G274" i="7" a="1"/>
  <c r="G274" i="7" s="1"/>
  <c r="H274" i="7" a="1"/>
  <c r="H274" i="7" s="1"/>
  <c r="C275" i="7" a="1"/>
  <c r="C275" i="7" s="1"/>
  <c r="D275" i="7" a="1"/>
  <c r="D275" i="7" s="1"/>
  <c r="E275" i="7" a="1"/>
  <c r="E275" i="7" s="1"/>
  <c r="F275" i="7" a="1"/>
  <c r="F275" i="7" s="1"/>
  <c r="G275" i="7" a="1"/>
  <c r="G275" i="7" s="1"/>
  <c r="H275" i="7" a="1"/>
  <c r="H275" i="7" s="1"/>
  <c r="C276" i="7" a="1"/>
  <c r="C276" i="7" s="1"/>
  <c r="D276" i="7" a="1"/>
  <c r="D276" i="7" s="1"/>
  <c r="E276" i="7" a="1"/>
  <c r="E276" i="7" s="1"/>
  <c r="F276" i="7" a="1"/>
  <c r="F276" i="7" s="1"/>
  <c r="G276" i="7" a="1"/>
  <c r="G276" i="7" s="1"/>
  <c r="H276" i="7" a="1"/>
  <c r="H276" i="7" s="1"/>
  <c r="C277" i="7" a="1"/>
  <c r="C277" i="7" s="1"/>
  <c r="D277" i="7" a="1"/>
  <c r="D277" i="7" s="1"/>
  <c r="E277" i="7" a="1"/>
  <c r="E277" i="7" s="1"/>
  <c r="F277" i="7" a="1"/>
  <c r="F277" i="7" s="1"/>
  <c r="G277" i="7" a="1"/>
  <c r="G277" i="7" s="1"/>
  <c r="H277" i="7" a="1"/>
  <c r="H277" i="7" s="1"/>
  <c r="C278" i="7" a="1"/>
  <c r="C278" i="7" s="1"/>
  <c r="D278" i="7" a="1"/>
  <c r="D278" i="7" s="1"/>
  <c r="E278" i="7" a="1"/>
  <c r="E278" i="7" s="1"/>
  <c r="F278" i="7" a="1"/>
  <c r="F278" i="7" s="1"/>
  <c r="G278" i="7" a="1"/>
  <c r="G278" i="7" s="1"/>
  <c r="H278" i="7" a="1"/>
  <c r="H278" i="7" s="1"/>
  <c r="C279" i="7" a="1"/>
  <c r="C279" i="7" s="1"/>
  <c r="D279" i="7" a="1"/>
  <c r="D279" i="7" s="1"/>
  <c r="E279" i="7" a="1"/>
  <c r="E279" i="7" s="1"/>
  <c r="F279" i="7" a="1"/>
  <c r="F279" i="7" s="1"/>
  <c r="G279" i="7" a="1"/>
  <c r="G279" i="7" s="1"/>
  <c r="H279" i="7" a="1"/>
  <c r="H279" i="7" s="1"/>
  <c r="C280" i="7" a="1"/>
  <c r="C280" i="7" s="1"/>
  <c r="D280" i="7" a="1"/>
  <c r="D280" i="7" s="1"/>
  <c r="E280" i="7" a="1"/>
  <c r="E280" i="7" s="1"/>
  <c r="F280" i="7" a="1"/>
  <c r="F280" i="7" s="1"/>
  <c r="G280" i="7" a="1"/>
  <c r="G280" i="7" s="1"/>
  <c r="H280" i="7" a="1"/>
  <c r="H280" i="7" s="1"/>
  <c r="C281" i="7" a="1"/>
  <c r="C281" i="7" s="1"/>
  <c r="D281" i="7" a="1"/>
  <c r="D281" i="7" s="1"/>
  <c r="E281" i="7" a="1"/>
  <c r="E281" i="7" s="1"/>
  <c r="F281" i="7" a="1"/>
  <c r="F281" i="7" s="1"/>
  <c r="G281" i="7" a="1"/>
  <c r="G281" i="7" s="1"/>
  <c r="H281" i="7" a="1"/>
  <c r="H281" i="7" s="1"/>
  <c r="C282" i="7" a="1"/>
  <c r="C282" i="7" s="1"/>
  <c r="D282" i="7" a="1"/>
  <c r="D282" i="7" s="1"/>
  <c r="E282" i="7" a="1"/>
  <c r="E282" i="7" s="1"/>
  <c r="F282" i="7" a="1"/>
  <c r="F282" i="7" s="1"/>
  <c r="G282" i="7" a="1"/>
  <c r="G282" i="7" s="1"/>
  <c r="H282" i="7" a="1"/>
  <c r="H282" i="7" s="1"/>
  <c r="C283" i="7" a="1"/>
  <c r="C283" i="7" s="1"/>
  <c r="D283" i="7" a="1"/>
  <c r="D283" i="7" s="1"/>
  <c r="E283" i="7" a="1"/>
  <c r="E283" i="7" s="1"/>
  <c r="F283" i="7" a="1"/>
  <c r="F283" i="7" s="1"/>
  <c r="G283" i="7" a="1"/>
  <c r="G283" i="7" s="1"/>
  <c r="H283" i="7" a="1"/>
  <c r="H283" i="7" s="1"/>
  <c r="C284" i="7" a="1"/>
  <c r="C284" i="7" s="1"/>
  <c r="D284" i="7" a="1"/>
  <c r="D284" i="7" s="1"/>
  <c r="E284" i="7" a="1"/>
  <c r="E284" i="7" s="1"/>
  <c r="F284" i="7" a="1"/>
  <c r="F284" i="7" s="1"/>
  <c r="G284" i="7" a="1"/>
  <c r="G284" i="7" s="1"/>
  <c r="H284" i="7" a="1"/>
  <c r="H284" i="7" s="1"/>
  <c r="C285" i="7" a="1"/>
  <c r="C285" i="7" s="1"/>
  <c r="D285" i="7" a="1"/>
  <c r="D285" i="7" s="1"/>
  <c r="E285" i="7" a="1"/>
  <c r="E285" i="7" s="1"/>
  <c r="F285" i="7" a="1"/>
  <c r="F285" i="7" s="1"/>
  <c r="G285" i="7" a="1"/>
  <c r="G285" i="7" s="1"/>
  <c r="H285" i="7" a="1"/>
  <c r="H285" i="7" s="1"/>
  <c r="C286" i="7" a="1"/>
  <c r="C286" i="7" s="1"/>
  <c r="D286" i="7" a="1"/>
  <c r="D286" i="7" s="1"/>
  <c r="E286" i="7" a="1"/>
  <c r="E286" i="7" s="1"/>
  <c r="F286" i="7" a="1"/>
  <c r="F286" i="7" s="1"/>
  <c r="G286" i="7" a="1"/>
  <c r="G286" i="7" s="1"/>
  <c r="H286" i="7" a="1"/>
  <c r="H286" i="7" s="1"/>
  <c r="C287" i="7" a="1"/>
  <c r="C287" i="7" s="1"/>
  <c r="D287" i="7" a="1"/>
  <c r="D287" i="7" s="1"/>
  <c r="E287" i="7" a="1"/>
  <c r="E287" i="7" s="1"/>
  <c r="F287" i="7" a="1"/>
  <c r="F287" i="7" s="1"/>
  <c r="G287" i="7" a="1"/>
  <c r="G287" i="7" s="1"/>
  <c r="H287" i="7" a="1"/>
  <c r="H287" i="7" s="1"/>
  <c r="C288" i="7" a="1"/>
  <c r="C288" i="7" s="1"/>
  <c r="D288" i="7" a="1"/>
  <c r="D288" i="7" s="1"/>
  <c r="E288" i="7" a="1"/>
  <c r="E288" i="7" s="1"/>
  <c r="F288" i="7" a="1"/>
  <c r="F288" i="7" s="1"/>
  <c r="G288" i="7" a="1"/>
  <c r="G288" i="7" s="1"/>
  <c r="H288" i="7" a="1"/>
  <c r="H288" i="7" s="1"/>
  <c r="C289" i="7" a="1"/>
  <c r="C289" i="7" s="1"/>
  <c r="D289" i="7" a="1"/>
  <c r="D289" i="7" s="1"/>
  <c r="E289" i="7" a="1"/>
  <c r="E289" i="7" s="1"/>
  <c r="F289" i="7" a="1"/>
  <c r="F289" i="7" s="1"/>
  <c r="G289" i="7" a="1"/>
  <c r="G289" i="7" s="1"/>
  <c r="H289" i="7" a="1"/>
  <c r="H289" i="7" s="1"/>
  <c r="C290" i="7" a="1"/>
  <c r="C290" i="7" s="1"/>
  <c r="D290" i="7" a="1"/>
  <c r="D290" i="7" s="1"/>
  <c r="E290" i="7" a="1"/>
  <c r="E290" i="7" s="1"/>
  <c r="F290" i="7" a="1"/>
  <c r="F290" i="7" s="1"/>
  <c r="G290" i="7" a="1"/>
  <c r="G290" i="7" s="1"/>
  <c r="H290" i="7" a="1"/>
  <c r="H290" i="7" s="1"/>
  <c r="C291" i="7" a="1"/>
  <c r="C291" i="7" s="1"/>
  <c r="D291" i="7" a="1"/>
  <c r="D291" i="7" s="1"/>
  <c r="E291" i="7" a="1"/>
  <c r="E291" i="7" s="1"/>
  <c r="F291" i="7" a="1"/>
  <c r="F291" i="7" s="1"/>
  <c r="G291" i="7" a="1"/>
  <c r="G291" i="7" s="1"/>
  <c r="H291" i="7" a="1"/>
  <c r="H291" i="7" s="1"/>
  <c r="C292" i="7" a="1"/>
  <c r="C292" i="7" s="1"/>
  <c r="D292" i="7" a="1"/>
  <c r="D292" i="7" s="1"/>
  <c r="E292" i="7" a="1"/>
  <c r="E292" i="7" s="1"/>
  <c r="F292" i="7" a="1"/>
  <c r="F292" i="7" s="1"/>
  <c r="G292" i="7" a="1"/>
  <c r="G292" i="7" s="1"/>
  <c r="H292" i="7" a="1"/>
  <c r="H292" i="7" s="1"/>
  <c r="C293" i="7" a="1"/>
  <c r="C293" i="7" s="1"/>
  <c r="D293" i="7" a="1"/>
  <c r="D293" i="7" s="1"/>
  <c r="E293" i="7" a="1"/>
  <c r="E293" i="7" s="1"/>
  <c r="F293" i="7" a="1"/>
  <c r="F293" i="7" s="1"/>
  <c r="G293" i="7" a="1"/>
  <c r="G293" i="7" s="1"/>
  <c r="H293" i="7" a="1"/>
  <c r="H293" i="7" s="1"/>
  <c r="C294" i="7" a="1"/>
  <c r="C294" i="7" s="1"/>
  <c r="D294" i="7" a="1"/>
  <c r="D294" i="7" s="1"/>
  <c r="E294" i="7" a="1"/>
  <c r="E294" i="7" s="1"/>
  <c r="F294" i="7" a="1"/>
  <c r="F294" i="7" s="1"/>
  <c r="G294" i="7" a="1"/>
  <c r="G294" i="7" s="1"/>
  <c r="H294" i="7" a="1"/>
  <c r="H294" i="7" s="1"/>
  <c r="C295" i="7" a="1"/>
  <c r="C295" i="7" s="1"/>
  <c r="D295" i="7" a="1"/>
  <c r="D295" i="7" s="1"/>
  <c r="E295" i="7" a="1"/>
  <c r="E295" i="7" s="1"/>
  <c r="F295" i="7" a="1"/>
  <c r="F295" i="7" s="1"/>
  <c r="G295" i="7" a="1"/>
  <c r="G295" i="7" s="1"/>
  <c r="H295" i="7" a="1"/>
  <c r="H295" i="7" s="1"/>
  <c r="C296" i="7" a="1"/>
  <c r="C296" i="7" s="1"/>
  <c r="D296" i="7" a="1"/>
  <c r="D296" i="7" s="1"/>
  <c r="E296" i="7" a="1"/>
  <c r="E296" i="7" s="1"/>
  <c r="F296" i="7" a="1"/>
  <c r="F296" i="7" s="1"/>
  <c r="G296" i="7" a="1"/>
  <c r="G296" i="7" s="1"/>
  <c r="H296" i="7" a="1"/>
  <c r="H296" i="7" s="1"/>
  <c r="C297" i="7" a="1"/>
  <c r="C297" i="7" s="1"/>
  <c r="D297" i="7" a="1"/>
  <c r="D297" i="7" s="1"/>
  <c r="E297" i="7" a="1"/>
  <c r="E297" i="7" s="1"/>
  <c r="F297" i="7" a="1"/>
  <c r="F297" i="7" s="1"/>
  <c r="G297" i="7" a="1"/>
  <c r="G297" i="7" s="1"/>
  <c r="H297" i="7" a="1"/>
  <c r="H297" i="7" s="1"/>
  <c r="C298" i="7" a="1"/>
  <c r="C298" i="7" s="1"/>
  <c r="D298" i="7" a="1"/>
  <c r="D298" i="7" s="1"/>
  <c r="E298" i="7" a="1"/>
  <c r="E298" i="7" s="1"/>
  <c r="F298" i="7" a="1"/>
  <c r="F298" i="7" s="1"/>
  <c r="G298" i="7" a="1"/>
  <c r="G298" i="7" s="1"/>
  <c r="H298" i="7" a="1"/>
  <c r="H298" i="7" s="1"/>
  <c r="C299" i="7" a="1"/>
  <c r="C299" i="7" s="1"/>
  <c r="D299" i="7" a="1"/>
  <c r="D299" i="7" s="1"/>
  <c r="E299" i="7" a="1"/>
  <c r="E299" i="7" s="1"/>
  <c r="F299" i="7" a="1"/>
  <c r="F299" i="7" s="1"/>
  <c r="G299" i="7" a="1"/>
  <c r="G299" i="7" s="1"/>
  <c r="H299" i="7" a="1"/>
  <c r="H299" i="7" s="1"/>
  <c r="C300" i="7" a="1"/>
  <c r="C300" i="7" s="1"/>
  <c r="D300" i="7" a="1"/>
  <c r="D300" i="7" s="1"/>
  <c r="E300" i="7" a="1"/>
  <c r="E300" i="7" s="1"/>
  <c r="F300" i="7" a="1"/>
  <c r="F300" i="7" s="1"/>
  <c r="G300" i="7" a="1"/>
  <c r="G300" i="7" s="1"/>
  <c r="H300" i="7" a="1"/>
  <c r="H300" i="7" s="1"/>
  <c r="C301" i="7" a="1"/>
  <c r="C301" i="7" s="1"/>
  <c r="D301" i="7" a="1"/>
  <c r="D301" i="7" s="1"/>
  <c r="E301" i="7" a="1"/>
  <c r="E301" i="7" s="1"/>
  <c r="F301" i="7" a="1"/>
  <c r="F301" i="7" s="1"/>
  <c r="G301" i="7" a="1"/>
  <c r="G301" i="7" s="1"/>
  <c r="H301" i="7" a="1"/>
  <c r="H301" i="7" s="1"/>
  <c r="C302" i="7" a="1"/>
  <c r="C302" i="7" s="1"/>
  <c r="D302" i="7" a="1"/>
  <c r="D302" i="7" s="1"/>
  <c r="E302" i="7" a="1"/>
  <c r="E302" i="7" s="1"/>
  <c r="F302" i="7" a="1"/>
  <c r="F302" i="7" s="1"/>
  <c r="G302" i="7" a="1"/>
  <c r="G302" i="7" s="1"/>
  <c r="H302" i="7" a="1"/>
  <c r="H302" i="7" s="1"/>
  <c r="C303" i="7" a="1"/>
  <c r="C303" i="7" s="1"/>
  <c r="D303" i="7" a="1"/>
  <c r="D303" i="7" s="1"/>
  <c r="E303" i="7" a="1"/>
  <c r="E303" i="7" s="1"/>
  <c r="F303" i="7" a="1"/>
  <c r="F303" i="7" s="1"/>
  <c r="G303" i="7" a="1"/>
  <c r="G303" i="7" s="1"/>
  <c r="H303" i="7" a="1"/>
  <c r="H303" i="7" s="1"/>
  <c r="C304" i="7" a="1"/>
  <c r="C304" i="7" s="1"/>
  <c r="D304" i="7" a="1"/>
  <c r="D304" i="7" s="1"/>
  <c r="E304" i="7" a="1"/>
  <c r="E304" i="7" s="1"/>
  <c r="F304" i="7" a="1"/>
  <c r="F304" i="7" s="1"/>
  <c r="G304" i="7" a="1"/>
  <c r="G304" i="7" s="1"/>
  <c r="H304" i="7" a="1"/>
  <c r="H304" i="7" s="1"/>
  <c r="C305" i="7" a="1"/>
  <c r="C305" i="7" s="1"/>
  <c r="D305" i="7" a="1"/>
  <c r="D305" i="7" s="1"/>
  <c r="E305" i="7" a="1"/>
  <c r="E305" i="7" s="1"/>
  <c r="F305" i="7" a="1"/>
  <c r="F305" i="7" s="1"/>
  <c r="G305" i="7" a="1"/>
  <c r="G305" i="7" s="1"/>
  <c r="H305" i="7" a="1"/>
  <c r="H305" i="7" s="1"/>
  <c r="C306" i="7" a="1"/>
  <c r="C306" i="7" s="1"/>
  <c r="D306" i="7" a="1"/>
  <c r="D306" i="7" s="1"/>
  <c r="E306" i="7" a="1"/>
  <c r="E306" i="7" s="1"/>
  <c r="F306" i="7" a="1"/>
  <c r="F306" i="7" s="1"/>
  <c r="G306" i="7" a="1"/>
  <c r="G306" i="7" s="1"/>
  <c r="H306" i="7" a="1"/>
  <c r="H306" i="7" s="1"/>
  <c r="C307" i="7" a="1"/>
  <c r="C307" i="7" s="1"/>
  <c r="D307" i="7" a="1"/>
  <c r="D307" i="7" s="1"/>
  <c r="E307" i="7" a="1"/>
  <c r="E307" i="7" s="1"/>
  <c r="F307" i="7" a="1"/>
  <c r="F307" i="7" s="1"/>
  <c r="G307" i="7" a="1"/>
  <c r="G307" i="7" s="1"/>
  <c r="H307" i="7" a="1"/>
  <c r="H307" i="7" s="1"/>
  <c r="C308" i="7" a="1"/>
  <c r="C308" i="7" s="1"/>
  <c r="D308" i="7" a="1"/>
  <c r="D308" i="7" s="1"/>
  <c r="E308" i="7" a="1"/>
  <c r="E308" i="7" s="1"/>
  <c r="F308" i="7" a="1"/>
  <c r="F308" i="7" s="1"/>
  <c r="G308" i="7" a="1"/>
  <c r="G308" i="7" s="1"/>
  <c r="H308" i="7" a="1"/>
  <c r="H308" i="7" s="1"/>
  <c r="C309" i="7" a="1"/>
  <c r="C309" i="7" s="1"/>
  <c r="D309" i="7" a="1"/>
  <c r="D309" i="7" s="1"/>
  <c r="E309" i="7" a="1"/>
  <c r="E309" i="7" s="1"/>
  <c r="F309" i="7" a="1"/>
  <c r="F309" i="7" s="1"/>
  <c r="G309" i="7" a="1"/>
  <c r="G309" i="7" s="1"/>
  <c r="H309" i="7" a="1"/>
  <c r="H309" i="7" s="1"/>
  <c r="C310" i="7" a="1"/>
  <c r="C310" i="7" s="1"/>
  <c r="D310" i="7" a="1"/>
  <c r="D310" i="7" s="1"/>
  <c r="E310" i="7" a="1"/>
  <c r="E310" i="7" s="1"/>
  <c r="F310" i="7" a="1"/>
  <c r="F310" i="7" s="1"/>
  <c r="G310" i="7" a="1"/>
  <c r="G310" i="7" s="1"/>
  <c r="H310" i="7" a="1"/>
  <c r="H310" i="7" s="1"/>
  <c r="C311" i="7" a="1"/>
  <c r="C311" i="7" s="1"/>
  <c r="D311" i="7" a="1"/>
  <c r="D311" i="7" s="1"/>
  <c r="E311" i="7" a="1"/>
  <c r="E311" i="7" s="1"/>
  <c r="F311" i="7" a="1"/>
  <c r="F311" i="7" s="1"/>
  <c r="G311" i="7" a="1"/>
  <c r="G311" i="7" s="1"/>
  <c r="H311" i="7" a="1"/>
  <c r="H311" i="7" s="1"/>
  <c r="C312" i="7" a="1"/>
  <c r="C312" i="7" s="1"/>
  <c r="D312" i="7" a="1"/>
  <c r="D312" i="7" s="1"/>
  <c r="E312" i="7" a="1"/>
  <c r="E312" i="7" s="1"/>
  <c r="F312" i="7" a="1"/>
  <c r="F312" i="7" s="1"/>
  <c r="G312" i="7" a="1"/>
  <c r="G312" i="7" s="1"/>
  <c r="H312" i="7" a="1"/>
  <c r="H312" i="7" s="1"/>
  <c r="C313" i="7" a="1"/>
  <c r="C313" i="7" s="1"/>
  <c r="D313" i="7" a="1"/>
  <c r="D313" i="7" s="1"/>
  <c r="E313" i="7" a="1"/>
  <c r="E313" i="7" s="1"/>
  <c r="F313" i="7" a="1"/>
  <c r="F313" i="7" s="1"/>
  <c r="G313" i="7" a="1"/>
  <c r="G313" i="7" s="1"/>
  <c r="H313" i="7" a="1"/>
  <c r="H313" i="7" s="1"/>
  <c r="C314" i="7" a="1"/>
  <c r="C314" i="7" s="1"/>
  <c r="D314" i="7" a="1"/>
  <c r="D314" i="7" s="1"/>
  <c r="E314" i="7" a="1"/>
  <c r="E314" i="7" s="1"/>
  <c r="F314" i="7" a="1"/>
  <c r="F314" i="7" s="1"/>
  <c r="G314" i="7" a="1"/>
  <c r="G314" i="7" s="1"/>
  <c r="H314" i="7" a="1"/>
  <c r="H314" i="7" s="1"/>
  <c r="C315" i="7" a="1"/>
  <c r="C315" i="7" s="1"/>
  <c r="D315" i="7" a="1"/>
  <c r="D315" i="7" s="1"/>
  <c r="E315" i="7" a="1"/>
  <c r="E315" i="7" s="1"/>
  <c r="F315" i="7" a="1"/>
  <c r="F315" i="7" s="1"/>
  <c r="G315" i="7" a="1"/>
  <c r="G315" i="7" s="1"/>
  <c r="H315" i="7" a="1"/>
  <c r="H315" i="7" s="1"/>
  <c r="C316" i="7" a="1"/>
  <c r="C316" i="7" s="1"/>
  <c r="D316" i="7" a="1"/>
  <c r="D316" i="7" s="1"/>
  <c r="E316" i="7" a="1"/>
  <c r="E316" i="7" s="1"/>
  <c r="F316" i="7" a="1"/>
  <c r="F316" i="7" s="1"/>
  <c r="G316" i="7" a="1"/>
  <c r="G316" i="7" s="1"/>
  <c r="H316" i="7" a="1"/>
  <c r="H316" i="7" s="1"/>
  <c r="C317" i="7" a="1"/>
  <c r="C317" i="7" s="1"/>
  <c r="D317" i="7" a="1"/>
  <c r="D317" i="7" s="1"/>
  <c r="E317" i="7" a="1"/>
  <c r="E317" i="7" s="1"/>
  <c r="F317" i="7" a="1"/>
  <c r="F317" i="7" s="1"/>
  <c r="G317" i="7" a="1"/>
  <c r="G317" i="7" s="1"/>
  <c r="H317" i="7" a="1"/>
  <c r="H317" i="7" s="1"/>
  <c r="C318" i="7" a="1"/>
  <c r="C318" i="7" s="1"/>
  <c r="D318" i="7" a="1"/>
  <c r="D318" i="7" s="1"/>
  <c r="E318" i="7" a="1"/>
  <c r="E318" i="7" s="1"/>
  <c r="F318" i="7" a="1"/>
  <c r="F318" i="7" s="1"/>
  <c r="G318" i="7" a="1"/>
  <c r="G318" i="7" s="1"/>
  <c r="H318" i="7" a="1"/>
  <c r="H318" i="7" s="1"/>
  <c r="C319" i="7" a="1"/>
  <c r="C319" i="7" s="1"/>
  <c r="D319" i="7" a="1"/>
  <c r="D319" i="7" s="1"/>
  <c r="E319" i="7" a="1"/>
  <c r="E319" i="7" s="1"/>
  <c r="F319" i="7" a="1"/>
  <c r="F319" i="7" s="1"/>
  <c r="G319" i="7" a="1"/>
  <c r="G319" i="7" s="1"/>
  <c r="H319" i="7" a="1"/>
  <c r="H319" i="7" s="1"/>
  <c r="C320" i="7" a="1"/>
  <c r="C320" i="7" s="1"/>
  <c r="D320" i="7" a="1"/>
  <c r="D320" i="7" s="1"/>
  <c r="E320" i="7" a="1"/>
  <c r="E320" i="7" s="1"/>
  <c r="F320" i="7" a="1"/>
  <c r="F320" i="7" s="1"/>
  <c r="G320" i="7" a="1"/>
  <c r="G320" i="7" s="1"/>
  <c r="H320" i="7" a="1"/>
  <c r="H320" i="7" s="1"/>
  <c r="C321" i="7" a="1"/>
  <c r="C321" i="7" s="1"/>
  <c r="D321" i="7" a="1"/>
  <c r="D321" i="7" s="1"/>
  <c r="E321" i="7" a="1"/>
  <c r="E321" i="7" s="1"/>
  <c r="F321" i="7" a="1"/>
  <c r="F321" i="7" s="1"/>
  <c r="G321" i="7" a="1"/>
  <c r="G321" i="7" s="1"/>
  <c r="H321" i="7" a="1"/>
  <c r="H321" i="7" s="1"/>
  <c r="C322" i="7" a="1"/>
  <c r="C322" i="7" s="1"/>
  <c r="D322" i="7" a="1"/>
  <c r="D322" i="7" s="1"/>
  <c r="E322" i="7" a="1"/>
  <c r="E322" i="7" s="1"/>
  <c r="F322" i="7" a="1"/>
  <c r="F322" i="7" s="1"/>
  <c r="G322" i="7" a="1"/>
  <c r="G322" i="7" s="1"/>
  <c r="H322" i="7" a="1"/>
  <c r="H322" i="7" s="1"/>
  <c r="C323" i="7" a="1"/>
  <c r="C323" i="7" s="1"/>
  <c r="D323" i="7" a="1"/>
  <c r="D323" i="7" s="1"/>
  <c r="E323" i="7" a="1"/>
  <c r="E323" i="7" s="1"/>
  <c r="F323" i="7" a="1"/>
  <c r="F323" i="7" s="1"/>
  <c r="G323" i="7" a="1"/>
  <c r="G323" i="7" s="1"/>
  <c r="H323" i="7" a="1"/>
  <c r="H323" i="7" s="1"/>
  <c r="C324" i="7" a="1"/>
  <c r="C324" i="7" s="1"/>
  <c r="D324" i="7" a="1"/>
  <c r="D324" i="7" s="1"/>
  <c r="E324" i="7" a="1"/>
  <c r="E324" i="7" s="1"/>
  <c r="F324" i="7" a="1"/>
  <c r="F324" i="7" s="1"/>
  <c r="G324" i="7" a="1"/>
  <c r="G324" i="7" s="1"/>
  <c r="H324" i="7" a="1"/>
  <c r="H324" i="7" s="1"/>
  <c r="C325" i="7" a="1"/>
  <c r="C325" i="7" s="1"/>
  <c r="D325" i="7" a="1"/>
  <c r="D325" i="7" s="1"/>
  <c r="E325" i="7" a="1"/>
  <c r="E325" i="7" s="1"/>
  <c r="F325" i="7" a="1"/>
  <c r="F325" i="7" s="1"/>
  <c r="G325" i="7" a="1"/>
  <c r="G325" i="7" s="1"/>
  <c r="H325" i="7" a="1"/>
  <c r="H325" i="7" s="1"/>
  <c r="C326" i="7" a="1"/>
  <c r="C326" i="7" s="1"/>
  <c r="D326" i="7" a="1"/>
  <c r="D326" i="7" s="1"/>
  <c r="E326" i="7" a="1"/>
  <c r="E326" i="7" s="1"/>
  <c r="F326" i="7" a="1"/>
  <c r="F326" i="7" s="1"/>
  <c r="G326" i="7" a="1"/>
  <c r="G326" i="7" s="1"/>
  <c r="H326" i="7" a="1"/>
  <c r="H326" i="7" s="1"/>
  <c r="C327" i="7" a="1"/>
  <c r="C327" i="7" s="1"/>
  <c r="D327" i="7" a="1"/>
  <c r="D327" i="7" s="1"/>
  <c r="E327" i="7" a="1"/>
  <c r="E327" i="7" s="1"/>
  <c r="F327" i="7" a="1"/>
  <c r="F327" i="7" s="1"/>
  <c r="G327" i="7" a="1"/>
  <c r="G327" i="7" s="1"/>
  <c r="H327" i="7" a="1"/>
  <c r="H327" i="7" s="1"/>
  <c r="C328" i="7" a="1"/>
  <c r="C328" i="7" s="1"/>
  <c r="D328" i="7" a="1"/>
  <c r="D328" i="7" s="1"/>
  <c r="E328" i="7" a="1"/>
  <c r="E328" i="7" s="1"/>
  <c r="F328" i="7" a="1"/>
  <c r="F328" i="7" s="1"/>
  <c r="G328" i="7" a="1"/>
  <c r="G328" i="7" s="1"/>
  <c r="H328" i="7" a="1"/>
  <c r="H328" i="7" s="1"/>
  <c r="C329" i="7" a="1"/>
  <c r="C329" i="7" s="1"/>
  <c r="D329" i="7" a="1"/>
  <c r="D329" i="7" s="1"/>
  <c r="E329" i="7" a="1"/>
  <c r="E329" i="7" s="1"/>
  <c r="F329" i="7" a="1"/>
  <c r="F329" i="7" s="1"/>
  <c r="G329" i="7" a="1"/>
  <c r="G329" i="7" s="1"/>
  <c r="H329" i="7" a="1"/>
  <c r="H329" i="7" s="1"/>
  <c r="C330" i="7" a="1"/>
  <c r="C330" i="7" s="1"/>
  <c r="D330" i="7" a="1"/>
  <c r="D330" i="7" s="1"/>
  <c r="E330" i="7" a="1"/>
  <c r="E330" i="7" s="1"/>
  <c r="F330" i="7" a="1"/>
  <c r="F330" i="7" s="1"/>
  <c r="G330" i="7" a="1"/>
  <c r="G330" i="7" s="1"/>
  <c r="H330" i="7" a="1"/>
  <c r="H330" i="7" s="1"/>
  <c r="C331" i="7" a="1"/>
  <c r="C331" i="7" s="1"/>
  <c r="D331" i="7" a="1"/>
  <c r="D331" i="7" s="1"/>
  <c r="E331" i="7" a="1"/>
  <c r="E331" i="7" s="1"/>
  <c r="F331" i="7" a="1"/>
  <c r="F331" i="7" s="1"/>
  <c r="G331" i="7" a="1"/>
  <c r="G331" i="7" s="1"/>
  <c r="H331" i="7" a="1"/>
  <c r="H331" i="7" s="1"/>
  <c r="C332" i="7" a="1"/>
  <c r="C332" i="7" s="1"/>
  <c r="D332" i="7" a="1"/>
  <c r="D332" i="7" s="1"/>
  <c r="E332" i="7" a="1"/>
  <c r="E332" i="7" s="1"/>
  <c r="F332" i="7" a="1"/>
  <c r="F332" i="7" s="1"/>
  <c r="G332" i="7" a="1"/>
  <c r="G332" i="7" s="1"/>
  <c r="H332" i="7" a="1"/>
  <c r="H332" i="7" s="1"/>
  <c r="C333" i="7" a="1"/>
  <c r="C333" i="7" s="1"/>
  <c r="D333" i="7" a="1"/>
  <c r="D333" i="7" s="1"/>
  <c r="E333" i="7" a="1"/>
  <c r="E333" i="7" s="1"/>
  <c r="F333" i="7" a="1"/>
  <c r="F333" i="7" s="1"/>
  <c r="G333" i="7" a="1"/>
  <c r="G333" i="7" s="1"/>
  <c r="H333" i="7" a="1"/>
  <c r="H333" i="7" s="1"/>
  <c r="C334" i="7" a="1"/>
  <c r="C334" i="7" s="1"/>
  <c r="D334" i="7" a="1"/>
  <c r="D334" i="7" s="1"/>
  <c r="E334" i="7" a="1"/>
  <c r="E334" i="7" s="1"/>
  <c r="F334" i="7" a="1"/>
  <c r="F334" i="7" s="1"/>
  <c r="G334" i="7" a="1"/>
  <c r="G334" i="7" s="1"/>
  <c r="H334" i="7" a="1"/>
  <c r="H334" i="7" s="1"/>
  <c r="C335" i="7" a="1"/>
  <c r="C335" i="7" s="1"/>
  <c r="D335" i="7" a="1"/>
  <c r="D335" i="7" s="1"/>
  <c r="E335" i="7" a="1"/>
  <c r="E335" i="7" s="1"/>
  <c r="F335" i="7" a="1"/>
  <c r="F335" i="7" s="1"/>
  <c r="G335" i="7" a="1"/>
  <c r="G335" i="7" s="1"/>
  <c r="H335" i="7" a="1"/>
  <c r="H335" i="7" s="1"/>
  <c r="C336" i="7" a="1"/>
  <c r="C336" i="7" s="1"/>
  <c r="D336" i="7" a="1"/>
  <c r="D336" i="7" s="1"/>
  <c r="E336" i="7" a="1"/>
  <c r="E336" i="7" s="1"/>
  <c r="F336" i="7" a="1"/>
  <c r="F336" i="7" s="1"/>
  <c r="G336" i="7" a="1"/>
  <c r="G336" i="7" s="1"/>
  <c r="H336" i="7" a="1"/>
  <c r="H336" i="7" s="1"/>
  <c r="C337" i="7" a="1"/>
  <c r="C337" i="7" s="1"/>
  <c r="D337" i="7" a="1"/>
  <c r="D337" i="7" s="1"/>
  <c r="E337" i="7" a="1"/>
  <c r="E337" i="7" s="1"/>
  <c r="F337" i="7" a="1"/>
  <c r="F337" i="7" s="1"/>
  <c r="G337" i="7" a="1"/>
  <c r="G337" i="7" s="1"/>
  <c r="H337" i="7" a="1"/>
  <c r="H337" i="7" s="1"/>
  <c r="C338" i="7" a="1"/>
  <c r="C338" i="7" s="1"/>
  <c r="D338" i="7" a="1"/>
  <c r="D338" i="7" s="1"/>
  <c r="E338" i="7" a="1"/>
  <c r="E338" i="7" s="1"/>
  <c r="F338" i="7" a="1"/>
  <c r="F338" i="7" s="1"/>
  <c r="G338" i="7" a="1"/>
  <c r="G338" i="7" s="1"/>
  <c r="H338" i="7" a="1"/>
  <c r="H338" i="7" s="1"/>
  <c r="C339" i="7" a="1"/>
  <c r="C339" i="7" s="1"/>
  <c r="D339" i="7" a="1"/>
  <c r="D339" i="7" s="1"/>
  <c r="E339" i="7" a="1"/>
  <c r="E339" i="7" s="1"/>
  <c r="F339" i="7" a="1"/>
  <c r="F339" i="7" s="1"/>
  <c r="G339" i="7" a="1"/>
  <c r="G339" i="7" s="1"/>
  <c r="H339" i="7" a="1"/>
  <c r="H339" i="7" s="1"/>
  <c r="C340" i="7" a="1"/>
  <c r="C340" i="7" s="1"/>
  <c r="D340" i="7" a="1"/>
  <c r="D340" i="7" s="1"/>
  <c r="E340" i="7" a="1"/>
  <c r="E340" i="7" s="1"/>
  <c r="F340" i="7" a="1"/>
  <c r="F340" i="7" s="1"/>
  <c r="G340" i="7" a="1"/>
  <c r="G340" i="7" s="1"/>
  <c r="H340" i="7" a="1"/>
  <c r="H340" i="7" s="1"/>
  <c r="C341" i="7" a="1"/>
  <c r="C341" i="7" s="1"/>
  <c r="D341" i="7" a="1"/>
  <c r="D341" i="7" s="1"/>
  <c r="E341" i="7" a="1"/>
  <c r="E341" i="7" s="1"/>
  <c r="F341" i="7" a="1"/>
  <c r="F341" i="7" s="1"/>
  <c r="G341" i="7" a="1"/>
  <c r="G341" i="7" s="1"/>
  <c r="H341" i="7" a="1"/>
  <c r="H341" i="7" s="1"/>
  <c r="C342" i="7" a="1"/>
  <c r="C342" i="7" s="1"/>
  <c r="D342" i="7" a="1"/>
  <c r="D342" i="7" s="1"/>
  <c r="E342" i="7" a="1"/>
  <c r="E342" i="7" s="1"/>
  <c r="F342" i="7" a="1"/>
  <c r="F342" i="7" s="1"/>
  <c r="G342" i="7" a="1"/>
  <c r="G342" i="7" s="1"/>
  <c r="H342" i="7" a="1"/>
  <c r="H342" i="7" s="1"/>
  <c r="C343" i="7" a="1"/>
  <c r="C343" i="7" s="1"/>
  <c r="D343" i="7" a="1"/>
  <c r="D343" i="7" s="1"/>
  <c r="E343" i="7" a="1"/>
  <c r="E343" i="7" s="1"/>
  <c r="F343" i="7" a="1"/>
  <c r="F343" i="7" s="1"/>
  <c r="G343" i="7" a="1"/>
  <c r="G343" i="7" s="1"/>
  <c r="H343" i="7" a="1"/>
  <c r="H343" i="7" s="1"/>
  <c r="C344" i="7" a="1"/>
  <c r="C344" i="7" s="1"/>
  <c r="D344" i="7" a="1"/>
  <c r="D344" i="7" s="1"/>
  <c r="E344" i="7" a="1"/>
  <c r="E344" i="7" s="1"/>
  <c r="F344" i="7" a="1"/>
  <c r="F344" i="7" s="1"/>
  <c r="G344" i="7" a="1"/>
  <c r="G344" i="7" s="1"/>
  <c r="H344" i="7" a="1"/>
  <c r="H344" i="7" s="1"/>
  <c r="C345" i="7" a="1"/>
  <c r="C345" i="7" s="1"/>
  <c r="D345" i="7" a="1"/>
  <c r="D345" i="7" s="1"/>
  <c r="E345" i="7" a="1"/>
  <c r="E345" i="7" s="1"/>
  <c r="F345" i="7" a="1"/>
  <c r="F345" i="7" s="1"/>
  <c r="G345" i="7" a="1"/>
  <c r="G345" i="7" s="1"/>
  <c r="H345" i="7" a="1"/>
  <c r="H345" i="7" s="1"/>
  <c r="C346" i="7" a="1"/>
  <c r="C346" i="7" s="1"/>
  <c r="D346" i="7" a="1"/>
  <c r="D346" i="7" s="1"/>
  <c r="E346" i="7" a="1"/>
  <c r="E346" i="7" s="1"/>
  <c r="F346" i="7" a="1"/>
  <c r="F346" i="7" s="1"/>
  <c r="G346" i="7" a="1"/>
  <c r="G346" i="7" s="1"/>
  <c r="H346" i="7" a="1"/>
  <c r="H346" i="7" s="1"/>
  <c r="C347" i="7" a="1"/>
  <c r="C347" i="7" s="1"/>
  <c r="D347" i="7" a="1"/>
  <c r="D347" i="7" s="1"/>
  <c r="E347" i="7" a="1"/>
  <c r="E347" i="7" s="1"/>
  <c r="F347" i="7" a="1"/>
  <c r="F347" i="7" s="1"/>
  <c r="G347" i="7" a="1"/>
  <c r="G347" i="7" s="1"/>
  <c r="H347" i="7" a="1"/>
  <c r="H347" i="7" s="1"/>
  <c r="C348" i="7" a="1"/>
  <c r="C348" i="7" s="1"/>
  <c r="D348" i="7" a="1"/>
  <c r="D348" i="7" s="1"/>
  <c r="E348" i="7" a="1"/>
  <c r="E348" i="7" s="1"/>
  <c r="F348" i="7" a="1"/>
  <c r="F348" i="7" s="1"/>
  <c r="G348" i="7" a="1"/>
  <c r="G348" i="7" s="1"/>
  <c r="H348" i="7" a="1"/>
  <c r="H348" i="7" s="1"/>
  <c r="C349" i="7" a="1"/>
  <c r="C349" i="7" s="1"/>
  <c r="D349" i="7" a="1"/>
  <c r="D349" i="7" s="1"/>
  <c r="E349" i="7" a="1"/>
  <c r="E349" i="7" s="1"/>
  <c r="F349" i="7" a="1"/>
  <c r="F349" i="7" s="1"/>
  <c r="G349" i="7" a="1"/>
  <c r="G349" i="7" s="1"/>
  <c r="H349" i="7" a="1"/>
  <c r="H349" i="7" s="1"/>
  <c r="C350" i="7" a="1"/>
  <c r="C350" i="7" s="1"/>
  <c r="D350" i="7" a="1"/>
  <c r="D350" i="7" s="1"/>
  <c r="E350" i="7" a="1"/>
  <c r="E350" i="7" s="1"/>
  <c r="F350" i="7" a="1"/>
  <c r="F350" i="7" s="1"/>
  <c r="G350" i="7" a="1"/>
  <c r="G350" i="7" s="1"/>
  <c r="H350" i="7" a="1"/>
  <c r="H350" i="7" s="1"/>
  <c r="C351" i="7" a="1"/>
  <c r="C351" i="7" s="1"/>
  <c r="D351" i="7" a="1"/>
  <c r="D351" i="7" s="1"/>
  <c r="E351" i="7" a="1"/>
  <c r="E351" i="7" s="1"/>
  <c r="F351" i="7" a="1"/>
  <c r="F351" i="7" s="1"/>
  <c r="G351" i="7" a="1"/>
  <c r="G351" i="7" s="1"/>
  <c r="H351" i="7" a="1"/>
  <c r="H351" i="7" s="1"/>
  <c r="C352" i="7" a="1"/>
  <c r="C352" i="7" s="1"/>
  <c r="D352" i="7" a="1"/>
  <c r="D352" i="7" s="1"/>
  <c r="E352" i="7" a="1"/>
  <c r="E352" i="7" s="1"/>
  <c r="F352" i="7" a="1"/>
  <c r="F352" i="7" s="1"/>
  <c r="G352" i="7" a="1"/>
  <c r="G352" i="7" s="1"/>
  <c r="H352" i="7" a="1"/>
  <c r="H352" i="7" s="1"/>
  <c r="C353" i="7" a="1"/>
  <c r="C353" i="7" s="1"/>
  <c r="D353" i="7" a="1"/>
  <c r="D353" i="7" s="1"/>
  <c r="E353" i="7" a="1"/>
  <c r="E353" i="7" s="1"/>
  <c r="F353" i="7" a="1"/>
  <c r="F353" i="7" s="1"/>
  <c r="G353" i="7" a="1"/>
  <c r="G353" i="7" s="1"/>
  <c r="H353" i="7" a="1"/>
  <c r="H353" i="7" s="1"/>
  <c r="C354" i="7" a="1"/>
  <c r="C354" i="7" s="1"/>
  <c r="D354" i="7" a="1"/>
  <c r="D354" i="7" s="1"/>
  <c r="E354" i="7" a="1"/>
  <c r="E354" i="7" s="1"/>
  <c r="F354" i="7" a="1"/>
  <c r="F354" i="7" s="1"/>
  <c r="G354" i="7" a="1"/>
  <c r="G354" i="7" s="1"/>
  <c r="H354" i="7" a="1"/>
  <c r="H354" i="7" s="1"/>
  <c r="C355" i="7" a="1"/>
  <c r="C355" i="7" s="1"/>
  <c r="D355" i="7" a="1"/>
  <c r="D355" i="7" s="1"/>
  <c r="E355" i="7" a="1"/>
  <c r="E355" i="7" s="1"/>
  <c r="F355" i="7" a="1"/>
  <c r="F355" i="7" s="1"/>
  <c r="G355" i="7" a="1"/>
  <c r="G355" i="7" s="1"/>
  <c r="H355" i="7" a="1"/>
  <c r="H355" i="7" s="1"/>
  <c r="C356" i="7" a="1"/>
  <c r="C356" i="7" s="1"/>
  <c r="D356" i="7" a="1"/>
  <c r="D356" i="7" s="1"/>
  <c r="E356" i="7" a="1"/>
  <c r="E356" i="7" s="1"/>
  <c r="F356" i="7" a="1"/>
  <c r="F356" i="7" s="1"/>
  <c r="G356" i="7" a="1"/>
  <c r="G356" i="7" s="1"/>
  <c r="H356" i="7" a="1"/>
  <c r="H356" i="7" s="1"/>
  <c r="C357" i="7" a="1"/>
  <c r="C357" i="7" s="1"/>
  <c r="D357" i="7" a="1"/>
  <c r="D357" i="7" s="1"/>
  <c r="E357" i="7" a="1"/>
  <c r="E357" i="7" s="1"/>
  <c r="F357" i="7" a="1"/>
  <c r="F357" i="7" s="1"/>
  <c r="G357" i="7" a="1"/>
  <c r="G357" i="7" s="1"/>
  <c r="H357" i="7" a="1"/>
  <c r="H357" i="7" s="1"/>
  <c r="C358" i="7" a="1"/>
  <c r="C358" i="7" s="1"/>
  <c r="D358" i="7" a="1"/>
  <c r="D358" i="7" s="1"/>
  <c r="E358" i="7" a="1"/>
  <c r="E358" i="7" s="1"/>
  <c r="F358" i="7" a="1"/>
  <c r="F358" i="7" s="1"/>
  <c r="G358" i="7" a="1"/>
  <c r="G358" i="7" s="1"/>
  <c r="H358" i="7" a="1"/>
  <c r="H358" i="7" s="1"/>
  <c r="D7" i="7" a="1"/>
  <c r="D7" i="7" s="1"/>
  <c r="E7" i="7" a="1"/>
  <c r="E7" i="7" s="1"/>
  <c r="F7" i="7" a="1"/>
  <c r="F7" i="7" s="1"/>
  <c r="G7" i="7" a="1"/>
  <c r="G7" i="7" s="1"/>
  <c r="H7" i="7" a="1"/>
  <c r="H7" i="7" s="1"/>
  <c r="C7" i="7" a="1"/>
  <c r="C7" i="7" s="1"/>
  <c r="C1" i="7"/>
  <c r="X89" i="8" l="1"/>
  <c r="AG32" i="8"/>
  <c r="W89" i="8"/>
  <c r="AH32" i="8"/>
  <c r="X86" i="8"/>
  <c r="AG31" i="8"/>
  <c r="W86" i="8"/>
  <c r="W87" i="8" s="1"/>
  <c r="W88" i="8" s="1"/>
  <c r="AH31" i="8"/>
  <c r="W92" i="8"/>
  <c r="AH33" i="8"/>
  <c r="X92" i="8"/>
  <c r="AG33" i="8"/>
  <c r="W101" i="8"/>
  <c r="AH36" i="8"/>
  <c r="W98" i="8"/>
  <c r="W99" i="8" s="1"/>
  <c r="W100" i="8" s="1"/>
  <c r="AH35" i="8"/>
  <c r="W95" i="8"/>
  <c r="AH34" i="8"/>
  <c r="W80" i="8"/>
  <c r="AH29" i="8"/>
  <c r="X95" i="8"/>
  <c r="AG34" i="8"/>
  <c r="W83" i="8"/>
  <c r="W81" i="8" s="1"/>
  <c r="AH30" i="8"/>
  <c r="X80" i="8"/>
  <c r="AG29" i="8"/>
  <c r="X101" i="8"/>
  <c r="AG36" i="8"/>
  <c r="X98" i="8"/>
  <c r="AG35" i="8"/>
  <c r="X83" i="8"/>
  <c r="X84" i="8" s="1"/>
  <c r="X85" i="8" s="1"/>
  <c r="AG3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X2" i="8"/>
  <c r="W2" i="8"/>
  <c r="W5" i="8"/>
  <c r="X5" i="8"/>
  <c r="W6" i="8"/>
  <c r="X6" i="8"/>
  <c r="W7" i="8"/>
  <c r="X7" i="8"/>
  <c r="W8" i="8"/>
  <c r="X8" i="8"/>
  <c r="W9" i="8"/>
  <c r="X9" i="8"/>
  <c r="W10" i="8"/>
  <c r="X10" i="8"/>
  <c r="W11" i="8"/>
  <c r="X11" i="8"/>
  <c r="W12" i="8"/>
  <c r="X12" i="8"/>
  <c r="W13" i="8"/>
  <c r="X13" i="8"/>
  <c r="W14" i="8"/>
  <c r="X14" i="8"/>
  <c r="W15" i="8"/>
  <c r="X15" i="8"/>
  <c r="W16" i="8"/>
  <c r="X16" i="8"/>
  <c r="W17" i="8"/>
  <c r="X17" i="8"/>
  <c r="W18" i="8"/>
  <c r="X18" i="8"/>
  <c r="W19" i="8"/>
  <c r="X19" i="8"/>
  <c r="W20" i="8"/>
  <c r="X20" i="8"/>
  <c r="W21" i="8"/>
  <c r="X21" i="8"/>
  <c r="W22" i="8"/>
  <c r="X22" i="8"/>
  <c r="W23" i="8"/>
  <c r="X23" i="8"/>
  <c r="W24" i="8"/>
  <c r="X24" i="8"/>
  <c r="W25" i="8"/>
  <c r="X25" i="8"/>
  <c r="W26" i="8"/>
  <c r="X26" i="8"/>
  <c r="W27" i="8"/>
  <c r="X27" i="8"/>
  <c r="W28" i="8"/>
  <c r="X28" i="8"/>
  <c r="W29" i="8"/>
  <c r="X29" i="8"/>
  <c r="W30" i="8"/>
  <c r="X30" i="8"/>
  <c r="W31" i="8"/>
  <c r="X31" i="8"/>
  <c r="W32" i="8"/>
  <c r="X32" i="8"/>
  <c r="W33" i="8"/>
  <c r="X33" i="8"/>
  <c r="W34" i="8"/>
  <c r="X34" i="8"/>
  <c r="W35" i="8"/>
  <c r="X35" i="8"/>
  <c r="W36" i="8"/>
  <c r="X36" i="8"/>
  <c r="W37" i="8"/>
  <c r="X37" i="8"/>
  <c r="W38" i="8"/>
  <c r="X38" i="8"/>
  <c r="W39" i="8"/>
  <c r="X39" i="8"/>
  <c r="AB4" i="8" s="1"/>
  <c r="W40" i="8"/>
  <c r="X40" i="8"/>
  <c r="W41" i="8"/>
  <c r="AA6" i="8" s="1"/>
  <c r="X41" i="8"/>
  <c r="W42" i="8"/>
  <c r="AA7" i="8" s="1"/>
  <c r="X42" i="8"/>
  <c r="W43" i="8"/>
  <c r="X43" i="8"/>
  <c r="AB8" i="8" s="1"/>
  <c r="W44" i="8"/>
  <c r="X44" i="8"/>
  <c r="AB9" i="8" s="1"/>
  <c r="W45" i="8"/>
  <c r="X45" i="8"/>
  <c r="W46" i="8"/>
  <c r="AA11" i="8" s="1"/>
  <c r="X46" i="8"/>
  <c r="AB11" i="8" s="1"/>
  <c r="W47" i="8"/>
  <c r="X47" i="8"/>
  <c r="W48" i="8"/>
  <c r="X48" i="8"/>
  <c r="W49" i="8"/>
  <c r="X49" i="8"/>
  <c r="AB14" i="8" s="1"/>
  <c r="W50" i="8"/>
  <c r="AA15" i="8" s="1"/>
  <c r="X50" i="8"/>
  <c r="W51" i="8"/>
  <c r="X51" i="8"/>
  <c r="AB16" i="8" s="1"/>
  <c r="W52" i="8"/>
  <c r="X52" i="8"/>
  <c r="W53" i="8"/>
  <c r="X53" i="8"/>
  <c r="AB18" i="8" s="1"/>
  <c r="W54" i="8"/>
  <c r="AA19" i="8" s="1"/>
  <c r="X54" i="8"/>
  <c r="W55" i="8"/>
  <c r="X55" i="8"/>
  <c r="W56" i="8"/>
  <c r="X56" i="8"/>
  <c r="W57" i="8"/>
  <c r="X57" i="8"/>
  <c r="AB22" i="8" s="1"/>
  <c r="W58" i="8"/>
  <c r="AA23" i="8" s="1"/>
  <c r="X58" i="8"/>
  <c r="AB23" i="8" s="1"/>
  <c r="W59" i="8"/>
  <c r="X59" i="8"/>
  <c r="AB24" i="8" s="1"/>
  <c r="W60" i="8"/>
  <c r="X60" i="8"/>
  <c r="W61" i="8"/>
  <c r="X61" i="8"/>
  <c r="W62" i="8"/>
  <c r="AA27" i="8" s="1"/>
  <c r="X62" i="8"/>
  <c r="W63" i="8"/>
  <c r="X63" i="8"/>
  <c r="AB28" i="8" s="1"/>
  <c r="W64" i="8"/>
  <c r="X64" i="8"/>
  <c r="W65" i="8"/>
  <c r="X65" i="8"/>
  <c r="W66" i="8"/>
  <c r="AA31" i="8" s="1"/>
  <c r="X66" i="8"/>
  <c r="W67" i="8"/>
  <c r="X67" i="8"/>
  <c r="AB32" i="8" s="1"/>
  <c r="W68" i="8"/>
  <c r="X68" i="8"/>
  <c r="W69" i="8"/>
  <c r="AA34" i="8" s="1"/>
  <c r="X69" i="8"/>
  <c r="W70" i="8"/>
  <c r="AA35" i="8" s="1"/>
  <c r="X70" i="8"/>
  <c r="W71" i="8"/>
  <c r="X71" i="8"/>
  <c r="AB36" i="8" s="1"/>
  <c r="W72" i="8"/>
  <c r="X72" i="8"/>
  <c r="W73" i="8"/>
  <c r="X73" i="8"/>
  <c r="W74" i="8"/>
  <c r="X74" i="8"/>
  <c r="W75" i="8"/>
  <c r="X75" i="8"/>
  <c r="AB40" i="8" s="1"/>
  <c r="W76" i="8"/>
  <c r="X76" i="8"/>
  <c r="W77" i="8"/>
  <c r="X77" i="8"/>
  <c r="W78" i="8"/>
  <c r="W79" i="8" s="1"/>
  <c r="X78" i="8"/>
  <c r="X4" i="8"/>
  <c r="W4" i="8"/>
  <c r="V2" i="8"/>
  <c r="V80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4" i="8"/>
  <c r="X96" i="8"/>
  <c r="X97" i="8" s="1"/>
  <c r="AB62" i="8" s="1"/>
  <c r="X93" i="8"/>
  <c r="W90" i="8"/>
  <c r="W91" i="8" s="1"/>
  <c r="X87" i="8"/>
  <c r="X88" i="8" s="1"/>
  <c r="X79" i="8"/>
  <c r="AA22" i="8"/>
  <c r="AB19" i="8"/>
  <c r="AA30" i="8"/>
  <c r="AB6" i="8"/>
  <c r="AA25" i="8" l="1"/>
  <c r="AB13" i="8"/>
  <c r="W96" i="8"/>
  <c r="AA61" i="8" s="1"/>
  <c r="AA56" i="8"/>
  <c r="AA57" i="8"/>
  <c r="AA21" i="8"/>
  <c r="AA13" i="8"/>
  <c r="AB53" i="8"/>
  <c r="AA24" i="8"/>
  <c r="AA9" i="8"/>
  <c r="AA16" i="8"/>
  <c r="AA26" i="8"/>
  <c r="AA45" i="8"/>
  <c r="AA32" i="8"/>
  <c r="AA10" i="8"/>
  <c r="AA17" i="8"/>
  <c r="AA36" i="8"/>
  <c r="AA14" i="8"/>
  <c r="AA18" i="8"/>
  <c r="AA40" i="8"/>
  <c r="AA53" i="8"/>
  <c r="AA5" i="8"/>
  <c r="AA29" i="8"/>
  <c r="AA37" i="8"/>
  <c r="AA8" i="8"/>
  <c r="AA33" i="8"/>
  <c r="AA41" i="8"/>
  <c r="AB20" i="8"/>
  <c r="AA12" i="8"/>
  <c r="AB5" i="8"/>
  <c r="AB10" i="8"/>
  <c r="AB7" i="8"/>
  <c r="AA20" i="8"/>
  <c r="W84" i="8"/>
  <c r="W85" i="8" s="1"/>
  <c r="AA50" i="8" s="1"/>
  <c r="AB12" i="8"/>
  <c r="AB17" i="8"/>
  <c r="AA54" i="8"/>
  <c r="AA28" i="8"/>
  <c r="X99" i="8"/>
  <c r="X100" i="8" s="1"/>
  <c r="AB57" i="8"/>
  <c r="AB15" i="8"/>
  <c r="AB50" i="8"/>
  <c r="AB21" i="8"/>
  <c r="AA4" i="8"/>
  <c r="AB48" i="8"/>
  <c r="AB44" i="8"/>
  <c r="AB37" i="8"/>
  <c r="W97" i="8"/>
  <c r="AA62" i="8" s="1"/>
  <c r="AA49" i="8"/>
  <c r="X94" i="8"/>
  <c r="AB59" i="8" s="1"/>
  <c r="AB58" i="8"/>
  <c r="W82" i="8"/>
  <c r="AA47" i="8" s="1"/>
  <c r="AA46" i="8"/>
  <c r="AB30" i="8"/>
  <c r="AB38" i="8"/>
  <c r="AA43" i="8"/>
  <c r="AA51" i="8"/>
  <c r="AB54" i="8"/>
  <c r="X90" i="8"/>
  <c r="W93" i="8"/>
  <c r="AB27" i="8"/>
  <c r="AB35" i="8"/>
  <c r="AB43" i="8"/>
  <c r="AA48" i="8"/>
  <c r="AB51" i="8"/>
  <c r="AA64" i="8"/>
  <c r="AB29" i="8"/>
  <c r="AA42" i="8"/>
  <c r="AB45" i="8"/>
  <c r="AB61" i="8"/>
  <c r="AB26" i="8"/>
  <c r="AB34" i="8"/>
  <c r="AA39" i="8"/>
  <c r="AB42" i="8"/>
  <c r="AA55" i="8"/>
  <c r="AA63" i="8"/>
  <c r="AB31" i="8"/>
  <c r="AB39" i="8"/>
  <c r="AA44" i="8"/>
  <c r="AA52" i="8"/>
  <c r="AA60" i="8"/>
  <c r="AB63" i="8"/>
  <c r="X81" i="8"/>
  <c r="AB52" i="8"/>
  <c r="AB60" i="8"/>
  <c r="AB25" i="8"/>
  <c r="AB33" i="8"/>
  <c r="AA38" i="8"/>
  <c r="AB41" i="8"/>
  <c r="AB49" i="8"/>
  <c r="AB64" i="8" l="1"/>
  <c r="X82" i="8"/>
  <c r="AB47" i="8" s="1"/>
  <c r="AB46" i="8"/>
  <c r="AB55" i="8"/>
  <c r="X91" i="8"/>
  <c r="AB56" i="8" s="1"/>
  <c r="W94" i="8"/>
  <c r="AA59" i="8" s="1"/>
  <c r="AA58" i="8"/>
  <c r="L141" i="8" l="1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N161" i="8"/>
  <c r="M161" i="8"/>
  <c r="M159" i="8" s="1"/>
  <c r="M160" i="8" s="1"/>
  <c r="J161" i="8"/>
  <c r="I161" i="8"/>
  <c r="H161" i="8"/>
  <c r="N158" i="8"/>
  <c r="M158" i="8"/>
  <c r="J158" i="8"/>
  <c r="I158" i="8"/>
  <c r="I156" i="8" s="1"/>
  <c r="I157" i="8" s="1"/>
  <c r="H158" i="8"/>
  <c r="H160" i="8" s="1"/>
  <c r="N155" i="8"/>
  <c r="N156" i="8" s="1"/>
  <c r="N157" i="8" s="1"/>
  <c r="M155" i="8"/>
  <c r="J155" i="8"/>
  <c r="I155" i="8"/>
  <c r="H155" i="8"/>
  <c r="H156" i="8" s="1"/>
  <c r="N152" i="8"/>
  <c r="M152" i="8"/>
  <c r="M150" i="8" s="1"/>
  <c r="M151" i="8" s="1"/>
  <c r="J152" i="8"/>
  <c r="I152" i="8"/>
  <c r="I153" i="8" s="1"/>
  <c r="H152" i="8"/>
  <c r="B152" i="8" s="1"/>
  <c r="N149" i="8"/>
  <c r="M149" i="8"/>
  <c r="J149" i="8"/>
  <c r="I149" i="8"/>
  <c r="H149" i="8"/>
  <c r="H151" i="8" s="1"/>
  <c r="B151" i="8" s="1"/>
  <c r="M147" i="8"/>
  <c r="M148" i="8" s="1"/>
  <c r="C149" i="8"/>
  <c r="N146" i="8"/>
  <c r="D146" i="8" s="1"/>
  <c r="M146" i="8"/>
  <c r="J146" i="8"/>
  <c r="I146" i="8"/>
  <c r="H146" i="8"/>
  <c r="N143" i="8"/>
  <c r="M143" i="8"/>
  <c r="M144" i="8" s="1"/>
  <c r="M145" i="8" s="1"/>
  <c r="J143" i="8"/>
  <c r="I143" i="8"/>
  <c r="I144" i="8" s="1"/>
  <c r="I145" i="8" s="1"/>
  <c r="H143" i="8"/>
  <c r="H144" i="8" s="1"/>
  <c r="B144" i="8" s="1"/>
  <c r="L5" i="8"/>
  <c r="M5" i="8"/>
  <c r="N5" i="8"/>
  <c r="L6" i="8"/>
  <c r="M6" i="8"/>
  <c r="N6" i="8"/>
  <c r="L7" i="8"/>
  <c r="M7" i="8"/>
  <c r="N7" i="8"/>
  <c r="L8" i="8"/>
  <c r="M8" i="8"/>
  <c r="N8" i="8"/>
  <c r="L9" i="8"/>
  <c r="M9" i="8"/>
  <c r="N9" i="8"/>
  <c r="L10" i="8"/>
  <c r="M10" i="8"/>
  <c r="N10" i="8"/>
  <c r="L11" i="8"/>
  <c r="M11" i="8"/>
  <c r="N11" i="8"/>
  <c r="L12" i="8"/>
  <c r="M12" i="8"/>
  <c r="N12" i="8"/>
  <c r="L13" i="8"/>
  <c r="M13" i="8"/>
  <c r="N13" i="8"/>
  <c r="L14" i="8"/>
  <c r="M14" i="8"/>
  <c r="N14" i="8"/>
  <c r="L15" i="8"/>
  <c r="M15" i="8"/>
  <c r="N15" i="8"/>
  <c r="L16" i="8"/>
  <c r="M16" i="8"/>
  <c r="N16" i="8"/>
  <c r="L17" i="8"/>
  <c r="M17" i="8"/>
  <c r="N17" i="8"/>
  <c r="L18" i="8"/>
  <c r="M18" i="8"/>
  <c r="N18" i="8"/>
  <c r="L19" i="8"/>
  <c r="M19" i="8"/>
  <c r="N19" i="8"/>
  <c r="L20" i="8"/>
  <c r="M20" i="8"/>
  <c r="N20" i="8"/>
  <c r="L21" i="8"/>
  <c r="M21" i="8"/>
  <c r="N21" i="8"/>
  <c r="L22" i="8"/>
  <c r="M22" i="8"/>
  <c r="N22" i="8"/>
  <c r="L23" i="8"/>
  <c r="M23" i="8"/>
  <c r="N23" i="8"/>
  <c r="L24" i="8"/>
  <c r="M24" i="8"/>
  <c r="N24" i="8"/>
  <c r="L25" i="8"/>
  <c r="M25" i="8"/>
  <c r="N25" i="8"/>
  <c r="L26" i="8"/>
  <c r="M26" i="8"/>
  <c r="N26" i="8"/>
  <c r="L27" i="8"/>
  <c r="M27" i="8"/>
  <c r="N27" i="8"/>
  <c r="L28" i="8"/>
  <c r="M28" i="8"/>
  <c r="N28" i="8"/>
  <c r="L29" i="8"/>
  <c r="M29" i="8"/>
  <c r="N29" i="8"/>
  <c r="L30" i="8"/>
  <c r="M30" i="8"/>
  <c r="N30" i="8"/>
  <c r="L31" i="8"/>
  <c r="M31" i="8"/>
  <c r="N31" i="8"/>
  <c r="L32" i="8"/>
  <c r="M32" i="8"/>
  <c r="N32" i="8"/>
  <c r="L33" i="8"/>
  <c r="M33" i="8"/>
  <c r="N33" i="8"/>
  <c r="L34" i="8"/>
  <c r="M34" i="8"/>
  <c r="N34" i="8"/>
  <c r="L35" i="8"/>
  <c r="M35" i="8"/>
  <c r="N35" i="8"/>
  <c r="L36" i="8"/>
  <c r="M36" i="8"/>
  <c r="N36" i="8"/>
  <c r="L37" i="8"/>
  <c r="M37" i="8"/>
  <c r="N37" i="8"/>
  <c r="L38" i="8"/>
  <c r="M38" i="8"/>
  <c r="N38" i="8"/>
  <c r="L39" i="8"/>
  <c r="M39" i="8"/>
  <c r="N39" i="8"/>
  <c r="L40" i="8"/>
  <c r="M40" i="8"/>
  <c r="N40" i="8"/>
  <c r="L41" i="8"/>
  <c r="M41" i="8"/>
  <c r="N41" i="8"/>
  <c r="L42" i="8"/>
  <c r="M42" i="8"/>
  <c r="N42" i="8"/>
  <c r="L43" i="8"/>
  <c r="M43" i="8"/>
  <c r="N43" i="8"/>
  <c r="L44" i="8"/>
  <c r="M44" i="8"/>
  <c r="N44" i="8"/>
  <c r="L45" i="8"/>
  <c r="M45" i="8"/>
  <c r="N45" i="8"/>
  <c r="L46" i="8"/>
  <c r="M46" i="8"/>
  <c r="N46" i="8"/>
  <c r="L47" i="8"/>
  <c r="M47" i="8"/>
  <c r="N47" i="8"/>
  <c r="L48" i="8"/>
  <c r="M48" i="8"/>
  <c r="N48" i="8"/>
  <c r="L49" i="8"/>
  <c r="M49" i="8"/>
  <c r="N49" i="8"/>
  <c r="L50" i="8"/>
  <c r="M50" i="8"/>
  <c r="N50" i="8"/>
  <c r="L51" i="8"/>
  <c r="M51" i="8"/>
  <c r="N51" i="8"/>
  <c r="L52" i="8"/>
  <c r="M52" i="8"/>
  <c r="N52" i="8"/>
  <c r="L53" i="8"/>
  <c r="M53" i="8"/>
  <c r="N53" i="8"/>
  <c r="L54" i="8"/>
  <c r="M54" i="8"/>
  <c r="N54" i="8"/>
  <c r="L55" i="8"/>
  <c r="M55" i="8"/>
  <c r="N55" i="8"/>
  <c r="L56" i="8"/>
  <c r="M56" i="8"/>
  <c r="N56" i="8"/>
  <c r="L57" i="8"/>
  <c r="M57" i="8"/>
  <c r="N57" i="8"/>
  <c r="L58" i="8"/>
  <c r="M58" i="8"/>
  <c r="N58" i="8"/>
  <c r="L59" i="8"/>
  <c r="M59" i="8"/>
  <c r="N59" i="8"/>
  <c r="L60" i="8"/>
  <c r="M60" i="8"/>
  <c r="N60" i="8"/>
  <c r="L61" i="8"/>
  <c r="M61" i="8"/>
  <c r="N61" i="8"/>
  <c r="L62" i="8"/>
  <c r="M62" i="8"/>
  <c r="N62" i="8"/>
  <c r="L63" i="8"/>
  <c r="M63" i="8"/>
  <c r="N63" i="8"/>
  <c r="L64" i="8"/>
  <c r="M64" i="8"/>
  <c r="N64" i="8"/>
  <c r="L65" i="8"/>
  <c r="M65" i="8"/>
  <c r="N65" i="8"/>
  <c r="L66" i="8"/>
  <c r="M66" i="8"/>
  <c r="N66" i="8"/>
  <c r="L67" i="8"/>
  <c r="M67" i="8"/>
  <c r="N67" i="8"/>
  <c r="L68" i="8"/>
  <c r="M68" i="8"/>
  <c r="N68" i="8"/>
  <c r="L69" i="8"/>
  <c r="M69" i="8"/>
  <c r="N69" i="8"/>
  <c r="L70" i="8"/>
  <c r="M70" i="8"/>
  <c r="N70" i="8"/>
  <c r="L71" i="8"/>
  <c r="M71" i="8"/>
  <c r="N71" i="8"/>
  <c r="L72" i="8"/>
  <c r="M72" i="8"/>
  <c r="N72" i="8"/>
  <c r="L73" i="8"/>
  <c r="M73" i="8"/>
  <c r="N73" i="8"/>
  <c r="L74" i="8"/>
  <c r="M74" i="8"/>
  <c r="N74" i="8"/>
  <c r="L75" i="8"/>
  <c r="M75" i="8"/>
  <c r="N75" i="8"/>
  <c r="L76" i="8"/>
  <c r="M76" i="8"/>
  <c r="N76" i="8"/>
  <c r="L77" i="8"/>
  <c r="M77" i="8"/>
  <c r="N77" i="8"/>
  <c r="L78" i="8"/>
  <c r="M78" i="8"/>
  <c r="N78" i="8"/>
  <c r="L79" i="8"/>
  <c r="M79" i="8"/>
  <c r="N79" i="8"/>
  <c r="L80" i="8"/>
  <c r="M80" i="8"/>
  <c r="N80" i="8"/>
  <c r="L81" i="8"/>
  <c r="M81" i="8"/>
  <c r="N81" i="8"/>
  <c r="L82" i="8"/>
  <c r="M82" i="8"/>
  <c r="N82" i="8"/>
  <c r="L83" i="8"/>
  <c r="M83" i="8"/>
  <c r="N83" i="8"/>
  <c r="L84" i="8"/>
  <c r="M84" i="8"/>
  <c r="N84" i="8"/>
  <c r="L85" i="8"/>
  <c r="M85" i="8"/>
  <c r="N85" i="8"/>
  <c r="L86" i="8"/>
  <c r="M86" i="8"/>
  <c r="N86" i="8"/>
  <c r="L87" i="8"/>
  <c r="M87" i="8"/>
  <c r="N87" i="8"/>
  <c r="L88" i="8"/>
  <c r="M88" i="8"/>
  <c r="N88" i="8"/>
  <c r="L89" i="8"/>
  <c r="M89" i="8"/>
  <c r="N89" i="8"/>
  <c r="L90" i="8"/>
  <c r="M90" i="8"/>
  <c r="N90" i="8"/>
  <c r="L91" i="8"/>
  <c r="M91" i="8"/>
  <c r="N91" i="8"/>
  <c r="L92" i="8"/>
  <c r="M92" i="8"/>
  <c r="N92" i="8"/>
  <c r="L93" i="8"/>
  <c r="M93" i="8"/>
  <c r="N93" i="8"/>
  <c r="L94" i="8"/>
  <c r="M94" i="8"/>
  <c r="N94" i="8"/>
  <c r="L95" i="8"/>
  <c r="M95" i="8"/>
  <c r="N95" i="8"/>
  <c r="L96" i="8"/>
  <c r="M96" i="8"/>
  <c r="N96" i="8"/>
  <c r="L97" i="8"/>
  <c r="M97" i="8"/>
  <c r="N97" i="8"/>
  <c r="L98" i="8"/>
  <c r="M98" i="8"/>
  <c r="N98" i="8"/>
  <c r="L99" i="8"/>
  <c r="M99" i="8"/>
  <c r="N99" i="8"/>
  <c r="L100" i="8"/>
  <c r="M100" i="8"/>
  <c r="N100" i="8"/>
  <c r="L101" i="8"/>
  <c r="M101" i="8"/>
  <c r="N101" i="8"/>
  <c r="L102" i="8"/>
  <c r="M102" i="8"/>
  <c r="N102" i="8"/>
  <c r="L103" i="8"/>
  <c r="M103" i="8"/>
  <c r="N103" i="8"/>
  <c r="L104" i="8"/>
  <c r="M104" i="8"/>
  <c r="N104" i="8"/>
  <c r="L105" i="8"/>
  <c r="M105" i="8"/>
  <c r="N105" i="8"/>
  <c r="L106" i="8"/>
  <c r="M106" i="8"/>
  <c r="N106" i="8"/>
  <c r="L107" i="8"/>
  <c r="M107" i="8"/>
  <c r="N107" i="8"/>
  <c r="L108" i="8"/>
  <c r="M108" i="8"/>
  <c r="N108" i="8"/>
  <c r="L109" i="8"/>
  <c r="M109" i="8"/>
  <c r="N109" i="8"/>
  <c r="L110" i="8"/>
  <c r="M110" i="8"/>
  <c r="N110" i="8"/>
  <c r="L111" i="8"/>
  <c r="M111" i="8"/>
  <c r="N111" i="8"/>
  <c r="L112" i="8"/>
  <c r="M112" i="8"/>
  <c r="N112" i="8"/>
  <c r="L113" i="8"/>
  <c r="M113" i="8"/>
  <c r="N113" i="8"/>
  <c r="L114" i="8"/>
  <c r="M114" i="8"/>
  <c r="N114" i="8"/>
  <c r="L115" i="8"/>
  <c r="M115" i="8"/>
  <c r="N115" i="8"/>
  <c r="L116" i="8"/>
  <c r="M116" i="8"/>
  <c r="N116" i="8"/>
  <c r="L117" i="8"/>
  <c r="M117" i="8"/>
  <c r="N117" i="8"/>
  <c r="L118" i="8"/>
  <c r="M118" i="8"/>
  <c r="N118" i="8"/>
  <c r="L119" i="8"/>
  <c r="M119" i="8"/>
  <c r="N119" i="8"/>
  <c r="L120" i="8"/>
  <c r="M120" i="8"/>
  <c r="N120" i="8"/>
  <c r="L121" i="8"/>
  <c r="M121" i="8"/>
  <c r="N121" i="8"/>
  <c r="L122" i="8"/>
  <c r="M122" i="8"/>
  <c r="N122" i="8"/>
  <c r="L123" i="8"/>
  <c r="M123" i="8"/>
  <c r="N123" i="8"/>
  <c r="L124" i="8"/>
  <c r="M124" i="8"/>
  <c r="N124" i="8"/>
  <c r="L125" i="8"/>
  <c r="M125" i="8"/>
  <c r="N125" i="8"/>
  <c r="L126" i="8"/>
  <c r="M126" i="8"/>
  <c r="N126" i="8"/>
  <c r="L127" i="8"/>
  <c r="M127" i="8"/>
  <c r="N127" i="8"/>
  <c r="L128" i="8"/>
  <c r="M128" i="8"/>
  <c r="N128" i="8"/>
  <c r="L129" i="8"/>
  <c r="M129" i="8"/>
  <c r="N129" i="8"/>
  <c r="L130" i="8"/>
  <c r="M130" i="8"/>
  <c r="N130" i="8"/>
  <c r="L131" i="8"/>
  <c r="M131" i="8"/>
  <c r="N131" i="8"/>
  <c r="L132" i="8"/>
  <c r="M132" i="8"/>
  <c r="N132" i="8"/>
  <c r="L133" i="8"/>
  <c r="M133" i="8"/>
  <c r="N133" i="8"/>
  <c r="L134" i="8"/>
  <c r="M134" i="8"/>
  <c r="N134" i="8"/>
  <c r="L135" i="8"/>
  <c r="M135" i="8"/>
  <c r="N135" i="8"/>
  <c r="L136" i="8"/>
  <c r="M136" i="8"/>
  <c r="N136" i="8"/>
  <c r="L137" i="8"/>
  <c r="M137" i="8"/>
  <c r="N137" i="8"/>
  <c r="L138" i="8"/>
  <c r="M138" i="8"/>
  <c r="N138" i="8"/>
  <c r="L139" i="8"/>
  <c r="M139" i="8"/>
  <c r="N139" i="8"/>
  <c r="M4" i="8"/>
  <c r="N4" i="8"/>
  <c r="L4" i="8"/>
  <c r="D2" i="8"/>
  <c r="C2" i="8"/>
  <c r="B2" i="8"/>
  <c r="B5" i="8"/>
  <c r="C5" i="8"/>
  <c r="D5" i="8"/>
  <c r="J5" i="8" s="1"/>
  <c r="B6" i="8"/>
  <c r="C6" i="8"/>
  <c r="I6" i="8" s="1"/>
  <c r="D6" i="8"/>
  <c r="B7" i="8"/>
  <c r="C7" i="8"/>
  <c r="D7" i="8"/>
  <c r="B8" i="8"/>
  <c r="C8" i="8"/>
  <c r="I8" i="8" s="1"/>
  <c r="D8" i="8"/>
  <c r="B9" i="8"/>
  <c r="C9" i="8"/>
  <c r="D9" i="8"/>
  <c r="B10" i="8"/>
  <c r="Q22" i="8" s="1"/>
  <c r="C10" i="8"/>
  <c r="D10" i="8"/>
  <c r="B11" i="8"/>
  <c r="H11" i="8" s="1"/>
  <c r="C11" i="8"/>
  <c r="D11" i="8"/>
  <c r="B12" i="8"/>
  <c r="C12" i="8"/>
  <c r="D12" i="8"/>
  <c r="B13" i="8"/>
  <c r="C13" i="8"/>
  <c r="D13" i="8"/>
  <c r="B14" i="8"/>
  <c r="C14" i="8"/>
  <c r="I14" i="8" s="1"/>
  <c r="D14" i="8"/>
  <c r="B15" i="8"/>
  <c r="C15" i="8"/>
  <c r="D15" i="8"/>
  <c r="B16" i="8"/>
  <c r="C16" i="8"/>
  <c r="I16" i="8" s="1"/>
  <c r="D16" i="8"/>
  <c r="B17" i="8"/>
  <c r="C17" i="8"/>
  <c r="D17" i="8"/>
  <c r="B18" i="8"/>
  <c r="Q30" i="8" s="1"/>
  <c r="C18" i="8"/>
  <c r="D18" i="8"/>
  <c r="B19" i="8"/>
  <c r="H19" i="8" s="1"/>
  <c r="C19" i="8"/>
  <c r="D19" i="8"/>
  <c r="B20" i="8"/>
  <c r="C20" i="8"/>
  <c r="D20" i="8"/>
  <c r="B21" i="8"/>
  <c r="C21" i="8"/>
  <c r="D21" i="8"/>
  <c r="B22" i="8"/>
  <c r="C22" i="8"/>
  <c r="I22" i="8" s="1"/>
  <c r="D22" i="8"/>
  <c r="B23" i="8"/>
  <c r="C23" i="8"/>
  <c r="D23" i="8"/>
  <c r="B24" i="8"/>
  <c r="C24" i="8"/>
  <c r="I24" i="8" s="1"/>
  <c r="D24" i="8"/>
  <c r="B25" i="8"/>
  <c r="H25" i="8" s="1"/>
  <c r="C25" i="8"/>
  <c r="D25" i="8"/>
  <c r="B26" i="8"/>
  <c r="Q26" i="8" s="1"/>
  <c r="C26" i="8"/>
  <c r="D26" i="8"/>
  <c r="B27" i="8"/>
  <c r="H27" i="8" s="1"/>
  <c r="C27" i="8"/>
  <c r="D27" i="8"/>
  <c r="S87" i="8" s="1"/>
  <c r="B28" i="8"/>
  <c r="C28" i="8"/>
  <c r="I28" i="8" s="1"/>
  <c r="D28" i="8"/>
  <c r="B29" i="8"/>
  <c r="C29" i="8"/>
  <c r="R29" i="8" s="1"/>
  <c r="D29" i="8"/>
  <c r="B30" i="8"/>
  <c r="C30" i="8"/>
  <c r="I30" i="8" s="1"/>
  <c r="D30" i="8"/>
  <c r="B31" i="8"/>
  <c r="C31" i="8"/>
  <c r="D31" i="8"/>
  <c r="B32" i="8"/>
  <c r="C32" i="8"/>
  <c r="I32" i="8" s="1"/>
  <c r="D32" i="8"/>
  <c r="B33" i="8"/>
  <c r="C33" i="8"/>
  <c r="D33" i="8"/>
  <c r="B34" i="8"/>
  <c r="C34" i="8"/>
  <c r="D34" i="8"/>
  <c r="B35" i="8"/>
  <c r="H35" i="8" s="1"/>
  <c r="C35" i="8"/>
  <c r="D35" i="8"/>
  <c r="B36" i="8"/>
  <c r="C36" i="8"/>
  <c r="D36" i="8"/>
  <c r="B37" i="8"/>
  <c r="C37" i="8"/>
  <c r="D37" i="8"/>
  <c r="B38" i="8"/>
  <c r="C38" i="8"/>
  <c r="I38" i="8" s="1"/>
  <c r="D38" i="8"/>
  <c r="B39" i="8"/>
  <c r="H39" i="8" s="1"/>
  <c r="C39" i="8"/>
  <c r="D39" i="8"/>
  <c r="B40" i="8"/>
  <c r="C40" i="8"/>
  <c r="I40" i="8" s="1"/>
  <c r="D40" i="8"/>
  <c r="B41" i="8"/>
  <c r="C41" i="8"/>
  <c r="D41" i="8"/>
  <c r="B42" i="8"/>
  <c r="Q42" i="8" s="1"/>
  <c r="C42" i="8"/>
  <c r="R42" i="8" s="1"/>
  <c r="D42" i="8"/>
  <c r="B43" i="8"/>
  <c r="H43" i="8" s="1"/>
  <c r="C43" i="8"/>
  <c r="D43" i="8"/>
  <c r="B44" i="8"/>
  <c r="C44" i="8"/>
  <c r="D44" i="8"/>
  <c r="B45" i="8"/>
  <c r="C45" i="8"/>
  <c r="R45" i="8" s="1"/>
  <c r="D45" i="8"/>
  <c r="B46" i="8"/>
  <c r="C46" i="8"/>
  <c r="I46" i="8" s="1"/>
  <c r="D46" i="8"/>
  <c r="B47" i="8"/>
  <c r="C47" i="8"/>
  <c r="D47" i="8"/>
  <c r="B48" i="8"/>
  <c r="C48" i="8"/>
  <c r="D48" i="8"/>
  <c r="B49" i="8"/>
  <c r="H49" i="8" s="1"/>
  <c r="C49" i="8"/>
  <c r="D49" i="8"/>
  <c r="B50" i="8"/>
  <c r="Q62" i="8" s="1"/>
  <c r="C50" i="8"/>
  <c r="R50" i="8" s="1"/>
  <c r="D50" i="8"/>
  <c r="B51" i="8"/>
  <c r="H51" i="8" s="1"/>
  <c r="C51" i="8"/>
  <c r="D51" i="8"/>
  <c r="B52" i="8"/>
  <c r="Q64" i="8" s="1"/>
  <c r="C52" i="8"/>
  <c r="D52" i="8"/>
  <c r="B53" i="8"/>
  <c r="C53" i="8"/>
  <c r="R53" i="8" s="1"/>
  <c r="D53" i="8"/>
  <c r="B54" i="8"/>
  <c r="C54" i="8"/>
  <c r="I54" i="8" s="1"/>
  <c r="D54" i="8"/>
  <c r="B55" i="8"/>
  <c r="C55" i="8"/>
  <c r="D55" i="8"/>
  <c r="B56" i="8"/>
  <c r="C56" i="8"/>
  <c r="I56" i="8" s="1"/>
  <c r="D56" i="8"/>
  <c r="B57" i="8"/>
  <c r="C57" i="8"/>
  <c r="D57" i="8"/>
  <c r="B58" i="8"/>
  <c r="C58" i="8"/>
  <c r="D58" i="8"/>
  <c r="B59" i="8"/>
  <c r="C59" i="8"/>
  <c r="D59" i="8"/>
  <c r="B60" i="8"/>
  <c r="Q72" i="8" s="1"/>
  <c r="C60" i="8"/>
  <c r="D60" i="8"/>
  <c r="B61" i="8"/>
  <c r="C61" i="8"/>
  <c r="D61" i="8"/>
  <c r="B62" i="8"/>
  <c r="C62" i="8"/>
  <c r="D62" i="8"/>
  <c r="B63" i="8"/>
  <c r="C63" i="8"/>
  <c r="D63" i="8"/>
  <c r="B64" i="8"/>
  <c r="C64" i="8"/>
  <c r="D64" i="8"/>
  <c r="B65" i="8"/>
  <c r="Q77" i="8" s="1"/>
  <c r="C65" i="8"/>
  <c r="D65" i="8"/>
  <c r="B66" i="8"/>
  <c r="Q78" i="8" s="1"/>
  <c r="C66" i="8"/>
  <c r="D66" i="8"/>
  <c r="B67" i="8"/>
  <c r="H67" i="8" s="1"/>
  <c r="C67" i="8"/>
  <c r="D67" i="8"/>
  <c r="B68" i="8"/>
  <c r="Q68" i="8" s="1"/>
  <c r="C68" i="8"/>
  <c r="D68" i="8"/>
  <c r="B69" i="8"/>
  <c r="C69" i="8"/>
  <c r="D69" i="8"/>
  <c r="J69" i="8" s="1"/>
  <c r="B70" i="8"/>
  <c r="C70" i="8"/>
  <c r="D70" i="8"/>
  <c r="B71" i="8"/>
  <c r="C71" i="8"/>
  <c r="D71" i="8"/>
  <c r="B72" i="8"/>
  <c r="C72" i="8"/>
  <c r="D72" i="8"/>
  <c r="B73" i="8"/>
  <c r="H73" i="8" s="1"/>
  <c r="C73" i="8"/>
  <c r="D73" i="8"/>
  <c r="B74" i="8"/>
  <c r="Q86" i="8" s="1"/>
  <c r="C74" i="8"/>
  <c r="D74" i="8"/>
  <c r="B75" i="8"/>
  <c r="H75" i="8" s="1"/>
  <c r="C75" i="8"/>
  <c r="D75" i="8"/>
  <c r="J75" i="8" s="1"/>
  <c r="B76" i="8"/>
  <c r="Q88" i="8" s="1"/>
  <c r="C76" i="8"/>
  <c r="D76" i="8"/>
  <c r="B77" i="8"/>
  <c r="C77" i="8"/>
  <c r="D77" i="8"/>
  <c r="J77" i="8" s="1"/>
  <c r="B78" i="8"/>
  <c r="C78" i="8"/>
  <c r="D78" i="8"/>
  <c r="B79" i="8"/>
  <c r="C79" i="8"/>
  <c r="D79" i="8"/>
  <c r="B80" i="8"/>
  <c r="C80" i="8"/>
  <c r="D80" i="8"/>
  <c r="B81" i="8"/>
  <c r="C81" i="8"/>
  <c r="D81" i="8"/>
  <c r="B82" i="8"/>
  <c r="C82" i="8"/>
  <c r="D82" i="8"/>
  <c r="B83" i="8"/>
  <c r="H83" i="8" s="1"/>
  <c r="C83" i="8"/>
  <c r="D83" i="8"/>
  <c r="B84" i="8"/>
  <c r="Q96" i="8" s="1"/>
  <c r="C84" i="8"/>
  <c r="D84" i="8"/>
  <c r="B85" i="8"/>
  <c r="C85" i="8"/>
  <c r="D85" i="8"/>
  <c r="J85" i="8" s="1"/>
  <c r="B86" i="8"/>
  <c r="C86" i="8"/>
  <c r="D86" i="8"/>
  <c r="B87" i="8"/>
  <c r="C87" i="8"/>
  <c r="D87" i="8"/>
  <c r="B88" i="8"/>
  <c r="C88" i="8"/>
  <c r="D88" i="8"/>
  <c r="B89" i="8"/>
  <c r="C89" i="8"/>
  <c r="D89" i="8"/>
  <c r="B90" i="8"/>
  <c r="C90" i="8"/>
  <c r="D90" i="8"/>
  <c r="B91" i="8"/>
  <c r="H91" i="8" s="1"/>
  <c r="C91" i="8"/>
  <c r="D91" i="8"/>
  <c r="J91" i="8" s="1"/>
  <c r="B92" i="8"/>
  <c r="Q104" i="8" s="1"/>
  <c r="C92" i="8"/>
  <c r="D92" i="8"/>
  <c r="S92" i="8" s="1"/>
  <c r="B93" i="8"/>
  <c r="C93" i="8"/>
  <c r="D93" i="8"/>
  <c r="B94" i="8"/>
  <c r="C94" i="8"/>
  <c r="D94" i="8"/>
  <c r="B95" i="8"/>
  <c r="C95" i="8"/>
  <c r="D95" i="8"/>
  <c r="B96" i="8"/>
  <c r="C96" i="8"/>
  <c r="D96" i="8"/>
  <c r="B97" i="8"/>
  <c r="H97" i="8" s="1"/>
  <c r="C97" i="8"/>
  <c r="D97" i="8"/>
  <c r="J97" i="8" s="1"/>
  <c r="B98" i="8"/>
  <c r="C98" i="8"/>
  <c r="D98" i="8"/>
  <c r="B99" i="8"/>
  <c r="H99" i="8" s="1"/>
  <c r="C99" i="8"/>
  <c r="D99" i="8"/>
  <c r="J99" i="8" s="1"/>
  <c r="B100" i="8"/>
  <c r="Q112" i="8" s="1"/>
  <c r="C100" i="8"/>
  <c r="D100" i="8"/>
  <c r="B101" i="8"/>
  <c r="C101" i="8"/>
  <c r="D101" i="8"/>
  <c r="J101" i="8" s="1"/>
  <c r="B102" i="8"/>
  <c r="C102" i="8"/>
  <c r="D102" i="8"/>
  <c r="B103" i="8"/>
  <c r="C103" i="8"/>
  <c r="D103" i="8"/>
  <c r="B104" i="8"/>
  <c r="C104" i="8"/>
  <c r="D104" i="8"/>
  <c r="B105" i="8"/>
  <c r="C105" i="8"/>
  <c r="D105" i="8"/>
  <c r="J105" i="8" s="1"/>
  <c r="B106" i="8"/>
  <c r="C106" i="8"/>
  <c r="D106" i="8"/>
  <c r="B107" i="8"/>
  <c r="H107" i="8" s="1"/>
  <c r="C107" i="8"/>
  <c r="I107" i="8" s="1"/>
  <c r="D107" i="8"/>
  <c r="B108" i="8"/>
  <c r="Q120" i="8" s="1"/>
  <c r="C108" i="8"/>
  <c r="D108" i="8"/>
  <c r="B109" i="8"/>
  <c r="C109" i="8"/>
  <c r="D109" i="8"/>
  <c r="J109" i="8" s="1"/>
  <c r="B110" i="8"/>
  <c r="C110" i="8"/>
  <c r="D110" i="8"/>
  <c r="B111" i="8"/>
  <c r="H111" i="8" s="1"/>
  <c r="C111" i="8"/>
  <c r="D111" i="8"/>
  <c r="B112" i="8"/>
  <c r="C112" i="8"/>
  <c r="D112" i="8"/>
  <c r="B113" i="8"/>
  <c r="H113" i="8" s="1"/>
  <c r="C113" i="8"/>
  <c r="D113" i="8"/>
  <c r="B114" i="8"/>
  <c r="C114" i="8"/>
  <c r="D114" i="8"/>
  <c r="B115" i="8"/>
  <c r="H115" i="8" s="1"/>
  <c r="C115" i="8"/>
  <c r="D115" i="8"/>
  <c r="J115" i="8" s="1"/>
  <c r="B116" i="8"/>
  <c r="Q116" i="8" s="1"/>
  <c r="C116" i="8"/>
  <c r="D116" i="8"/>
  <c r="S116" i="8" s="1"/>
  <c r="B117" i="8"/>
  <c r="C117" i="8"/>
  <c r="D117" i="8"/>
  <c r="J117" i="8" s="1"/>
  <c r="B118" i="8"/>
  <c r="C118" i="8"/>
  <c r="D118" i="8"/>
  <c r="B119" i="8"/>
  <c r="H119" i="8" s="1"/>
  <c r="C119" i="8"/>
  <c r="D119" i="8"/>
  <c r="B120" i="8"/>
  <c r="C120" i="8"/>
  <c r="D120" i="8"/>
  <c r="B121" i="8"/>
  <c r="H121" i="8" s="1"/>
  <c r="C121" i="8"/>
  <c r="D121" i="8"/>
  <c r="B122" i="8"/>
  <c r="C122" i="8"/>
  <c r="D122" i="8"/>
  <c r="B123" i="8"/>
  <c r="H123" i="8" s="1"/>
  <c r="C123" i="8"/>
  <c r="I123" i="8" s="1"/>
  <c r="D123" i="8"/>
  <c r="J123" i="8" s="1"/>
  <c r="B124" i="8"/>
  <c r="Q136" i="8" s="1"/>
  <c r="C124" i="8"/>
  <c r="D124" i="8"/>
  <c r="B125" i="8"/>
  <c r="C125" i="8"/>
  <c r="I125" i="8" s="1"/>
  <c r="D125" i="8"/>
  <c r="J125" i="8" s="1"/>
  <c r="B126" i="8"/>
  <c r="C126" i="8"/>
  <c r="D126" i="8"/>
  <c r="S126" i="8" s="1"/>
  <c r="B127" i="8"/>
  <c r="H127" i="8" s="1"/>
  <c r="C127" i="8"/>
  <c r="D127" i="8"/>
  <c r="B128" i="8"/>
  <c r="C128" i="8"/>
  <c r="D128" i="8"/>
  <c r="B129" i="8"/>
  <c r="H129" i="8" s="1"/>
  <c r="C129" i="8"/>
  <c r="D129" i="8"/>
  <c r="J129" i="8" s="1"/>
  <c r="B130" i="8"/>
  <c r="Q130" i="8" s="1"/>
  <c r="C130" i="8"/>
  <c r="D130" i="8"/>
  <c r="B131" i="8"/>
  <c r="H131" i="8" s="1"/>
  <c r="C131" i="8"/>
  <c r="D131" i="8"/>
  <c r="J131" i="8" s="1"/>
  <c r="B132" i="8"/>
  <c r="Q132" i="8" s="1"/>
  <c r="C132" i="8"/>
  <c r="D132" i="8"/>
  <c r="S132" i="8" s="1"/>
  <c r="B133" i="8"/>
  <c r="C133" i="8"/>
  <c r="D133" i="8"/>
  <c r="J133" i="8" s="1"/>
  <c r="B134" i="8"/>
  <c r="C134" i="8"/>
  <c r="D134" i="8"/>
  <c r="B135" i="8"/>
  <c r="C135" i="8"/>
  <c r="D135" i="8"/>
  <c r="B136" i="8"/>
  <c r="C136" i="8"/>
  <c r="D136" i="8"/>
  <c r="B137" i="8"/>
  <c r="H137" i="8" s="1"/>
  <c r="C137" i="8"/>
  <c r="D137" i="8"/>
  <c r="B138" i="8"/>
  <c r="C138" i="8"/>
  <c r="D138" i="8"/>
  <c r="B139" i="8"/>
  <c r="H139" i="8" s="1"/>
  <c r="C139" i="8"/>
  <c r="D139" i="8"/>
  <c r="J139" i="8" s="1"/>
  <c r="C4" i="8"/>
  <c r="D4" i="8"/>
  <c r="B4" i="8"/>
  <c r="H157" i="8"/>
  <c r="C146" i="8"/>
  <c r="H134" i="8"/>
  <c r="I131" i="8"/>
  <c r="J128" i="8"/>
  <c r="H126" i="8"/>
  <c r="J120" i="8"/>
  <c r="H118" i="8"/>
  <c r="I115" i="8"/>
  <c r="J112" i="8"/>
  <c r="H110" i="8"/>
  <c r="J104" i="8"/>
  <c r="H102" i="8"/>
  <c r="I99" i="8"/>
  <c r="J96" i="8"/>
  <c r="H94" i="8"/>
  <c r="J93" i="8"/>
  <c r="I91" i="8"/>
  <c r="J88" i="8"/>
  <c r="H86" i="8"/>
  <c r="I83" i="8"/>
  <c r="J80" i="8"/>
  <c r="H78" i="8"/>
  <c r="J72" i="8"/>
  <c r="H70" i="8"/>
  <c r="J64" i="8"/>
  <c r="H62" i="8"/>
  <c r="I59" i="8"/>
  <c r="I51" i="8"/>
  <c r="I48" i="8"/>
  <c r="R47" i="8"/>
  <c r="H46" i="8"/>
  <c r="I43" i="8"/>
  <c r="H38" i="8"/>
  <c r="R37" i="8"/>
  <c r="R61" i="8"/>
  <c r="S96" i="8"/>
  <c r="R59" i="8"/>
  <c r="Q34" i="8"/>
  <c r="H31" i="8"/>
  <c r="I27" i="8"/>
  <c r="J24" i="8"/>
  <c r="H22" i="8"/>
  <c r="J21" i="8"/>
  <c r="I19" i="8"/>
  <c r="Q18" i="8"/>
  <c r="J16" i="8"/>
  <c r="H14" i="8"/>
  <c r="I11" i="8"/>
  <c r="R34" i="8"/>
  <c r="J8" i="8"/>
  <c r="S68" i="8"/>
  <c r="H6" i="8"/>
  <c r="I121" i="8" l="1"/>
  <c r="J110" i="8"/>
  <c r="J102" i="8"/>
  <c r="I97" i="8"/>
  <c r="J94" i="8"/>
  <c r="I89" i="8"/>
  <c r="J86" i="8"/>
  <c r="I81" i="8"/>
  <c r="J78" i="8"/>
  <c r="J70" i="8"/>
  <c r="S122" i="8"/>
  <c r="I57" i="8"/>
  <c r="S114" i="8"/>
  <c r="I49" i="8"/>
  <c r="S106" i="8"/>
  <c r="H44" i="8"/>
  <c r="I41" i="8"/>
  <c r="H36" i="8"/>
  <c r="I33" i="8"/>
  <c r="H28" i="8"/>
  <c r="I25" i="8"/>
  <c r="H20" i="8"/>
  <c r="I17" i="8"/>
  <c r="J14" i="8"/>
  <c r="H12" i="8"/>
  <c r="I9" i="8"/>
  <c r="I137" i="8"/>
  <c r="I129" i="8"/>
  <c r="I4" i="8"/>
  <c r="J134" i="8"/>
  <c r="J118" i="8"/>
  <c r="I113" i="8"/>
  <c r="I105" i="8"/>
  <c r="B146" i="8"/>
  <c r="Q126" i="8"/>
  <c r="S98" i="8"/>
  <c r="Q151" i="8"/>
  <c r="Q146" i="8"/>
  <c r="S112" i="8"/>
  <c r="S137" i="8"/>
  <c r="S113" i="8"/>
  <c r="Q103" i="8"/>
  <c r="Q95" i="8"/>
  <c r="S89" i="8"/>
  <c r="Q99" i="8"/>
  <c r="S81" i="8"/>
  <c r="Q79" i="8"/>
  <c r="S133" i="8"/>
  <c r="Q83" i="8"/>
  <c r="C152" i="8"/>
  <c r="H150" i="8"/>
  <c r="M153" i="8"/>
  <c r="M154" i="8" s="1"/>
  <c r="B149" i="8"/>
  <c r="S107" i="8"/>
  <c r="Q105" i="8"/>
  <c r="Q101" i="8"/>
  <c r="S83" i="8"/>
  <c r="Q81" i="8"/>
  <c r="Q65" i="8"/>
  <c r="Q57" i="8"/>
  <c r="Q53" i="8"/>
  <c r="Q45" i="8"/>
  <c r="Q29" i="8"/>
  <c r="S131" i="8"/>
  <c r="I139" i="8"/>
  <c r="J136" i="8"/>
  <c r="S125" i="8"/>
  <c r="S117" i="8"/>
  <c r="S109" i="8"/>
  <c r="S101" i="8"/>
  <c r="S93" i="8"/>
  <c r="S85" i="8"/>
  <c r="S77" i="8"/>
  <c r="S69" i="8"/>
  <c r="S90" i="8"/>
  <c r="S82" i="8"/>
  <c r="S66" i="8"/>
  <c r="E1" i="7"/>
  <c r="H1" i="7"/>
  <c r="G1" i="7"/>
  <c r="H128" i="8"/>
  <c r="H120" i="8"/>
  <c r="H112" i="8"/>
  <c r="J98" i="8"/>
  <c r="I93" i="8"/>
  <c r="J90" i="8"/>
  <c r="H80" i="8"/>
  <c r="J74" i="8"/>
  <c r="J58" i="8"/>
  <c r="J42" i="8"/>
  <c r="H40" i="8"/>
  <c r="I37" i="8"/>
  <c r="J34" i="8"/>
  <c r="H24" i="8"/>
  <c r="I21" i="8"/>
  <c r="J10" i="8"/>
  <c r="H8" i="8"/>
  <c r="I5" i="8"/>
  <c r="J135" i="8"/>
  <c r="H133" i="8"/>
  <c r="J127" i="8"/>
  <c r="H125" i="8"/>
  <c r="J119" i="8"/>
  <c r="H117" i="8"/>
  <c r="J111" i="8"/>
  <c r="H109" i="8"/>
  <c r="J103" i="8"/>
  <c r="H101" i="8"/>
  <c r="J95" i="8"/>
  <c r="H93" i="8"/>
  <c r="J87" i="8"/>
  <c r="H85" i="8"/>
  <c r="J79" i="8"/>
  <c r="H77" i="8"/>
  <c r="J71" i="8"/>
  <c r="H69" i="8"/>
  <c r="J63" i="8"/>
  <c r="I58" i="8"/>
  <c r="J55" i="8"/>
  <c r="H53" i="8"/>
  <c r="I50" i="8"/>
  <c r="J47" i="8"/>
  <c r="H45" i="8"/>
  <c r="I42" i="8"/>
  <c r="J39" i="8"/>
  <c r="H37" i="8"/>
  <c r="I34" i="8"/>
  <c r="J31" i="8"/>
  <c r="H29" i="8"/>
  <c r="I26" i="8"/>
  <c r="H21" i="8"/>
  <c r="J15" i="8"/>
  <c r="H13" i="8"/>
  <c r="I10" i="8"/>
  <c r="J7" i="8"/>
  <c r="H5" i="8"/>
  <c r="Q149" i="8"/>
  <c r="S127" i="8"/>
  <c r="S111" i="8"/>
  <c r="Q21" i="8"/>
  <c r="H116" i="8"/>
  <c r="S103" i="8"/>
  <c r="S95" i="8"/>
  <c r="S79" i="8"/>
  <c r="S71" i="8"/>
  <c r="I127" i="8"/>
  <c r="J92" i="8"/>
  <c r="I79" i="8"/>
  <c r="H58" i="8"/>
  <c r="H50" i="8"/>
  <c r="J44" i="8"/>
  <c r="H34" i="8"/>
  <c r="J28" i="8"/>
  <c r="J20" i="8"/>
  <c r="H10" i="8"/>
  <c r="Q140" i="8"/>
  <c r="R149" i="8"/>
  <c r="J89" i="8"/>
  <c r="S97" i="8"/>
  <c r="Q71" i="8"/>
  <c r="S139" i="8"/>
  <c r="S140" i="8"/>
  <c r="S75" i="8"/>
  <c r="H89" i="8"/>
  <c r="I141" i="8"/>
  <c r="C155" i="8"/>
  <c r="R155" i="8" s="1"/>
  <c r="N144" i="8"/>
  <c r="N145" i="8" s="1"/>
  <c r="Q37" i="8"/>
  <c r="S91" i="8"/>
  <c r="Q73" i="8"/>
  <c r="Q93" i="8"/>
  <c r="S135" i="8"/>
  <c r="H65" i="8"/>
  <c r="J107" i="8"/>
  <c r="S104" i="8"/>
  <c r="S88" i="8"/>
  <c r="S80" i="8"/>
  <c r="S72" i="8"/>
  <c r="B150" i="8"/>
  <c r="H17" i="8"/>
  <c r="S115" i="8"/>
  <c r="J83" i="8"/>
  <c r="J138" i="8"/>
  <c r="H136" i="8"/>
  <c r="I133" i="8"/>
  <c r="J130" i="8"/>
  <c r="J122" i="8"/>
  <c r="I117" i="8"/>
  <c r="J114" i="8"/>
  <c r="I109" i="8"/>
  <c r="J106" i="8"/>
  <c r="H104" i="8"/>
  <c r="I101" i="8"/>
  <c r="H96" i="8"/>
  <c r="H88" i="8"/>
  <c r="I85" i="8"/>
  <c r="J82" i="8"/>
  <c r="I77" i="8"/>
  <c r="H72" i="8"/>
  <c r="J66" i="8"/>
  <c r="H64" i="8"/>
  <c r="I61" i="8"/>
  <c r="H56" i="8"/>
  <c r="I53" i="8"/>
  <c r="J50" i="8"/>
  <c r="H48" i="8"/>
  <c r="I45" i="8"/>
  <c r="H32" i="8"/>
  <c r="I29" i="8"/>
  <c r="H16" i="8"/>
  <c r="I13" i="8"/>
  <c r="Q144" i="8"/>
  <c r="J141" i="8"/>
  <c r="J142" i="8" s="1"/>
  <c r="Q87" i="8"/>
  <c r="H41" i="8"/>
  <c r="H87" i="8"/>
  <c r="H108" i="8"/>
  <c r="S129" i="8"/>
  <c r="H132" i="8"/>
  <c r="B157" i="8"/>
  <c r="J137" i="8"/>
  <c r="H135" i="8"/>
  <c r="J121" i="8"/>
  <c r="J113" i="8"/>
  <c r="H103" i="8"/>
  <c r="H95" i="8"/>
  <c r="J81" i="8"/>
  <c r="H79" i="8"/>
  <c r="J73" i="8"/>
  <c r="H71" i="8"/>
  <c r="J65" i="8"/>
  <c r="H55" i="8"/>
  <c r="I52" i="8"/>
  <c r="H47" i="8"/>
  <c r="I44" i="8"/>
  <c r="I36" i="8"/>
  <c r="J25" i="8"/>
  <c r="H23" i="8"/>
  <c r="I20" i="8"/>
  <c r="J17" i="8"/>
  <c r="H15" i="8"/>
  <c r="I12" i="8"/>
  <c r="J9" i="8"/>
  <c r="H7" i="8"/>
  <c r="C158" i="8"/>
  <c r="R158" i="8" s="1"/>
  <c r="H9" i="8"/>
  <c r="S105" i="8"/>
  <c r="H81" i="8"/>
  <c r="Q84" i="8"/>
  <c r="J126" i="8"/>
  <c r="J159" i="8"/>
  <c r="J6" i="8"/>
  <c r="J62" i="8"/>
  <c r="J67" i="8"/>
  <c r="Q89" i="8"/>
  <c r="Q91" i="8"/>
  <c r="Q97" i="8"/>
  <c r="H100" i="8"/>
  <c r="H105" i="8"/>
  <c r="Q40" i="8"/>
  <c r="S67" i="8"/>
  <c r="S73" i="8"/>
  <c r="S102" i="8"/>
  <c r="H68" i="8"/>
  <c r="Q85" i="8"/>
  <c r="S138" i="8"/>
  <c r="Q48" i="8"/>
  <c r="H4" i="8"/>
  <c r="N147" i="8"/>
  <c r="N148" i="8" s="1"/>
  <c r="J153" i="8"/>
  <c r="B156" i="8"/>
  <c r="N159" i="8"/>
  <c r="N160" i="8" s="1"/>
  <c r="D158" i="8"/>
  <c r="S158" i="8" s="1"/>
  <c r="M156" i="8"/>
  <c r="M157" i="8" s="1"/>
  <c r="C157" i="8" s="1"/>
  <c r="R157" i="8" s="1"/>
  <c r="N153" i="8"/>
  <c r="N154" i="8" s="1"/>
  <c r="B155" i="8"/>
  <c r="D152" i="8"/>
  <c r="S152" i="8" s="1"/>
  <c r="N150" i="8"/>
  <c r="N151" i="8" s="1"/>
  <c r="I150" i="8"/>
  <c r="I151" i="8" s="1"/>
  <c r="C151" i="8" s="1"/>
  <c r="R151" i="8" s="1"/>
  <c r="I147" i="8"/>
  <c r="I148" i="8" s="1"/>
  <c r="C148" i="8" s="1"/>
  <c r="R148" i="8" s="1"/>
  <c r="C145" i="8"/>
  <c r="R145" i="8" s="1"/>
  <c r="C143" i="8"/>
  <c r="R143" i="8" s="1"/>
  <c r="M141" i="8"/>
  <c r="M142" i="8" s="1"/>
  <c r="B143" i="8"/>
  <c r="Q143" i="8" s="1"/>
  <c r="N141" i="8"/>
  <c r="N142" i="8" s="1"/>
  <c r="H145" i="8"/>
  <c r="B145" i="8" s="1"/>
  <c r="Q145" i="8" s="1"/>
  <c r="Q156" i="8"/>
  <c r="R140" i="8"/>
  <c r="H138" i="8"/>
  <c r="I135" i="8"/>
  <c r="J132" i="8"/>
  <c r="H130" i="8"/>
  <c r="J124" i="8"/>
  <c r="H122" i="8"/>
  <c r="I119" i="8"/>
  <c r="I111" i="8"/>
  <c r="J108" i="8"/>
  <c r="H106" i="8"/>
  <c r="I103" i="8"/>
  <c r="J100" i="8"/>
  <c r="H98" i="8"/>
  <c r="I95" i="8"/>
  <c r="H90" i="8"/>
  <c r="I87" i="8"/>
  <c r="J84" i="8"/>
  <c r="H82" i="8"/>
  <c r="J76" i="8"/>
  <c r="J68" i="8"/>
  <c r="H66" i="8"/>
  <c r="I63" i="8"/>
  <c r="J60" i="8"/>
  <c r="I55" i="8"/>
  <c r="J52" i="8"/>
  <c r="I47" i="8"/>
  <c r="I39" i="8"/>
  <c r="J36" i="8"/>
  <c r="I31" i="8"/>
  <c r="H26" i="8"/>
  <c r="I23" i="8"/>
  <c r="I15" i="8"/>
  <c r="I7" i="8"/>
  <c r="J4" i="8"/>
  <c r="Q32" i="8"/>
  <c r="S94" i="8"/>
  <c r="H42" i="8"/>
  <c r="Q60" i="8"/>
  <c r="S110" i="8"/>
  <c r="Q56" i="8"/>
  <c r="S118" i="8"/>
  <c r="S128" i="8"/>
  <c r="Q76" i="8"/>
  <c r="Q90" i="8"/>
  <c r="H92" i="8"/>
  <c r="Q124" i="8"/>
  <c r="S78" i="8"/>
  <c r="S86" i="8"/>
  <c r="S100" i="8"/>
  <c r="S108" i="8"/>
  <c r="S136" i="8"/>
  <c r="Q94" i="8"/>
  <c r="Q98" i="8"/>
  <c r="Q102" i="8"/>
  <c r="Q106" i="8"/>
  <c r="Q110" i="8"/>
  <c r="Q114" i="8"/>
  <c r="J116" i="8"/>
  <c r="Q118" i="8"/>
  <c r="Q122" i="8"/>
  <c r="Q128" i="8"/>
  <c r="Q150" i="8"/>
  <c r="Q134" i="8"/>
  <c r="H18" i="8"/>
  <c r="R31" i="8"/>
  <c r="R63" i="8"/>
  <c r="R55" i="8"/>
  <c r="S120" i="8"/>
  <c r="Q74" i="8"/>
  <c r="H76" i="8"/>
  <c r="Q82" i="8"/>
  <c r="H124" i="8"/>
  <c r="Q138" i="8"/>
  <c r="S76" i="8"/>
  <c r="S84" i="8"/>
  <c r="Q66" i="8"/>
  <c r="H60" i="8"/>
  <c r="S130" i="8"/>
  <c r="H84" i="8"/>
  <c r="H52" i="8"/>
  <c r="S134" i="8"/>
  <c r="Q80" i="8"/>
  <c r="Q92" i="8"/>
  <c r="H114" i="8"/>
  <c r="S70" i="8"/>
  <c r="H74" i="8"/>
  <c r="Q100" i="8"/>
  <c r="Q108" i="8"/>
  <c r="S146" i="8"/>
  <c r="H63" i="8"/>
  <c r="Q63" i="8"/>
  <c r="Q75" i="8"/>
  <c r="R32" i="8"/>
  <c r="Q35" i="8"/>
  <c r="R40" i="8"/>
  <c r="Q43" i="8"/>
  <c r="R48" i="8"/>
  <c r="Q51" i="8"/>
  <c r="R56" i="8"/>
  <c r="S121" i="8"/>
  <c r="J61" i="8"/>
  <c r="I64" i="8"/>
  <c r="R64" i="8"/>
  <c r="S64" i="8"/>
  <c r="I68" i="8"/>
  <c r="R68" i="8"/>
  <c r="I73" i="8"/>
  <c r="R73" i="8"/>
  <c r="I94" i="8"/>
  <c r="R94" i="8"/>
  <c r="I96" i="8"/>
  <c r="R96" i="8"/>
  <c r="I98" i="8"/>
  <c r="R98" i="8"/>
  <c r="I100" i="8"/>
  <c r="R100" i="8"/>
  <c r="I102" i="8"/>
  <c r="R102" i="8"/>
  <c r="I104" i="8"/>
  <c r="R104" i="8"/>
  <c r="I106" i="8"/>
  <c r="R106" i="8"/>
  <c r="I108" i="8"/>
  <c r="R108" i="8"/>
  <c r="I110" i="8"/>
  <c r="R110" i="8"/>
  <c r="I112" i="8"/>
  <c r="R112" i="8"/>
  <c r="I114" i="8"/>
  <c r="R114" i="8"/>
  <c r="I116" i="8"/>
  <c r="R116" i="8"/>
  <c r="I118" i="8"/>
  <c r="R118" i="8"/>
  <c r="I120" i="8"/>
  <c r="R120" i="8"/>
  <c r="I122" i="8"/>
  <c r="R122" i="8"/>
  <c r="I124" i="8"/>
  <c r="R124" i="8"/>
  <c r="I126" i="8"/>
  <c r="R126" i="8"/>
  <c r="I128" i="8"/>
  <c r="R128" i="8"/>
  <c r="I130" i="8"/>
  <c r="R130" i="8"/>
  <c r="I132" i="8"/>
  <c r="R132" i="8"/>
  <c r="I134" i="8"/>
  <c r="R134" i="8"/>
  <c r="I136" i="8"/>
  <c r="R136" i="8"/>
  <c r="I138" i="8"/>
  <c r="R138" i="8"/>
  <c r="D149" i="8"/>
  <c r="S149" i="8" s="1"/>
  <c r="J150" i="8"/>
  <c r="Q23" i="8"/>
  <c r="Q27" i="8"/>
  <c r="R35" i="8"/>
  <c r="Q38" i="8"/>
  <c r="R43" i="8"/>
  <c r="Q46" i="8"/>
  <c r="R51" i="8"/>
  <c r="Q54" i="8"/>
  <c r="Q69" i="8"/>
  <c r="I74" i="8"/>
  <c r="R74" i="8"/>
  <c r="S74" i="8"/>
  <c r="I82" i="8"/>
  <c r="R82" i="8"/>
  <c r="J160" i="8"/>
  <c r="S119" i="8"/>
  <c r="J59" i="8"/>
  <c r="I92" i="8"/>
  <c r="R92" i="8"/>
  <c r="J29" i="8"/>
  <c r="R30" i="8"/>
  <c r="Q33" i="8"/>
  <c r="J37" i="8"/>
  <c r="R38" i="8"/>
  <c r="Q41" i="8"/>
  <c r="J45" i="8"/>
  <c r="R46" i="8"/>
  <c r="Q49" i="8"/>
  <c r="J53" i="8"/>
  <c r="R54" i="8"/>
  <c r="R57" i="8"/>
  <c r="I65" i="8"/>
  <c r="R65" i="8"/>
  <c r="S65" i="8"/>
  <c r="I69" i="8"/>
  <c r="R69" i="8"/>
  <c r="Q70" i="8"/>
  <c r="S99" i="8"/>
  <c r="D143" i="8"/>
  <c r="S143" i="8" s="1"/>
  <c r="J144" i="8"/>
  <c r="Q152" i="8"/>
  <c r="C156" i="8"/>
  <c r="R156" i="8" s="1"/>
  <c r="Q19" i="8"/>
  <c r="J12" i="8"/>
  <c r="Q16" i="8"/>
  <c r="J18" i="8"/>
  <c r="Q20" i="8"/>
  <c r="J22" i="8"/>
  <c r="Q24" i="8"/>
  <c r="J26" i="8"/>
  <c r="Q28" i="8"/>
  <c r="H30" i="8"/>
  <c r="J32" i="8"/>
  <c r="R33" i="8"/>
  <c r="I35" i="8"/>
  <c r="Q36" i="8"/>
  <c r="J40" i="8"/>
  <c r="R41" i="8"/>
  <c r="Q44" i="8"/>
  <c r="J48" i="8"/>
  <c r="R49" i="8"/>
  <c r="Q52" i="8"/>
  <c r="H54" i="8"/>
  <c r="J56" i="8"/>
  <c r="I70" i="8"/>
  <c r="R70" i="8"/>
  <c r="I75" i="8"/>
  <c r="I76" i="8"/>
  <c r="R76" i="8"/>
  <c r="I84" i="8"/>
  <c r="R84" i="8"/>
  <c r="R152" i="8"/>
  <c r="I159" i="8"/>
  <c r="I80" i="8"/>
  <c r="R80" i="8"/>
  <c r="J11" i="8"/>
  <c r="I18" i="8"/>
  <c r="J13" i="8"/>
  <c r="R28" i="8"/>
  <c r="Q31" i="8"/>
  <c r="H33" i="8"/>
  <c r="J35" i="8"/>
  <c r="R36" i="8"/>
  <c r="Q39" i="8"/>
  <c r="J43" i="8"/>
  <c r="R44" i="8"/>
  <c r="Q47" i="8"/>
  <c r="J51" i="8"/>
  <c r="R52" i="8"/>
  <c r="Q55" i="8"/>
  <c r="H57" i="8"/>
  <c r="R58" i="8"/>
  <c r="Q58" i="8"/>
  <c r="I66" i="8"/>
  <c r="R66" i="8"/>
  <c r="I86" i="8"/>
  <c r="R86" i="8"/>
  <c r="Q17" i="8"/>
  <c r="J19" i="8"/>
  <c r="J23" i="8"/>
  <c r="Q25" i="8"/>
  <c r="J27" i="8"/>
  <c r="J30" i="8"/>
  <c r="J38" i="8"/>
  <c r="R39" i="8"/>
  <c r="J46" i="8"/>
  <c r="Q50" i="8"/>
  <c r="J54" i="8"/>
  <c r="H59" i="8"/>
  <c r="Q59" i="8"/>
  <c r="Q67" i="8"/>
  <c r="I71" i="8"/>
  <c r="R71" i="8"/>
  <c r="I78" i="8"/>
  <c r="R78" i="8"/>
  <c r="I88" i="8"/>
  <c r="R88" i="8"/>
  <c r="R146" i="8"/>
  <c r="J147" i="8"/>
  <c r="I154" i="8"/>
  <c r="I62" i="8"/>
  <c r="R62" i="8"/>
  <c r="J33" i="8"/>
  <c r="J41" i="8"/>
  <c r="J49" i="8"/>
  <c r="J57" i="8"/>
  <c r="I60" i="8"/>
  <c r="R60" i="8"/>
  <c r="Q61" i="8"/>
  <c r="H61" i="8"/>
  <c r="I67" i="8"/>
  <c r="R67" i="8"/>
  <c r="I72" i="8"/>
  <c r="R72" i="8"/>
  <c r="I90" i="8"/>
  <c r="R90" i="8"/>
  <c r="C144" i="8"/>
  <c r="R144" i="8" s="1"/>
  <c r="D155" i="8"/>
  <c r="S155" i="8" s="1"/>
  <c r="J156" i="8"/>
  <c r="S124" i="8"/>
  <c r="H142" i="8"/>
  <c r="B142" i="8" s="1"/>
  <c r="Q142" i="8" s="1"/>
  <c r="H148" i="8"/>
  <c r="B148" i="8" s="1"/>
  <c r="Q148" i="8" s="1"/>
  <c r="H154" i="8"/>
  <c r="B154" i="8" s="1"/>
  <c r="Q107" i="8"/>
  <c r="Q109" i="8"/>
  <c r="Q111" i="8"/>
  <c r="Q113" i="8"/>
  <c r="Q115" i="8"/>
  <c r="Q117" i="8"/>
  <c r="Q119" i="8"/>
  <c r="Q121" i="8"/>
  <c r="Q123" i="8"/>
  <c r="Q125" i="8"/>
  <c r="Q127" i="8"/>
  <c r="Q129" i="8"/>
  <c r="Q131" i="8"/>
  <c r="Q133" i="8"/>
  <c r="Q135" i="8"/>
  <c r="Q137" i="8"/>
  <c r="Q139" i="8"/>
  <c r="R75" i="8"/>
  <c r="R77" i="8"/>
  <c r="R79" i="8"/>
  <c r="R81" i="8"/>
  <c r="R83" i="8"/>
  <c r="R85" i="8"/>
  <c r="R87" i="8"/>
  <c r="R89" i="8"/>
  <c r="R91" i="8"/>
  <c r="R93" i="8"/>
  <c r="R95" i="8"/>
  <c r="R97" i="8"/>
  <c r="R99" i="8"/>
  <c r="R101" i="8"/>
  <c r="R103" i="8"/>
  <c r="R105" i="8"/>
  <c r="R107" i="8"/>
  <c r="R109" i="8"/>
  <c r="R111" i="8"/>
  <c r="R113" i="8"/>
  <c r="R115" i="8"/>
  <c r="R117" i="8"/>
  <c r="R119" i="8"/>
  <c r="R121" i="8"/>
  <c r="R123" i="8"/>
  <c r="R125" i="8"/>
  <c r="R127" i="8"/>
  <c r="R129" i="8"/>
  <c r="R131" i="8"/>
  <c r="R133" i="8"/>
  <c r="R135" i="8"/>
  <c r="R137" i="8"/>
  <c r="R139" i="8"/>
  <c r="S123" i="8"/>
  <c r="H141" i="8"/>
  <c r="Q141" i="8" s="1"/>
  <c r="H147" i="8"/>
  <c r="B147" i="8" s="1"/>
  <c r="Q147" i="8" s="1"/>
  <c r="H153" i="8"/>
  <c r="B153" i="8" s="1"/>
  <c r="H159" i="8"/>
  <c r="B159" i="8" s="1"/>
  <c r="B158" i="8"/>
  <c r="Q158" i="8" s="1"/>
  <c r="D1" i="7"/>
  <c r="F1" i="7"/>
  <c r="B8" i="7"/>
  <c r="C154" i="8" l="1"/>
  <c r="R154" i="8" s="1"/>
  <c r="D153" i="8"/>
  <c r="S153" i="8" s="1"/>
  <c r="C153" i="8"/>
  <c r="R153" i="8" s="1"/>
  <c r="R141" i="8"/>
  <c r="I142" i="8"/>
  <c r="C142" i="8" s="1"/>
  <c r="R142" i="8" s="1"/>
  <c r="J154" i="8"/>
  <c r="D154" i="8" s="1"/>
  <c r="S154" i="8" s="1"/>
  <c r="C150" i="8"/>
  <c r="R150" i="8" s="1"/>
  <c r="C147" i="8"/>
  <c r="R147" i="8" s="1"/>
  <c r="S141" i="8"/>
  <c r="Q155" i="8"/>
  <c r="D159" i="8"/>
  <c r="S159" i="8" s="1"/>
  <c r="Q159" i="8"/>
  <c r="Q157" i="8"/>
  <c r="D142" i="8"/>
  <c r="S142" i="8" s="1"/>
  <c r="Q153" i="8"/>
  <c r="Q154" i="8"/>
  <c r="C159" i="8"/>
  <c r="R159" i="8" s="1"/>
  <c r="I160" i="8"/>
  <c r="D150" i="8"/>
  <c r="S150" i="8" s="1"/>
  <c r="J151" i="8"/>
  <c r="D151" i="8" s="1"/>
  <c r="S151" i="8" s="1"/>
  <c r="D156" i="8"/>
  <c r="S156" i="8" s="1"/>
  <c r="J157" i="8"/>
  <c r="D157" i="8" s="1"/>
  <c r="S157" i="8" s="1"/>
  <c r="D147" i="8"/>
  <c r="S147" i="8" s="1"/>
  <c r="J148" i="8"/>
  <c r="D148" i="8" s="1"/>
  <c r="S148" i="8" s="1"/>
  <c r="D144" i="8"/>
  <c r="S144" i="8" s="1"/>
  <c r="J145" i="8"/>
  <c r="D145" i="8" s="1"/>
  <c r="S145" i="8" s="1"/>
  <c r="B9" i="7"/>
  <c r="B10" i="7" l="1"/>
  <c r="B11" i="7" l="1"/>
  <c r="B12" i="7" l="1"/>
  <c r="B13" i="7" l="1"/>
  <c r="B14" i="7" l="1"/>
  <c r="B15" i="7" l="1"/>
  <c r="B16" i="7" l="1"/>
  <c r="B17" i="7" l="1"/>
  <c r="B18" i="7" l="1"/>
  <c r="B19" i="7" l="1"/>
  <c r="B20" i="7" l="1"/>
  <c r="B21" i="7" l="1"/>
  <c r="B22" i="7" l="1"/>
  <c r="B23" i="7" l="1"/>
  <c r="B24" i="7" l="1"/>
  <c r="B25" i="7" l="1"/>
  <c r="B26" i="7" l="1"/>
  <c r="B27" i="7" l="1"/>
  <c r="B28" i="7" l="1"/>
  <c r="B29" i="7" l="1"/>
  <c r="B30" i="7" l="1"/>
  <c r="B31" i="7" l="1"/>
  <c r="B32" i="7" l="1"/>
  <c r="B33" i="7" l="1"/>
  <c r="B34" i="7" l="1"/>
  <c r="B35" i="7" l="1"/>
  <c r="B36" i="7" l="1"/>
  <c r="B37" i="7" l="1"/>
  <c r="B38" i="7" l="1"/>
  <c r="B39" i="7" l="1"/>
  <c r="B40" i="7" l="1"/>
  <c r="B41" i="7" l="1"/>
  <c r="B42" i="7" l="1"/>
  <c r="B43" i="7" l="1"/>
  <c r="B44" i="7" l="1"/>
  <c r="B45" i="7" l="1"/>
  <c r="B46" i="7" l="1"/>
  <c r="B47" i="7" l="1"/>
  <c r="B48" i="7" l="1"/>
  <c r="B49" i="7" l="1"/>
  <c r="B50" i="7" l="1"/>
  <c r="B51" i="7" l="1"/>
  <c r="B52" i="7" l="1"/>
  <c r="B53" i="7" l="1"/>
  <c r="B54" i="7" l="1"/>
  <c r="B55" i="7" l="1"/>
  <c r="B56" i="7" l="1"/>
  <c r="B57" i="7" l="1"/>
  <c r="B58" i="7" l="1"/>
  <c r="B59" i="7" l="1"/>
  <c r="B60" i="7" l="1"/>
  <c r="B61" i="7" l="1"/>
  <c r="B62" i="7" l="1"/>
  <c r="B63" i="7" l="1"/>
  <c r="B64" i="7" l="1"/>
  <c r="B65" i="7" l="1"/>
  <c r="B66" i="7" l="1"/>
  <c r="B67" i="7" l="1"/>
  <c r="B68" i="7" l="1"/>
  <c r="B69" i="7" l="1"/>
  <c r="B70" i="7" l="1"/>
  <c r="B71" i="7" l="1"/>
  <c r="B72" i="7" l="1"/>
  <c r="B73" i="7" l="1"/>
  <c r="B74" i="7" l="1"/>
  <c r="B75" i="7" l="1"/>
  <c r="B76" i="7" l="1"/>
  <c r="B77" i="7" l="1"/>
  <c r="B78" i="7" l="1"/>
  <c r="B79" i="7" l="1"/>
  <c r="B80" i="7" l="1"/>
  <c r="B81" i="7" l="1"/>
  <c r="B82" i="7" l="1"/>
  <c r="B83" i="7" l="1"/>
  <c r="B84" i="7" l="1"/>
  <c r="B85" i="7" l="1"/>
  <c r="B86" i="7" l="1"/>
  <c r="B87" i="7" l="1"/>
  <c r="B88" i="7" l="1"/>
  <c r="B89" i="7" l="1"/>
  <c r="B90" i="7" l="1"/>
  <c r="B91" i="7" l="1"/>
  <c r="B92" i="7" l="1"/>
  <c r="B93" i="7" l="1"/>
  <c r="B94" i="7" l="1"/>
  <c r="B95" i="7" l="1"/>
  <c r="B96" i="7" l="1"/>
  <c r="B97" i="7" l="1"/>
  <c r="B98" i="7" l="1"/>
  <c r="B99" i="7" l="1"/>
  <c r="B100" i="7" l="1"/>
  <c r="B101" i="7" l="1"/>
  <c r="B102" i="7" l="1"/>
  <c r="B103" i="7" l="1"/>
  <c r="B104" i="7" l="1"/>
  <c r="B105" i="7" l="1"/>
  <c r="B106" i="7" l="1"/>
  <c r="B107" i="7" l="1"/>
  <c r="B108" i="7" l="1"/>
  <c r="B109" i="7" l="1"/>
  <c r="B110" i="7" l="1"/>
  <c r="B111" i="7" l="1"/>
  <c r="B112" i="7" l="1"/>
  <c r="B113" i="7" l="1"/>
  <c r="B114" i="7" l="1"/>
  <c r="B115" i="7" l="1"/>
  <c r="B116" i="7" l="1"/>
  <c r="B117" i="7" l="1"/>
  <c r="B118" i="7" l="1"/>
  <c r="B119" i="7" l="1"/>
  <c r="B120" i="7" l="1"/>
  <c r="B121" i="7" l="1"/>
  <c r="B122" i="7" l="1"/>
  <c r="B123" i="7" l="1"/>
  <c r="B124" i="7" l="1"/>
  <c r="B125" i="7" l="1"/>
  <c r="B126" i="7" l="1"/>
  <c r="B127" i="7" l="1"/>
  <c r="B128" i="7" l="1"/>
  <c r="B129" i="7" l="1"/>
  <c r="B130" i="7" l="1"/>
  <c r="B131" i="7" l="1"/>
  <c r="B132" i="7" l="1"/>
  <c r="B133" i="7" l="1"/>
  <c r="B134" i="7" l="1"/>
  <c r="B135" i="7" l="1"/>
  <c r="B136" i="7" l="1"/>
  <c r="B137" i="7" l="1"/>
  <c r="B138" i="7" l="1"/>
  <c r="B139" i="7" l="1"/>
  <c r="B140" i="7" l="1"/>
  <c r="B141" i="7" l="1"/>
  <c r="B142" i="7" l="1"/>
  <c r="B143" i="7" l="1"/>
  <c r="B144" i="7" l="1"/>
  <c r="B145" i="7" l="1"/>
  <c r="B146" i="7" l="1"/>
  <c r="B147" i="7" l="1"/>
  <c r="B148" i="7" l="1"/>
  <c r="B149" i="7" l="1"/>
  <c r="B150" i="7" l="1"/>
  <c r="B151" i="7" l="1"/>
  <c r="B152" i="7" l="1"/>
  <c r="B153" i="7" l="1"/>
  <c r="B154" i="7" l="1"/>
  <c r="B155" i="7" l="1"/>
  <c r="B156" i="7" l="1"/>
  <c r="B157" i="7" l="1"/>
  <c r="B158" i="7" l="1"/>
  <c r="B159" i="7" l="1"/>
  <c r="B160" i="7" l="1"/>
  <c r="B161" i="7" l="1"/>
  <c r="B162" i="7" l="1"/>
  <c r="B163" i="7" l="1"/>
  <c r="B164" i="7" l="1"/>
  <c r="B165" i="7" l="1"/>
  <c r="B166" i="7" l="1"/>
  <c r="B167" i="7" l="1"/>
  <c r="B168" i="7" l="1"/>
  <c r="B169" i="7" l="1"/>
  <c r="B170" i="7" l="1"/>
  <c r="B171" i="7" l="1"/>
  <c r="B172" i="7" l="1"/>
  <c r="B173" i="7" l="1"/>
  <c r="B174" i="7" l="1"/>
  <c r="B175" i="7" l="1"/>
  <c r="B176" i="7" l="1"/>
  <c r="B177" i="7" l="1"/>
  <c r="B178" i="7" l="1"/>
  <c r="B179" i="7" l="1"/>
  <c r="B180" i="7" l="1"/>
  <c r="B181" i="7" l="1"/>
  <c r="B182" i="7" l="1"/>
  <c r="B183" i="7" l="1"/>
  <c r="B184" i="7" l="1"/>
  <c r="B185" i="7" l="1"/>
  <c r="B186" i="7" l="1"/>
  <c r="B187" i="7" l="1"/>
  <c r="B188" i="7" l="1"/>
  <c r="B189" i="7" l="1"/>
  <c r="B190" i="7" l="1"/>
  <c r="B191" i="7" l="1"/>
  <c r="B192" i="7" l="1"/>
  <c r="B193" i="7" l="1"/>
  <c r="B194" i="7" l="1"/>
  <c r="B195" i="7" l="1"/>
  <c r="B196" i="7" l="1"/>
  <c r="B197" i="7" l="1"/>
  <c r="B198" i="7" l="1"/>
  <c r="B199" i="7" l="1"/>
  <c r="B200" i="7" l="1"/>
  <c r="B201" i="7" l="1"/>
  <c r="B202" i="7" l="1"/>
  <c r="B203" i="7" l="1"/>
  <c r="B204" i="7" l="1"/>
  <c r="B205" i="7" l="1"/>
  <c r="B206" i="7" l="1"/>
  <c r="B207" i="7" l="1"/>
  <c r="B208" i="7" l="1"/>
  <c r="B209" i="7" l="1"/>
  <c r="B210" i="7" l="1"/>
  <c r="B211" i="7" l="1"/>
  <c r="B212" i="7" l="1"/>
  <c r="B213" i="7" l="1"/>
  <c r="B214" i="7" l="1"/>
  <c r="B215" i="7" l="1"/>
  <c r="B216" i="7" l="1"/>
  <c r="B217" i="7" l="1"/>
  <c r="B218" i="7" l="1"/>
  <c r="B219" i="7" l="1"/>
  <c r="B220" i="7" l="1"/>
  <c r="B221" i="7" l="1"/>
  <c r="B222" i="7" l="1"/>
  <c r="B223" i="7" l="1"/>
  <c r="B224" i="7" l="1"/>
  <c r="B225" i="7" l="1"/>
  <c r="B226" i="7" l="1"/>
  <c r="B227" i="7" l="1"/>
  <c r="B228" i="7" l="1"/>
  <c r="B229" i="7" l="1"/>
  <c r="B230" i="7" l="1"/>
  <c r="B231" i="7" l="1"/>
  <c r="B232" i="7" l="1"/>
  <c r="B233" i="7" l="1"/>
  <c r="B234" i="7" l="1"/>
  <c r="B235" i="7" l="1"/>
  <c r="B236" i="7" l="1"/>
  <c r="B237" i="7" l="1"/>
  <c r="B238" i="7" l="1"/>
  <c r="B239" i="7" l="1"/>
  <c r="B240" i="7" l="1"/>
  <c r="B241" i="7" l="1"/>
  <c r="B242" i="7" l="1"/>
  <c r="B243" i="7" l="1"/>
  <c r="B244" i="7" l="1"/>
  <c r="B245" i="7" l="1"/>
  <c r="B246" i="7" l="1"/>
  <c r="B247" i="7" l="1"/>
  <c r="B248" i="7" l="1"/>
  <c r="B249" i="7" l="1"/>
  <c r="B250" i="7" l="1"/>
  <c r="B251" i="7" l="1"/>
  <c r="B252" i="7" l="1"/>
  <c r="B253" i="7" l="1"/>
  <c r="B254" i="7" l="1"/>
  <c r="B255" i="7" l="1"/>
  <c r="B256" i="7" l="1"/>
  <c r="B257" i="7" l="1"/>
  <c r="B258" i="7" l="1"/>
  <c r="B259" i="7" l="1"/>
  <c r="B260" i="7" l="1"/>
  <c r="B261" i="7" l="1"/>
  <c r="B262" i="7" l="1"/>
  <c r="B263" i="7" l="1"/>
  <c r="B264" i="7" l="1"/>
  <c r="B265" i="7" l="1"/>
  <c r="B266" i="7" l="1"/>
  <c r="B267" i="7" l="1"/>
  <c r="B268" i="7" l="1"/>
  <c r="B269" i="7" l="1"/>
  <c r="B270" i="7" l="1"/>
  <c r="B271" i="7" l="1"/>
  <c r="B272" i="7" l="1"/>
  <c r="B273" i="7" l="1"/>
  <c r="B274" i="7" l="1"/>
  <c r="B275" i="7" l="1"/>
  <c r="B276" i="7" l="1"/>
  <c r="B277" i="7" l="1"/>
  <c r="B278" i="7" l="1"/>
  <c r="B279" i="7" l="1"/>
  <c r="B280" i="7" l="1"/>
  <c r="B281" i="7" l="1"/>
  <c r="B282" i="7" l="1"/>
  <c r="B283" i="7" l="1"/>
  <c r="B284" i="7" l="1"/>
  <c r="B285" i="7" l="1"/>
  <c r="B286" i="7" l="1"/>
  <c r="B287" i="7" l="1"/>
  <c r="B288" i="7" l="1"/>
  <c r="B289" i="7" l="1"/>
  <c r="B290" i="7" l="1"/>
  <c r="B291" i="7" l="1"/>
  <c r="B292" i="7" l="1"/>
  <c r="B293" i="7" l="1"/>
  <c r="B294" i="7" l="1"/>
  <c r="B295" i="7" l="1"/>
  <c r="B296" i="7" l="1"/>
  <c r="B297" i="7" l="1"/>
  <c r="B298" i="7" l="1"/>
  <c r="B299" i="7" l="1"/>
  <c r="B300" i="7" l="1"/>
  <c r="B301" i="7" l="1"/>
  <c r="B302" i="7" l="1"/>
  <c r="B303" i="7" l="1"/>
  <c r="B304" i="7" l="1"/>
  <c r="B305" i="7" l="1"/>
  <c r="B306" i="7" l="1"/>
  <c r="B307" i="7" l="1"/>
  <c r="B308" i="7" l="1"/>
  <c r="B309" i="7" l="1"/>
  <c r="B310" i="7" l="1"/>
  <c r="B311" i="7" l="1"/>
  <c r="B312" i="7" l="1"/>
  <c r="B313" i="7" l="1"/>
  <c r="B314" i="7" l="1"/>
  <c r="B315" i="7" l="1"/>
  <c r="B316" i="7" l="1"/>
  <c r="B317" i="7" l="1"/>
  <c r="B318" i="7" l="1"/>
  <c r="B319" i="7" l="1"/>
  <c r="B320" i="7" l="1"/>
  <c r="B321" i="7" l="1"/>
  <c r="B322" i="7" l="1"/>
  <c r="B323" i="7" l="1"/>
  <c r="B324" i="7" l="1"/>
  <c r="B325" i="7" l="1"/>
  <c r="B326" i="7" l="1"/>
  <c r="B327" i="7" l="1"/>
  <c r="B328" i="7" l="1"/>
  <c r="B329" i="7" l="1"/>
  <c r="B330" i="7" l="1"/>
  <c r="B331" i="7" l="1"/>
  <c r="B332" i="7" l="1"/>
  <c r="B333" i="7" l="1"/>
  <c r="B334" i="7" l="1"/>
  <c r="B335" i="7" l="1"/>
  <c r="B336" i="7" l="1"/>
  <c r="B337" i="7" l="1"/>
  <c r="B338" i="7" l="1"/>
  <c r="B339" i="7" l="1"/>
  <c r="B340" i="7" l="1"/>
  <c r="B341" i="7" l="1"/>
  <c r="B342" i="7" l="1"/>
  <c r="B343" i="7" l="1"/>
  <c r="B344" i="7" l="1"/>
  <c r="B345" i="7" l="1"/>
  <c r="B346" i="7" l="1"/>
  <c r="B347" i="7" l="1"/>
  <c r="B348" i="7" l="1"/>
  <c r="B349" i="7" l="1"/>
  <c r="B350" i="7" l="1"/>
  <c r="B351" i="7" l="1"/>
  <c r="B352" i="7" l="1"/>
  <c r="B353" i="7" l="1"/>
  <c r="B354" i="7" l="1"/>
  <c r="B355" i="7" l="1"/>
  <c r="B356" i="7" l="1"/>
  <c r="B357" i="7" l="1"/>
  <c r="B358" i="7" l="1"/>
  <c r="B6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<sst xmlns="http://schemas.openxmlformats.org/spreadsheetml/2006/main" count="1123" uniqueCount="919">
  <si>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</si>
  <si>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</si>
  <si>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</si>
  <si>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</si>
  <si>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</si>
  <si>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</si>
  <si>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</si>
  <si>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</si>
  <si>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</si>
  <si>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</si>
  <si>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</si>
  <si>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</si>
  <si>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</si>
  <si>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</si>
  <si>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</si>
  <si>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</si>
  <si>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</si>
  <si>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</si>
  <si>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</si>
  <si>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</si>
  <si>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</si>
  <si>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</si>
  <si>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</si>
  <si>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</si>
  <si>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</si>
  <si>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</si>
  <si>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</si>
  <si>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</si>
  <si>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</si>
  <si>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</si>
  <si>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</si>
  <si>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</si>
  <si>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</si>
  <si>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</si>
  <si>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</si>
  <si>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</si>
  <si>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</si>
  <si>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</si>
  <si>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</si>
  <si>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</si>
  <si>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</si>
  <si>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</si>
  <si>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</si>
  <si>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</si>
  <si>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</si>
  <si>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</si>
  <si>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</si>
  <si>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</si>
  <si>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</si>
  <si>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</si>
  <si>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</si>
  <si>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</si>
  <si>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</si>
  <si>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</si>
  <si>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</si>
  <si>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</si>
  <si>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</si>
  <si>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</si>
  <si>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</si>
  <si>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</si>
  <si>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</si>
  <si>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</si>
  <si>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</si>
  <si>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</si>
  <si>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</si>
  <si>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</si>
  <si>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</si>
  <si>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</si>
  <si>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</si>
  <si>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</si>
  <si>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</si>
  <si>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</si>
  <si>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</si>
  <si>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</si>
  <si>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</si>
  <si>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</si>
  <si>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</si>
  <si>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</si>
  <si>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</si>
  <si>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</si>
  <si>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</si>
  <si>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</si>
  <si>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</si>
  <si>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</si>
  <si>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</si>
  <si>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</si>
  <si>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</si>
  <si>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</si>
  <si>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</si>
  <si>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</si>
  <si>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</si>
  <si>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</si>
  <si>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</si>
  <si>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</si>
  <si>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</si>
  <si>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</si>
  <si>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</si>
  <si>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</si>
  <si>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</si>
  <si>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</si>
  <si>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</si>
  <si>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</si>
  <si>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</si>
  <si>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</si>
  <si>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</si>
  <si>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</si>
  <si>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</si>
  <si>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</si>
  <si>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</si>
  <si>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</si>
  <si>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</si>
  <si>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</si>
  <si>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</si>
  <si>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</si>
  <si>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</si>
  <si>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</si>
  <si>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</si>
  <si>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</si>
  <si>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</si>
  <si>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</si>
  <si>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</si>
  <si>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</si>
  <si>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</si>
  <si>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</si>
  <si>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</si>
  <si>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</si>
  <si>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</si>
  <si>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</si>
  <si>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</si>
  <si>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</si>
  <si>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</si>
  <si>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</si>
  <si>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</si>
  <si>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</si>
  <si>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</si>
  <si>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</si>
  <si>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</si>
  <si>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</si>
  <si>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</si>
  <si>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</si>
  <si>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</si>
  <si>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</si>
  <si>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</si>
  <si>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</si>
  <si>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</si>
  <si>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</si>
  <si>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</si>
  <si>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</si>
  <si>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</si>
  <si>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</si>
  <si>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</si>
  <si>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</si>
  <si>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</si>
  <si>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</si>
  <si>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</si>
  <si>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</si>
  <si>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</si>
  <si>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</si>
  <si>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</si>
  <si>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</si>
  <si>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</si>
  <si>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</si>
  <si>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</si>
  <si>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</si>
  <si>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</si>
  <si>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</si>
  <si>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</si>
  <si>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</si>
  <si>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</si>
  <si>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</si>
  <si>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</si>
  <si>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</si>
  <si>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</si>
  <si>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</si>
  <si>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</si>
  <si>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</si>
  <si>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</si>
  <si>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</si>
  <si>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</si>
  <si>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</si>
  <si>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</si>
  <si>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</si>
  <si>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</si>
  <si>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</si>
  <si>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</si>
  <si>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</si>
  <si>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</si>
  <si>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</si>
  <si>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</si>
  <si>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</si>
  <si>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</si>
  <si>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</si>
  <si>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</si>
  <si>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</si>
  <si>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</si>
  <si>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</si>
  <si>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</si>
  <si>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</si>
  <si>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</si>
  <si>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</si>
  <si>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</si>
  <si>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</si>
  <si>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</si>
  <si>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</si>
  <si>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</si>
  <si>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</si>
  <si>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</si>
  <si>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</si>
  <si>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</si>
  <si>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</si>
  <si>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</si>
  <si>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</si>
  <si>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</si>
  <si>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</si>
  <si>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</si>
  <si>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</si>
  <si>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</si>
  <si>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</si>
  <si>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</si>
  <si>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</si>
  <si>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</si>
  <si>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</si>
  <si>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</si>
  <si>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</si>
  <si>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</si>
  <si>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</si>
  <si>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</si>
  <si>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</si>
  <si>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</si>
  <si>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</si>
  <si>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</si>
  <si>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</si>
  <si>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</si>
  <si>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</si>
  <si>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</si>
  <si>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</si>
  <si>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</si>
  <si>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</si>
  <si>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</si>
  <si>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</si>
  <si>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</si>
  <si>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</si>
  <si>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</si>
  <si>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</si>
  <si>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</si>
  <si>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</si>
  <si>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</si>
  <si>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</si>
  <si>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</si>
  <si>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</si>
  <si>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</si>
  <si>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</si>
  <si>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</si>
  <si>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</si>
  <si>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</si>
  <si>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</si>
  <si>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</si>
  <si>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</si>
  <si>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</si>
  <si>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</si>
  <si>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</si>
  <si>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</si>
  <si>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</si>
  <si>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</si>
  <si>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</si>
  <si>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</si>
  <si>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</si>
  <si>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</si>
  <si>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</si>
  <si>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</si>
  <si>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</si>
  <si>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</si>
  <si>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</si>
  <si>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</si>
  <si>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</si>
  <si>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</si>
  <si>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</si>
  <si>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</si>
  <si>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</si>
  <si>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</si>
  <si>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</si>
  <si>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</si>
  <si>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</si>
  <si>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</si>
  <si>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</si>
  <si>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</si>
  <si>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</si>
  <si>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</si>
  <si>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</si>
  <si>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</si>
  <si>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</si>
  <si>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</si>
  <si>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</si>
  <si>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</si>
  <si>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</si>
  <si>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</si>
  <si>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</si>
  <si>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</si>
  <si>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</si>
  <si>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</si>
  <si>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</si>
  <si>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</si>
  <si>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</si>
  <si>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</si>
  <si>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</si>
  <si>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</si>
  <si>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</si>
  <si>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</si>
  <si>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</si>
  <si>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</si>
  <si>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</si>
  <si>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</si>
  <si>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</si>
  <si>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</si>
  <si>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</si>
  <si>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</si>
  <si>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</si>
  <si>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</si>
  <si>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</si>
  <si>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</si>
  <si>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</si>
  <si>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</si>
  <si>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</si>
  <si>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</si>
  <si>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</si>
  <si>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</si>
  <si>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</si>
  <si>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</si>
  <si>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</si>
  <si>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</si>
  <si>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</si>
  <si>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</si>
  <si>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</si>
  <si>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</si>
  <si>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</si>
  <si>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</si>
  <si>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</si>
  <si>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</si>
  <si>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</si>
  <si>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</si>
  <si>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</si>
  <si>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</si>
  <si>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</si>
  <si>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</si>
  <si>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</si>
  <si>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</si>
  <si>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</si>
  <si>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</si>
  <si>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</si>
  <si>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</si>
  <si>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</si>
  <si>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</si>
  <si>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</si>
  <si>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</si>
  <si>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</si>
  <si>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</si>
  <si>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</si>
  <si>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</si>
  <si>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</si>
  <si>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</si>
  <si>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</si>
  <si>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</si>
  <si>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</si>
  <si>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</si>
  <si>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</si>
  <si>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</si>
  <si>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</si>
  <si>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</si>
  <si>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</si>
  <si>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</si>
  <si>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</si>
  <si>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Personal sector debt interest payments</t>
  </si>
  <si>
    <t>Pound</t>
  </si>
  <si>
    <t>Millions</t>
  </si>
  <si>
    <t>Level</t>
  </si>
  <si>
    <t>Office for National Statistics\Haver Analytics</t>
  </si>
  <si>
    <t>NA</t>
  </si>
  <si>
    <t>ROYUQ@UK</t>
  </si>
  <si>
    <t>UK: HH &amp; NPISH: Interest, Paid (SA, Mil.GBP)</t>
  </si>
  <si>
    <t>GBR</t>
  </si>
  <si>
    <t>PEDIP</t>
  </si>
  <si>
    <t>Personal sector debt interest payments, excl. FISIM adjustment</t>
  </si>
  <si>
    <t>Office for National Statistics/Haver Analytics</t>
  </si>
  <si>
    <t>J4X3Q@UK</t>
  </si>
  <si>
    <t>UK: HH &amp; NPISH: Uses: Interest excluding FISIM Adjustment (SA, Mil.GBP)</t>
  </si>
  <si>
    <t>PEDIP_UNADJ</t>
  </si>
  <si>
    <t>Personal sector debt interest receipts</t>
  </si>
  <si>
    <t>ROYMQ@UK</t>
  </si>
  <si>
    <t>UK: HH &amp; NPISH: Interest, Received (SA, Mil.GBP)</t>
  </si>
  <si>
    <t>PEDIR</t>
  </si>
  <si>
    <t>Personal sector debt interest receipts, excl. FISIM adjustment</t>
  </si>
  <si>
    <t xml:space="preserve">Office for National Statistics/Haver Analytics </t>
  </si>
  <si>
    <t>J4X2Q@UK</t>
  </si>
  <si>
    <t>UK: HH &amp; NPISH: Resources: Interest excluding FISIM Adjustment (SA, Mil.GBP)</t>
  </si>
  <si>
    <t>PEDIR_UNADJ</t>
  </si>
  <si>
    <t>Interest rate on mortgages</t>
  </si>
  <si>
    <t>%</t>
  </si>
  <si>
    <t>Bank of England\Haver Analytics</t>
  </si>
  <si>
    <t>UNHSDE@UK,EOP</t>
  </si>
  <si>
    <t>UK: Banks Weighted Avg Interest Rate, HH Loans Secured on Dwellings (%)</t>
  </si>
  <si>
    <t>RBM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</si>
  <si>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</si>
  <si>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</si>
  <si>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</si>
  <si>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</si>
  <si>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</si>
  <si>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Interest rate, central bank policy, end of period</t>
  </si>
  <si>
    <t>agg(R112RD@INTDAILY,EOP)</t>
  </si>
  <si>
    <t>United Kingdom: Official Bank Rate (%) ,EOP</t>
  </si>
  <si>
    <t>RCBEOP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</si>
  <si>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</si>
  <si>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</si>
  <si>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</si>
  <si>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</si>
  <si>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</si>
  <si>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Interest rate, 10y gov. bond yield, Term Premium</t>
  </si>
  <si>
    <t>Oxford Economics calculations</t>
  </si>
  <si>
    <t>Oxford Economics calculation</t>
  </si>
  <si>
    <t>RLG_TERM_PREM</t>
  </si>
  <si>
    <t>Interest Rate Swap, risk-free reference rate, 2yr</t>
  </si>
  <si>
    <t>Tullett Prebon Information/LSEG Datastream/Haver Analytics</t>
  </si>
  <si>
    <t>M112IHH@INTDAILY, spliced with OIGBP2Y</t>
  </si>
  <si>
    <t>UK: 24 Month Overnight Index Swap[Ann,Act/365]v SONIA:Mid Rate[2PM ET](%p.a)</t>
  </si>
  <si>
    <t>RSWAP2YR_RFR</t>
  </si>
  <si>
    <t>Interest Rate Swap, risk-free reference rate, 5yr</t>
  </si>
  <si>
    <t>Tullett Prebon Information/Haver Analytics</t>
  </si>
  <si>
    <t>M112I5Y@INTDAILY</t>
  </si>
  <si>
    <t>UK: 5 Year Overnight Index Swap[Ann,Act/365]v SONIA:Mid Rate[2PM ET](%p.a)</t>
  </si>
  <si>
    <t>RSWAP5YR_RFR</t>
  </si>
  <si>
    <t>UK</t>
  </si>
  <si>
    <t>L</t>
  </si>
  <si>
    <t>Quoted mortgage rates</t>
  </si>
  <si>
    <t>Margins</t>
  </si>
  <si>
    <t>Diff vs expiring deal</t>
  </si>
  <si>
    <t>Standard variable rate *</t>
  </si>
  <si>
    <t>2 year fix, 75% LTV **</t>
  </si>
  <si>
    <t>5 year fix, 75% LTV **</t>
  </si>
  <si>
    <t>Standard variable rate</t>
  </si>
  <si>
    <t>2 year fix, 75% LTV</t>
  </si>
  <si>
    <t>5 year fix, 75% LTV</t>
  </si>
  <si>
    <t>2yr</t>
  </si>
  <si>
    <t>5yr</t>
  </si>
  <si>
    <t>Bank Rate</t>
  </si>
  <si>
    <t>2 year swap</t>
  </si>
  <si>
    <t>5 year swap</t>
  </si>
  <si>
    <t>199001 !M</t>
  </si>
  <si>
    <t>UNTLMV@UK</t>
  </si>
  <si>
    <t>UNBV34@UK</t>
  </si>
  <si>
    <t>UNBV42@UK</t>
  </si>
  <si>
    <t>R112RD@INTDAILY</t>
  </si>
  <si>
    <t>M112IHH@INTDAILY</t>
  </si>
  <si>
    <t>.DTLM</t>
  </si>
  <si>
    <t>.LSOURCE</t>
  </si>
  <si>
    <t>.TN</t>
  </si>
  <si>
    <t>.T1</t>
  </si>
  <si>
    <t>.DESC</t>
  </si>
  <si>
    <t>Bank of England</t>
  </si>
  <si>
    <t>Jan-1995</t>
  </si>
  <si>
    <t>UK: Mortgages: Standard Variable Rate: MFIS ex Central Bank (AVG, %)</t>
  </si>
  <si>
    <t>UK: Mortgages: Fixed Rates: MFIS ex Central Bank: 2-Year 75% LTV (AVG, %)</t>
  </si>
  <si>
    <t>UK: Mortgages: Fixed Rates: MFIS ex Central Bank: 5-Year 75% LTV (AVG, %)</t>
  </si>
  <si>
    <t>Jan-1954 &lt;- 01-Jan-1954</t>
  </si>
  <si>
    <t>Aug-2014 &lt;- 26-Aug-2014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</si>
  <si>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</si>
  <si>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</si>
  <si>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</si>
  <si>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</si>
  <si>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</si>
  <si>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</si>
  <si>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</si>
  <si>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</si>
  <si>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</si>
  <si>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</si>
  <si>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</si>
  <si>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</si>
  <si>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</si>
  <si>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</si>
  <si>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</si>
  <si>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</si>
  <si>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</si>
  <si>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</si>
  <si>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</si>
  <si>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</si>
  <si>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</si>
  <si>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</si>
  <si>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</si>
  <si>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</si>
  <si>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</si>
  <si>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</si>
  <si>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</si>
  <si>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</si>
  <si>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</si>
  <si>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</si>
  <si>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</si>
  <si>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</si>
  <si>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</si>
  <si>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</si>
  <si>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</si>
  <si>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</si>
  <si>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</si>
  <si>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</si>
  <si>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</si>
  <si>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</si>
  <si>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</si>
  <si>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</si>
  <si>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</si>
  <si>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</si>
  <si>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</si>
  <si>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</si>
  <si>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</si>
  <si>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</si>
  <si>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</si>
  <si>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</si>
  <si>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</si>
  <si>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</si>
  <si>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</si>
  <si>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</si>
  <si>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</si>
  <si>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</si>
  <si>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</si>
  <si>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</si>
  <si>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</si>
  <si>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</si>
  <si>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</si>
  <si>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</si>
  <si>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</si>
  <si>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</si>
  <si>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</si>
  <si>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</si>
  <si>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</si>
  <si>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</si>
  <si>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</si>
  <si>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</si>
  <si>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</si>
  <si>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</si>
  <si>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</si>
  <si>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</si>
  <si>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</si>
  <si>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</si>
  <si>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</si>
  <si>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</si>
  <si>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</si>
  <si>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</si>
  <si>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</si>
  <si>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</si>
  <si>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</si>
  <si>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</si>
  <si>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</si>
  <si>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</si>
  <si>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</si>
  <si>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</si>
  <si>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</si>
  <si>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</si>
  <si>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</si>
  <si>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</si>
  <si>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</si>
  <si>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</si>
  <si>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</si>
  <si>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</si>
  <si>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</si>
  <si>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</si>
  <si>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</si>
  <si>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</si>
  <si>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</si>
  <si>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</si>
  <si>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</si>
  <si>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</si>
  <si>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</si>
  <si>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</si>
  <si>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</si>
  <si>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</si>
  <si>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</si>
  <si>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</si>
  <si>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</si>
  <si>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</si>
  <si>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</si>
  <si>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</si>
  <si>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</si>
  <si>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</si>
  <si>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</si>
  <si>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</si>
  <si>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</si>
  <si>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</si>
  <si>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</si>
  <si>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</si>
  <si>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</si>
  <si>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</si>
  <si>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</si>
  <si>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</si>
  <si>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</si>
  <si>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</si>
  <si>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</si>
  <si>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</si>
  <si>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</si>
  <si>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</si>
  <si>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</si>
  <si>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</si>
  <si>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</si>
  <si>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</si>
  <si>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</si>
  <si>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</si>
  <si>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</si>
  <si>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</si>
  <si>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</si>
  <si>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</si>
  <si>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</si>
  <si>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</si>
  <si>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</si>
  <si>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</si>
  <si>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</si>
  <si>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</si>
  <si>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</si>
  <si>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</si>
  <si>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</si>
  <si>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</si>
  <si>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</si>
  <si>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</si>
  <si>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</si>
  <si>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</si>
  <si>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</si>
  <si>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</si>
  <si>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</si>
  <si>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</si>
  <si>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</si>
  <si>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</si>
  <si>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</si>
  <si>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</si>
  <si>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</si>
  <si>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</si>
  <si>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</si>
  <si>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</si>
  <si>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</si>
  <si>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</si>
  <si>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</si>
  <si>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</si>
  <si>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</si>
  <si>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</si>
  <si>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</si>
  <si>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</si>
  <si>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</si>
  <si>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</si>
  <si>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</si>
  <si>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</si>
  <si>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</si>
  <si>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</si>
  <si>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</si>
  <si>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</si>
  <si>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</si>
  <si>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</si>
  <si>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</si>
  <si>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</si>
  <si>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</si>
  <si>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</si>
  <si>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</si>
  <si>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</si>
  <si>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</si>
  <si>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</si>
  <si>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</si>
  <si>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</si>
  <si>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</si>
  <si>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</si>
  <si>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</si>
  <si>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</si>
  <si>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</si>
  <si>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</si>
  <si>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</si>
  <si>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</si>
  <si>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</si>
  <si>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</si>
  <si>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</si>
  <si>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</si>
  <si>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</si>
  <si>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</si>
  <si>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</si>
  <si>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</si>
  <si>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</si>
  <si>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</si>
  <si>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</si>
  <si>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</si>
  <si>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</si>
  <si>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</si>
  <si>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</si>
  <si>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</si>
  <si>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</si>
  <si>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</si>
  <si>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</si>
  <si>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</si>
  <si>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</si>
  <si>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</si>
  <si>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</si>
  <si>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</si>
  <si>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</si>
  <si>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</si>
  <si>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</si>
  <si>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</si>
  <si>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</si>
  <si>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</si>
  <si>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</si>
  <si>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</si>
  <si>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</si>
  <si>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</si>
  <si>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</si>
  <si>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</si>
  <si>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</si>
  <si>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</si>
  <si>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</si>
  <si>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</si>
  <si>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</si>
  <si>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</si>
  <si>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</si>
  <si>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</si>
  <si>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</si>
  <si>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</si>
  <si>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</si>
  <si>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</si>
  <si>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</si>
  <si>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</si>
  <si>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</si>
  <si>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</si>
  <si>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</si>
  <si>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</si>
  <si>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</si>
  <si>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</si>
  <si>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</si>
  <si>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</si>
  <si>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</si>
  <si>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</si>
  <si>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</si>
  <si>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</si>
  <si>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</si>
  <si>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</si>
  <si>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</si>
  <si>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</si>
  <si>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</si>
  <si>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</si>
  <si>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</si>
  <si>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</si>
  <si>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</si>
  <si>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</si>
  <si>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</si>
  <si>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</si>
  <si>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</si>
  <si>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</si>
  <si>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</si>
  <si>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</si>
  <si>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</si>
  <si>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</si>
  <si>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</si>
  <si>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</si>
  <si>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</si>
  <si>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</si>
  <si>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</si>
  <si>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</si>
  <si>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</si>
  <si>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</si>
  <si>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</si>
  <si>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</si>
  <si>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</si>
  <si>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</si>
  <si>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</si>
  <si>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</si>
  <si>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</si>
  <si>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</si>
  <si>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</si>
  <si>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</si>
  <si>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</si>
  <si>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</si>
  <si>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</si>
  <si>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</si>
  <si>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</si>
  <si>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</si>
  <si>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</si>
  <si>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</si>
  <si>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</si>
  <si>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</si>
  <si>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</si>
  <si>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</si>
  <si>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</si>
  <si>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</si>
  <si>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</si>
  <si>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</si>
  <si>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</si>
  <si>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</si>
  <si>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</si>
  <si>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</si>
  <si>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</si>
  <si>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</si>
  <si>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</si>
  <si>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</si>
  <si>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</si>
  <si>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</si>
  <si>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</si>
  <si>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</si>
  <si>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</si>
  <si>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</si>
  <si>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</si>
  <si>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</si>
  <si>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</si>
  <si>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</si>
  <si>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</si>
  <si>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</si>
  <si>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</si>
  <si>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</si>
  <si>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</si>
  <si>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</si>
  <si>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</si>
  <si>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</si>
  <si>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</si>
  <si>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</si>
  <si>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</si>
  <si>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</si>
  <si>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</si>
  <si>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</si>
  <si>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</si>
  <si>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</si>
  <si>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</si>
  <si>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</si>
  <si>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</si>
  <si>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</si>
  <si>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</si>
  <si>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</si>
  <si>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</si>
  <si>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</si>
  <si>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</si>
  <si>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</si>
  <si>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</si>
  <si>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</si>
  <si>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</si>
  <si>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</si>
  <si>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</si>
  <si>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</si>
  <si>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</si>
  <si>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</si>
  <si>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</si>
  <si>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</si>
  <si>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</si>
  <si>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</si>
  <si>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</si>
  <si>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</si>
  <si>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</si>
  <si>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</si>
  <si>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</si>
  <si>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</si>
  <si>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</si>
  <si>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</si>
  <si>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</si>
  <si>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</si>
  <si>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</si>
  <si>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</si>
  <si>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</si>
  <si>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</si>
  <si>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</si>
  <si>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</si>
  <si>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</si>
  <si>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</si>
  <si>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</si>
  <si>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</si>
  <si>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</si>
  <si>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</si>
  <si>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</si>
  <si>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</si>
  <si>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</si>
  <si>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</si>
  <si>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</si>
  <si>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</si>
  <si>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</si>
  <si>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</si>
  <si>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</si>
  <si>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</si>
  <si>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</si>
  <si>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</si>
  <si>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</si>
  <si>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</si>
  <si>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</si>
  <si>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</si>
  <si>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</si>
  <si>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</si>
  <si>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</si>
  <si>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</si>
  <si>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</si>
  <si>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</si>
  <si>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</si>
  <si>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</si>
  <si>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</si>
  <si>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</si>
  <si>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</si>
  <si>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</si>
  <si>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End-date:</t>
  </si>
  <si>
    <t>Interest rates</t>
  </si>
  <si>
    <t>Interest rates - change since Bank Rate started to rise</t>
  </si>
  <si>
    <t>Non-financial corporations</t>
  </si>
  <si>
    <t>Secured household</t>
  </si>
  <si>
    <t>Companies</t>
  </si>
  <si>
    <t>Household mortgages</t>
  </si>
  <si>
    <t>Hiking cycle</t>
  </si>
  <si>
    <t>Cutting cycle</t>
  </si>
  <si>
    <t>UNHSDC@UK</t>
  </si>
  <si>
    <t>UNHSDE@UK</t>
  </si>
  <si>
    <t>Jan-1999</t>
  </si>
  <si>
    <t>UK: Banks Weighted Average Interest Rate, Other Loans to Nonfin Corps (%)</t>
  </si>
  <si>
    <t>RLOAN</t>
  </si>
  <si>
    <t>Interest rate on loans</t>
  </si>
  <si>
    <t>Desktop</t>
  </si>
  <si>
    <t>May-2025</t>
  </si>
  <si>
    <t>202505</t>
  </si>
  <si>
    <t>Jun-30-2025 09:30</t>
  </si>
  <si>
    <t>202506</t>
  </si>
  <si>
    <t>Jul-07-2025 09:34</t>
  </si>
  <si>
    <t>Jun-2025</t>
  </si>
  <si>
    <t>Jul-10-2025 14:17</t>
  </si>
  <si>
    <t>Jun-2025 &lt;- 10-Jul-2025</t>
  </si>
  <si>
    <t>Jul-10-2025 19:25</t>
  </si>
  <si>
    <t>JUL009E</t>
  </si>
  <si>
    <t>False</t>
  </si>
  <si>
    <t>2025</t>
  </si>
  <si>
    <t>1</t>
  </si>
  <si>
    <t>09 July 2025</t>
  </si>
  <si>
    <t>2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</si>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</sst>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6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16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indexed="44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5" fillId="0" borderId="0"/>
    <xf numFmtId="0" fontId="6" fillId="0" borderId="0"/>
    <xf numFmtId="0" fontId="7" fillId="0" borderId="0"/>
  </cellStyleXfs>
  <cellXfs count="21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1" fillId="0" borderId="0" xfId="2"/>
    <xf numFmtId="0" fontId="1" fillId="0" borderId="0" xfId="2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  <xf numFmtId="2" fontId="0" fillId="0" borderId="2" xfId="0" applyNumberFormat="1" applyBorder="1"/>
    <xf numFmtId="0" fontId="0" fillId="0" borderId="2" xfId="0" applyBorder="1"/>
    <xf numFmtId="1" fontId="0" fillId="0" borderId="0" xfId="0" applyNumberFormat="1"/>
    <xf numFmtId="2" fontId="0" fillId="0" borderId="0" xfId="0" applyNumberFormat="1" applyBorder="1"/>
    <xf numFmtId="0" fontId="0" fillId="0" borderId="0" xfId="0" applyBorder="1"/>
    <xf numFmtId="0" fontId="8" fillId="2" borderId="1" xfId="1" applyFont="1" applyFill="1" applyBorder="1" applyAlignment="1">
      <alignment horizontal="left" wrapText="1"/>
    </xf>
  </cellXfs>
  <cellStyles count="6">
    <cellStyle name="Normal" xfId="0" builtinId="0"/>
    <cellStyle name="Normal 2" xfId="1" xr:uid="{03B11C01-9779-4A1D-A4CC-AF2CB1AC715B}"/>
    <cellStyle name="Normal 2 5" xfId="2" xr:uid="{083A52D8-65DB-497B-A474-9E5702076DA4}"/>
    <cellStyle name="Normal 3" xfId="3" xr:uid="{0537F800-D7C2-4FCD-8F59-2548FA33A201}"/>
    <cellStyle name="Normal 4" xfId="4" xr:uid="{4AAE9070-89DC-4EE5-8A2B-C88F6444AFE1}"/>
    <cellStyle name="Normal 5" xfId="5" xr:uid="{51F6BC20-3C8C-4B52-824A-E1374D466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2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4.xml"/><Relationship Id="rId15" Type="http://schemas.openxmlformats.org/officeDocument/2006/relationships/theme" Target="theme/theme1.xml"/><Relationship Id="rId10" Type="http://schemas.openxmlformats.org/officeDocument/2006/relationships/worksheet" Target="worksheets/sheet5.xml"/><Relationship Id="rId19" Type="http://schemas.microsoft.com/office/2017/10/relationships/person" Target="persons/person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43635698670819E-3"/>
          <c:y val="0.12466667430154611"/>
          <c:w val="0.98897280569079404"/>
          <c:h val="0.8084444939554807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Standard variable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Data'!$B$4:$B$159</c:f>
              <c:numCache>
                <c:formatCode>0.00</c:formatCode>
                <c:ptCount val="156"/>
                <c:pt idx="0">
                  <c:v>4.41</c:v>
                </c:pt>
                <c:pt idx="1">
                  <c:v>4.43</c:v>
                </c:pt>
                <c:pt idx="2">
                  <c:v>4.43</c:v>
                </c:pt>
                <c:pt idx="3">
                  <c:v>4.43</c:v>
                </c:pt>
                <c:pt idx="4">
                  <c:v>4.42</c:v>
                </c:pt>
                <c:pt idx="5">
                  <c:v>4.3600000000000003</c:v>
                </c:pt>
                <c:pt idx="6">
                  <c:v>4.45</c:v>
                </c:pt>
                <c:pt idx="7">
                  <c:v>4.45</c:v>
                </c:pt>
                <c:pt idx="8">
                  <c:v>4.5199999999999996</c:v>
                </c:pt>
                <c:pt idx="9">
                  <c:v>4.53</c:v>
                </c:pt>
                <c:pt idx="10">
                  <c:v>4.49</c:v>
                </c:pt>
                <c:pt idx="11">
                  <c:v>4.4800000000000004</c:v>
                </c:pt>
                <c:pt idx="12">
                  <c:v>4.5599999999999996</c:v>
                </c:pt>
                <c:pt idx="13">
                  <c:v>4.51</c:v>
                </c:pt>
                <c:pt idx="14">
                  <c:v>4.51</c:v>
                </c:pt>
                <c:pt idx="15">
                  <c:v>4.53</c:v>
                </c:pt>
                <c:pt idx="16">
                  <c:v>4.55</c:v>
                </c:pt>
                <c:pt idx="17">
                  <c:v>4.49</c:v>
                </c:pt>
                <c:pt idx="18">
                  <c:v>4.5</c:v>
                </c:pt>
                <c:pt idx="19">
                  <c:v>4.4800000000000004</c:v>
                </c:pt>
                <c:pt idx="20">
                  <c:v>4.5</c:v>
                </c:pt>
                <c:pt idx="21">
                  <c:v>4.54</c:v>
                </c:pt>
                <c:pt idx="22">
                  <c:v>4.49</c:v>
                </c:pt>
                <c:pt idx="23">
                  <c:v>4.49</c:v>
                </c:pt>
                <c:pt idx="24">
                  <c:v>4.5599999999999996</c:v>
                </c:pt>
                <c:pt idx="25">
                  <c:v>4.58</c:v>
                </c:pt>
                <c:pt idx="26">
                  <c:v>4.57</c:v>
                </c:pt>
                <c:pt idx="27">
                  <c:v>4.6399999999999997</c:v>
                </c:pt>
                <c:pt idx="28">
                  <c:v>4.5599999999999996</c:v>
                </c:pt>
                <c:pt idx="29">
                  <c:v>4.5199999999999996</c:v>
                </c:pt>
                <c:pt idx="30">
                  <c:v>4.55</c:v>
                </c:pt>
                <c:pt idx="31">
                  <c:v>4.3</c:v>
                </c:pt>
                <c:pt idx="32">
                  <c:v>4.24</c:v>
                </c:pt>
                <c:pt idx="33">
                  <c:v>4.24</c:v>
                </c:pt>
                <c:pt idx="34">
                  <c:v>4.28</c:v>
                </c:pt>
                <c:pt idx="35">
                  <c:v>4.2300000000000004</c:v>
                </c:pt>
                <c:pt idx="36">
                  <c:v>4.49</c:v>
                </c:pt>
                <c:pt idx="37">
                  <c:v>4.37</c:v>
                </c:pt>
                <c:pt idx="38">
                  <c:v>4.28</c:v>
                </c:pt>
                <c:pt idx="39">
                  <c:v>4.54</c:v>
                </c:pt>
                <c:pt idx="40">
                  <c:v>4.2300000000000004</c:v>
                </c:pt>
                <c:pt idx="41">
                  <c:v>4.28</c:v>
                </c:pt>
                <c:pt idx="42">
                  <c:v>4.51</c:v>
                </c:pt>
                <c:pt idx="43">
                  <c:v>4.32</c:v>
                </c:pt>
                <c:pt idx="44">
                  <c:v>4.3099999999999996</c:v>
                </c:pt>
                <c:pt idx="45">
                  <c:v>4.3099999999999996</c:v>
                </c:pt>
                <c:pt idx="46">
                  <c:v>4.34</c:v>
                </c:pt>
                <c:pt idx="47">
                  <c:v>4.54</c:v>
                </c:pt>
                <c:pt idx="48">
                  <c:v>4.21</c:v>
                </c:pt>
                <c:pt idx="49">
                  <c:v>4.2300000000000004</c:v>
                </c:pt>
                <c:pt idx="50">
                  <c:v>4.1399999999999997</c:v>
                </c:pt>
                <c:pt idx="51">
                  <c:v>4.17</c:v>
                </c:pt>
                <c:pt idx="52">
                  <c:v>4.16</c:v>
                </c:pt>
                <c:pt idx="53">
                  <c:v>4.0599999999999996</c:v>
                </c:pt>
                <c:pt idx="54">
                  <c:v>4.0999999999999996</c:v>
                </c:pt>
                <c:pt idx="55">
                  <c:v>4.3499999999999996</c:v>
                </c:pt>
                <c:pt idx="56">
                  <c:v>4.3899999999999997</c:v>
                </c:pt>
                <c:pt idx="57">
                  <c:v>4.45</c:v>
                </c:pt>
                <c:pt idx="58">
                  <c:v>4.41</c:v>
                </c:pt>
                <c:pt idx="59">
                  <c:v>4.4000000000000004</c:v>
                </c:pt>
                <c:pt idx="60">
                  <c:v>4.4800000000000004</c:v>
                </c:pt>
                <c:pt idx="61">
                  <c:v>4.3099999999999996</c:v>
                </c:pt>
                <c:pt idx="62">
                  <c:v>4.3099999999999996</c:v>
                </c:pt>
                <c:pt idx="63">
                  <c:v>4.3099999999999996</c:v>
                </c:pt>
                <c:pt idx="64">
                  <c:v>4.29</c:v>
                </c:pt>
                <c:pt idx="65">
                  <c:v>4.29</c:v>
                </c:pt>
                <c:pt idx="66">
                  <c:v>4.29</c:v>
                </c:pt>
                <c:pt idx="67">
                  <c:v>4.29</c:v>
                </c:pt>
                <c:pt idx="68">
                  <c:v>4.29</c:v>
                </c:pt>
                <c:pt idx="69">
                  <c:v>4.2699999999999996</c:v>
                </c:pt>
                <c:pt idx="70">
                  <c:v>4.2699999999999996</c:v>
                </c:pt>
                <c:pt idx="71">
                  <c:v>4.2699999999999996</c:v>
                </c:pt>
                <c:pt idx="72">
                  <c:v>4.2699999999999996</c:v>
                </c:pt>
                <c:pt idx="73">
                  <c:v>4.26</c:v>
                </c:pt>
                <c:pt idx="74">
                  <c:v>4.0999999999999996</c:v>
                </c:pt>
                <c:pt idx="75">
                  <c:v>3.66</c:v>
                </c:pt>
                <c:pt idx="76">
                  <c:v>3.65</c:v>
                </c:pt>
                <c:pt idx="77">
                  <c:v>3.65</c:v>
                </c:pt>
                <c:pt idx="78">
                  <c:v>3.66</c:v>
                </c:pt>
                <c:pt idx="79">
                  <c:v>3.65</c:v>
                </c:pt>
                <c:pt idx="80">
                  <c:v>3.65</c:v>
                </c:pt>
                <c:pt idx="81">
                  <c:v>3.64</c:v>
                </c:pt>
                <c:pt idx="82">
                  <c:v>3.62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3.61</c:v>
                </c:pt>
                <c:pt idx="88">
                  <c:v>3.61</c:v>
                </c:pt>
                <c:pt idx="89">
                  <c:v>3.61</c:v>
                </c:pt>
                <c:pt idx="90">
                  <c:v>3.61</c:v>
                </c:pt>
                <c:pt idx="91">
                  <c:v>3.61</c:v>
                </c:pt>
                <c:pt idx="92">
                  <c:v>3.61</c:v>
                </c:pt>
                <c:pt idx="93">
                  <c:v>3.6</c:v>
                </c:pt>
                <c:pt idx="94">
                  <c:v>3.59</c:v>
                </c:pt>
                <c:pt idx="95">
                  <c:v>3.61</c:v>
                </c:pt>
                <c:pt idx="96">
                  <c:v>3.67</c:v>
                </c:pt>
                <c:pt idx="97">
                  <c:v>3.84</c:v>
                </c:pt>
                <c:pt idx="98">
                  <c:v>3.99</c:v>
                </c:pt>
                <c:pt idx="99">
                  <c:v>4.1100000000000003</c:v>
                </c:pt>
                <c:pt idx="100">
                  <c:v>4.26</c:v>
                </c:pt>
                <c:pt idx="101">
                  <c:v>4.3899999999999997</c:v>
                </c:pt>
                <c:pt idx="102">
                  <c:v>4.55</c:v>
                </c:pt>
                <c:pt idx="103">
                  <c:v>4.88</c:v>
                </c:pt>
                <c:pt idx="104">
                  <c:v>5.0999999999999996</c:v>
                </c:pt>
                <c:pt idx="105">
                  <c:v>5.42</c:v>
                </c:pt>
                <c:pt idx="106">
                  <c:v>5.87</c:v>
                </c:pt>
                <c:pt idx="107">
                  <c:v>6.42</c:v>
                </c:pt>
                <c:pt idx="108">
                  <c:v>6.61</c:v>
                </c:pt>
                <c:pt idx="109">
                  <c:v>6.97</c:v>
                </c:pt>
                <c:pt idx="110">
                  <c:v>7.16</c:v>
                </c:pt>
                <c:pt idx="111">
                  <c:v>7.3</c:v>
                </c:pt>
                <c:pt idx="112">
                  <c:v>7.38</c:v>
                </c:pt>
                <c:pt idx="113">
                  <c:v>7.47</c:v>
                </c:pt>
                <c:pt idx="114">
                  <c:v>7.64</c:v>
                </c:pt>
                <c:pt idx="115">
                  <c:v>7.91</c:v>
                </c:pt>
                <c:pt idx="116">
                  <c:v>7.98</c:v>
                </c:pt>
                <c:pt idx="117">
                  <c:v>8.02</c:v>
                </c:pt>
                <c:pt idx="118">
                  <c:v>8</c:v>
                </c:pt>
                <c:pt idx="119">
                  <c:v>7.92</c:v>
                </c:pt>
                <c:pt idx="120">
                  <c:v>7.94</c:v>
                </c:pt>
                <c:pt idx="121">
                  <c:v>7.94</c:v>
                </c:pt>
                <c:pt idx="122">
                  <c:v>7.93</c:v>
                </c:pt>
                <c:pt idx="123">
                  <c:v>8</c:v>
                </c:pt>
                <c:pt idx="124">
                  <c:v>8</c:v>
                </c:pt>
                <c:pt idx="125">
                  <c:v>8.0299999999999994</c:v>
                </c:pt>
                <c:pt idx="126">
                  <c:v>8.07</c:v>
                </c:pt>
                <c:pt idx="127">
                  <c:v>7.86</c:v>
                </c:pt>
                <c:pt idx="128">
                  <c:v>7.7</c:v>
                </c:pt>
                <c:pt idx="129">
                  <c:v>7.68</c:v>
                </c:pt>
                <c:pt idx="130">
                  <c:v>7.56</c:v>
                </c:pt>
                <c:pt idx="131">
                  <c:v>7.47</c:v>
                </c:pt>
                <c:pt idx="132">
                  <c:v>7.44</c:v>
                </c:pt>
                <c:pt idx="133">
                  <c:v>7.31</c:v>
                </c:pt>
                <c:pt idx="134">
                  <c:v>7.21</c:v>
                </c:pt>
                <c:pt idx="135">
                  <c:v>7.19</c:v>
                </c:pt>
                <c:pt idx="136">
                  <c:v>7.09</c:v>
                </c:pt>
                <c:pt idx="137">
                  <c:v>6.98</c:v>
                </c:pt>
                <c:pt idx="138">
                  <c:v>7.0331818181818182</c:v>
                </c:pt>
                <c:pt idx="139">
                  <c:v>6.8294372294372288</c:v>
                </c:pt>
                <c:pt idx="140">
                  <c:v>6.7818181818181813</c:v>
                </c:pt>
                <c:pt idx="141">
                  <c:v>6.7818181818181813</c:v>
                </c:pt>
                <c:pt idx="142">
                  <c:v>6.6211363636363636</c:v>
                </c:pt>
                <c:pt idx="143">
                  <c:v>6.583636363636364</c:v>
                </c:pt>
                <c:pt idx="144">
                  <c:v>6.583636363636364</c:v>
                </c:pt>
                <c:pt idx="145">
                  <c:v>6.4229545454545454</c:v>
                </c:pt>
                <c:pt idx="146">
                  <c:v>6.3854545454545448</c:v>
                </c:pt>
                <c:pt idx="147">
                  <c:v>6.3854545454545448</c:v>
                </c:pt>
                <c:pt idx="148">
                  <c:v>6.2348917748917749</c:v>
                </c:pt>
                <c:pt idx="149">
                  <c:v>6.1872727272727275</c:v>
                </c:pt>
                <c:pt idx="150">
                  <c:v>6.1872727272727275</c:v>
                </c:pt>
                <c:pt idx="151">
                  <c:v>6.2390909090909084</c:v>
                </c:pt>
                <c:pt idx="152">
                  <c:v>6.2390909090909084</c:v>
                </c:pt>
                <c:pt idx="153">
                  <c:v>6.2390909090909084</c:v>
                </c:pt>
                <c:pt idx="154">
                  <c:v>6.0766233766233757</c:v>
                </c:pt>
                <c:pt idx="155">
                  <c:v>6.040909090909091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Data'!$C$4:$C$159</c:f>
              <c:numCache>
                <c:formatCode>0.00</c:formatCode>
                <c:ptCount val="156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</c:v>
                </c:pt>
                <c:pt idx="118">
                  <c:v>5.28</c:v>
                </c:pt>
                <c:pt idx="119">
                  <c:v>5.03</c:v>
                </c:pt>
                <c:pt idx="120">
                  <c:v>4.71</c:v>
                </c:pt>
                <c:pt idx="121">
                  <c:v>4.76</c:v>
                </c:pt>
                <c:pt idx="122">
                  <c:v>4.96</c:v>
                </c:pt>
                <c:pt idx="123">
                  <c:v>4.9800000000000004</c:v>
                </c:pt>
                <c:pt idx="124">
                  <c:v>5.19</c:v>
                </c:pt>
                <c:pt idx="125">
                  <c:v>5.16</c:v>
                </c:pt>
                <c:pt idx="126">
                  <c:v>4.99</c:v>
                </c:pt>
                <c:pt idx="127">
                  <c:v>4.8</c:v>
                </c:pt>
                <c:pt idx="128">
                  <c:v>4.58</c:v>
                </c:pt>
                <c:pt idx="129">
                  <c:v>4.4000000000000004</c:v>
                </c:pt>
                <c:pt idx="130">
                  <c:v>4.53</c:v>
                </c:pt>
                <c:pt idx="131">
                  <c:v>4.5999999999999996</c:v>
                </c:pt>
                <c:pt idx="132">
                  <c:v>4.6500000000000004</c:v>
                </c:pt>
                <c:pt idx="133">
                  <c:v>4.6900000000000004</c:v>
                </c:pt>
                <c:pt idx="134">
                  <c:v>4.5599999999999996</c:v>
                </c:pt>
                <c:pt idx="135">
                  <c:v>4.42</c:v>
                </c:pt>
                <c:pt idx="136">
                  <c:v>4.1900000000000004</c:v>
                </c:pt>
                <c:pt idx="137">
                  <c:v>4.32</c:v>
                </c:pt>
                <c:pt idx="138">
                  <c:v>4.1552255905842825</c:v>
                </c:pt>
                <c:pt idx="139">
                  <c:v>4.1378383858764236</c:v>
                </c:pt>
                <c:pt idx="140">
                  <c:v>4.1288651493999344</c:v>
                </c:pt>
                <c:pt idx="141">
                  <c:v>4.1198919129234453</c:v>
                </c:pt>
                <c:pt idx="142">
                  <c:v>4.1109186764469561</c:v>
                </c:pt>
                <c:pt idx="143">
                  <c:v>4.1022668632653341</c:v>
                </c:pt>
                <c:pt idx="144">
                  <c:v>4.0936150500837121</c:v>
                </c:pt>
                <c:pt idx="145">
                  <c:v>4.0849632369020901</c:v>
                </c:pt>
                <c:pt idx="146">
                  <c:v>4.069878721561059</c:v>
                </c:pt>
                <c:pt idx="147">
                  <c:v>4.0547942062200271</c:v>
                </c:pt>
                <c:pt idx="148">
                  <c:v>4.039709690878996</c:v>
                </c:pt>
                <c:pt idx="149">
                  <c:v>4.0266722905167001</c:v>
                </c:pt>
                <c:pt idx="150">
                  <c:v>4.0136348901544032</c:v>
                </c:pt>
                <c:pt idx="151">
                  <c:v>4.0005974897921073</c:v>
                </c:pt>
                <c:pt idx="152">
                  <c:v>3.9734966242833716</c:v>
                </c:pt>
                <c:pt idx="153">
                  <c:v>3.9463957587746359</c:v>
                </c:pt>
                <c:pt idx="154">
                  <c:v>3.9192948932659002</c:v>
                </c:pt>
                <c:pt idx="155">
                  <c:v>3.882284695940371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Data'!$A$4:$A$159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Data'!$D$4:$D$159</c:f>
              <c:numCache>
                <c:formatCode>0.00</c:formatCode>
                <c:ptCount val="156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5.0199999999999996</c:v>
                </c:pt>
                <c:pt idx="118">
                  <c:v>4.8899999999999997</c:v>
                </c:pt>
                <c:pt idx="119">
                  <c:v>4.68</c:v>
                </c:pt>
                <c:pt idx="120">
                  <c:v>4.43</c:v>
                </c:pt>
                <c:pt idx="121">
                  <c:v>4.41</c:v>
                </c:pt>
                <c:pt idx="122">
                  <c:v>4.53</c:v>
                </c:pt>
                <c:pt idx="123">
                  <c:v>4.51</c:v>
                </c:pt>
                <c:pt idx="124">
                  <c:v>4.66</c:v>
                </c:pt>
                <c:pt idx="125">
                  <c:v>4.6399999999999997</c:v>
                </c:pt>
                <c:pt idx="126">
                  <c:v>4.49</c:v>
                </c:pt>
                <c:pt idx="127">
                  <c:v>4.33</c:v>
                </c:pt>
                <c:pt idx="128">
                  <c:v>4.09</c:v>
                </c:pt>
                <c:pt idx="129">
                  <c:v>4.0599999999999996</c:v>
                </c:pt>
                <c:pt idx="130">
                  <c:v>4.29</c:v>
                </c:pt>
                <c:pt idx="131">
                  <c:v>4.37</c:v>
                </c:pt>
                <c:pt idx="132">
                  <c:v>4.41</c:v>
                </c:pt>
                <c:pt idx="133">
                  <c:v>4.41</c:v>
                </c:pt>
                <c:pt idx="134">
                  <c:v>4.34</c:v>
                </c:pt>
                <c:pt idx="135">
                  <c:v>4.32</c:v>
                </c:pt>
                <c:pt idx="136">
                  <c:v>4.22</c:v>
                </c:pt>
                <c:pt idx="137">
                  <c:v>4.3</c:v>
                </c:pt>
                <c:pt idx="138">
                  <c:v>4.1660241445985724</c:v>
                </c:pt>
                <c:pt idx="139">
                  <c:v>4.1390362168978587</c:v>
                </c:pt>
                <c:pt idx="140">
                  <c:v>4.1363523661353794</c:v>
                </c:pt>
                <c:pt idx="141">
                  <c:v>4.1336685153729</c:v>
                </c:pt>
                <c:pt idx="142">
                  <c:v>4.1309846646104207</c:v>
                </c:pt>
                <c:pt idx="143">
                  <c:v>4.1214582097841568</c:v>
                </c:pt>
                <c:pt idx="144">
                  <c:v>4.111931754957892</c:v>
                </c:pt>
                <c:pt idx="145">
                  <c:v>4.1024053001316281</c:v>
                </c:pt>
                <c:pt idx="146">
                  <c:v>4.0868689237248965</c:v>
                </c:pt>
                <c:pt idx="147">
                  <c:v>4.0713325473181641</c:v>
                </c:pt>
                <c:pt idx="148">
                  <c:v>4.0557961709114316</c:v>
                </c:pt>
                <c:pt idx="149">
                  <c:v>4.0501042672702363</c:v>
                </c:pt>
                <c:pt idx="150">
                  <c:v>4.044412363629041</c:v>
                </c:pt>
                <c:pt idx="151">
                  <c:v>4.0387204599878466</c:v>
                </c:pt>
                <c:pt idx="152">
                  <c:v>4.0269627749847716</c:v>
                </c:pt>
                <c:pt idx="153">
                  <c:v>4.0152050899816967</c:v>
                </c:pt>
                <c:pt idx="154">
                  <c:v>4.0034474049786208</c:v>
                </c:pt>
                <c:pt idx="155">
                  <c:v>3.9878691392817505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9158327627185799E-2"/>
          <c:y val="0.12356591307927725"/>
          <c:w val="0.39395341269523149"/>
          <c:h val="0.1788881999319107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6667430154611"/>
          <c:w val="1"/>
          <c:h val="0.80844449395548079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Data'!$R$3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Data'!$P$4:$P$159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Data'!$R$4:$R$159</c:f>
              <c:numCache>
                <c:formatCode>0.00</c:formatCode>
                <c:ptCount val="156"/>
                <c:pt idx="24">
                  <c:v>-0.44000000000000017</c:v>
                </c:pt>
                <c:pt idx="25">
                  <c:v>-0.42999999999999994</c:v>
                </c:pt>
                <c:pt idx="26">
                  <c:v>-0.4700000000000002</c:v>
                </c:pt>
                <c:pt idx="27">
                  <c:v>-0.7</c:v>
                </c:pt>
                <c:pt idx="28">
                  <c:v>-0.65000000000000013</c:v>
                </c:pt>
                <c:pt idx="29">
                  <c:v>-0.85000000000000009</c:v>
                </c:pt>
                <c:pt idx="30">
                  <c:v>-0.82000000000000006</c:v>
                </c:pt>
                <c:pt idx="31">
                  <c:v>-0.85000000000000009</c:v>
                </c:pt>
                <c:pt idx="32">
                  <c:v>-0.86999999999999988</c:v>
                </c:pt>
                <c:pt idx="33">
                  <c:v>-0.69</c:v>
                </c:pt>
                <c:pt idx="34">
                  <c:v>-0.74</c:v>
                </c:pt>
                <c:pt idx="35">
                  <c:v>-0.63000000000000012</c:v>
                </c:pt>
                <c:pt idx="36">
                  <c:v>-0.55999999999999983</c:v>
                </c:pt>
                <c:pt idx="37">
                  <c:v>-0.54</c:v>
                </c:pt>
                <c:pt idx="38">
                  <c:v>-0.61999999999999988</c:v>
                </c:pt>
                <c:pt idx="39">
                  <c:v>-0.59999999999999987</c:v>
                </c:pt>
                <c:pt idx="40">
                  <c:v>-0.40999999999999992</c:v>
                </c:pt>
                <c:pt idx="41">
                  <c:v>-0.35000000000000009</c:v>
                </c:pt>
                <c:pt idx="42">
                  <c:v>-0.46000000000000019</c:v>
                </c:pt>
                <c:pt idx="43">
                  <c:v>-0.52</c:v>
                </c:pt>
                <c:pt idx="44">
                  <c:v>-0.51</c:v>
                </c:pt>
                <c:pt idx="45">
                  <c:v>-0.32000000000000006</c:v>
                </c:pt>
                <c:pt idx="46">
                  <c:v>-0.30999999999999983</c:v>
                </c:pt>
                <c:pt idx="47">
                  <c:v>-0.32999999999999985</c:v>
                </c:pt>
                <c:pt idx="48">
                  <c:v>-0.3899999999999999</c:v>
                </c:pt>
                <c:pt idx="49">
                  <c:v>-0.45999999999999996</c:v>
                </c:pt>
                <c:pt idx="50">
                  <c:v>-0.36999999999999988</c:v>
                </c:pt>
                <c:pt idx="51">
                  <c:v>-0.12000000000000011</c:v>
                </c:pt>
                <c:pt idx="52">
                  <c:v>-0.16999999999999993</c:v>
                </c:pt>
                <c:pt idx="53">
                  <c:v>-1.0000000000000009E-2</c:v>
                </c:pt>
                <c:pt idx="54">
                  <c:v>3.0000000000000027E-2</c:v>
                </c:pt>
                <c:pt idx="55">
                  <c:v>6.0000000000000053E-2</c:v>
                </c:pt>
                <c:pt idx="56">
                  <c:v>0.11999999999999988</c:v>
                </c:pt>
                <c:pt idx="57">
                  <c:v>0.28000000000000003</c:v>
                </c:pt>
                <c:pt idx="58">
                  <c:v>0.32000000000000006</c:v>
                </c:pt>
                <c:pt idx="59">
                  <c:v>0.28000000000000003</c:v>
                </c:pt>
                <c:pt idx="60">
                  <c:v>0.27</c:v>
                </c:pt>
                <c:pt idx="61">
                  <c:v>0.28000000000000003</c:v>
                </c:pt>
                <c:pt idx="62">
                  <c:v>0.32999999999999985</c:v>
                </c:pt>
                <c:pt idx="63">
                  <c:v>0.30999999999999983</c:v>
                </c:pt>
                <c:pt idx="64">
                  <c:v>0.15999999999999992</c:v>
                </c:pt>
                <c:pt idx="65">
                  <c:v>0.15999999999999992</c:v>
                </c:pt>
                <c:pt idx="66">
                  <c:v>0.20000000000000018</c:v>
                </c:pt>
                <c:pt idx="67">
                  <c:v>0.16000000000000014</c:v>
                </c:pt>
                <c:pt idx="68">
                  <c:v>0.15000000000000013</c:v>
                </c:pt>
                <c:pt idx="69">
                  <c:v>-8.0000000000000071E-2</c:v>
                </c:pt>
                <c:pt idx="70">
                  <c:v>-0.20000000000000018</c:v>
                </c:pt>
                <c:pt idx="71">
                  <c:v>-0.15000000000000013</c:v>
                </c:pt>
                <c:pt idx="72">
                  <c:v>-0.13000000000000012</c:v>
                </c:pt>
                <c:pt idx="73">
                  <c:v>-9.000000000000008E-2</c:v>
                </c:pt>
                <c:pt idx="74">
                  <c:v>-0.13000000000000012</c:v>
                </c:pt>
                <c:pt idx="75">
                  <c:v>-0.34000000000000008</c:v>
                </c:pt>
                <c:pt idx="76">
                  <c:v>-0.32000000000000006</c:v>
                </c:pt>
                <c:pt idx="77">
                  <c:v>-0.33000000000000007</c:v>
                </c:pt>
                <c:pt idx="78">
                  <c:v>-0.30000000000000004</c:v>
                </c:pt>
                <c:pt idx="79">
                  <c:v>-0.14999999999999991</c:v>
                </c:pt>
                <c:pt idx="80">
                  <c:v>4.0000000000000036E-2</c:v>
                </c:pt>
                <c:pt idx="81">
                  <c:v>0.1399999999999999</c:v>
                </c:pt>
                <c:pt idx="82">
                  <c:v>0.16999999999999993</c:v>
                </c:pt>
                <c:pt idx="83">
                  <c:v>0.13000000000000012</c:v>
                </c:pt>
                <c:pt idx="84">
                  <c:v>3.0000000000000027E-2</c:v>
                </c:pt>
                <c:pt idx="85">
                  <c:v>-8.9999999999999858E-2</c:v>
                </c:pt>
                <c:pt idx="86">
                  <c:v>-0.1399999999999999</c:v>
                </c:pt>
                <c:pt idx="87">
                  <c:v>-0.16999999999999993</c:v>
                </c:pt>
                <c:pt idx="88">
                  <c:v>-0.17999999999999994</c:v>
                </c:pt>
                <c:pt idx="89">
                  <c:v>-0.25</c:v>
                </c:pt>
                <c:pt idx="90">
                  <c:v>-0.32000000000000006</c:v>
                </c:pt>
                <c:pt idx="91">
                  <c:v>-0.3600000000000001</c:v>
                </c:pt>
                <c:pt idx="92">
                  <c:v>-0.35000000000000009</c:v>
                </c:pt>
                <c:pt idx="93">
                  <c:v>-0.17999999999999994</c:v>
                </c:pt>
                <c:pt idx="94">
                  <c:v>0.12000000000000011</c:v>
                </c:pt>
                <c:pt idx="95">
                  <c:v>0.15000000000000013</c:v>
                </c:pt>
                <c:pt idx="96">
                  <c:v>0.22999999999999998</c:v>
                </c:pt>
                <c:pt idx="97">
                  <c:v>0.38000000000000012</c:v>
                </c:pt>
                <c:pt idx="98">
                  <c:v>0.74000000000000021</c:v>
                </c:pt>
                <c:pt idx="99">
                  <c:v>0.9700000000000002</c:v>
                </c:pt>
                <c:pt idx="100">
                  <c:v>1.21</c:v>
                </c:pt>
                <c:pt idx="101">
                  <c:v>1.4600000000000002</c:v>
                </c:pt>
                <c:pt idx="102">
                  <c:v>2.0300000000000002</c:v>
                </c:pt>
                <c:pt idx="103">
                  <c:v>2</c:v>
                </c:pt>
                <c:pt idx="104">
                  <c:v>2.42</c:v>
                </c:pt>
                <c:pt idx="105">
                  <c:v>4.0500000000000007</c:v>
                </c:pt>
                <c:pt idx="106">
                  <c:v>4.0600000000000005</c:v>
                </c:pt>
                <c:pt idx="107">
                  <c:v>3.5699999999999994</c:v>
                </c:pt>
                <c:pt idx="108">
                  <c:v>3.3899999999999997</c:v>
                </c:pt>
                <c:pt idx="109">
                  <c:v>3.1799999999999997</c:v>
                </c:pt>
                <c:pt idx="110">
                  <c:v>3.18</c:v>
                </c:pt>
                <c:pt idx="111">
                  <c:v>3.1099999999999994</c:v>
                </c:pt>
                <c:pt idx="112">
                  <c:v>3.25</c:v>
                </c:pt>
                <c:pt idx="113">
                  <c:v>4.1000000000000005</c:v>
                </c:pt>
                <c:pt idx="114">
                  <c:v>4.93</c:v>
                </c:pt>
                <c:pt idx="115">
                  <c:v>4.9499999999999993</c:v>
                </c:pt>
                <c:pt idx="116">
                  <c:v>4.71</c:v>
                </c:pt>
                <c:pt idx="117">
                  <c:v>4.3099999999999996</c:v>
                </c:pt>
                <c:pt idx="118">
                  <c:v>3.75</c:v>
                </c:pt>
                <c:pt idx="119">
                  <c:v>3.46</c:v>
                </c:pt>
                <c:pt idx="120">
                  <c:v>3.0700000000000003</c:v>
                </c:pt>
                <c:pt idx="121">
                  <c:v>2.9799999999999995</c:v>
                </c:pt>
                <c:pt idx="122">
                  <c:v>2.82</c:v>
                </c:pt>
                <c:pt idx="123">
                  <c:v>2.6300000000000003</c:v>
                </c:pt>
                <c:pt idx="124">
                  <c:v>2.5600000000000005</c:v>
                </c:pt>
                <c:pt idx="125">
                  <c:v>2.29</c:v>
                </c:pt>
                <c:pt idx="126">
                  <c:v>1.5100000000000002</c:v>
                </c:pt>
                <c:pt idx="127">
                  <c:v>1.1999999999999997</c:v>
                </c:pt>
                <c:pt idx="128">
                  <c:v>0.41000000000000014</c:v>
                </c:pt>
                <c:pt idx="129">
                  <c:v>-1.5899999999999999</c:v>
                </c:pt>
                <c:pt idx="130">
                  <c:v>-1.4500000000000002</c:v>
                </c:pt>
                <c:pt idx="131">
                  <c:v>-0.83000000000000007</c:v>
                </c:pt>
                <c:pt idx="132">
                  <c:v>-0.48999999999999932</c:v>
                </c:pt>
                <c:pt idx="133">
                  <c:v>-9.9999999999999645E-2</c:v>
                </c:pt>
                <c:pt idx="134">
                  <c:v>-0.1800000000000006</c:v>
                </c:pt>
                <c:pt idx="135">
                  <c:v>-0.17999999999999972</c:v>
                </c:pt>
                <c:pt idx="136">
                  <c:v>-0.52999999999999936</c:v>
                </c:pt>
                <c:pt idx="137">
                  <c:v>-1.17</c:v>
                </c:pt>
                <c:pt idx="138">
                  <c:v>-2.0647744094157172</c:v>
                </c:pt>
                <c:pt idx="139">
                  <c:v>-2.0421616141235761</c:v>
                </c:pt>
                <c:pt idx="140">
                  <c:v>-1.7811348506000657</c:v>
                </c:pt>
                <c:pt idx="141">
                  <c:v>-1.4801080870765544</c:v>
                </c:pt>
                <c:pt idx="142">
                  <c:v>-1.1690813235530442</c:v>
                </c:pt>
                <c:pt idx="143">
                  <c:v>-0.92773313673466618</c:v>
                </c:pt>
                <c:pt idx="144">
                  <c:v>-0.61638494991628789</c:v>
                </c:pt>
                <c:pt idx="145">
                  <c:v>-0.67503676309790972</c:v>
                </c:pt>
                <c:pt idx="146">
                  <c:v>-0.89012127843894095</c:v>
                </c:pt>
                <c:pt idx="147">
                  <c:v>-0.92520579377997336</c:v>
                </c:pt>
                <c:pt idx="148">
                  <c:v>-1.1502903091210044</c:v>
                </c:pt>
                <c:pt idx="149">
                  <c:v>-1.1333277094833001</c:v>
                </c:pt>
                <c:pt idx="150">
                  <c:v>-0.97636510984559699</c:v>
                </c:pt>
                <c:pt idx="151">
                  <c:v>-0.79940251020789255</c:v>
                </c:pt>
                <c:pt idx="152">
                  <c:v>-0.60650337571662849</c:v>
                </c:pt>
                <c:pt idx="153">
                  <c:v>-0.45360424122536447</c:v>
                </c:pt>
                <c:pt idx="154">
                  <c:v>-0.61070510673410006</c:v>
                </c:pt>
                <c:pt idx="155">
                  <c:v>-0.71771530405962869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3-4B28-B0EF-14323E8D614A}"/>
            </c:ext>
          </c:extLst>
        </c:ser>
        <c:ser>
          <c:idx val="2"/>
          <c:order val="1"/>
          <c:tx>
            <c:strRef>
              <c:f>'Chart Data'!$S$3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Data'!$P$4:$P$159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Data'!$S$4:$S$159</c:f>
              <c:numCache>
                <c:formatCode>0.00</c:formatCode>
                <c:ptCount val="156"/>
                <c:pt idx="60">
                  <c:v>-1.29</c:v>
                </c:pt>
                <c:pt idx="61">
                  <c:v>-1.4000000000000004</c:v>
                </c:pt>
                <c:pt idx="62">
                  <c:v>-1.4500000000000002</c:v>
                </c:pt>
                <c:pt idx="63">
                  <c:v>-1.69</c:v>
                </c:pt>
                <c:pt idx="64">
                  <c:v>-1.7300000000000002</c:v>
                </c:pt>
                <c:pt idx="65">
                  <c:v>-1.72</c:v>
                </c:pt>
                <c:pt idx="66">
                  <c:v>-1.8499999999999999</c:v>
                </c:pt>
                <c:pt idx="67">
                  <c:v>-1.8699999999999999</c:v>
                </c:pt>
                <c:pt idx="68">
                  <c:v>-1.8199999999999998</c:v>
                </c:pt>
                <c:pt idx="69">
                  <c:v>-1.56</c:v>
                </c:pt>
                <c:pt idx="70">
                  <c:v>-1.54</c:v>
                </c:pt>
                <c:pt idx="71">
                  <c:v>-1.54</c:v>
                </c:pt>
                <c:pt idx="72">
                  <c:v>-1.41</c:v>
                </c:pt>
                <c:pt idx="73">
                  <c:v>-1.38</c:v>
                </c:pt>
                <c:pt idx="74">
                  <c:v>-1.32</c:v>
                </c:pt>
                <c:pt idx="75">
                  <c:v>-1.25</c:v>
                </c:pt>
                <c:pt idx="76">
                  <c:v>-1.1599999999999999</c:v>
                </c:pt>
                <c:pt idx="77">
                  <c:v>-1.1299999999999999</c:v>
                </c:pt>
                <c:pt idx="78">
                  <c:v>-1.1300000000000001</c:v>
                </c:pt>
                <c:pt idx="79">
                  <c:v>-1.1299999999999999</c:v>
                </c:pt>
                <c:pt idx="80">
                  <c:v>-0.91999999999999993</c:v>
                </c:pt>
                <c:pt idx="81">
                  <c:v>-0.73</c:v>
                </c:pt>
                <c:pt idx="82">
                  <c:v>-0.7200000000000002</c:v>
                </c:pt>
                <c:pt idx="83">
                  <c:v>-0.75</c:v>
                </c:pt>
                <c:pt idx="84">
                  <c:v>-0.76000000000000023</c:v>
                </c:pt>
                <c:pt idx="85">
                  <c:v>-0.92999999999999994</c:v>
                </c:pt>
                <c:pt idx="86">
                  <c:v>-0.96000000000000019</c:v>
                </c:pt>
                <c:pt idx="87">
                  <c:v>-1</c:v>
                </c:pt>
                <c:pt idx="88">
                  <c:v>-0.96000000000000019</c:v>
                </c:pt>
                <c:pt idx="89">
                  <c:v>-0.94</c:v>
                </c:pt>
                <c:pt idx="90">
                  <c:v>-1.0599999999999998</c:v>
                </c:pt>
                <c:pt idx="91">
                  <c:v>-1.0000000000000002</c:v>
                </c:pt>
                <c:pt idx="92">
                  <c:v>-1.0599999999999998</c:v>
                </c:pt>
                <c:pt idx="93">
                  <c:v>-0.97</c:v>
                </c:pt>
                <c:pt idx="94">
                  <c:v>-0.73</c:v>
                </c:pt>
                <c:pt idx="95">
                  <c:v>-0.66999999999999971</c:v>
                </c:pt>
                <c:pt idx="96">
                  <c:v>-0.5900000000000003</c:v>
                </c:pt>
                <c:pt idx="97">
                  <c:v>-0.41000000000000014</c:v>
                </c:pt>
                <c:pt idx="98">
                  <c:v>-4.0000000000000036E-2</c:v>
                </c:pt>
                <c:pt idx="99">
                  <c:v>0.26000000000000023</c:v>
                </c:pt>
                <c:pt idx="100">
                  <c:v>0.5900000000000003</c:v>
                </c:pt>
                <c:pt idx="101">
                  <c:v>0.90999999999999992</c:v>
                </c:pt>
                <c:pt idx="102">
                  <c:v>1.4600000000000002</c:v>
                </c:pt>
                <c:pt idx="103">
                  <c:v>1.65</c:v>
                </c:pt>
                <c:pt idx="104">
                  <c:v>2.0700000000000003</c:v>
                </c:pt>
                <c:pt idx="105">
                  <c:v>3.5700000000000003</c:v>
                </c:pt>
                <c:pt idx="106">
                  <c:v>3.46</c:v>
                </c:pt>
                <c:pt idx="107">
                  <c:v>2.98</c:v>
                </c:pt>
                <c:pt idx="108">
                  <c:v>2.68</c:v>
                </c:pt>
                <c:pt idx="109">
                  <c:v>2.37</c:v>
                </c:pt>
                <c:pt idx="110">
                  <c:v>2.2399999999999998</c:v>
                </c:pt>
                <c:pt idx="111">
                  <c:v>2.1500000000000004</c:v>
                </c:pt>
                <c:pt idx="112">
                  <c:v>2.2200000000000002</c:v>
                </c:pt>
                <c:pt idx="113">
                  <c:v>2.9200000000000004</c:v>
                </c:pt>
                <c:pt idx="114">
                  <c:v>3.67</c:v>
                </c:pt>
                <c:pt idx="115">
                  <c:v>3.5000000000000004</c:v>
                </c:pt>
                <c:pt idx="116">
                  <c:v>3.2300000000000004</c:v>
                </c:pt>
                <c:pt idx="117">
                  <c:v>2.9599999999999995</c:v>
                </c:pt>
                <c:pt idx="118">
                  <c:v>2.8699999999999997</c:v>
                </c:pt>
                <c:pt idx="119">
                  <c:v>2.67</c:v>
                </c:pt>
                <c:pt idx="120">
                  <c:v>2.38</c:v>
                </c:pt>
                <c:pt idx="121">
                  <c:v>2.3600000000000003</c:v>
                </c:pt>
                <c:pt idx="122">
                  <c:v>2.5000000000000004</c:v>
                </c:pt>
                <c:pt idx="123">
                  <c:v>2.5099999999999998</c:v>
                </c:pt>
                <c:pt idx="124">
                  <c:v>2.67</c:v>
                </c:pt>
                <c:pt idx="125">
                  <c:v>2.67</c:v>
                </c:pt>
                <c:pt idx="126">
                  <c:v>2.5600000000000005</c:v>
                </c:pt>
                <c:pt idx="127">
                  <c:v>2.4400000000000004</c:v>
                </c:pt>
                <c:pt idx="128">
                  <c:v>2.2999999999999998</c:v>
                </c:pt>
                <c:pt idx="129">
                  <c:v>2.3499999999999996</c:v>
                </c:pt>
                <c:pt idx="130">
                  <c:v>2.62</c:v>
                </c:pt>
                <c:pt idx="131">
                  <c:v>2.7</c:v>
                </c:pt>
                <c:pt idx="132">
                  <c:v>2.7300000000000004</c:v>
                </c:pt>
                <c:pt idx="133">
                  <c:v>2.74</c:v>
                </c:pt>
                <c:pt idx="134">
                  <c:v>2.6799999999999997</c:v>
                </c:pt>
                <c:pt idx="135">
                  <c:v>2.6500000000000004</c:v>
                </c:pt>
                <c:pt idx="136">
                  <c:v>2.5199999999999996</c:v>
                </c:pt>
                <c:pt idx="137">
                  <c:v>2.61</c:v>
                </c:pt>
                <c:pt idx="138">
                  <c:v>2.4660241445985722</c:v>
                </c:pt>
                <c:pt idx="139">
                  <c:v>2.3490362168978587</c:v>
                </c:pt>
                <c:pt idx="140">
                  <c:v>2.2163523661353794</c:v>
                </c:pt>
                <c:pt idx="141">
                  <c:v>2.0836685153729002</c:v>
                </c:pt>
                <c:pt idx="142">
                  <c:v>2.0809846646104209</c:v>
                </c:pt>
                <c:pt idx="143">
                  <c:v>2.1214582097841568</c:v>
                </c:pt>
                <c:pt idx="144">
                  <c:v>2.1919317549578921</c:v>
                </c:pt>
                <c:pt idx="145">
                  <c:v>2.3024053001316283</c:v>
                </c:pt>
                <c:pt idx="146">
                  <c:v>2.3468689237248963</c:v>
                </c:pt>
                <c:pt idx="147">
                  <c:v>2.3613325473181641</c:v>
                </c:pt>
                <c:pt idx="148">
                  <c:v>2.3757961709114319</c:v>
                </c:pt>
                <c:pt idx="149">
                  <c:v>2.4501042672702362</c:v>
                </c:pt>
                <c:pt idx="150">
                  <c:v>2.5944123636290408</c:v>
                </c:pt>
                <c:pt idx="151">
                  <c:v>2.6487204599878469</c:v>
                </c:pt>
                <c:pt idx="152">
                  <c:v>2.7469627749847714</c:v>
                </c:pt>
                <c:pt idx="153">
                  <c:v>2.7152050899816969</c:v>
                </c:pt>
                <c:pt idx="154">
                  <c:v>2.4834474049786208</c:v>
                </c:pt>
                <c:pt idx="155">
                  <c:v>2.3978691392817506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3-4B28-B0EF-14323E8D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6566964240184254E-2"/>
          <c:y val="0.14812147013867269"/>
          <c:w val="0.35479504949109547"/>
          <c:h val="0.124110418799413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6667430154611"/>
          <c:w val="1"/>
          <c:h val="0.8084444939554807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Data'!$Q$2</c:f>
              <c:strCache>
                <c:ptCount val="1"/>
                <c:pt idx="0">
                  <c:v>Standard variable rate *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Data'!$P$4:$P$159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Data'!$Q$4:$Q$159</c:f>
              <c:numCache>
                <c:formatCode>0.00</c:formatCode>
                <c:ptCount val="156"/>
                <c:pt idx="12">
                  <c:v>0.14999999999999947</c:v>
                </c:pt>
                <c:pt idx="13">
                  <c:v>8.0000000000000071E-2</c:v>
                </c:pt>
                <c:pt idx="14">
                  <c:v>8.0000000000000071E-2</c:v>
                </c:pt>
                <c:pt idx="15">
                  <c:v>0.10000000000000053</c:v>
                </c:pt>
                <c:pt idx="16">
                  <c:v>0.12999999999999989</c:v>
                </c:pt>
                <c:pt idx="17">
                  <c:v>0.12999999999999989</c:v>
                </c:pt>
                <c:pt idx="18">
                  <c:v>4.9999999999999822E-2</c:v>
                </c:pt>
                <c:pt idx="19">
                  <c:v>3.0000000000000249E-2</c:v>
                </c:pt>
                <c:pt idx="20">
                  <c:v>-1.9999999999999574E-2</c:v>
                </c:pt>
                <c:pt idx="21">
                  <c:v>9.9999999999997868E-3</c:v>
                </c:pt>
                <c:pt idx="22">
                  <c:v>0</c:v>
                </c:pt>
                <c:pt idx="23">
                  <c:v>9.9999999999997868E-3</c:v>
                </c:pt>
                <c:pt idx="24">
                  <c:v>0</c:v>
                </c:pt>
                <c:pt idx="25">
                  <c:v>7.0000000000000284E-2</c:v>
                </c:pt>
                <c:pt idx="26">
                  <c:v>6.0000000000000497E-2</c:v>
                </c:pt>
                <c:pt idx="27">
                  <c:v>0.10999999999999943</c:v>
                </c:pt>
                <c:pt idx="28">
                  <c:v>9.9999999999997868E-3</c:v>
                </c:pt>
                <c:pt idx="29">
                  <c:v>2.9999999999999361E-2</c:v>
                </c:pt>
                <c:pt idx="30">
                  <c:v>4.9999999999999822E-2</c:v>
                </c:pt>
                <c:pt idx="31">
                  <c:v>-0.1800000000000006</c:v>
                </c:pt>
                <c:pt idx="32">
                  <c:v>-0.25999999999999979</c:v>
                </c:pt>
                <c:pt idx="33">
                  <c:v>-0.29999999999999982</c:v>
                </c:pt>
                <c:pt idx="34">
                  <c:v>-0.20999999999999996</c:v>
                </c:pt>
                <c:pt idx="35">
                  <c:v>-0.25999999999999979</c:v>
                </c:pt>
                <c:pt idx="36">
                  <c:v>-6.9999999999999396E-2</c:v>
                </c:pt>
                <c:pt idx="37">
                  <c:v>-0.20999999999999996</c:v>
                </c:pt>
                <c:pt idx="38">
                  <c:v>-0.29000000000000004</c:v>
                </c:pt>
                <c:pt idx="39">
                  <c:v>-9.9999999999999645E-2</c:v>
                </c:pt>
                <c:pt idx="40">
                  <c:v>-0.32999999999999918</c:v>
                </c:pt>
                <c:pt idx="41">
                  <c:v>-0.23999999999999932</c:v>
                </c:pt>
                <c:pt idx="42">
                  <c:v>-4.0000000000000036E-2</c:v>
                </c:pt>
                <c:pt idx="43">
                  <c:v>2.0000000000000462E-2</c:v>
                </c:pt>
                <c:pt idx="44">
                  <c:v>6.9999999999999396E-2</c:v>
                </c:pt>
                <c:pt idx="45">
                  <c:v>6.9999999999999396E-2</c:v>
                </c:pt>
                <c:pt idx="46">
                  <c:v>5.9999999999999609E-2</c:v>
                </c:pt>
                <c:pt idx="47">
                  <c:v>0.30999999999999961</c:v>
                </c:pt>
                <c:pt idx="48">
                  <c:v>-0.28000000000000025</c:v>
                </c:pt>
                <c:pt idx="49">
                  <c:v>-0.13999999999999968</c:v>
                </c:pt>
                <c:pt idx="50">
                  <c:v>-0.14000000000000057</c:v>
                </c:pt>
                <c:pt idx="51">
                  <c:v>-0.37000000000000011</c:v>
                </c:pt>
                <c:pt idx="52">
                  <c:v>-7.0000000000000284E-2</c:v>
                </c:pt>
                <c:pt idx="53">
                  <c:v>-0.22000000000000064</c:v>
                </c:pt>
                <c:pt idx="54">
                  <c:v>-0.41000000000000014</c:v>
                </c:pt>
                <c:pt idx="55">
                  <c:v>2.9999999999999361E-2</c:v>
                </c:pt>
                <c:pt idx="56">
                  <c:v>8.0000000000000071E-2</c:v>
                </c:pt>
                <c:pt idx="57">
                  <c:v>0.14000000000000057</c:v>
                </c:pt>
                <c:pt idx="58">
                  <c:v>7.0000000000000284E-2</c:v>
                </c:pt>
                <c:pt idx="59">
                  <c:v>-0.13999999999999968</c:v>
                </c:pt>
                <c:pt idx="60">
                  <c:v>0.27000000000000046</c:v>
                </c:pt>
                <c:pt idx="61">
                  <c:v>7.9999999999999183E-2</c:v>
                </c:pt>
                <c:pt idx="62">
                  <c:v>0.16999999999999993</c:v>
                </c:pt>
                <c:pt idx="63">
                  <c:v>0.13999999999999968</c:v>
                </c:pt>
                <c:pt idx="64">
                  <c:v>0.12999999999999989</c:v>
                </c:pt>
                <c:pt idx="65">
                  <c:v>0.23000000000000043</c:v>
                </c:pt>
                <c:pt idx="66">
                  <c:v>0.19000000000000039</c:v>
                </c:pt>
                <c:pt idx="67">
                  <c:v>-5.9999999999999609E-2</c:v>
                </c:pt>
                <c:pt idx="68">
                  <c:v>-9.9999999999999645E-2</c:v>
                </c:pt>
                <c:pt idx="69">
                  <c:v>-0.1800000000000006</c:v>
                </c:pt>
                <c:pt idx="70">
                  <c:v>-0.14000000000000057</c:v>
                </c:pt>
                <c:pt idx="71">
                  <c:v>-0.13000000000000078</c:v>
                </c:pt>
                <c:pt idx="72">
                  <c:v>-0.21000000000000085</c:v>
                </c:pt>
                <c:pt idx="73">
                  <c:v>-4.9999999999999822E-2</c:v>
                </c:pt>
                <c:pt idx="74">
                  <c:v>-0.20999999999999996</c:v>
                </c:pt>
                <c:pt idx="75">
                  <c:v>-0.64999999999999947</c:v>
                </c:pt>
                <c:pt idx="76">
                  <c:v>-0.64000000000000012</c:v>
                </c:pt>
                <c:pt idx="77">
                  <c:v>-0.64000000000000012</c:v>
                </c:pt>
                <c:pt idx="78">
                  <c:v>-0.62999999999999989</c:v>
                </c:pt>
                <c:pt idx="79">
                  <c:v>-0.64000000000000012</c:v>
                </c:pt>
                <c:pt idx="80">
                  <c:v>-0.64000000000000012</c:v>
                </c:pt>
                <c:pt idx="81">
                  <c:v>-0.62999999999999945</c:v>
                </c:pt>
                <c:pt idx="82">
                  <c:v>-0.64999999999999947</c:v>
                </c:pt>
                <c:pt idx="83">
                  <c:v>-0.64999999999999947</c:v>
                </c:pt>
                <c:pt idx="84">
                  <c:v>-0.64999999999999947</c:v>
                </c:pt>
                <c:pt idx="85">
                  <c:v>-0.63999999999999968</c:v>
                </c:pt>
                <c:pt idx="86">
                  <c:v>-0.47999999999999954</c:v>
                </c:pt>
                <c:pt idx="87">
                  <c:v>-5.0000000000000266E-2</c:v>
                </c:pt>
                <c:pt idx="88">
                  <c:v>-4.0000000000000036E-2</c:v>
                </c:pt>
                <c:pt idx="89">
                  <c:v>-4.0000000000000036E-2</c:v>
                </c:pt>
                <c:pt idx="90">
                  <c:v>-5.0000000000000266E-2</c:v>
                </c:pt>
                <c:pt idx="91">
                  <c:v>-4.0000000000000036E-2</c:v>
                </c:pt>
                <c:pt idx="92">
                  <c:v>-4.0000000000000036E-2</c:v>
                </c:pt>
                <c:pt idx="93">
                  <c:v>-4.0000000000000036E-2</c:v>
                </c:pt>
                <c:pt idx="94">
                  <c:v>-3.0000000000000249E-2</c:v>
                </c:pt>
                <c:pt idx="95">
                  <c:v>-1.0000000000000231E-2</c:v>
                </c:pt>
                <c:pt idx="96">
                  <c:v>4.9999999999999822E-2</c:v>
                </c:pt>
                <c:pt idx="97">
                  <c:v>0.21999999999999975</c:v>
                </c:pt>
                <c:pt idx="98">
                  <c:v>0.37000000000000011</c:v>
                </c:pt>
                <c:pt idx="99">
                  <c:v>0.50000000000000044</c:v>
                </c:pt>
                <c:pt idx="100">
                  <c:v>0.64999999999999991</c:v>
                </c:pt>
                <c:pt idx="101">
                  <c:v>0.7799999999999998</c:v>
                </c:pt>
                <c:pt idx="102">
                  <c:v>0.94</c:v>
                </c:pt>
                <c:pt idx="103">
                  <c:v>1.27</c:v>
                </c:pt>
                <c:pt idx="104">
                  <c:v>1.4899999999999998</c:v>
                </c:pt>
                <c:pt idx="105">
                  <c:v>1.8199999999999998</c:v>
                </c:pt>
                <c:pt idx="106">
                  <c:v>2.2800000000000002</c:v>
                </c:pt>
                <c:pt idx="107">
                  <c:v>2.81</c:v>
                </c:pt>
                <c:pt idx="108">
                  <c:v>2.9400000000000004</c:v>
                </c:pt>
                <c:pt idx="109">
                  <c:v>3.13</c:v>
                </c:pt>
                <c:pt idx="110">
                  <c:v>3.17</c:v>
                </c:pt>
                <c:pt idx="111">
                  <c:v>3.1899999999999995</c:v>
                </c:pt>
                <c:pt idx="112">
                  <c:v>3.12</c:v>
                </c:pt>
                <c:pt idx="113">
                  <c:v>3.08</c:v>
                </c:pt>
                <c:pt idx="114">
                  <c:v>3.09</c:v>
                </c:pt>
                <c:pt idx="115">
                  <c:v>3.0300000000000002</c:v>
                </c:pt>
                <c:pt idx="116">
                  <c:v>2.8800000000000008</c:v>
                </c:pt>
                <c:pt idx="117">
                  <c:v>2.5999999999999996</c:v>
                </c:pt>
                <c:pt idx="118">
                  <c:v>2.13</c:v>
                </c:pt>
                <c:pt idx="119">
                  <c:v>1.5</c:v>
                </c:pt>
                <c:pt idx="120">
                  <c:v>1.33</c:v>
                </c:pt>
                <c:pt idx="121">
                  <c:v>0.97000000000000064</c:v>
                </c:pt>
                <c:pt idx="122">
                  <c:v>0.76999999999999957</c:v>
                </c:pt>
                <c:pt idx="123">
                  <c:v>0.70000000000000018</c:v>
                </c:pt>
                <c:pt idx="124">
                  <c:v>0.62000000000000011</c:v>
                </c:pt>
                <c:pt idx="125">
                  <c:v>0.55999999999999961</c:v>
                </c:pt>
                <c:pt idx="126">
                  <c:v>0.4300000000000006</c:v>
                </c:pt>
                <c:pt idx="127">
                  <c:v>-4.9999999999999822E-2</c:v>
                </c:pt>
                <c:pt idx="128">
                  <c:v>-0.28000000000000025</c:v>
                </c:pt>
                <c:pt idx="129">
                  <c:v>-0.33999999999999986</c:v>
                </c:pt>
                <c:pt idx="130">
                  <c:v>-0.44000000000000039</c:v>
                </c:pt>
                <c:pt idx="131">
                  <c:v>-0.45000000000000018</c:v>
                </c:pt>
                <c:pt idx="132">
                  <c:v>-0.5</c:v>
                </c:pt>
                <c:pt idx="133">
                  <c:v>-0.63000000000000078</c:v>
                </c:pt>
                <c:pt idx="134">
                  <c:v>-0.71999999999999975</c:v>
                </c:pt>
                <c:pt idx="135">
                  <c:v>-0.80999999999999961</c:v>
                </c:pt>
                <c:pt idx="136">
                  <c:v>-0.91000000000000014</c:v>
                </c:pt>
                <c:pt idx="137">
                  <c:v>-1.0499999999999989</c:v>
                </c:pt>
                <c:pt idx="138">
                  <c:v>-1.0368181818181821</c:v>
                </c:pt>
                <c:pt idx="139">
                  <c:v>-1.0305627705627716</c:v>
                </c:pt>
                <c:pt idx="140">
                  <c:v>-0.91818181818181888</c:v>
                </c:pt>
                <c:pt idx="141">
                  <c:v>-0.89818181818181841</c:v>
                </c:pt>
                <c:pt idx="142">
                  <c:v>-0.93886363636363601</c:v>
                </c:pt>
                <c:pt idx="143">
                  <c:v>-0.8863636363636358</c:v>
                </c:pt>
                <c:pt idx="144">
                  <c:v>-0.85636363636363644</c:v>
                </c:pt>
                <c:pt idx="145">
                  <c:v>-0.88704545454545425</c:v>
                </c:pt>
                <c:pt idx="146">
                  <c:v>-0.82454545454545514</c:v>
                </c:pt>
                <c:pt idx="147">
                  <c:v>-0.80454545454545556</c:v>
                </c:pt>
                <c:pt idx="148">
                  <c:v>-0.85510822510822493</c:v>
                </c:pt>
                <c:pt idx="149">
                  <c:v>-0.79272727272727295</c:v>
                </c:pt>
                <c:pt idx="150">
                  <c:v>-0.84590909090909072</c:v>
                </c:pt>
                <c:pt idx="151">
                  <c:v>-0.5903463203463204</c:v>
                </c:pt>
                <c:pt idx="152">
                  <c:v>-0.54272727272727295</c:v>
                </c:pt>
                <c:pt idx="153">
                  <c:v>-0.54272727272727295</c:v>
                </c:pt>
                <c:pt idx="154">
                  <c:v>-0.54451298701298789</c:v>
                </c:pt>
                <c:pt idx="155">
                  <c:v>-0.54272727272727295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Data'!$R$2</c:f>
              <c:strCache>
                <c:ptCount val="1"/>
                <c:pt idx="0">
                  <c:v>2 year fix, 75% LTV **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Data'!$P$4:$P$159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Data'!$R$4:$R$159</c:f>
              <c:numCache>
                <c:formatCode>0.00</c:formatCode>
                <c:ptCount val="156"/>
                <c:pt idx="24">
                  <c:v>-0.44000000000000017</c:v>
                </c:pt>
                <c:pt idx="25">
                  <c:v>-0.42999999999999994</c:v>
                </c:pt>
                <c:pt idx="26">
                  <c:v>-0.4700000000000002</c:v>
                </c:pt>
                <c:pt idx="27">
                  <c:v>-0.7</c:v>
                </c:pt>
                <c:pt idx="28">
                  <c:v>-0.65000000000000013</c:v>
                </c:pt>
                <c:pt idx="29">
                  <c:v>-0.85000000000000009</c:v>
                </c:pt>
                <c:pt idx="30">
                  <c:v>-0.82000000000000006</c:v>
                </c:pt>
                <c:pt idx="31">
                  <c:v>-0.85000000000000009</c:v>
                </c:pt>
                <c:pt idx="32">
                  <c:v>-0.86999999999999988</c:v>
                </c:pt>
                <c:pt idx="33">
                  <c:v>-0.69</c:v>
                </c:pt>
                <c:pt idx="34">
                  <c:v>-0.74</c:v>
                </c:pt>
                <c:pt idx="35">
                  <c:v>-0.63000000000000012</c:v>
                </c:pt>
                <c:pt idx="36">
                  <c:v>-0.55999999999999983</c:v>
                </c:pt>
                <c:pt idx="37">
                  <c:v>-0.54</c:v>
                </c:pt>
                <c:pt idx="38">
                  <c:v>-0.61999999999999988</c:v>
                </c:pt>
                <c:pt idx="39">
                  <c:v>-0.59999999999999987</c:v>
                </c:pt>
                <c:pt idx="40">
                  <c:v>-0.40999999999999992</c:v>
                </c:pt>
                <c:pt idx="41">
                  <c:v>-0.35000000000000009</c:v>
                </c:pt>
                <c:pt idx="42">
                  <c:v>-0.46000000000000019</c:v>
                </c:pt>
                <c:pt idx="43">
                  <c:v>-0.52</c:v>
                </c:pt>
                <c:pt idx="44">
                  <c:v>-0.51</c:v>
                </c:pt>
                <c:pt idx="45">
                  <c:v>-0.32000000000000006</c:v>
                </c:pt>
                <c:pt idx="46">
                  <c:v>-0.30999999999999983</c:v>
                </c:pt>
                <c:pt idx="47">
                  <c:v>-0.32999999999999985</c:v>
                </c:pt>
                <c:pt idx="48">
                  <c:v>-0.3899999999999999</c:v>
                </c:pt>
                <c:pt idx="49">
                  <c:v>-0.45999999999999996</c:v>
                </c:pt>
                <c:pt idx="50">
                  <c:v>-0.36999999999999988</c:v>
                </c:pt>
                <c:pt idx="51">
                  <c:v>-0.12000000000000011</c:v>
                </c:pt>
                <c:pt idx="52">
                  <c:v>-0.16999999999999993</c:v>
                </c:pt>
                <c:pt idx="53">
                  <c:v>-1.0000000000000009E-2</c:v>
                </c:pt>
                <c:pt idx="54">
                  <c:v>3.0000000000000027E-2</c:v>
                </c:pt>
                <c:pt idx="55">
                  <c:v>6.0000000000000053E-2</c:v>
                </c:pt>
                <c:pt idx="56">
                  <c:v>0.11999999999999988</c:v>
                </c:pt>
                <c:pt idx="57">
                  <c:v>0.28000000000000003</c:v>
                </c:pt>
                <c:pt idx="58">
                  <c:v>0.32000000000000006</c:v>
                </c:pt>
                <c:pt idx="59">
                  <c:v>0.28000000000000003</c:v>
                </c:pt>
                <c:pt idx="60">
                  <c:v>0.27</c:v>
                </c:pt>
                <c:pt idx="61">
                  <c:v>0.28000000000000003</c:v>
                </c:pt>
                <c:pt idx="62">
                  <c:v>0.32999999999999985</c:v>
                </c:pt>
                <c:pt idx="63">
                  <c:v>0.30999999999999983</c:v>
                </c:pt>
                <c:pt idx="64">
                  <c:v>0.15999999999999992</c:v>
                </c:pt>
                <c:pt idx="65">
                  <c:v>0.15999999999999992</c:v>
                </c:pt>
                <c:pt idx="66">
                  <c:v>0.20000000000000018</c:v>
                </c:pt>
                <c:pt idx="67">
                  <c:v>0.16000000000000014</c:v>
                </c:pt>
                <c:pt idx="68">
                  <c:v>0.15000000000000013</c:v>
                </c:pt>
                <c:pt idx="69">
                  <c:v>-8.0000000000000071E-2</c:v>
                </c:pt>
                <c:pt idx="70">
                  <c:v>-0.20000000000000018</c:v>
                </c:pt>
                <c:pt idx="71">
                  <c:v>-0.15000000000000013</c:v>
                </c:pt>
                <c:pt idx="72">
                  <c:v>-0.13000000000000012</c:v>
                </c:pt>
                <c:pt idx="73">
                  <c:v>-9.000000000000008E-2</c:v>
                </c:pt>
                <c:pt idx="74">
                  <c:v>-0.13000000000000012</c:v>
                </c:pt>
                <c:pt idx="75">
                  <c:v>-0.34000000000000008</c:v>
                </c:pt>
                <c:pt idx="76">
                  <c:v>-0.32000000000000006</c:v>
                </c:pt>
                <c:pt idx="77">
                  <c:v>-0.33000000000000007</c:v>
                </c:pt>
                <c:pt idx="78">
                  <c:v>-0.30000000000000004</c:v>
                </c:pt>
                <c:pt idx="79">
                  <c:v>-0.14999999999999991</c:v>
                </c:pt>
                <c:pt idx="80">
                  <c:v>4.0000000000000036E-2</c:v>
                </c:pt>
                <c:pt idx="81">
                  <c:v>0.1399999999999999</c:v>
                </c:pt>
                <c:pt idx="82">
                  <c:v>0.16999999999999993</c:v>
                </c:pt>
                <c:pt idx="83">
                  <c:v>0.13000000000000012</c:v>
                </c:pt>
                <c:pt idx="84">
                  <c:v>3.0000000000000027E-2</c:v>
                </c:pt>
                <c:pt idx="85">
                  <c:v>-8.9999999999999858E-2</c:v>
                </c:pt>
                <c:pt idx="86">
                  <c:v>-0.1399999999999999</c:v>
                </c:pt>
                <c:pt idx="87">
                  <c:v>-0.16999999999999993</c:v>
                </c:pt>
                <c:pt idx="88">
                  <c:v>-0.17999999999999994</c:v>
                </c:pt>
                <c:pt idx="89">
                  <c:v>-0.25</c:v>
                </c:pt>
                <c:pt idx="90">
                  <c:v>-0.32000000000000006</c:v>
                </c:pt>
                <c:pt idx="91">
                  <c:v>-0.3600000000000001</c:v>
                </c:pt>
                <c:pt idx="92">
                  <c:v>-0.35000000000000009</c:v>
                </c:pt>
                <c:pt idx="93">
                  <c:v>-0.17999999999999994</c:v>
                </c:pt>
                <c:pt idx="94">
                  <c:v>0.12000000000000011</c:v>
                </c:pt>
                <c:pt idx="95">
                  <c:v>0.15000000000000013</c:v>
                </c:pt>
                <c:pt idx="96">
                  <c:v>0.22999999999999998</c:v>
                </c:pt>
                <c:pt idx="97">
                  <c:v>0.38000000000000012</c:v>
                </c:pt>
                <c:pt idx="98">
                  <c:v>0.74000000000000021</c:v>
                </c:pt>
                <c:pt idx="99">
                  <c:v>0.9700000000000002</c:v>
                </c:pt>
                <c:pt idx="100">
                  <c:v>1.21</c:v>
                </c:pt>
                <c:pt idx="101">
                  <c:v>1.4600000000000002</c:v>
                </c:pt>
                <c:pt idx="102">
                  <c:v>2.0300000000000002</c:v>
                </c:pt>
                <c:pt idx="103">
                  <c:v>2</c:v>
                </c:pt>
                <c:pt idx="104">
                  <c:v>2.42</c:v>
                </c:pt>
                <c:pt idx="105">
                  <c:v>4.0500000000000007</c:v>
                </c:pt>
                <c:pt idx="106">
                  <c:v>4.0600000000000005</c:v>
                </c:pt>
                <c:pt idx="107">
                  <c:v>3.5699999999999994</c:v>
                </c:pt>
                <c:pt idx="108">
                  <c:v>3.3899999999999997</c:v>
                </c:pt>
                <c:pt idx="109">
                  <c:v>3.1799999999999997</c:v>
                </c:pt>
                <c:pt idx="110">
                  <c:v>3.18</c:v>
                </c:pt>
                <c:pt idx="111">
                  <c:v>3.1099999999999994</c:v>
                </c:pt>
                <c:pt idx="112">
                  <c:v>3.25</c:v>
                </c:pt>
                <c:pt idx="113">
                  <c:v>4.1000000000000005</c:v>
                </c:pt>
                <c:pt idx="114">
                  <c:v>4.93</c:v>
                </c:pt>
                <c:pt idx="115">
                  <c:v>4.9499999999999993</c:v>
                </c:pt>
                <c:pt idx="116">
                  <c:v>4.71</c:v>
                </c:pt>
                <c:pt idx="117">
                  <c:v>4.3099999999999996</c:v>
                </c:pt>
                <c:pt idx="118">
                  <c:v>3.75</c:v>
                </c:pt>
                <c:pt idx="119">
                  <c:v>3.46</c:v>
                </c:pt>
                <c:pt idx="120">
                  <c:v>3.0700000000000003</c:v>
                </c:pt>
                <c:pt idx="121">
                  <c:v>2.9799999999999995</c:v>
                </c:pt>
                <c:pt idx="122">
                  <c:v>2.82</c:v>
                </c:pt>
                <c:pt idx="123">
                  <c:v>2.6300000000000003</c:v>
                </c:pt>
                <c:pt idx="124">
                  <c:v>2.5600000000000005</c:v>
                </c:pt>
                <c:pt idx="125">
                  <c:v>2.29</c:v>
                </c:pt>
                <c:pt idx="126">
                  <c:v>1.5100000000000002</c:v>
                </c:pt>
                <c:pt idx="127">
                  <c:v>1.1999999999999997</c:v>
                </c:pt>
                <c:pt idx="128">
                  <c:v>0.41000000000000014</c:v>
                </c:pt>
                <c:pt idx="129">
                  <c:v>-1.5899999999999999</c:v>
                </c:pt>
                <c:pt idx="130">
                  <c:v>-1.4500000000000002</c:v>
                </c:pt>
                <c:pt idx="131">
                  <c:v>-0.83000000000000007</c:v>
                </c:pt>
                <c:pt idx="132">
                  <c:v>-0.48999999999999932</c:v>
                </c:pt>
                <c:pt idx="133">
                  <c:v>-9.9999999999999645E-2</c:v>
                </c:pt>
                <c:pt idx="134">
                  <c:v>-0.1800000000000006</c:v>
                </c:pt>
                <c:pt idx="135">
                  <c:v>-0.17999999999999972</c:v>
                </c:pt>
                <c:pt idx="136">
                  <c:v>-0.52999999999999936</c:v>
                </c:pt>
                <c:pt idx="137">
                  <c:v>-1.17</c:v>
                </c:pt>
                <c:pt idx="138">
                  <c:v>-2.0647744094157172</c:v>
                </c:pt>
                <c:pt idx="139">
                  <c:v>-2.0421616141235761</c:v>
                </c:pt>
                <c:pt idx="140">
                  <c:v>-1.7811348506000657</c:v>
                </c:pt>
                <c:pt idx="141">
                  <c:v>-1.4801080870765544</c:v>
                </c:pt>
                <c:pt idx="142">
                  <c:v>-1.1690813235530442</c:v>
                </c:pt>
                <c:pt idx="143">
                  <c:v>-0.92773313673466618</c:v>
                </c:pt>
                <c:pt idx="144">
                  <c:v>-0.61638494991628789</c:v>
                </c:pt>
                <c:pt idx="145">
                  <c:v>-0.67503676309790972</c:v>
                </c:pt>
                <c:pt idx="146">
                  <c:v>-0.89012127843894095</c:v>
                </c:pt>
                <c:pt idx="147">
                  <c:v>-0.92520579377997336</c:v>
                </c:pt>
                <c:pt idx="148">
                  <c:v>-1.1502903091210044</c:v>
                </c:pt>
                <c:pt idx="149">
                  <c:v>-1.1333277094833001</c:v>
                </c:pt>
                <c:pt idx="150">
                  <c:v>-0.97636510984559699</c:v>
                </c:pt>
                <c:pt idx="151">
                  <c:v>-0.79940251020789255</c:v>
                </c:pt>
                <c:pt idx="152">
                  <c:v>-0.60650337571662849</c:v>
                </c:pt>
                <c:pt idx="153">
                  <c:v>-0.45360424122536447</c:v>
                </c:pt>
                <c:pt idx="154">
                  <c:v>-0.61070510673410006</c:v>
                </c:pt>
                <c:pt idx="155">
                  <c:v>-0.71771530405962869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Data'!$S$2</c:f>
              <c:strCache>
                <c:ptCount val="1"/>
                <c:pt idx="0">
                  <c:v>5 year fix, 75% LTV **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Data'!$P$4:$P$159</c:f>
              <c:numCache>
                <c:formatCode>m/d/yyyy</c:formatCode>
                <c:ptCount val="15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  <c:pt idx="144">
                  <c:v>46023</c:v>
                </c:pt>
                <c:pt idx="145">
                  <c:v>46054</c:v>
                </c:pt>
                <c:pt idx="146">
                  <c:v>46082</c:v>
                </c:pt>
                <c:pt idx="147">
                  <c:v>46113</c:v>
                </c:pt>
                <c:pt idx="148">
                  <c:v>46143</c:v>
                </c:pt>
                <c:pt idx="149">
                  <c:v>46174</c:v>
                </c:pt>
                <c:pt idx="150">
                  <c:v>46204</c:v>
                </c:pt>
                <c:pt idx="151">
                  <c:v>46235</c:v>
                </c:pt>
                <c:pt idx="152">
                  <c:v>46266</c:v>
                </c:pt>
                <c:pt idx="153">
                  <c:v>46296</c:v>
                </c:pt>
                <c:pt idx="154">
                  <c:v>46327</c:v>
                </c:pt>
                <c:pt idx="155">
                  <c:v>46357</c:v>
                </c:pt>
              </c:numCache>
            </c:numRef>
          </c:cat>
          <c:val>
            <c:numRef>
              <c:f>'Chart Data'!$S$4:$S$159</c:f>
              <c:numCache>
                <c:formatCode>0.00</c:formatCode>
                <c:ptCount val="156"/>
                <c:pt idx="60">
                  <c:v>-1.29</c:v>
                </c:pt>
                <c:pt idx="61">
                  <c:v>-1.4000000000000004</c:v>
                </c:pt>
                <c:pt idx="62">
                  <c:v>-1.4500000000000002</c:v>
                </c:pt>
                <c:pt idx="63">
                  <c:v>-1.69</c:v>
                </c:pt>
                <c:pt idx="64">
                  <c:v>-1.7300000000000002</c:v>
                </c:pt>
                <c:pt idx="65">
                  <c:v>-1.72</c:v>
                </c:pt>
                <c:pt idx="66">
                  <c:v>-1.8499999999999999</c:v>
                </c:pt>
                <c:pt idx="67">
                  <c:v>-1.8699999999999999</c:v>
                </c:pt>
                <c:pt idx="68">
                  <c:v>-1.8199999999999998</c:v>
                </c:pt>
                <c:pt idx="69">
                  <c:v>-1.56</c:v>
                </c:pt>
                <c:pt idx="70">
                  <c:v>-1.54</c:v>
                </c:pt>
                <c:pt idx="71">
                  <c:v>-1.54</c:v>
                </c:pt>
                <c:pt idx="72">
                  <c:v>-1.41</c:v>
                </c:pt>
                <c:pt idx="73">
                  <c:v>-1.38</c:v>
                </c:pt>
                <c:pt idx="74">
                  <c:v>-1.32</c:v>
                </c:pt>
                <c:pt idx="75">
                  <c:v>-1.25</c:v>
                </c:pt>
                <c:pt idx="76">
                  <c:v>-1.1599999999999999</c:v>
                </c:pt>
                <c:pt idx="77">
                  <c:v>-1.1299999999999999</c:v>
                </c:pt>
                <c:pt idx="78">
                  <c:v>-1.1300000000000001</c:v>
                </c:pt>
                <c:pt idx="79">
                  <c:v>-1.1299999999999999</c:v>
                </c:pt>
                <c:pt idx="80">
                  <c:v>-0.91999999999999993</c:v>
                </c:pt>
                <c:pt idx="81">
                  <c:v>-0.73</c:v>
                </c:pt>
                <c:pt idx="82">
                  <c:v>-0.7200000000000002</c:v>
                </c:pt>
                <c:pt idx="83">
                  <c:v>-0.75</c:v>
                </c:pt>
                <c:pt idx="84">
                  <c:v>-0.76000000000000023</c:v>
                </c:pt>
                <c:pt idx="85">
                  <c:v>-0.92999999999999994</c:v>
                </c:pt>
                <c:pt idx="86">
                  <c:v>-0.96000000000000019</c:v>
                </c:pt>
                <c:pt idx="87">
                  <c:v>-1</c:v>
                </c:pt>
                <c:pt idx="88">
                  <c:v>-0.96000000000000019</c:v>
                </c:pt>
                <c:pt idx="89">
                  <c:v>-0.94</c:v>
                </c:pt>
                <c:pt idx="90">
                  <c:v>-1.0599999999999998</c:v>
                </c:pt>
                <c:pt idx="91">
                  <c:v>-1.0000000000000002</c:v>
                </c:pt>
                <c:pt idx="92">
                  <c:v>-1.0599999999999998</c:v>
                </c:pt>
                <c:pt idx="93">
                  <c:v>-0.97</c:v>
                </c:pt>
                <c:pt idx="94">
                  <c:v>-0.73</c:v>
                </c:pt>
                <c:pt idx="95">
                  <c:v>-0.66999999999999971</c:v>
                </c:pt>
                <c:pt idx="96">
                  <c:v>-0.5900000000000003</c:v>
                </c:pt>
                <c:pt idx="97">
                  <c:v>-0.41000000000000014</c:v>
                </c:pt>
                <c:pt idx="98">
                  <c:v>-4.0000000000000036E-2</c:v>
                </c:pt>
                <c:pt idx="99">
                  <c:v>0.26000000000000023</c:v>
                </c:pt>
                <c:pt idx="100">
                  <c:v>0.5900000000000003</c:v>
                </c:pt>
                <c:pt idx="101">
                  <c:v>0.90999999999999992</c:v>
                </c:pt>
                <c:pt idx="102">
                  <c:v>1.4600000000000002</c:v>
                </c:pt>
                <c:pt idx="103">
                  <c:v>1.65</c:v>
                </c:pt>
                <c:pt idx="104">
                  <c:v>2.0700000000000003</c:v>
                </c:pt>
                <c:pt idx="105">
                  <c:v>3.5700000000000003</c:v>
                </c:pt>
                <c:pt idx="106">
                  <c:v>3.46</c:v>
                </c:pt>
                <c:pt idx="107">
                  <c:v>2.98</c:v>
                </c:pt>
                <c:pt idx="108">
                  <c:v>2.68</c:v>
                </c:pt>
                <c:pt idx="109">
                  <c:v>2.37</c:v>
                </c:pt>
                <c:pt idx="110">
                  <c:v>2.2399999999999998</c:v>
                </c:pt>
                <c:pt idx="111">
                  <c:v>2.1500000000000004</c:v>
                </c:pt>
                <c:pt idx="112">
                  <c:v>2.2200000000000002</c:v>
                </c:pt>
                <c:pt idx="113">
                  <c:v>2.9200000000000004</c:v>
                </c:pt>
                <c:pt idx="114">
                  <c:v>3.67</c:v>
                </c:pt>
                <c:pt idx="115">
                  <c:v>3.5000000000000004</c:v>
                </c:pt>
                <c:pt idx="116">
                  <c:v>3.2300000000000004</c:v>
                </c:pt>
                <c:pt idx="117">
                  <c:v>2.9599999999999995</c:v>
                </c:pt>
                <c:pt idx="118">
                  <c:v>2.8699999999999997</c:v>
                </c:pt>
                <c:pt idx="119">
                  <c:v>2.67</c:v>
                </c:pt>
                <c:pt idx="120">
                  <c:v>2.38</c:v>
                </c:pt>
                <c:pt idx="121">
                  <c:v>2.3600000000000003</c:v>
                </c:pt>
                <c:pt idx="122">
                  <c:v>2.5000000000000004</c:v>
                </c:pt>
                <c:pt idx="123">
                  <c:v>2.5099999999999998</c:v>
                </c:pt>
                <c:pt idx="124">
                  <c:v>2.67</c:v>
                </c:pt>
                <c:pt idx="125">
                  <c:v>2.67</c:v>
                </c:pt>
                <c:pt idx="126">
                  <c:v>2.5600000000000005</c:v>
                </c:pt>
                <c:pt idx="127">
                  <c:v>2.4400000000000004</c:v>
                </c:pt>
                <c:pt idx="128">
                  <c:v>2.2999999999999998</c:v>
                </c:pt>
                <c:pt idx="129">
                  <c:v>2.3499999999999996</c:v>
                </c:pt>
                <c:pt idx="130">
                  <c:v>2.62</c:v>
                </c:pt>
                <c:pt idx="131">
                  <c:v>2.7</c:v>
                </c:pt>
                <c:pt idx="132">
                  <c:v>2.7300000000000004</c:v>
                </c:pt>
                <c:pt idx="133">
                  <c:v>2.74</c:v>
                </c:pt>
                <c:pt idx="134">
                  <c:v>2.6799999999999997</c:v>
                </c:pt>
                <c:pt idx="135">
                  <c:v>2.6500000000000004</c:v>
                </c:pt>
                <c:pt idx="136">
                  <c:v>2.5199999999999996</c:v>
                </c:pt>
                <c:pt idx="137">
                  <c:v>2.61</c:v>
                </c:pt>
                <c:pt idx="138">
                  <c:v>2.4660241445985722</c:v>
                </c:pt>
                <c:pt idx="139">
                  <c:v>2.3490362168978587</c:v>
                </c:pt>
                <c:pt idx="140">
                  <c:v>2.2163523661353794</c:v>
                </c:pt>
                <c:pt idx="141">
                  <c:v>2.0836685153729002</c:v>
                </c:pt>
                <c:pt idx="142">
                  <c:v>2.0809846646104209</c:v>
                </c:pt>
                <c:pt idx="143">
                  <c:v>2.1214582097841568</c:v>
                </c:pt>
                <c:pt idx="144">
                  <c:v>2.1919317549578921</c:v>
                </c:pt>
                <c:pt idx="145">
                  <c:v>2.3024053001316283</c:v>
                </c:pt>
                <c:pt idx="146">
                  <c:v>2.3468689237248963</c:v>
                </c:pt>
                <c:pt idx="147">
                  <c:v>2.3613325473181641</c:v>
                </c:pt>
                <c:pt idx="148">
                  <c:v>2.3757961709114319</c:v>
                </c:pt>
                <c:pt idx="149">
                  <c:v>2.4501042672702362</c:v>
                </c:pt>
                <c:pt idx="150">
                  <c:v>2.5944123636290408</c:v>
                </c:pt>
                <c:pt idx="151">
                  <c:v>2.6487204599878469</c:v>
                </c:pt>
                <c:pt idx="152">
                  <c:v>2.7469627749847714</c:v>
                </c:pt>
                <c:pt idx="153">
                  <c:v>2.7152050899816969</c:v>
                </c:pt>
                <c:pt idx="154">
                  <c:v>2.4834474049786208</c:v>
                </c:pt>
                <c:pt idx="155">
                  <c:v>2.3978691392817506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6566964240184254E-2"/>
          <c:y val="0.14812147013867269"/>
          <c:w val="0.38190468555549734"/>
          <c:h val="0.1599993098862219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271796277844595E-2"/>
          <c:y val="0.19072588219668571"/>
          <c:w val="0.88843210720141497"/>
          <c:h val="0.6698614670956278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'Chart Data'!$AC$3</c:f>
              <c:strCache>
                <c:ptCount val="1"/>
                <c:pt idx="0">
                  <c:v>Hiking cycle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invertIfNegative val="0"/>
          <c:cat>
            <c:numRef>
              <c:f>'Chart Data'!$Z$4:$Z$64</c:f>
              <c:numCache>
                <c:formatCode>m/d/yyyy</c:formatCode>
                <c:ptCount val="61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  <c:pt idx="60">
                  <c:v>46357</c:v>
                </c:pt>
              </c:numCache>
            </c:numRef>
          </c:cat>
          <c:val>
            <c:numRef>
              <c:f>'Chart Data'!$AC$4:$AC$64</c:f>
              <c:numCache>
                <c:formatCode>0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Data'!$AD$3</c:f>
              <c:strCache>
                <c:ptCount val="1"/>
                <c:pt idx="0">
                  <c:v>Cutting cycle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invertIfNegative val="0"/>
          <c:cat>
            <c:numRef>
              <c:f>'Chart Data'!$Z$4:$Z$64</c:f>
              <c:numCache>
                <c:formatCode>m/d/yyyy</c:formatCode>
                <c:ptCount val="61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  <c:pt idx="60">
                  <c:v>46357</c:v>
                </c:pt>
              </c:numCache>
            </c:numRef>
          </c:cat>
          <c:val>
            <c:numRef>
              <c:f>'Chart Data'!$AD$4:$AD$64</c:f>
              <c:numCache>
                <c:formatCode>0</c:formatCode>
                <c:ptCount val="61"/>
                <c:pt idx="32" formatCode="0.00">
                  <c:v>1000</c:v>
                </c:pt>
                <c:pt idx="33" formatCode="0.00">
                  <c:v>1000</c:v>
                </c:pt>
                <c:pt idx="34" formatCode="0.00">
                  <c:v>1000</c:v>
                </c:pt>
                <c:pt idx="35" formatCode="0.00">
                  <c:v>1000</c:v>
                </c:pt>
                <c:pt idx="36" formatCode="0.00">
                  <c:v>1000</c:v>
                </c:pt>
                <c:pt idx="37" formatCode="0.00">
                  <c:v>1000</c:v>
                </c:pt>
                <c:pt idx="38" formatCode="0.00">
                  <c:v>1000</c:v>
                </c:pt>
                <c:pt idx="39" formatCode="0.00">
                  <c:v>1000</c:v>
                </c:pt>
                <c:pt idx="40" formatCode="0.00">
                  <c:v>1000</c:v>
                </c:pt>
                <c:pt idx="41" formatCode="0.00">
                  <c:v>1000</c:v>
                </c:pt>
                <c:pt idx="42" formatCode="0.00">
                  <c:v>1000</c:v>
                </c:pt>
                <c:pt idx="43" formatCode="0.00">
                  <c:v>1000</c:v>
                </c:pt>
                <c:pt idx="44" formatCode="0.00">
                  <c:v>1000</c:v>
                </c:pt>
                <c:pt idx="45" formatCode="0.00">
                  <c:v>1000</c:v>
                </c:pt>
                <c:pt idx="46" formatCode="0.00">
                  <c:v>1000</c:v>
                </c:pt>
                <c:pt idx="47" formatCode="0.00">
                  <c:v>1000</c:v>
                </c:pt>
                <c:pt idx="48" formatCode="0.00">
                  <c:v>1000</c:v>
                </c:pt>
                <c:pt idx="49" formatCode="0.00">
                  <c:v>1000</c:v>
                </c:pt>
                <c:pt idx="50" formatCode="0.00">
                  <c:v>1000</c:v>
                </c:pt>
                <c:pt idx="51" formatCode="0.00">
                  <c:v>1000</c:v>
                </c:pt>
                <c:pt idx="52" formatCode="0.00">
                  <c:v>1000</c:v>
                </c:pt>
                <c:pt idx="53" formatCode="0.00">
                  <c:v>1000</c:v>
                </c:pt>
                <c:pt idx="54" formatCode="0.00">
                  <c:v>1000</c:v>
                </c:pt>
                <c:pt idx="55" formatCode="0.00">
                  <c:v>1000</c:v>
                </c:pt>
                <c:pt idx="56" formatCode="0.00">
                  <c:v>1000</c:v>
                </c:pt>
                <c:pt idx="57" formatCode="0.00">
                  <c:v>1000</c:v>
                </c:pt>
                <c:pt idx="58" formatCode="0.00">
                  <c:v>1000</c:v>
                </c:pt>
                <c:pt idx="59" formatCode="0.00">
                  <c:v>1000</c:v>
                </c:pt>
                <c:pt idx="60" formatCode="0.0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'Chart Data'!$AA$3</c:f>
              <c:strCache>
                <c:ptCount val="1"/>
                <c:pt idx="0">
                  <c:v>Companies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Data'!$Z$4:$Z$64</c:f>
              <c:numCache>
                <c:formatCode>m/d/yyyy</c:formatCode>
                <c:ptCount val="61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  <c:pt idx="60">
                  <c:v>46357</c:v>
                </c:pt>
              </c:numCache>
            </c:numRef>
          </c:cat>
          <c:val>
            <c:numRef>
              <c:f>'Chart Data'!$AA$4:$AA$64</c:f>
              <c:numCache>
                <c:formatCode>0.00</c:formatCode>
                <c:ptCount val="61"/>
                <c:pt idx="0">
                  <c:v>4.9999999999999822E-2</c:v>
                </c:pt>
                <c:pt idx="1">
                  <c:v>0.10999999999999988</c:v>
                </c:pt>
                <c:pt idx="2">
                  <c:v>0.25</c:v>
                </c:pt>
                <c:pt idx="3">
                  <c:v>0.34999999999999964</c:v>
                </c:pt>
                <c:pt idx="4">
                  <c:v>0.44999999999999973</c:v>
                </c:pt>
                <c:pt idx="5">
                  <c:v>0.64999999999999991</c:v>
                </c:pt>
                <c:pt idx="6">
                  <c:v>0.7799999999999998</c:v>
                </c:pt>
                <c:pt idx="7">
                  <c:v>0.85999999999999988</c:v>
                </c:pt>
                <c:pt idx="8">
                  <c:v>1.17</c:v>
                </c:pt>
                <c:pt idx="9">
                  <c:v>1.38</c:v>
                </c:pt>
                <c:pt idx="10">
                  <c:v>1.63</c:v>
                </c:pt>
                <c:pt idx="11">
                  <c:v>2.12</c:v>
                </c:pt>
                <c:pt idx="12">
                  <c:v>2.4399999999999995</c:v>
                </c:pt>
                <c:pt idx="13">
                  <c:v>2.5999999999999996</c:v>
                </c:pt>
                <c:pt idx="14">
                  <c:v>2.95</c:v>
                </c:pt>
                <c:pt idx="15">
                  <c:v>3.09</c:v>
                </c:pt>
                <c:pt idx="16">
                  <c:v>3.21</c:v>
                </c:pt>
                <c:pt idx="17">
                  <c:v>3.34</c:v>
                </c:pt>
                <c:pt idx="18">
                  <c:v>3.62</c:v>
                </c:pt>
                <c:pt idx="19">
                  <c:v>3.8099999999999996</c:v>
                </c:pt>
                <c:pt idx="20">
                  <c:v>4.01</c:v>
                </c:pt>
                <c:pt idx="21">
                  <c:v>4.1099999999999994</c:v>
                </c:pt>
                <c:pt idx="22">
                  <c:v>4.08</c:v>
                </c:pt>
                <c:pt idx="23">
                  <c:v>4.0999999999999996</c:v>
                </c:pt>
                <c:pt idx="24">
                  <c:v>4.12</c:v>
                </c:pt>
                <c:pt idx="25">
                  <c:v>4.1399999999999997</c:v>
                </c:pt>
                <c:pt idx="26">
                  <c:v>4.1499999999999995</c:v>
                </c:pt>
                <c:pt idx="27">
                  <c:v>4.18</c:v>
                </c:pt>
                <c:pt idx="28">
                  <c:v>4.17</c:v>
                </c:pt>
                <c:pt idx="29">
                  <c:v>4.18</c:v>
                </c:pt>
                <c:pt idx="30">
                  <c:v>4.22</c:v>
                </c:pt>
                <c:pt idx="31">
                  <c:v>4.18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4.05</c:v>
                </c:pt>
                <c:pt idx="35">
                  <c:v>3.91</c:v>
                </c:pt>
                <c:pt idx="36">
                  <c:v>3.88</c:v>
                </c:pt>
                <c:pt idx="37">
                  <c:v>3.8099999999999996</c:v>
                </c:pt>
                <c:pt idx="38">
                  <c:v>3.6799999999999997</c:v>
                </c:pt>
                <c:pt idx="39">
                  <c:v>3.6399999999999997</c:v>
                </c:pt>
                <c:pt idx="40">
                  <c:v>3.5783335000000003</c:v>
                </c:pt>
                <c:pt idx="41">
                  <c:v>3.516667</c:v>
                </c:pt>
                <c:pt idx="42">
                  <c:v>3.4521139999999999</c:v>
                </c:pt>
                <c:pt idx="43">
                  <c:v>3.3875609999999998</c:v>
                </c:pt>
                <c:pt idx="44">
                  <c:v>3.3230079999999997</c:v>
                </c:pt>
                <c:pt idx="45">
                  <c:v>3.2526403333333329</c:v>
                </c:pt>
                <c:pt idx="46">
                  <c:v>3.1822726666666661</c:v>
                </c:pt>
                <c:pt idx="47">
                  <c:v>3.1119050000000001</c:v>
                </c:pt>
                <c:pt idx="48">
                  <c:v>3.0432920000000001</c:v>
                </c:pt>
                <c:pt idx="49">
                  <c:v>2.9746790000000001</c:v>
                </c:pt>
                <c:pt idx="50">
                  <c:v>2.906066</c:v>
                </c:pt>
                <c:pt idx="51">
                  <c:v>2.8368193333333336</c:v>
                </c:pt>
                <c:pt idx="52">
                  <c:v>2.7675726666666671</c:v>
                </c:pt>
                <c:pt idx="53">
                  <c:v>2.6983259999999998</c:v>
                </c:pt>
                <c:pt idx="54">
                  <c:v>2.649137333333333</c:v>
                </c:pt>
                <c:pt idx="55">
                  <c:v>2.5999486666666662</c:v>
                </c:pt>
                <c:pt idx="56">
                  <c:v>2.5507599999999995</c:v>
                </c:pt>
                <c:pt idx="57">
                  <c:v>2.494993</c:v>
                </c:pt>
                <c:pt idx="58">
                  <c:v>2.4392260000000006</c:v>
                </c:pt>
                <c:pt idx="59">
                  <c:v>2.3834590000000002</c:v>
                </c:pt>
                <c:pt idx="60">
                  <c:v>2.3368640000000003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Data'!$AB$3</c:f>
              <c:strCache>
                <c:ptCount val="1"/>
                <c:pt idx="0">
                  <c:v>Household mortgages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Data'!$Z$4:$Z$64</c:f>
              <c:numCache>
                <c:formatCode>m/d/yyyy</c:formatCode>
                <c:ptCount val="61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  <c:pt idx="54">
                  <c:v>46174</c:v>
                </c:pt>
                <c:pt idx="55">
                  <c:v>46204</c:v>
                </c:pt>
                <c:pt idx="56">
                  <c:v>46235</c:v>
                </c:pt>
                <c:pt idx="57">
                  <c:v>46266</c:v>
                </c:pt>
                <c:pt idx="58">
                  <c:v>46296</c:v>
                </c:pt>
                <c:pt idx="59">
                  <c:v>46327</c:v>
                </c:pt>
                <c:pt idx="60">
                  <c:v>46357</c:v>
                </c:pt>
              </c:numCache>
            </c:numRef>
          </c:cat>
          <c:val>
            <c:numRef>
              <c:f>'Chart Data'!$AB$4:$AB$64</c:f>
              <c:numCache>
                <c:formatCode>0.00</c:formatCode>
                <c:ptCount val="61"/>
                <c:pt idx="0">
                  <c:v>-1.0000000000000231E-2</c:v>
                </c:pt>
                <c:pt idx="1">
                  <c:v>-1.0000000000000231E-2</c:v>
                </c:pt>
                <c:pt idx="2">
                  <c:v>0</c:v>
                </c:pt>
                <c:pt idx="3">
                  <c:v>2.9999999999999805E-2</c:v>
                </c:pt>
                <c:pt idx="4">
                  <c:v>2.9999999999999805E-2</c:v>
                </c:pt>
                <c:pt idx="5">
                  <c:v>6.0000000000000053E-2</c:v>
                </c:pt>
                <c:pt idx="6">
                  <c:v>0.10000000000000009</c:v>
                </c:pt>
                <c:pt idx="7">
                  <c:v>0.10999999999999988</c:v>
                </c:pt>
                <c:pt idx="8">
                  <c:v>0.16000000000000014</c:v>
                </c:pt>
                <c:pt idx="9">
                  <c:v>0.22999999999999998</c:v>
                </c:pt>
                <c:pt idx="10">
                  <c:v>0.27</c:v>
                </c:pt>
                <c:pt idx="11">
                  <c:v>0.37000000000000011</c:v>
                </c:pt>
                <c:pt idx="12">
                  <c:v>0.48999999999999977</c:v>
                </c:pt>
                <c:pt idx="13">
                  <c:v>0.5299999999999998</c:v>
                </c:pt>
                <c:pt idx="14">
                  <c:v>0.62999999999999989</c:v>
                </c:pt>
                <c:pt idx="15">
                  <c:v>0.73</c:v>
                </c:pt>
                <c:pt idx="16">
                  <c:v>0.73999999999999977</c:v>
                </c:pt>
                <c:pt idx="17">
                  <c:v>0.81</c:v>
                </c:pt>
                <c:pt idx="18">
                  <c:v>0.91000000000000014</c:v>
                </c:pt>
                <c:pt idx="19">
                  <c:v>0.96</c:v>
                </c:pt>
                <c:pt idx="20">
                  <c:v>1.0499999999999998</c:v>
                </c:pt>
                <c:pt idx="21">
                  <c:v>1.1400000000000001</c:v>
                </c:pt>
                <c:pt idx="22">
                  <c:v>1.2000000000000002</c:v>
                </c:pt>
                <c:pt idx="23">
                  <c:v>1.2599999999999998</c:v>
                </c:pt>
                <c:pt idx="24">
                  <c:v>1.35</c:v>
                </c:pt>
                <c:pt idx="25">
                  <c:v>1.4</c:v>
                </c:pt>
                <c:pt idx="26">
                  <c:v>1.4700000000000002</c:v>
                </c:pt>
                <c:pt idx="27">
                  <c:v>1.4899999999999998</c:v>
                </c:pt>
                <c:pt idx="28">
                  <c:v>1.56</c:v>
                </c:pt>
                <c:pt idx="29">
                  <c:v>1.6</c:v>
                </c:pt>
                <c:pt idx="30">
                  <c:v>1.6400000000000001</c:v>
                </c:pt>
                <c:pt idx="31">
                  <c:v>1.6800000000000002</c:v>
                </c:pt>
                <c:pt idx="32">
                  <c:v>1.71</c:v>
                </c:pt>
                <c:pt idx="33">
                  <c:v>1.73</c:v>
                </c:pt>
                <c:pt idx="34">
                  <c:v>1.77</c:v>
                </c:pt>
                <c:pt idx="35">
                  <c:v>1.79</c:v>
                </c:pt>
                <c:pt idx="36">
                  <c:v>1.7799999999999998</c:v>
                </c:pt>
                <c:pt idx="37">
                  <c:v>1.7999999999999998</c:v>
                </c:pt>
                <c:pt idx="38">
                  <c:v>1.85</c:v>
                </c:pt>
                <c:pt idx="39">
                  <c:v>1.83</c:v>
                </c:pt>
                <c:pt idx="40">
                  <c:v>1.8416665000000001</c:v>
                </c:pt>
                <c:pt idx="41">
                  <c:v>1.8533330000000001</c:v>
                </c:pt>
                <c:pt idx="42">
                  <c:v>1.8470956666666667</c:v>
                </c:pt>
                <c:pt idx="43">
                  <c:v>1.8408583333333333</c:v>
                </c:pt>
                <c:pt idx="44">
                  <c:v>1.8346209999999998</c:v>
                </c:pt>
                <c:pt idx="45">
                  <c:v>1.8350756666666665</c:v>
                </c:pt>
                <c:pt idx="46">
                  <c:v>1.8355303333333333</c:v>
                </c:pt>
                <c:pt idx="47">
                  <c:v>1.835985</c:v>
                </c:pt>
                <c:pt idx="48">
                  <c:v>1.8439899999999998</c:v>
                </c:pt>
                <c:pt idx="49">
                  <c:v>1.8519949999999996</c:v>
                </c:pt>
                <c:pt idx="50">
                  <c:v>1.8599999999999999</c:v>
                </c:pt>
                <c:pt idx="51">
                  <c:v>1.8651283333333333</c:v>
                </c:pt>
                <c:pt idx="52">
                  <c:v>1.8702566666666667</c:v>
                </c:pt>
                <c:pt idx="53">
                  <c:v>1.8753850000000001</c:v>
                </c:pt>
                <c:pt idx="54">
                  <c:v>1.8916173333333335</c:v>
                </c:pt>
                <c:pt idx="55">
                  <c:v>1.9078496666666669</c:v>
                </c:pt>
                <c:pt idx="56">
                  <c:v>1.9240819999999998</c:v>
                </c:pt>
                <c:pt idx="57">
                  <c:v>1.9394679999999997</c:v>
                </c:pt>
                <c:pt idx="58">
                  <c:v>1.9548539999999996</c:v>
                </c:pt>
                <c:pt idx="59">
                  <c:v>1.97024</c:v>
                </c:pt>
                <c:pt idx="60">
                  <c:v>1.9805829999999998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509080542183234"/>
          <c:y val="7.2565876705940904E-2"/>
          <c:w val="0.67890367493293147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79871850688182E-3"/>
          <c:y val="0.12452830188679245"/>
          <c:w val="0.98903250449696145"/>
          <c:h val="0.807547169811320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Data'!$AG$3</c:f>
              <c:strCache>
                <c:ptCount val="1"/>
                <c:pt idx="0">
                  <c:v>Secured household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Data'!$AF$4:$AF$43</c:f>
              <c:numCache>
                <c:formatCode>m/d/yyyy</c:formatCode>
                <c:ptCount val="40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  <c:pt idx="24">
                  <c:v>45658</c:v>
                </c:pt>
                <c:pt idx="25">
                  <c:v>45748</c:v>
                </c:pt>
                <c:pt idx="26">
                  <c:v>45839</c:v>
                </c:pt>
                <c:pt idx="27">
                  <c:v>45931</c:v>
                </c:pt>
                <c:pt idx="28">
                  <c:v>46023</c:v>
                </c:pt>
                <c:pt idx="29">
                  <c:v>46113</c:v>
                </c:pt>
                <c:pt idx="30">
                  <c:v>46204</c:v>
                </c:pt>
                <c:pt idx="31">
                  <c:v>46296</c:v>
                </c:pt>
                <c:pt idx="32">
                  <c:v>46388</c:v>
                </c:pt>
                <c:pt idx="33">
                  <c:v>46478</c:v>
                </c:pt>
                <c:pt idx="34">
                  <c:v>46569</c:v>
                </c:pt>
                <c:pt idx="35">
                  <c:v>46661</c:v>
                </c:pt>
                <c:pt idx="36">
                  <c:v>46753</c:v>
                </c:pt>
                <c:pt idx="37">
                  <c:v>46844</c:v>
                </c:pt>
                <c:pt idx="38">
                  <c:v>46935</c:v>
                </c:pt>
                <c:pt idx="39">
                  <c:v>47027</c:v>
                </c:pt>
              </c:numCache>
            </c:numRef>
          </c:cat>
          <c:val>
            <c:numRef>
              <c:f>'Chart Data'!$AG$4:$AG$43</c:f>
              <c:numCache>
                <c:formatCode>0.00</c:formatCode>
                <c:ptCount val="40"/>
                <c:pt idx="0">
                  <c:v>2.463333</c:v>
                </c:pt>
                <c:pt idx="1">
                  <c:v>2.4366669999999999</c:v>
                </c:pt>
                <c:pt idx="2">
                  <c:v>2.4133330000000002</c:v>
                </c:pt>
                <c:pt idx="3">
                  <c:v>2.3866670000000001</c:v>
                </c:pt>
                <c:pt idx="4">
                  <c:v>2.3566669999999998</c:v>
                </c:pt>
                <c:pt idx="5">
                  <c:v>2.1833330000000002</c:v>
                </c:pt>
                <c:pt idx="6">
                  <c:v>2.1433330000000002</c:v>
                </c:pt>
                <c:pt idx="7">
                  <c:v>2.12</c:v>
                </c:pt>
                <c:pt idx="8">
                  <c:v>2.09</c:v>
                </c:pt>
                <c:pt idx="9">
                  <c:v>2.0733329999999999</c:v>
                </c:pt>
                <c:pt idx="10">
                  <c:v>2.0533329999999999</c:v>
                </c:pt>
                <c:pt idx="11">
                  <c:v>2.02</c:v>
                </c:pt>
                <c:pt idx="12">
                  <c:v>2.0266670000000002</c:v>
                </c:pt>
                <c:pt idx="13">
                  <c:v>2.0833330000000001</c:v>
                </c:pt>
                <c:pt idx="14">
                  <c:v>2.1866669999999999</c:v>
                </c:pt>
                <c:pt idx="15">
                  <c:v>2.3966669999999999</c:v>
                </c:pt>
                <c:pt idx="16">
                  <c:v>2.65</c:v>
                </c:pt>
                <c:pt idx="17">
                  <c:v>2.84</c:v>
                </c:pt>
                <c:pt idx="18">
                  <c:v>3.07</c:v>
                </c:pt>
                <c:pt idx="19">
                  <c:v>3.29</c:v>
                </c:pt>
                <c:pt idx="20">
                  <c:v>3.4733329999999998</c:v>
                </c:pt>
                <c:pt idx="21">
                  <c:v>3.62</c:v>
                </c:pt>
                <c:pt idx="22">
                  <c:v>3.726667</c:v>
                </c:pt>
                <c:pt idx="23">
                  <c:v>3.8</c:v>
                </c:pt>
                <c:pt idx="24">
                  <c:v>3.8466670000000001</c:v>
                </c:pt>
                <c:pt idx="25">
                  <c:v>3.8733330000000001</c:v>
                </c:pt>
                <c:pt idx="26">
                  <c:v>3.8546209999999999</c:v>
                </c:pt>
                <c:pt idx="27">
                  <c:v>3.855985</c:v>
                </c:pt>
                <c:pt idx="28">
                  <c:v>3.88</c:v>
                </c:pt>
                <c:pt idx="29">
                  <c:v>3.8953850000000001</c:v>
                </c:pt>
                <c:pt idx="30">
                  <c:v>3.9440819999999999</c:v>
                </c:pt>
                <c:pt idx="31">
                  <c:v>3.99024</c:v>
                </c:pt>
                <c:pt idx="32">
                  <c:v>4.0212690000000002</c:v>
                </c:pt>
                <c:pt idx="33">
                  <c:v>4.0294509999999999</c:v>
                </c:pt>
                <c:pt idx="34">
                  <c:v>4.0106210000000004</c:v>
                </c:pt>
                <c:pt idx="35">
                  <c:v>3.9302739999999998</c:v>
                </c:pt>
                <c:pt idx="36">
                  <c:v>3.8858609999999998</c:v>
                </c:pt>
                <c:pt idx="37">
                  <c:v>3.845469</c:v>
                </c:pt>
                <c:pt idx="38">
                  <c:v>3.7748840000000001</c:v>
                </c:pt>
                <c:pt idx="39">
                  <c:v>3.7265229999999998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Data'!$AH$3</c:f>
              <c:strCache>
                <c:ptCount val="1"/>
                <c:pt idx="0">
                  <c:v>Non-financial corporations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Data'!$AF$4:$AF$43</c:f>
              <c:numCache>
                <c:formatCode>m/d/yyyy</c:formatCode>
                <c:ptCount val="40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  <c:pt idx="24">
                  <c:v>45658</c:v>
                </c:pt>
                <c:pt idx="25">
                  <c:v>45748</c:v>
                </c:pt>
                <c:pt idx="26">
                  <c:v>45839</c:v>
                </c:pt>
                <c:pt idx="27">
                  <c:v>45931</c:v>
                </c:pt>
                <c:pt idx="28">
                  <c:v>46023</c:v>
                </c:pt>
                <c:pt idx="29">
                  <c:v>46113</c:v>
                </c:pt>
                <c:pt idx="30">
                  <c:v>46204</c:v>
                </c:pt>
                <c:pt idx="31">
                  <c:v>46296</c:v>
                </c:pt>
                <c:pt idx="32">
                  <c:v>46388</c:v>
                </c:pt>
                <c:pt idx="33">
                  <c:v>46478</c:v>
                </c:pt>
                <c:pt idx="34">
                  <c:v>46569</c:v>
                </c:pt>
                <c:pt idx="35">
                  <c:v>46661</c:v>
                </c:pt>
                <c:pt idx="36">
                  <c:v>46753</c:v>
                </c:pt>
                <c:pt idx="37">
                  <c:v>46844</c:v>
                </c:pt>
                <c:pt idx="38">
                  <c:v>46935</c:v>
                </c:pt>
                <c:pt idx="39">
                  <c:v>47027</c:v>
                </c:pt>
              </c:numCache>
            </c:numRef>
          </c:cat>
          <c:val>
            <c:numRef>
              <c:f>'Chart Data'!$AH$4:$AH$43</c:f>
              <c:numCache>
                <c:formatCode>0.00</c:formatCode>
                <c:ptCount val="40"/>
                <c:pt idx="0">
                  <c:v>3.3433329999999999</c:v>
                </c:pt>
                <c:pt idx="1">
                  <c:v>3.3233329999999999</c:v>
                </c:pt>
                <c:pt idx="2">
                  <c:v>3.28</c:v>
                </c:pt>
                <c:pt idx="3">
                  <c:v>3.26</c:v>
                </c:pt>
                <c:pt idx="4">
                  <c:v>3.266667</c:v>
                </c:pt>
                <c:pt idx="5">
                  <c:v>2.8766669999999999</c:v>
                </c:pt>
                <c:pt idx="6">
                  <c:v>2.57</c:v>
                </c:pt>
                <c:pt idx="7">
                  <c:v>2.4533330000000002</c:v>
                </c:pt>
                <c:pt idx="8">
                  <c:v>2.4266670000000001</c:v>
                </c:pt>
                <c:pt idx="9">
                  <c:v>2.4900000000000002</c:v>
                </c:pt>
                <c:pt idx="10">
                  <c:v>2.6166670000000001</c:v>
                </c:pt>
                <c:pt idx="11">
                  <c:v>2.7033330000000002</c:v>
                </c:pt>
                <c:pt idx="12">
                  <c:v>2.9366669999999999</c:v>
                </c:pt>
                <c:pt idx="13">
                  <c:v>3.326667</c:v>
                </c:pt>
                <c:pt idx="14">
                  <c:v>3.8366669999999998</c:v>
                </c:pt>
                <c:pt idx="15">
                  <c:v>4.7633330000000003</c:v>
                </c:pt>
                <c:pt idx="16">
                  <c:v>5.58</c:v>
                </c:pt>
                <c:pt idx="17">
                  <c:v>6.09</c:v>
                </c:pt>
                <c:pt idx="18">
                  <c:v>6.6766670000000001</c:v>
                </c:pt>
                <c:pt idx="19">
                  <c:v>6.8</c:v>
                </c:pt>
                <c:pt idx="20">
                  <c:v>6.8566669999999998</c:v>
                </c:pt>
                <c:pt idx="21">
                  <c:v>6.89</c:v>
                </c:pt>
                <c:pt idx="22">
                  <c:v>6.806667</c:v>
                </c:pt>
                <c:pt idx="23">
                  <c:v>6.6466669999999999</c:v>
                </c:pt>
                <c:pt idx="24">
                  <c:v>6.41</c:v>
                </c:pt>
                <c:pt idx="25">
                  <c:v>6.2166670000000002</c:v>
                </c:pt>
                <c:pt idx="26">
                  <c:v>6.0230079999999999</c:v>
                </c:pt>
                <c:pt idx="27">
                  <c:v>5.8119050000000003</c:v>
                </c:pt>
                <c:pt idx="28">
                  <c:v>5.6060660000000002</c:v>
                </c:pt>
                <c:pt idx="29">
                  <c:v>5.398326</c:v>
                </c:pt>
                <c:pt idx="30">
                  <c:v>5.2507599999999996</c:v>
                </c:pt>
                <c:pt idx="31">
                  <c:v>5.0834590000000004</c:v>
                </c:pt>
                <c:pt idx="32">
                  <c:v>4.9436739999999997</c:v>
                </c:pt>
                <c:pt idx="33">
                  <c:v>4.7827789999999997</c:v>
                </c:pt>
                <c:pt idx="34">
                  <c:v>4.6491040000000003</c:v>
                </c:pt>
                <c:pt idx="35">
                  <c:v>4.4935419999999997</c:v>
                </c:pt>
                <c:pt idx="36">
                  <c:v>4.3715590000000004</c:v>
                </c:pt>
                <c:pt idx="37">
                  <c:v>4.3</c:v>
                </c:pt>
                <c:pt idx="38">
                  <c:v>4.3</c:v>
                </c:pt>
                <c:pt idx="39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96094884790095"/>
          <c:y val="7.8407368890209481E-2"/>
          <c:w val="0.75268924764905532"/>
          <c:h val="5.604813549249740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D5E82E-1167-4C15-84D2-704BD1A69688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B5A6E3-6F0D-4824-A588-BB8702977AD3}">
  <sheetPr codeName="Chart3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FE8609-F592-4EB8-816B-B16256EC7968}">
  <sheetPr codeName="Chart4"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85B5D9-3237-42AE-8C37-3E84BF295252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04171B-F865-4210-B95B-90B404EEC0BA}">
  <sheetPr codeName="Chart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598CE-23B4-35B7-95A8-FDDD883EEE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E1D2D7-F708-4F64-62AE-D6EA5DFCAC4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E8C4CA-22CC-1601-5994-292DCA541E45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0.77564</cdr:x>
      <cdr:y>0.13553</cdr:y>
    </cdr:from>
    <cdr:to>
      <cdr:x>0.77564</cdr:x>
      <cdr:y>0.85837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4958809-FB4C-F511-4266-47955DAF8597}"/>
            </a:ext>
          </a:extLst>
        </cdr:cNvPr>
        <cdr:cNvCxnSpPr/>
      </cdr:nvCxnSpPr>
      <cdr:spPr>
        <a:xfrm xmlns:a="http://schemas.openxmlformats.org/drawingml/2006/main">
          <a:off x="6538351" y="912690"/>
          <a:ext cx="0" cy="4867732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0.8148</cdr:x>
      <cdr:y>0.18039</cdr:y>
    </cdr:from>
    <cdr:to>
      <cdr:x>0.9654</cdr:x>
      <cdr:y>0.25972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D8E952C-55A4-3949-ADB0-272EDBB7B7AD}"/>
            </a:ext>
          </a:extLst>
        </cdr:cNvPr>
        <cdr:cNvSpPr txBox="1"/>
      </cdr:nvSpPr>
      <cdr:spPr>
        <a:xfrm xmlns:a="http://schemas.openxmlformats.org/drawingml/2006/main">
          <a:off x="6870700" y="121285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0.21346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46643B0-84F0-FB72-B66C-116E75170621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4326E-79A2-93AF-B871-1D34200693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3581C7A-BB85-2FB6-B882-7D64EF79896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quoted mortgage rates *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4344799-E7C1-2129-E3D3-A4E2EC875F7E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0.78016</cdr:x>
      <cdr:y>0.14403</cdr:y>
    </cdr:from>
    <cdr:to>
      <cdr:x>0.78016</cdr:x>
      <cdr:y>0.86686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6D91768-14E4-FF6D-B907-65569D48E956}"/>
            </a:ext>
          </a:extLst>
        </cdr:cNvPr>
        <cdr:cNvCxnSpPr/>
      </cdr:nvCxnSpPr>
      <cdr:spPr>
        <a:xfrm xmlns:a="http://schemas.openxmlformats.org/drawingml/2006/main">
          <a:off x="6576452" y="969923"/>
          <a:ext cx="0" cy="486766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0.81254</cdr:x>
      <cdr:y>0.27956</cdr:y>
    </cdr:from>
    <cdr:to>
      <cdr:x>0.96315</cdr:x>
      <cdr:y>0.35889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A9E80C2-3D91-450B-014A-DB4556AE71D5}"/>
            </a:ext>
          </a:extLst>
        </cdr:cNvPr>
        <cdr:cNvSpPr txBox="1"/>
      </cdr:nvSpPr>
      <cdr:spPr>
        <a:xfrm xmlns:a="http://schemas.openxmlformats.org/drawingml/2006/main">
          <a:off x="6851650" y="18796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0.29885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2D22A01-BF0C-C34B-3863-BB2767B46316}"/>
            </a:ext>
          </a:extLst>
        </cdr:cNvPr>
        <cdr:cNvSpPr txBox="1"/>
      </cdr:nvSpPr>
      <cdr:spPr>
        <a:xfrm xmlns:a="http://schemas.openxmlformats.org/drawingml/2006/main">
          <a:off x="0" y="508000"/>
          <a:ext cx="25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Difference, %pts</a:t>
          </a:r>
        </a:p>
      </cdr:txBody>
    </cdr:sp>
  </cdr:relSizeAnchor>
  <cdr:relSizeAnchor xmlns:cdr="http://schemas.openxmlformats.org/drawingml/2006/chartDrawing">
    <cdr:from>
      <cdr:x>0.53274</cdr:x>
      <cdr:y>0.06989</cdr:y>
    </cdr:from>
    <cdr:to>
      <cdr:x>1</cdr:x>
      <cdr:y>0.14922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77F4EC3-676A-C774-E31F-72A7BDA16887}"/>
            </a:ext>
          </a:extLst>
        </cdr:cNvPr>
        <cdr:cNvSpPr txBox="1"/>
      </cdr:nvSpPr>
      <cdr:spPr>
        <a:xfrm xmlns:a="http://schemas.openxmlformats.org/drawingml/2006/main">
          <a:off x="4492251" y="469900"/>
          <a:ext cx="39401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New fix less equivalent expiring fix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1E428-CE66-072B-DD22-E1BF306AD1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3581C7A-BB85-2FB6-B882-7D64EF79896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quoted mortgage rates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4344799-E7C1-2129-E3D3-A4E2EC875F7E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0.7779</cdr:x>
      <cdr:y>0.16811</cdr:y>
    </cdr:from>
    <cdr:to>
      <cdr:x>0.7779</cdr:x>
      <cdr:y>0.84276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6D91768-14E4-FF6D-B907-65569D48E956}"/>
            </a:ext>
          </a:extLst>
        </cdr:cNvPr>
        <cdr:cNvCxnSpPr/>
      </cdr:nvCxnSpPr>
      <cdr:spPr>
        <a:xfrm xmlns:a="http://schemas.openxmlformats.org/drawingml/2006/main">
          <a:off x="6557402" y="1132082"/>
          <a:ext cx="0" cy="4543211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0.81254</cdr:x>
      <cdr:y>0.27956</cdr:y>
    </cdr:from>
    <cdr:to>
      <cdr:x>0.96315</cdr:x>
      <cdr:y>0.35889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A9E80C2-3D91-450B-014A-DB4556AE71D5}"/>
            </a:ext>
          </a:extLst>
        </cdr:cNvPr>
        <cdr:cNvSpPr txBox="1"/>
      </cdr:nvSpPr>
      <cdr:spPr>
        <a:xfrm xmlns:a="http://schemas.openxmlformats.org/drawingml/2006/main">
          <a:off x="6851650" y="18796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0.29885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2D22A01-BF0C-C34B-3863-BB2767B46316}"/>
            </a:ext>
          </a:extLst>
        </cdr:cNvPr>
        <cdr:cNvSpPr txBox="1"/>
      </cdr:nvSpPr>
      <cdr:spPr>
        <a:xfrm xmlns:a="http://schemas.openxmlformats.org/drawingml/2006/main">
          <a:off x="0" y="508000"/>
          <a:ext cx="25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Difference, %pts</a:t>
          </a:r>
        </a:p>
      </cdr:txBody>
    </cdr:sp>
  </cdr:relSizeAnchor>
  <cdr:relSizeAnchor xmlns:cdr="http://schemas.openxmlformats.org/drawingml/2006/chartDrawing">
    <cdr:from>
      <cdr:x>0.53274</cdr:x>
      <cdr:y>0.06564</cdr:y>
    </cdr:from>
    <cdr:to>
      <cdr:x>1</cdr:x>
      <cdr:y>0.16433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77F4EC3-676A-C774-E31F-72A7BDA16887}"/>
            </a:ext>
          </a:extLst>
        </cdr:cNvPr>
        <cdr:cNvSpPr txBox="1"/>
      </cdr:nvSpPr>
      <cdr:spPr>
        <a:xfrm xmlns:a="http://schemas.openxmlformats.org/drawingml/2006/main">
          <a:off x="4492251" y="441324"/>
          <a:ext cx="3940175" cy="663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12-month change in SVR</a:t>
          </a:r>
        </a:p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** New fix less equivalent expiring fix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DDD38-A2EE-A539-123B-842584CD5F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86ED3CB-BE04-9AB7-30A4-D169401D95B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average interest rate on outstanding loans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AC065EB-C5C1-B068-8326-483D5F97D2AB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0.64461</cdr:x>
      <cdr:y>0.19078</cdr:y>
    </cdr:from>
    <cdr:to>
      <cdr:x>0.64461</cdr:x>
      <cdr:y>0.86007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C650C75-8EB8-470C-46D4-01360A7E5C2C}"/>
            </a:ext>
          </a:extLst>
        </cdr:cNvPr>
        <cdr:cNvCxnSpPr/>
      </cdr:nvCxnSpPr>
      <cdr:spPr>
        <a:xfrm xmlns:a="http://schemas.openxmlformats.org/drawingml/2006/main">
          <a:off x="5435600" y="1282700"/>
          <a:ext cx="0" cy="4500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0.64385</cdr:x>
      <cdr:y>0.19314</cdr:y>
    </cdr:from>
    <cdr:to>
      <cdr:x>0.96013</cdr:x>
      <cdr:y>0.27247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4F4A208-7B67-89E2-EF1A-06D1812C826A}"/>
            </a:ext>
          </a:extLst>
        </cdr:cNvPr>
        <cdr:cNvSpPr txBox="1"/>
      </cdr:nvSpPr>
      <cdr:spPr>
        <a:xfrm xmlns:a="http://schemas.openxmlformats.org/drawingml/2006/main">
          <a:off x="5429250" y="1298575"/>
          <a:ext cx="2667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Bank Rate falling</a:t>
          </a:r>
        </a:p>
      </cdr:txBody>
    </cdr:sp>
  </cdr:relSizeAnchor>
  <cdr:relSizeAnchor xmlns:cdr="http://schemas.openxmlformats.org/drawingml/2006/chartDrawing">
    <cdr:from>
      <cdr:x>0</cdr:x>
      <cdr:y>0.11806</cdr:y>
    </cdr:from>
    <cdr:to>
      <cdr:x>0.76846</cdr:x>
      <cdr:y>0.16906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8DE5102-EA97-487F-B1EE-691E8F349595}"/>
            </a:ext>
          </a:extLst>
        </cdr:cNvPr>
        <cdr:cNvSpPr txBox="1"/>
      </cdr:nvSpPr>
      <cdr:spPr>
        <a:xfrm xmlns:a="http://schemas.openxmlformats.org/drawingml/2006/main">
          <a:off x="0" y="793750"/>
          <a:ext cx="64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 change since BoE started to increase Bank Rate </a:t>
          </a:r>
        </a:p>
      </cdr:txBody>
    </cdr:sp>
  </cdr:relSizeAnchor>
  <cdr:relSizeAnchor xmlns:cdr="http://schemas.openxmlformats.org/drawingml/2006/chartDrawing">
    <cdr:from>
      <cdr:x>0.07342</cdr:x>
      <cdr:y>0.19314</cdr:y>
    </cdr:from>
    <cdr:to>
      <cdr:x>0.37953</cdr:x>
      <cdr:y>0.27247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5C5C907-7D61-963B-89AA-DACE45766004}"/>
            </a:ext>
          </a:extLst>
        </cdr:cNvPr>
        <cdr:cNvSpPr txBox="1"/>
      </cdr:nvSpPr>
      <cdr:spPr>
        <a:xfrm xmlns:a="http://schemas.openxmlformats.org/drawingml/2006/main">
          <a:off x="619124" y="1298575"/>
          <a:ext cx="2581276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Bank Rate increasing</a:t>
          </a:r>
        </a:p>
      </cdr:txBody>
    </cdr:sp>
  </cdr:relSizeAnchor>
  <cdr:relSizeAnchor xmlns:cdr="http://schemas.openxmlformats.org/drawingml/2006/chartDrawing">
    <cdr:from>
      <cdr:x>0.64385</cdr:x>
      <cdr:y>0.77256</cdr:y>
    </cdr:from>
    <cdr:to>
      <cdr:x>0.96013</cdr:x>
      <cdr:y>0.85189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5C5C907-7D61-963B-89AA-DACE45766004}"/>
            </a:ext>
          </a:extLst>
        </cdr:cNvPr>
        <cdr:cNvSpPr txBox="1"/>
      </cdr:nvSpPr>
      <cdr:spPr>
        <a:xfrm xmlns:a="http://schemas.openxmlformats.org/drawingml/2006/main">
          <a:off x="5429250" y="5194300"/>
          <a:ext cx="2667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ED649-0954-DBCC-EEBD-6D668C59A8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E0BF545-307E-C6A7-CD7B-27CAEABA25B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Average interest rate on outstanding loans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B9BEE84-2EC1-1AA1-7968-F1ACAA5A132F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0.60771</cdr:x>
      <cdr:y>0.13821</cdr:y>
    </cdr:from>
    <cdr:to>
      <cdr:x>0.60771</cdr:x>
      <cdr:y>0.86024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4F04E6C-F5DD-128A-6CA3-D3303BA4CE42}"/>
            </a:ext>
          </a:extLst>
        </cdr:cNvPr>
        <cdr:cNvCxnSpPr/>
      </cdr:nvCxnSpPr>
      <cdr:spPr>
        <a:xfrm xmlns:a="http://schemas.openxmlformats.org/drawingml/2006/main">
          <a:off x="5122779" y="930723"/>
          <a:ext cx="0" cy="4862276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0.76442</cdr:x>
      <cdr:y>0.20283</cdr:y>
    </cdr:from>
    <cdr:to>
      <cdr:x>0.91512</cdr:x>
      <cdr:y>0.28208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0A08E8A-5421-4575-D65D-51A00EC55355}"/>
            </a:ext>
          </a:extLst>
        </cdr:cNvPr>
        <cdr:cNvSpPr txBox="1"/>
      </cdr:nvSpPr>
      <cdr:spPr>
        <a:xfrm xmlns:a="http://schemas.openxmlformats.org/drawingml/2006/main">
          <a:off x="6442075" y="136525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0.08544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AD0F956-2FAB-011A-6743-8C2FF2177645}"/>
            </a:ext>
          </a:extLst>
        </cdr:cNvPr>
        <cdr:cNvSpPr txBox="1"/>
      </cdr:nvSpPr>
      <cdr:spPr>
        <a:xfrm xmlns:a="http://schemas.openxmlformats.org/drawingml/2006/main">
          <a:off x="0" y="508000"/>
          <a:ext cx="7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/ChartsTables/Fixed%20Income/UK/Fixed%20Income%20UK%20Forecas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file:///Z:\ChartsTables\Fixed%20Income\UK\Fixed%20Income%20UK%20Foreca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Chart - Gilts 2s10s 2s5s"/>
      <sheetName val="RLGxxx"/>
      <sheetName val="Other rates"/>
      <sheetName val="Chart - Mortgage rates"/>
      <sheetName val="Chart - RBM &amp; RBU"/>
      <sheetName val="Mortgage &amp; deposit rates"/>
      <sheetName val="Terminal rates estimate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7">
          <cell r="L37">
            <v>4.3068181818181817</v>
          </cell>
        </row>
        <row r="38">
          <cell r="L38">
            <v>4.25</v>
          </cell>
        </row>
        <row r="39">
          <cell r="L39">
            <v>4.25</v>
          </cell>
        </row>
        <row r="40">
          <cell r="L40">
            <v>4.0476190476190474</v>
          </cell>
        </row>
        <row r="41">
          <cell r="L41">
            <v>4</v>
          </cell>
        </row>
        <row r="42">
          <cell r="L42">
            <v>4</v>
          </cell>
        </row>
        <row r="43">
          <cell r="L43">
            <v>3.7875000000000001</v>
          </cell>
        </row>
        <row r="44">
          <cell r="L44">
            <v>3.75</v>
          </cell>
        </row>
        <row r="45">
          <cell r="L45">
            <v>3.75</v>
          </cell>
        </row>
        <row r="46">
          <cell r="L46">
            <v>3.5375000000000001</v>
          </cell>
        </row>
        <row r="47">
          <cell r="L47">
            <v>3.5</v>
          </cell>
        </row>
        <row r="48">
          <cell r="L48">
            <v>3.5</v>
          </cell>
        </row>
        <row r="49">
          <cell r="L49">
            <v>3.2976190476190474</v>
          </cell>
        </row>
        <row r="50">
          <cell r="L50">
            <v>3.25</v>
          </cell>
        </row>
        <row r="51">
          <cell r="L51">
            <v>3.25</v>
          </cell>
        </row>
        <row r="52">
          <cell r="L52">
            <v>3.25</v>
          </cell>
        </row>
        <row r="53">
          <cell r="L53">
            <v>3.25</v>
          </cell>
        </row>
        <row r="54">
          <cell r="L54">
            <v>3.25</v>
          </cell>
        </row>
        <row r="55">
          <cell r="L55">
            <v>3.0357142857142856</v>
          </cell>
        </row>
        <row r="56">
          <cell r="L56">
            <v>3</v>
          </cell>
        </row>
        <row r="57">
          <cell r="L57">
            <v>3</v>
          </cell>
        </row>
        <row r="58">
          <cell r="L58">
            <v>3</v>
          </cell>
        </row>
      </sheetData>
      <sheetData sheetId="9" refreshError="1"/>
      <sheetData sheetId="10" refreshError="1"/>
      <sheetData sheetId="11" refreshError="1">
        <row r="113">
          <cell r="H113">
            <v>3.6128383858764233</v>
          </cell>
          <cell r="K113">
            <v>3.6890362168978585</v>
          </cell>
        </row>
        <row r="114">
          <cell r="H114">
            <v>3.5609186764469558</v>
          </cell>
          <cell r="K114">
            <v>3.700984664610421</v>
          </cell>
        </row>
        <row r="115">
          <cell r="H115">
            <v>3.4349632369020902</v>
          </cell>
          <cell r="K115">
            <v>3.6724053001316284</v>
          </cell>
        </row>
        <row r="116">
          <cell r="H116">
            <v>3.3147096908789959</v>
          </cell>
          <cell r="K116">
            <v>3.6057961709114319</v>
          </cell>
        </row>
        <row r="117">
          <cell r="H117">
            <v>3.200597489792107</v>
          </cell>
          <cell r="K117">
            <v>3.5387204599878461</v>
          </cell>
        </row>
        <row r="118">
          <cell r="H118">
            <v>3.0723387095621963</v>
          </cell>
          <cell r="K118">
            <v>3.453447404978621</v>
          </cell>
        </row>
        <row r="119">
          <cell r="H119">
            <v>2.9613081175856082</v>
          </cell>
          <cell r="K119">
            <v>3.3567126078880096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3">
          <cell r="Y113">
            <v>2.7818181818181817</v>
          </cell>
          <cell r="Z113">
            <v>0.52500000000000002</v>
          </cell>
          <cell r="AA113">
            <v>0.45</v>
          </cell>
        </row>
        <row r="114">
          <cell r="Y114">
            <v>2.8336363636363635</v>
          </cell>
          <cell r="Z114">
            <v>0.55000000000000004</v>
          </cell>
          <cell r="AA114">
            <v>0.43</v>
          </cell>
        </row>
        <row r="115">
          <cell r="Y115">
            <v>2.8854545454545453</v>
          </cell>
          <cell r="Z115">
            <v>0.65</v>
          </cell>
          <cell r="AA115">
            <v>0.43</v>
          </cell>
        </row>
        <row r="116">
          <cell r="Y116">
            <v>2.937272727272727</v>
          </cell>
          <cell r="Z116">
            <v>0.72499999999999998</v>
          </cell>
          <cell r="AA116">
            <v>0.45</v>
          </cell>
        </row>
        <row r="117">
          <cell r="Y117">
            <v>2.9890909090909088</v>
          </cell>
          <cell r="Z117">
            <v>0.8</v>
          </cell>
          <cell r="AA117">
            <v>0.5</v>
          </cell>
        </row>
        <row r="118">
          <cell r="Y118">
            <v>3.0409090909090906</v>
          </cell>
          <cell r="Z118">
            <v>0.84695618370370385</v>
          </cell>
          <cell r="AA118">
            <v>0.55000000000000004</v>
          </cell>
        </row>
        <row r="119">
          <cell r="Y119">
            <v>3.0927272727272723</v>
          </cell>
          <cell r="Z119">
            <v>0.84695618370370385</v>
          </cell>
          <cell r="AA119">
            <v>0.6</v>
          </cell>
        </row>
      </sheetData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1"/>
      <sheetName val="RRFRxxx-RSWAPxxxxRFR"/>
      <sheetName val="Chart2"/>
      <sheetName val="Chart3"/>
      <sheetName val="RLGxxx"/>
      <sheetName val="Other rates"/>
      <sheetName val="Chart4"/>
      <sheetName val="Chart5"/>
      <sheetName val="Mortgage &amp; deposit rates"/>
      <sheetName val="Terminal rates estimate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9">
          <cell r="L59">
            <v>3</v>
          </cell>
        </row>
        <row r="60">
          <cell r="L60">
            <v>3</v>
          </cell>
        </row>
        <row r="61">
          <cell r="L61">
            <v>2.7857142857142856</v>
          </cell>
        </row>
        <row r="62">
          <cell r="L62">
            <v>2.75</v>
          </cell>
        </row>
        <row r="63">
          <cell r="L63">
            <v>2.75</v>
          </cell>
        </row>
        <row r="64">
          <cell r="L64">
            <v>2.75</v>
          </cell>
        </row>
        <row r="65">
          <cell r="L65">
            <v>2.75</v>
          </cell>
        </row>
        <row r="66">
          <cell r="L66">
            <v>2.75</v>
          </cell>
        </row>
        <row r="67">
          <cell r="L67">
            <v>2.5340909090909092</v>
          </cell>
        </row>
        <row r="68">
          <cell r="L68">
            <v>2.5</v>
          </cell>
        </row>
        <row r="69">
          <cell r="L69">
            <v>2.5</v>
          </cell>
        </row>
        <row r="70">
          <cell r="L70">
            <v>2.5</v>
          </cell>
        </row>
      </sheetData>
      <sheetData sheetId="9" refreshError="1"/>
      <sheetData sheetId="10" refreshError="1"/>
      <sheetData sheetId="11">
        <row r="120">
          <cell r="H120">
            <v>2.8316504019897599</v>
          </cell>
          <cell r="I120">
            <v>3.0365373810194503</v>
          </cell>
        </row>
        <row r="121">
          <cell r="H121">
            <v>2.7155217832757743</v>
          </cell>
          <cell r="I121">
            <v>2.9055540224778533</v>
          </cell>
        </row>
        <row r="122">
          <cell r="H122">
            <v>2.6242011281842994</v>
          </cell>
          <cell r="I122">
            <v>2.8053329422231026</v>
          </cell>
        </row>
        <row r="123">
          <cell r="H123">
            <v>2.6042750218472435</v>
          </cell>
          <cell r="I123">
            <v>2.7822664350289141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20">
          <cell r="Y120">
            <v>3.1445454545454541</v>
          </cell>
          <cell r="Z120">
            <v>0.84695618370370385</v>
          </cell>
          <cell r="AA120">
            <v>0.65</v>
          </cell>
        </row>
        <row r="121">
          <cell r="Y121">
            <v>3.1963636363636359</v>
          </cell>
          <cell r="Z121">
            <v>0.84695618370370385</v>
          </cell>
          <cell r="AA121">
            <v>0.75</v>
          </cell>
        </row>
        <row r="122">
          <cell r="Y122">
            <v>3.2481818181818176</v>
          </cell>
          <cell r="Z122">
            <v>0.84695618370370385</v>
          </cell>
          <cell r="AA122">
            <v>0.85</v>
          </cell>
        </row>
        <row r="123">
          <cell r="Y123">
            <v>3.3</v>
          </cell>
          <cell r="Z123">
            <v>0.84695618370370385</v>
          </cell>
          <cell r="AA123">
            <v>0.88</v>
          </cell>
        </row>
      </sheetData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3B12-20FA-4B95-9D9E-82C05E6C70D6}">
  <sheetPr codeName="Sheet1"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167D-6EDF-4281-BCE9-551DB5A2F87C}">
  <sheetPr codeName="Sheet7">
    <tabColor rgb="FFC00000"/>
  </sheetPr>
  <dimension ref="A1"/>
  <sheetViews>
    <sheetView workbookViewId="0">
      <selection activeCell="H34" sqref="H34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A628-09B5-4565-9D77-0A3E1643774E}">
  <sheetPr codeName="Sheet8"/>
  <dimension ref="A1:AH173"/>
  <sheetViews>
    <sheetView workbookViewId="0">
      <pane ySplit="3" topLeftCell="A133" activePane="bottomLeft" state="frozen"/>
      <selection pane="bottomLeft" activeCell="P171" sqref="P171"/>
    </sheetView>
  </sheetViews>
  <sheetFormatPr defaultRowHeight="14.5" x14ac:dyDescent="0.35"/>
  <cols>
    <col min="1" max="1" width="10.7265625" bestFit="1" customWidth="1"/>
    <col min="2" max="2" width="10.7265625" customWidth="1"/>
    <col min="7" max="7" width="3.7265625" customWidth="1"/>
    <col min="11" max="11" width="2.7265625" customWidth="1"/>
    <col min="15" max="15" width="2.7265625" customWidth="1"/>
    <col min="16" max="16" width="10.7265625" bestFit="1" customWidth="1"/>
    <col min="20" max="20" width="2.7265625" customWidth="1"/>
    <col min="21" max="21" width="10.7265625" bestFit="1" customWidth="1"/>
    <col min="25" max="25" width="2.7265625" customWidth="1"/>
    <col min="26" max="26" width="10.7265625" bestFit="1" customWidth="1"/>
    <col min="31" max="31" width="2.7265625" customWidth="1"/>
    <col min="32" max="32" width="10.453125" bestFit="1" customWidth="1"/>
  </cols>
  <sheetData>
    <row r="1" spans="1:34" x14ac:dyDescent="0.35">
      <c r="A1" s="6" t="s">
        <v>431</v>
      </c>
      <c r="B1" s="6"/>
      <c r="H1" t="s">
        <v>432</v>
      </c>
      <c r="P1" s="6"/>
      <c r="Q1" t="s">
        <v>433</v>
      </c>
      <c r="U1" s="6" t="s">
        <v>888</v>
      </c>
      <c r="Z1" s="6" t="s">
        <v>889</v>
      </c>
      <c r="AF1" s="6" t="s">
        <v>888</v>
      </c>
    </row>
    <row r="2" spans="1:34" x14ac:dyDescent="0.35">
      <c r="A2" s="14" t="s">
        <v>887</v>
      </c>
      <c r="B2" s="14" t="str">
        <f>HAVERM!B4</f>
        <v>Jun-2025</v>
      </c>
      <c r="C2" s="14" t="str">
        <f>HAVERM!C4</f>
        <v>Jun-2025</v>
      </c>
      <c r="D2" s="14" t="str">
        <f>HAVERM!D4</f>
        <v>Jun-2025</v>
      </c>
      <c r="P2" s="6"/>
      <c r="Q2" s="7" t="s">
        <v>434</v>
      </c>
      <c r="R2" t="s">
        <v>435</v>
      </c>
      <c r="S2" t="s">
        <v>436</v>
      </c>
      <c r="V2" s="9" t="str">
        <f>HAVERM!E4</f>
        <v>Jun-2025 &lt;- 10-Jul-2025</v>
      </c>
      <c r="W2" s="9" t="str">
        <f>HAVERM!H4</f>
        <v>May-2025</v>
      </c>
      <c r="X2" s="9" t="str">
        <f>HAVERM!I4</f>
        <v>May-2025</v>
      </c>
    </row>
    <row r="3" spans="1:34" x14ac:dyDescent="0.35">
      <c r="B3" s="7" t="s">
        <v>437</v>
      </c>
      <c r="C3" t="s">
        <v>438</v>
      </c>
      <c r="D3" t="s">
        <v>439</v>
      </c>
      <c r="E3" t="s">
        <v>440</v>
      </c>
      <c r="F3" t="s">
        <v>441</v>
      </c>
      <c r="H3" s="7" t="s">
        <v>437</v>
      </c>
      <c r="I3" t="s">
        <v>438</v>
      </c>
      <c r="J3" t="s">
        <v>439</v>
      </c>
      <c r="L3" t="s">
        <v>442</v>
      </c>
      <c r="M3" t="s">
        <v>443</v>
      </c>
      <c r="N3" t="s">
        <v>444</v>
      </c>
      <c r="Q3" s="7" t="s">
        <v>437</v>
      </c>
      <c r="R3" t="s">
        <v>438</v>
      </c>
      <c r="S3" t="s">
        <v>439</v>
      </c>
      <c r="V3" t="s">
        <v>442</v>
      </c>
      <c r="W3" t="s">
        <v>890</v>
      </c>
      <c r="X3" t="s">
        <v>891</v>
      </c>
      <c r="AA3" t="s">
        <v>892</v>
      </c>
      <c r="AB3" t="s">
        <v>893</v>
      </c>
      <c r="AC3" t="s">
        <v>894</v>
      </c>
      <c r="AD3" t="s">
        <v>895</v>
      </c>
      <c r="AG3" t="s">
        <v>891</v>
      </c>
      <c r="AH3" t="s">
        <v>890</v>
      </c>
    </row>
    <row r="4" spans="1:34" x14ac:dyDescent="0.35">
      <c r="A4" s="8">
        <v>41640</v>
      </c>
      <c r="B4" s="9">
        <f>HAVERM!B295</f>
        <v>4.41</v>
      </c>
      <c r="C4" s="9">
        <f>HAVERM!C295</f>
        <v>2.37</v>
      </c>
      <c r="D4" s="9">
        <f>HAVERM!D295</f>
        <v>3.34</v>
      </c>
      <c r="H4" s="9">
        <f t="shared" ref="H4:J35" si="0">B4-L4</f>
        <v>3.91</v>
      </c>
      <c r="I4" s="9" t="e">
        <f t="shared" si="0"/>
        <v>#N/A</v>
      </c>
      <c r="J4" s="9" t="e">
        <f t="shared" si="0"/>
        <v>#N/A</v>
      </c>
      <c r="L4" s="9">
        <f>HAVERM!E295</f>
        <v>0.5</v>
      </c>
      <c r="M4" s="9" t="e">
        <f>HAVERM!F295</f>
        <v>#N/A</v>
      </c>
      <c r="N4" s="9" t="e">
        <f>HAVERM!G295</f>
        <v>#N/A</v>
      </c>
      <c r="P4" s="8">
        <v>41640</v>
      </c>
      <c r="Q4" s="9"/>
      <c r="R4" s="9"/>
      <c r="S4" s="9"/>
      <c r="U4" s="8">
        <v>43466</v>
      </c>
      <c r="V4" s="9">
        <f>HAVERM!E355</f>
        <v>0.75</v>
      </c>
      <c r="W4" s="9">
        <f>HAVERM!H355</f>
        <v>3.35</v>
      </c>
      <c r="X4" s="9">
        <f>HAVERM!I355</f>
        <v>2.48</v>
      </c>
      <c r="Z4" s="8">
        <v>44531</v>
      </c>
      <c r="AA4" s="9">
        <f>W39-W$38</f>
        <v>4.9999999999999822E-2</v>
      </c>
      <c r="AB4" s="9">
        <f>X39-X$38</f>
        <v>-1.0000000000000231E-2</v>
      </c>
      <c r="AC4" s="17">
        <v>1000</v>
      </c>
      <c r="AD4" s="17"/>
      <c r="AF4" s="8">
        <v>43466</v>
      </c>
      <c r="AG4" s="9">
        <f>Data!G191</f>
        <v>2.463333</v>
      </c>
      <c r="AH4" s="9">
        <f>Data!H191</f>
        <v>3.3433329999999999</v>
      </c>
    </row>
    <row r="5" spans="1:34" x14ac:dyDescent="0.35">
      <c r="A5" s="8">
        <v>41671</v>
      </c>
      <c r="B5" s="9">
        <f>HAVERM!B296</f>
        <v>4.43</v>
      </c>
      <c r="C5" s="9">
        <f>HAVERM!C296</f>
        <v>2.38</v>
      </c>
      <c r="D5" s="9">
        <f>HAVERM!D296</f>
        <v>3.45</v>
      </c>
      <c r="H5" s="9">
        <f t="shared" si="0"/>
        <v>3.9299999999999997</v>
      </c>
      <c r="I5" s="9" t="e">
        <f t="shared" si="0"/>
        <v>#N/A</v>
      </c>
      <c r="J5" s="9" t="e">
        <f t="shared" si="0"/>
        <v>#N/A</v>
      </c>
      <c r="L5" s="9">
        <f>HAVERM!E296</f>
        <v>0.5</v>
      </c>
      <c r="M5" s="9" t="e">
        <f>HAVERM!F296</f>
        <v>#N/A</v>
      </c>
      <c r="N5" s="9" t="e">
        <f>HAVERM!G296</f>
        <v>#N/A</v>
      </c>
      <c r="P5" s="8">
        <v>41671</v>
      </c>
      <c r="Q5" s="9"/>
      <c r="R5" s="9"/>
      <c r="S5" s="9"/>
      <c r="U5" s="8">
        <v>43497</v>
      </c>
      <c r="V5" s="9">
        <f>HAVERM!E356</f>
        <v>0.75</v>
      </c>
      <c r="W5" s="9">
        <f>HAVERM!H356</f>
        <v>3.34</v>
      </c>
      <c r="X5" s="9">
        <f>HAVERM!I356</f>
        <v>2.46</v>
      </c>
      <c r="Z5" s="8">
        <v>44562</v>
      </c>
      <c r="AA5" s="9">
        <f t="shared" ref="AA5:AB20" si="1">W40-W$38</f>
        <v>0.10999999999999988</v>
      </c>
      <c r="AB5" s="9">
        <f t="shared" si="1"/>
        <v>-1.0000000000000231E-2</v>
      </c>
      <c r="AC5" s="17">
        <v>1000</v>
      </c>
      <c r="AD5" s="17"/>
      <c r="AF5" s="8">
        <v>43556</v>
      </c>
      <c r="AG5" s="9">
        <f>Data!G192</f>
        <v>2.4366669999999999</v>
      </c>
      <c r="AH5" s="9">
        <f>Data!H192</f>
        <v>3.3233329999999999</v>
      </c>
    </row>
    <row r="6" spans="1:34" x14ac:dyDescent="0.35">
      <c r="A6" s="8">
        <v>41699</v>
      </c>
      <c r="B6" s="9">
        <f>HAVERM!B297</f>
        <v>4.43</v>
      </c>
      <c r="C6" s="9">
        <f>HAVERM!C297</f>
        <v>2.37</v>
      </c>
      <c r="D6" s="9">
        <f>HAVERM!D297</f>
        <v>3.48</v>
      </c>
      <c r="H6" s="9">
        <f t="shared" si="0"/>
        <v>3.9299999999999997</v>
      </c>
      <c r="I6" s="9" t="e">
        <f t="shared" si="0"/>
        <v>#N/A</v>
      </c>
      <c r="J6" s="9" t="e">
        <f t="shared" si="0"/>
        <v>#N/A</v>
      </c>
      <c r="L6" s="9">
        <f>HAVERM!E297</f>
        <v>0.5</v>
      </c>
      <c r="M6" s="9" t="e">
        <f>HAVERM!F297</f>
        <v>#N/A</v>
      </c>
      <c r="N6" s="9" t="e">
        <f>HAVERM!G297</f>
        <v>#N/A</v>
      </c>
      <c r="P6" s="8">
        <v>41699</v>
      </c>
      <c r="Q6" s="9"/>
      <c r="R6" s="9"/>
      <c r="S6" s="9"/>
      <c r="U6" s="8">
        <v>43525</v>
      </c>
      <c r="V6" s="9">
        <f>HAVERM!E357</f>
        <v>0.75</v>
      </c>
      <c r="W6" s="9">
        <f>HAVERM!H357</f>
        <v>3.34</v>
      </c>
      <c r="X6" s="9">
        <f>HAVERM!I357</f>
        <v>2.4500000000000002</v>
      </c>
      <c r="Z6" s="8">
        <v>44593</v>
      </c>
      <c r="AA6" s="9">
        <f t="shared" si="1"/>
        <v>0.25</v>
      </c>
      <c r="AB6" s="9">
        <f t="shared" si="1"/>
        <v>0</v>
      </c>
      <c r="AC6" s="17">
        <v>1000</v>
      </c>
      <c r="AD6" s="17"/>
      <c r="AF6" s="8">
        <v>43647</v>
      </c>
      <c r="AG6" s="9">
        <f>Data!G193</f>
        <v>2.4133330000000002</v>
      </c>
      <c r="AH6" s="9">
        <f>Data!H193</f>
        <v>3.28</v>
      </c>
    </row>
    <row r="7" spans="1:34" x14ac:dyDescent="0.35">
      <c r="A7" s="8">
        <v>41730</v>
      </c>
      <c r="B7" s="9">
        <f>HAVERM!B298</f>
        <v>4.43</v>
      </c>
      <c r="C7" s="9">
        <f>HAVERM!C298</f>
        <v>2.54</v>
      </c>
      <c r="D7" s="9">
        <f>HAVERM!D298</f>
        <v>3.69</v>
      </c>
      <c r="H7" s="9">
        <f t="shared" si="0"/>
        <v>3.9299999999999997</v>
      </c>
      <c r="I7" s="9" t="e">
        <f t="shared" si="0"/>
        <v>#N/A</v>
      </c>
      <c r="J7" s="9" t="e">
        <f t="shared" si="0"/>
        <v>#N/A</v>
      </c>
      <c r="L7" s="9">
        <f>HAVERM!E298</f>
        <v>0.5</v>
      </c>
      <c r="M7" s="9" t="e">
        <f>HAVERM!F298</f>
        <v>#N/A</v>
      </c>
      <c r="N7" s="9" t="e">
        <f>HAVERM!G298</f>
        <v>#N/A</v>
      </c>
      <c r="P7" s="8">
        <v>41730</v>
      </c>
      <c r="Q7" s="9"/>
      <c r="R7" s="9"/>
      <c r="S7" s="9"/>
      <c r="U7" s="8">
        <v>43556</v>
      </c>
      <c r="V7" s="9">
        <f>HAVERM!E358</f>
        <v>0.75</v>
      </c>
      <c r="W7" s="9">
        <f>HAVERM!H358</f>
        <v>3.34</v>
      </c>
      <c r="X7" s="9">
        <f>HAVERM!I358</f>
        <v>2.4500000000000002</v>
      </c>
      <c r="Z7" s="8">
        <v>44621</v>
      </c>
      <c r="AA7" s="9">
        <f t="shared" si="1"/>
        <v>0.34999999999999964</v>
      </c>
      <c r="AB7" s="9">
        <f t="shared" si="1"/>
        <v>2.9999999999999805E-2</v>
      </c>
      <c r="AC7" s="17">
        <v>1000</v>
      </c>
      <c r="AD7" s="17"/>
      <c r="AF7" s="8">
        <v>43739</v>
      </c>
      <c r="AG7" s="9">
        <f>Data!G194</f>
        <v>2.3866670000000001</v>
      </c>
      <c r="AH7" s="9">
        <f>Data!H194</f>
        <v>3.26</v>
      </c>
    </row>
    <row r="8" spans="1:34" x14ac:dyDescent="0.35">
      <c r="A8" s="8">
        <v>41760</v>
      </c>
      <c r="B8" s="9">
        <f>HAVERM!B299</f>
        <v>4.42</v>
      </c>
      <c r="C8" s="9">
        <f>HAVERM!C299</f>
        <v>2.56</v>
      </c>
      <c r="D8" s="9">
        <f>HAVERM!D299</f>
        <v>3.72</v>
      </c>
      <c r="H8" s="9">
        <f t="shared" si="0"/>
        <v>3.92</v>
      </c>
      <c r="I8" s="9" t="e">
        <f t="shared" si="0"/>
        <v>#N/A</v>
      </c>
      <c r="J8" s="9" t="e">
        <f t="shared" si="0"/>
        <v>#N/A</v>
      </c>
      <c r="L8" s="9">
        <f>HAVERM!E299</f>
        <v>0.5</v>
      </c>
      <c r="M8" s="9" t="e">
        <f>HAVERM!F299</f>
        <v>#N/A</v>
      </c>
      <c r="N8" s="9" t="e">
        <f>HAVERM!G299</f>
        <v>#N/A</v>
      </c>
      <c r="P8" s="8">
        <v>41760</v>
      </c>
      <c r="Q8" s="9"/>
      <c r="R8" s="9"/>
      <c r="S8" s="9"/>
      <c r="U8" s="8">
        <v>43586</v>
      </c>
      <c r="V8" s="9">
        <f>HAVERM!E359</f>
        <v>0.75</v>
      </c>
      <c r="W8" s="9">
        <f>HAVERM!H359</f>
        <v>3.32</v>
      </c>
      <c r="X8" s="9">
        <f>HAVERM!I359</f>
        <v>2.4300000000000002</v>
      </c>
      <c r="Z8" s="8">
        <v>44652</v>
      </c>
      <c r="AA8" s="9">
        <f t="shared" si="1"/>
        <v>0.44999999999999973</v>
      </c>
      <c r="AB8" s="9">
        <f t="shared" si="1"/>
        <v>2.9999999999999805E-2</v>
      </c>
      <c r="AC8" s="17">
        <v>1000</v>
      </c>
      <c r="AD8" s="17"/>
      <c r="AF8" s="8">
        <v>43831</v>
      </c>
      <c r="AG8" s="9">
        <f>Data!G195</f>
        <v>2.3566669999999998</v>
      </c>
      <c r="AH8" s="9">
        <f>Data!H195</f>
        <v>3.266667</v>
      </c>
    </row>
    <row r="9" spans="1:34" x14ac:dyDescent="0.35">
      <c r="A9" s="8">
        <v>41791</v>
      </c>
      <c r="B9" s="9">
        <f>HAVERM!B300</f>
        <v>4.3600000000000003</v>
      </c>
      <c r="C9" s="9">
        <f>HAVERM!C300</f>
        <v>2.6</v>
      </c>
      <c r="D9" s="9">
        <f>HAVERM!D300</f>
        <v>3.69</v>
      </c>
      <c r="H9" s="9">
        <f t="shared" si="0"/>
        <v>3.8600000000000003</v>
      </c>
      <c r="I9" s="9" t="e">
        <f t="shared" si="0"/>
        <v>#N/A</v>
      </c>
      <c r="J9" s="9" t="e">
        <f t="shared" si="0"/>
        <v>#N/A</v>
      </c>
      <c r="L9" s="9">
        <f>HAVERM!E300</f>
        <v>0.5</v>
      </c>
      <c r="M9" s="9" t="e">
        <f>HAVERM!F300</f>
        <v>#N/A</v>
      </c>
      <c r="N9" s="9" t="e">
        <f>HAVERM!G300</f>
        <v>#N/A</v>
      </c>
      <c r="P9" s="8">
        <v>41791</v>
      </c>
      <c r="Q9" s="9"/>
      <c r="R9" s="9"/>
      <c r="S9" s="9"/>
      <c r="U9" s="8">
        <v>43617</v>
      </c>
      <c r="V9" s="9">
        <f>HAVERM!E360</f>
        <v>0.75</v>
      </c>
      <c r="W9" s="9">
        <f>HAVERM!H360</f>
        <v>3.31</v>
      </c>
      <c r="X9" s="9">
        <f>HAVERM!I360</f>
        <v>2.4300000000000002</v>
      </c>
      <c r="Z9" s="8">
        <v>44682</v>
      </c>
      <c r="AA9" s="9">
        <f t="shared" si="1"/>
        <v>0.64999999999999991</v>
      </c>
      <c r="AB9" s="9">
        <f t="shared" si="1"/>
        <v>6.0000000000000053E-2</v>
      </c>
      <c r="AC9" s="17">
        <v>1000</v>
      </c>
      <c r="AD9" s="17"/>
      <c r="AF9" s="8">
        <v>43922</v>
      </c>
      <c r="AG9" s="9">
        <f>Data!G196</f>
        <v>2.1833330000000002</v>
      </c>
      <c r="AH9" s="9">
        <f>Data!H196</f>
        <v>2.8766669999999999</v>
      </c>
    </row>
    <row r="10" spans="1:34" x14ac:dyDescent="0.35">
      <c r="A10" s="8">
        <v>41821</v>
      </c>
      <c r="B10" s="9">
        <f>HAVERM!B301</f>
        <v>4.45</v>
      </c>
      <c r="C10" s="9">
        <f>HAVERM!C301</f>
        <v>2.54</v>
      </c>
      <c r="D10" s="9">
        <f>HAVERM!D301</f>
        <v>3.78</v>
      </c>
      <c r="H10" s="9">
        <f t="shared" si="0"/>
        <v>3.95</v>
      </c>
      <c r="I10" s="9" t="e">
        <f t="shared" si="0"/>
        <v>#N/A</v>
      </c>
      <c r="J10" s="9" t="e">
        <f t="shared" si="0"/>
        <v>#N/A</v>
      </c>
      <c r="L10" s="9">
        <f>HAVERM!E301</f>
        <v>0.5</v>
      </c>
      <c r="M10" s="9" t="e">
        <f>HAVERM!F301</f>
        <v>#N/A</v>
      </c>
      <c r="N10" s="9" t="e">
        <f>HAVERM!G301</f>
        <v>#N/A</v>
      </c>
      <c r="P10" s="8">
        <v>41821</v>
      </c>
      <c r="Q10" s="9"/>
      <c r="R10" s="9"/>
      <c r="S10" s="9"/>
      <c r="U10" s="8">
        <v>43647</v>
      </c>
      <c r="V10" s="9">
        <f>HAVERM!E361</f>
        <v>0.75</v>
      </c>
      <c r="W10" s="9">
        <f>HAVERM!H361</f>
        <v>3.3</v>
      </c>
      <c r="X10" s="9">
        <f>HAVERM!I361</f>
        <v>2.42</v>
      </c>
      <c r="Z10" s="8">
        <v>44713</v>
      </c>
      <c r="AA10" s="9">
        <f t="shared" si="1"/>
        <v>0.7799999999999998</v>
      </c>
      <c r="AB10" s="9">
        <f t="shared" si="1"/>
        <v>0.10000000000000009</v>
      </c>
      <c r="AC10" s="17">
        <v>1000</v>
      </c>
      <c r="AD10" s="17"/>
      <c r="AF10" s="8">
        <v>44013</v>
      </c>
      <c r="AG10" s="9">
        <f>Data!G197</f>
        <v>2.1433330000000002</v>
      </c>
      <c r="AH10" s="9">
        <f>Data!H197</f>
        <v>2.57</v>
      </c>
    </row>
    <row r="11" spans="1:34" x14ac:dyDescent="0.35">
      <c r="A11" s="8">
        <v>41852</v>
      </c>
      <c r="B11" s="9">
        <f>HAVERM!B302</f>
        <v>4.45</v>
      </c>
      <c r="C11" s="9">
        <f>HAVERM!C302</f>
        <v>2.54</v>
      </c>
      <c r="D11" s="9">
        <f>HAVERM!D302</f>
        <v>3.76</v>
      </c>
      <c r="H11" s="9">
        <f t="shared" si="0"/>
        <v>3.95</v>
      </c>
      <c r="I11" s="9">
        <f t="shared" si="0"/>
        <v>1.5588</v>
      </c>
      <c r="J11" s="9">
        <f t="shared" si="0"/>
        <v>2.1499999999999995</v>
      </c>
      <c r="L11" s="9">
        <f>HAVERM!E302</f>
        <v>0.5</v>
      </c>
      <c r="M11" s="9">
        <f>HAVERM!F302</f>
        <v>0.98120000000000007</v>
      </c>
      <c r="N11" s="9">
        <f>HAVERM!G302</f>
        <v>1.61</v>
      </c>
      <c r="P11" s="8">
        <v>41852</v>
      </c>
      <c r="Q11" s="9"/>
      <c r="R11" s="9"/>
      <c r="S11" s="9"/>
      <c r="U11" s="8">
        <v>43678</v>
      </c>
      <c r="V11" s="9">
        <f>HAVERM!E362</f>
        <v>0.75</v>
      </c>
      <c r="W11" s="9">
        <f>HAVERM!H362</f>
        <v>3.27</v>
      </c>
      <c r="X11" s="9">
        <f>HAVERM!I362</f>
        <v>2.42</v>
      </c>
      <c r="Z11" s="8">
        <v>44743</v>
      </c>
      <c r="AA11" s="9">
        <f t="shared" si="1"/>
        <v>0.85999999999999988</v>
      </c>
      <c r="AB11" s="9">
        <f t="shared" si="1"/>
        <v>0.10999999999999988</v>
      </c>
      <c r="AC11" s="17">
        <v>1000</v>
      </c>
      <c r="AD11" s="17"/>
      <c r="AF11" s="8">
        <v>44105</v>
      </c>
      <c r="AG11" s="9">
        <f>Data!G198</f>
        <v>2.12</v>
      </c>
      <c r="AH11" s="9">
        <f>Data!H198</f>
        <v>2.4533330000000002</v>
      </c>
    </row>
    <row r="12" spans="1:34" x14ac:dyDescent="0.35">
      <c r="A12" s="8">
        <v>41883</v>
      </c>
      <c r="B12" s="9">
        <f>HAVERM!B303</f>
        <v>4.5199999999999996</v>
      </c>
      <c r="C12" s="9">
        <f>HAVERM!C303</f>
        <v>2.46</v>
      </c>
      <c r="D12" s="9">
        <f>HAVERM!D303</f>
        <v>3.61</v>
      </c>
      <c r="H12" s="9">
        <f t="shared" si="0"/>
        <v>4.0199999999999996</v>
      </c>
      <c r="I12" s="9">
        <f t="shared" si="0"/>
        <v>1.4812727272727271</v>
      </c>
      <c r="J12" s="9">
        <f t="shared" si="0"/>
        <v>1.9375954545454546</v>
      </c>
      <c r="L12" s="9">
        <f>HAVERM!E303</f>
        <v>0.5</v>
      </c>
      <c r="M12" s="9">
        <f>HAVERM!F303</f>
        <v>0.978727272727273</v>
      </c>
      <c r="N12" s="9">
        <f>HAVERM!G303</f>
        <v>1.6724045454545453</v>
      </c>
      <c r="P12" s="8">
        <v>41883</v>
      </c>
      <c r="Q12" s="9"/>
      <c r="R12" s="9"/>
      <c r="S12" s="9"/>
      <c r="U12" s="8">
        <v>43709</v>
      </c>
      <c r="V12" s="9">
        <f>HAVERM!E363</f>
        <v>0.75</v>
      </c>
      <c r="W12" s="9">
        <f>HAVERM!H363</f>
        <v>3.27</v>
      </c>
      <c r="X12" s="9">
        <f>HAVERM!I363</f>
        <v>2.4</v>
      </c>
      <c r="Z12" s="8">
        <v>44774</v>
      </c>
      <c r="AA12" s="9">
        <f t="shared" si="1"/>
        <v>1.17</v>
      </c>
      <c r="AB12" s="9">
        <f t="shared" si="1"/>
        <v>0.16000000000000014</v>
      </c>
      <c r="AC12" s="17">
        <v>1000</v>
      </c>
      <c r="AD12" s="17"/>
      <c r="AF12" s="8">
        <v>44197</v>
      </c>
      <c r="AG12" s="9">
        <f>Data!G199</f>
        <v>2.09</v>
      </c>
      <c r="AH12" s="9">
        <f>Data!H199</f>
        <v>2.4266670000000001</v>
      </c>
    </row>
    <row r="13" spans="1:34" x14ac:dyDescent="0.35">
      <c r="A13" s="8">
        <v>41913</v>
      </c>
      <c r="B13" s="9">
        <f>HAVERM!B304</f>
        <v>4.53</v>
      </c>
      <c r="C13" s="9">
        <f>HAVERM!C304</f>
        <v>2.21</v>
      </c>
      <c r="D13" s="9">
        <f>HAVERM!D304</f>
        <v>3.27</v>
      </c>
      <c r="H13" s="9">
        <f t="shared" si="0"/>
        <v>4.03</v>
      </c>
      <c r="I13" s="9">
        <f t="shared" si="0"/>
        <v>1.3656521739130432</v>
      </c>
      <c r="J13" s="9">
        <f t="shared" si="0"/>
        <v>1.8341695652173915</v>
      </c>
      <c r="L13" s="9">
        <f>HAVERM!E304</f>
        <v>0.5</v>
      </c>
      <c r="M13" s="9">
        <f>HAVERM!F304</f>
        <v>0.8443478260869568</v>
      </c>
      <c r="N13" s="9">
        <f>HAVERM!G304</f>
        <v>1.4358304347826085</v>
      </c>
      <c r="P13" s="8">
        <v>41913</v>
      </c>
      <c r="Q13" s="9"/>
      <c r="R13" s="9"/>
      <c r="S13" s="9"/>
      <c r="U13" s="8">
        <v>43739</v>
      </c>
      <c r="V13" s="9">
        <f>HAVERM!E364</f>
        <v>0.75</v>
      </c>
      <c r="W13" s="9">
        <f>HAVERM!H364</f>
        <v>3.26</v>
      </c>
      <c r="X13" s="9">
        <f>HAVERM!I364</f>
        <v>2.39</v>
      </c>
      <c r="Z13" s="8">
        <v>44805</v>
      </c>
      <c r="AA13" s="9">
        <f t="shared" si="1"/>
        <v>1.38</v>
      </c>
      <c r="AB13" s="9">
        <f t="shared" si="1"/>
        <v>0.22999999999999998</v>
      </c>
      <c r="AC13" s="17">
        <v>1000</v>
      </c>
      <c r="AD13" s="17"/>
      <c r="AF13" s="8">
        <v>44287</v>
      </c>
      <c r="AG13" s="9">
        <f>Data!G200</f>
        <v>2.0733329999999999</v>
      </c>
      <c r="AH13" s="9">
        <f>Data!H200</f>
        <v>2.4900000000000002</v>
      </c>
    </row>
    <row r="14" spans="1:34" x14ac:dyDescent="0.35">
      <c r="A14" s="8">
        <v>41944</v>
      </c>
      <c r="B14" s="9">
        <f>HAVERM!B305</f>
        <v>4.49</v>
      </c>
      <c r="C14" s="9">
        <f>HAVERM!C305</f>
        <v>2.17</v>
      </c>
      <c r="D14" s="9">
        <f>HAVERM!D305</f>
        <v>3.21</v>
      </c>
      <c r="H14" s="9">
        <f t="shared" si="0"/>
        <v>3.99</v>
      </c>
      <c r="I14" s="9">
        <f t="shared" si="0"/>
        <v>1.4026833333333333</v>
      </c>
      <c r="J14" s="9">
        <f t="shared" si="0"/>
        <v>1.8787166666666666</v>
      </c>
      <c r="L14" s="9">
        <f>HAVERM!E305</f>
        <v>0.5</v>
      </c>
      <c r="M14" s="9">
        <f>HAVERM!F305</f>
        <v>0.76731666666666665</v>
      </c>
      <c r="N14" s="9">
        <f>HAVERM!G305</f>
        <v>1.3312833333333334</v>
      </c>
      <c r="P14" s="8">
        <v>41944</v>
      </c>
      <c r="Q14" s="9"/>
      <c r="R14" s="9"/>
      <c r="S14" s="9"/>
      <c r="U14" s="8">
        <v>43770</v>
      </c>
      <c r="V14" s="9">
        <f>HAVERM!E365</f>
        <v>0.75</v>
      </c>
      <c r="W14" s="9">
        <f>HAVERM!H365</f>
        <v>3.24</v>
      </c>
      <c r="X14" s="9">
        <f>HAVERM!I365</f>
        <v>2.4</v>
      </c>
      <c r="Z14" s="8">
        <v>44835</v>
      </c>
      <c r="AA14" s="9">
        <f t="shared" si="1"/>
        <v>1.63</v>
      </c>
      <c r="AB14" s="9">
        <f t="shared" si="1"/>
        <v>0.27</v>
      </c>
      <c r="AC14" s="17">
        <v>1000</v>
      </c>
      <c r="AD14" s="17"/>
      <c r="AF14" s="8">
        <v>44378</v>
      </c>
      <c r="AG14" s="9">
        <f>Data!G201</f>
        <v>2.0533329999999999</v>
      </c>
      <c r="AH14" s="9">
        <f>Data!H201</f>
        <v>2.6166670000000001</v>
      </c>
    </row>
    <row r="15" spans="1:34" x14ac:dyDescent="0.35">
      <c r="A15" s="8">
        <v>41974</v>
      </c>
      <c r="B15" s="9">
        <f>HAVERM!B306</f>
        <v>4.4800000000000004</v>
      </c>
      <c r="C15" s="9">
        <f>HAVERM!C306</f>
        <v>2.08</v>
      </c>
      <c r="D15" s="9">
        <f>HAVERM!D306</f>
        <v>3.21</v>
      </c>
      <c r="H15" s="9">
        <f t="shared" si="0"/>
        <v>3.9800000000000004</v>
      </c>
      <c r="I15" s="9">
        <f t="shared" si="0"/>
        <v>1.3790636363636364</v>
      </c>
      <c r="J15" s="9">
        <f t="shared" si="0"/>
        <v>2.0094227272727272</v>
      </c>
      <c r="L15" s="9">
        <f>HAVERM!E306</f>
        <v>0.5</v>
      </c>
      <c r="M15" s="9">
        <f>HAVERM!F306</f>
        <v>0.70093636363636358</v>
      </c>
      <c r="N15" s="9">
        <f>HAVERM!G306</f>
        <v>1.2005772727272725</v>
      </c>
      <c r="P15" s="8">
        <v>41974</v>
      </c>
      <c r="Q15" s="9"/>
      <c r="R15" s="9"/>
      <c r="S15" s="9"/>
      <c r="U15" s="8">
        <v>43800</v>
      </c>
      <c r="V15" s="9">
        <f>HAVERM!E366</f>
        <v>0.75</v>
      </c>
      <c r="W15" s="9">
        <f>HAVERM!H366</f>
        <v>3.28</v>
      </c>
      <c r="X15" s="9">
        <f>HAVERM!I366</f>
        <v>2.37</v>
      </c>
      <c r="Z15" s="8">
        <v>44866</v>
      </c>
      <c r="AA15" s="9">
        <f t="shared" si="1"/>
        <v>2.12</v>
      </c>
      <c r="AB15" s="9">
        <f t="shared" si="1"/>
        <v>0.37000000000000011</v>
      </c>
      <c r="AC15" s="17">
        <v>1000</v>
      </c>
      <c r="AD15" s="17"/>
      <c r="AF15" s="8">
        <v>44470</v>
      </c>
      <c r="AG15" s="9">
        <f>Data!G202</f>
        <v>2.02</v>
      </c>
      <c r="AH15" s="9">
        <f>Data!H202</f>
        <v>2.7033330000000002</v>
      </c>
    </row>
    <row r="16" spans="1:34" x14ac:dyDescent="0.35">
      <c r="A16" s="8">
        <v>42005</v>
      </c>
      <c r="B16" s="9">
        <f>HAVERM!B307</f>
        <v>4.5599999999999996</v>
      </c>
      <c r="C16" s="9">
        <f>HAVERM!C307</f>
        <v>2.0099999999999998</v>
      </c>
      <c r="D16" s="9">
        <f>HAVERM!D307</f>
        <v>3.09</v>
      </c>
      <c r="H16" s="9">
        <f t="shared" si="0"/>
        <v>4.0599999999999996</v>
      </c>
      <c r="I16" s="9">
        <f t="shared" si="0"/>
        <v>1.4174285714285713</v>
      </c>
      <c r="J16" s="9">
        <f t="shared" si="0"/>
        <v>2.1329952380952379</v>
      </c>
      <c r="L16" s="9">
        <f>HAVERM!E307</f>
        <v>0.5</v>
      </c>
      <c r="M16" s="9">
        <f>HAVERM!F307</f>
        <v>0.59257142857142853</v>
      </c>
      <c r="N16" s="9">
        <f>HAVERM!G307</f>
        <v>0.9570047619047618</v>
      </c>
      <c r="P16" s="8">
        <v>42005</v>
      </c>
      <c r="Q16" s="9">
        <f t="shared" ref="Q16:Q79" si="2">B16-B4</f>
        <v>0.14999999999999947</v>
      </c>
      <c r="R16" s="9"/>
      <c r="S16" s="9"/>
      <c r="U16" s="8">
        <v>43831</v>
      </c>
      <c r="V16" s="9">
        <f>HAVERM!E367</f>
        <v>0.75</v>
      </c>
      <c r="W16" s="9">
        <f>HAVERM!H367</f>
        <v>3.29</v>
      </c>
      <c r="X16" s="9">
        <f>HAVERM!I367</f>
        <v>2.37</v>
      </c>
      <c r="Z16" s="8">
        <v>44896</v>
      </c>
      <c r="AA16" s="9">
        <f t="shared" si="1"/>
        <v>2.4399999999999995</v>
      </c>
      <c r="AB16" s="9">
        <f t="shared" si="1"/>
        <v>0.48999999999999977</v>
      </c>
      <c r="AC16" s="17">
        <v>1000</v>
      </c>
      <c r="AD16" s="17"/>
      <c r="AF16" s="8">
        <v>44562</v>
      </c>
      <c r="AG16" s="9">
        <f>Data!G203</f>
        <v>2.0266670000000002</v>
      </c>
      <c r="AH16" s="9">
        <f>Data!H203</f>
        <v>2.9366669999999999</v>
      </c>
    </row>
    <row r="17" spans="1:34" x14ac:dyDescent="0.35">
      <c r="A17" s="8">
        <v>42036</v>
      </c>
      <c r="B17" s="9">
        <f>HAVERM!B308</f>
        <v>4.51</v>
      </c>
      <c r="C17" s="9">
        <f>HAVERM!C308</f>
        <v>1.96</v>
      </c>
      <c r="D17" s="9">
        <f>HAVERM!D308</f>
        <v>3.05</v>
      </c>
      <c r="H17" s="9">
        <f t="shared" si="0"/>
        <v>4.01</v>
      </c>
      <c r="I17" s="9">
        <f t="shared" si="0"/>
        <v>1.2807549999999999</v>
      </c>
      <c r="J17" s="9">
        <f t="shared" si="0"/>
        <v>1.9288200000000002</v>
      </c>
      <c r="L17" s="9">
        <f>HAVERM!E308</f>
        <v>0.5</v>
      </c>
      <c r="M17" s="9">
        <f>HAVERM!F308</f>
        <v>0.6792450000000001</v>
      </c>
      <c r="N17" s="9">
        <f>HAVERM!G308</f>
        <v>1.1211799999999996</v>
      </c>
      <c r="P17" s="8">
        <v>42036</v>
      </c>
      <c r="Q17" s="9">
        <f t="shared" si="2"/>
        <v>8.0000000000000071E-2</v>
      </c>
      <c r="R17" s="9"/>
      <c r="S17" s="9"/>
      <c r="U17" s="8">
        <v>43862</v>
      </c>
      <c r="V17" s="9">
        <f>HAVERM!E368</f>
        <v>0.75</v>
      </c>
      <c r="W17" s="9">
        <f>HAVERM!H368</f>
        <v>3.3</v>
      </c>
      <c r="X17" s="9">
        <f>HAVERM!I368</f>
        <v>2.37</v>
      </c>
      <c r="Z17" s="8">
        <v>44927</v>
      </c>
      <c r="AA17" s="9">
        <f t="shared" si="1"/>
        <v>2.5999999999999996</v>
      </c>
      <c r="AB17" s="9">
        <f t="shared" si="1"/>
        <v>0.5299999999999998</v>
      </c>
      <c r="AC17" s="17">
        <v>1000</v>
      </c>
      <c r="AD17" s="17"/>
      <c r="AF17" s="8">
        <v>44652</v>
      </c>
      <c r="AG17" s="9">
        <f>Data!G204</f>
        <v>2.0833330000000001</v>
      </c>
      <c r="AH17" s="9">
        <f>Data!H204</f>
        <v>3.326667</v>
      </c>
    </row>
    <row r="18" spans="1:34" x14ac:dyDescent="0.35">
      <c r="A18" s="8">
        <v>42064</v>
      </c>
      <c r="B18" s="9">
        <f>HAVERM!B309</f>
        <v>4.51</v>
      </c>
      <c r="C18" s="9">
        <f>HAVERM!C309</f>
        <v>1.99</v>
      </c>
      <c r="D18" s="9">
        <f>HAVERM!D309</f>
        <v>2.98</v>
      </c>
      <c r="H18" s="9">
        <f t="shared" si="0"/>
        <v>4.01</v>
      </c>
      <c r="I18" s="9">
        <f t="shared" si="0"/>
        <v>1.3028523809523809</v>
      </c>
      <c r="J18" s="9">
        <f t="shared" si="0"/>
        <v>1.8285952380952384</v>
      </c>
      <c r="L18" s="9">
        <f>HAVERM!E309</f>
        <v>0.5</v>
      </c>
      <c r="M18" s="9">
        <f>HAVERM!F309</f>
        <v>0.68714761904761923</v>
      </c>
      <c r="N18" s="9">
        <f>HAVERM!G309</f>
        <v>1.1514047619047616</v>
      </c>
      <c r="P18" s="8">
        <v>42064</v>
      </c>
      <c r="Q18" s="9">
        <f t="shared" si="2"/>
        <v>8.0000000000000071E-2</v>
      </c>
      <c r="R18" s="9"/>
      <c r="S18" s="9"/>
      <c r="U18" s="8">
        <v>43891</v>
      </c>
      <c r="V18" s="9">
        <f>HAVERM!E369</f>
        <v>0.34772727272727261</v>
      </c>
      <c r="W18" s="9">
        <f>HAVERM!H369</f>
        <v>3.21</v>
      </c>
      <c r="X18" s="9">
        <f>HAVERM!I369</f>
        <v>2.33</v>
      </c>
      <c r="Z18" s="8">
        <v>44958</v>
      </c>
      <c r="AA18" s="9">
        <f t="shared" si="1"/>
        <v>2.95</v>
      </c>
      <c r="AB18" s="9">
        <f t="shared" si="1"/>
        <v>0.62999999999999989</v>
      </c>
      <c r="AC18" s="17">
        <v>1000</v>
      </c>
      <c r="AD18" s="17"/>
      <c r="AF18" s="8">
        <v>44743</v>
      </c>
      <c r="AG18" s="9">
        <f>Data!G205</f>
        <v>2.1866669999999999</v>
      </c>
      <c r="AH18" s="9">
        <f>Data!H205</f>
        <v>3.8366669999999998</v>
      </c>
    </row>
    <row r="19" spans="1:34" x14ac:dyDescent="0.35">
      <c r="A19" s="8">
        <v>42095</v>
      </c>
      <c r="B19" s="9">
        <f>HAVERM!B310</f>
        <v>4.53</v>
      </c>
      <c r="C19" s="9">
        <f>HAVERM!C310</f>
        <v>1.95</v>
      </c>
      <c r="D19" s="9">
        <f>HAVERM!D310</f>
        <v>2.92</v>
      </c>
      <c r="H19" s="9">
        <f t="shared" si="0"/>
        <v>4.03</v>
      </c>
      <c r="I19" s="9">
        <f t="shared" si="0"/>
        <v>1.3036476190476187</v>
      </c>
      <c r="J19" s="9">
        <f t="shared" si="0"/>
        <v>1.8594333333333333</v>
      </c>
      <c r="L19" s="9">
        <f>HAVERM!E310</f>
        <v>0.5</v>
      </c>
      <c r="M19" s="9">
        <f>HAVERM!F310</f>
        <v>0.64635238095238112</v>
      </c>
      <c r="N19" s="9">
        <f>HAVERM!G310</f>
        <v>1.0605666666666667</v>
      </c>
      <c r="P19" s="8">
        <v>42095</v>
      </c>
      <c r="Q19" s="9">
        <f t="shared" si="2"/>
        <v>0.10000000000000053</v>
      </c>
      <c r="R19" s="9"/>
      <c r="S19" s="9"/>
      <c r="U19" s="8">
        <v>43922</v>
      </c>
      <c r="V19" s="9">
        <f>HAVERM!E370</f>
        <v>0.10000000000000003</v>
      </c>
      <c r="W19" s="9">
        <f>HAVERM!H370</f>
        <v>2.98</v>
      </c>
      <c r="X19" s="9">
        <f>HAVERM!I370</f>
        <v>2.21</v>
      </c>
      <c r="Z19" s="8">
        <v>44986</v>
      </c>
      <c r="AA19" s="9">
        <f t="shared" si="1"/>
        <v>3.09</v>
      </c>
      <c r="AB19" s="9">
        <f t="shared" si="1"/>
        <v>0.73</v>
      </c>
      <c r="AC19" s="17">
        <v>1000</v>
      </c>
      <c r="AD19" s="17"/>
      <c r="AF19" s="8">
        <v>44835</v>
      </c>
      <c r="AG19" s="9">
        <f>Data!G206</f>
        <v>2.3966669999999999</v>
      </c>
      <c r="AH19" s="9">
        <f>Data!H206</f>
        <v>4.7633330000000003</v>
      </c>
    </row>
    <row r="20" spans="1:34" x14ac:dyDescent="0.35">
      <c r="A20" s="8">
        <v>42125</v>
      </c>
      <c r="B20" s="9">
        <f>HAVERM!B311</f>
        <v>4.55</v>
      </c>
      <c r="C20" s="9">
        <f>HAVERM!C311</f>
        <v>1.9</v>
      </c>
      <c r="D20" s="9">
        <f>HAVERM!D311</f>
        <v>2.86</v>
      </c>
      <c r="H20" s="9">
        <f t="shared" si="0"/>
        <v>4.05</v>
      </c>
      <c r="I20" s="9">
        <f t="shared" si="0"/>
        <v>1.1638523809523809</v>
      </c>
      <c r="J20" s="9">
        <f t="shared" si="0"/>
        <v>1.597047619047619</v>
      </c>
      <c r="L20" s="9">
        <f>HAVERM!E311</f>
        <v>0.5</v>
      </c>
      <c r="M20" s="9">
        <f>HAVERM!F311</f>
        <v>0.73614761904761905</v>
      </c>
      <c r="N20" s="9">
        <f>HAVERM!G311</f>
        <v>1.2629523809523808</v>
      </c>
      <c r="P20" s="8">
        <v>42125</v>
      </c>
      <c r="Q20" s="9">
        <f t="shared" si="2"/>
        <v>0.12999999999999989</v>
      </c>
      <c r="R20" s="9"/>
      <c r="S20" s="9"/>
      <c r="U20" s="8">
        <v>43952</v>
      </c>
      <c r="V20" s="9">
        <f>HAVERM!E371</f>
        <v>0.10000000000000002</v>
      </c>
      <c r="W20" s="9">
        <f>HAVERM!H371</f>
        <v>2.86</v>
      </c>
      <c r="X20" s="9">
        <f>HAVERM!I371</f>
        <v>2.17</v>
      </c>
      <c r="Z20" s="8">
        <v>45017</v>
      </c>
      <c r="AA20" s="9">
        <f t="shared" si="1"/>
        <v>3.21</v>
      </c>
      <c r="AB20" s="9">
        <f t="shared" si="1"/>
        <v>0.73999999999999977</v>
      </c>
      <c r="AC20" s="17">
        <v>1000</v>
      </c>
      <c r="AD20" s="17"/>
      <c r="AF20" s="8">
        <v>44927</v>
      </c>
      <c r="AG20" s="9">
        <f>Data!G207</f>
        <v>2.65</v>
      </c>
      <c r="AH20" s="9">
        <f>Data!H207</f>
        <v>5.58</v>
      </c>
    </row>
    <row r="21" spans="1:34" x14ac:dyDescent="0.35">
      <c r="A21" s="8">
        <v>42156</v>
      </c>
      <c r="B21" s="9">
        <f>HAVERM!B312</f>
        <v>4.49</v>
      </c>
      <c r="C21" s="9">
        <f>HAVERM!C312</f>
        <v>1.83</v>
      </c>
      <c r="D21" s="9">
        <f>HAVERM!D312</f>
        <v>2.82</v>
      </c>
      <c r="H21" s="9">
        <f t="shared" si="0"/>
        <v>3.99</v>
      </c>
      <c r="I21" s="9">
        <f t="shared" si="0"/>
        <v>1.0497954545454544</v>
      </c>
      <c r="J21" s="9">
        <f t="shared" si="0"/>
        <v>1.4679636363636359</v>
      </c>
      <c r="L21" s="9">
        <f>HAVERM!E312</f>
        <v>0.5</v>
      </c>
      <c r="M21" s="9">
        <f>HAVERM!F312</f>
        <v>0.78020454545454565</v>
      </c>
      <c r="N21" s="9">
        <f>HAVERM!G312</f>
        <v>1.3520363636363639</v>
      </c>
      <c r="P21" s="8">
        <v>42156</v>
      </c>
      <c r="Q21" s="9">
        <f t="shared" si="2"/>
        <v>0.12999999999999989</v>
      </c>
      <c r="R21" s="9"/>
      <c r="S21" s="9"/>
      <c r="U21" s="8">
        <v>43983</v>
      </c>
      <c r="V21" s="9">
        <f>HAVERM!E372</f>
        <v>0.10000000000000003</v>
      </c>
      <c r="W21" s="9">
        <f>HAVERM!H372</f>
        <v>2.79</v>
      </c>
      <c r="X21" s="9">
        <f>HAVERM!I372</f>
        <v>2.17</v>
      </c>
      <c r="Z21" s="8">
        <v>45047</v>
      </c>
      <c r="AA21" s="9">
        <f t="shared" ref="AA21:AB36" si="3">W56-W$38</f>
        <v>3.34</v>
      </c>
      <c r="AB21" s="9">
        <f t="shared" si="3"/>
        <v>0.81</v>
      </c>
      <c r="AC21" s="17">
        <v>1000</v>
      </c>
      <c r="AD21" s="17"/>
      <c r="AF21" s="8">
        <v>45017</v>
      </c>
      <c r="AG21" s="9">
        <f>Data!G208</f>
        <v>2.84</v>
      </c>
      <c r="AH21" s="9">
        <f>Data!H208</f>
        <v>6.09</v>
      </c>
    </row>
    <row r="22" spans="1:34" x14ac:dyDescent="0.35">
      <c r="A22" s="8">
        <v>42186</v>
      </c>
      <c r="B22" s="9">
        <f>HAVERM!B313</f>
        <v>4.5</v>
      </c>
      <c r="C22" s="9">
        <f>HAVERM!C313</f>
        <v>1.87</v>
      </c>
      <c r="D22" s="9">
        <f>HAVERM!D313</f>
        <v>2.83</v>
      </c>
      <c r="H22" s="9">
        <f t="shared" si="0"/>
        <v>4</v>
      </c>
      <c r="I22" s="9">
        <f t="shared" si="0"/>
        <v>1.024260869565218</v>
      </c>
      <c r="J22" s="9">
        <f t="shared" si="0"/>
        <v>1.422013043478261</v>
      </c>
      <c r="L22" s="9">
        <f>HAVERM!E313</f>
        <v>0.5</v>
      </c>
      <c r="M22" s="9">
        <f>HAVERM!F313</f>
        <v>0.84573913043478222</v>
      </c>
      <c r="N22" s="9">
        <f>HAVERM!G313</f>
        <v>1.4079869565217391</v>
      </c>
      <c r="P22" s="8">
        <v>42186</v>
      </c>
      <c r="Q22" s="9">
        <f t="shared" si="2"/>
        <v>4.9999999999999822E-2</v>
      </c>
      <c r="R22" s="9"/>
      <c r="S22" s="9"/>
      <c r="U22" s="8">
        <v>44013</v>
      </c>
      <c r="V22" s="9">
        <f>HAVERM!E373</f>
        <v>0.10000000000000003</v>
      </c>
      <c r="W22" s="9">
        <f>HAVERM!H373</f>
        <v>2.66</v>
      </c>
      <c r="X22" s="9">
        <f>HAVERM!I373</f>
        <v>2.16</v>
      </c>
      <c r="Z22" s="8">
        <v>45078</v>
      </c>
      <c r="AA22" s="9">
        <f t="shared" si="3"/>
        <v>3.62</v>
      </c>
      <c r="AB22" s="9">
        <f t="shared" si="3"/>
        <v>0.91000000000000014</v>
      </c>
      <c r="AC22" s="17">
        <v>1000</v>
      </c>
      <c r="AD22" s="17"/>
      <c r="AF22" s="8">
        <v>45108</v>
      </c>
      <c r="AG22" s="9">
        <f>Data!G209</f>
        <v>3.07</v>
      </c>
      <c r="AH22" s="9">
        <f>Data!H209</f>
        <v>6.6766670000000001</v>
      </c>
    </row>
    <row r="23" spans="1:34" x14ac:dyDescent="0.35">
      <c r="A23" s="8">
        <v>42217</v>
      </c>
      <c r="B23" s="9">
        <f>HAVERM!B314</f>
        <v>4.4800000000000004</v>
      </c>
      <c r="C23" s="9">
        <f>HAVERM!C314</f>
        <v>1.95</v>
      </c>
      <c r="D23" s="9">
        <f>HAVERM!D314</f>
        <v>2.92</v>
      </c>
      <c r="H23" s="9">
        <f t="shared" si="0"/>
        <v>3.9800000000000004</v>
      </c>
      <c r="I23" s="9">
        <f t="shared" si="0"/>
        <v>1.143904761904762</v>
      </c>
      <c r="J23" s="9">
        <f t="shared" si="0"/>
        <v>1.5978380952380951</v>
      </c>
      <c r="L23" s="9">
        <f>HAVERM!E314</f>
        <v>0.5</v>
      </c>
      <c r="M23" s="9">
        <f>HAVERM!F314</f>
        <v>0.80609523809523809</v>
      </c>
      <c r="N23" s="9">
        <f>HAVERM!G314</f>
        <v>1.3221619047619049</v>
      </c>
      <c r="P23" s="8">
        <v>42217</v>
      </c>
      <c r="Q23" s="9">
        <f t="shared" si="2"/>
        <v>3.0000000000000249E-2</v>
      </c>
      <c r="R23" s="9"/>
      <c r="S23" s="9"/>
      <c r="U23" s="8">
        <v>44044</v>
      </c>
      <c r="V23" s="9">
        <f>HAVERM!E374</f>
        <v>0.10000000000000002</v>
      </c>
      <c r="W23" s="9">
        <f>HAVERM!H374</f>
        <v>2.5299999999999998</v>
      </c>
      <c r="X23" s="9">
        <f>HAVERM!I374</f>
        <v>2.14</v>
      </c>
      <c r="Z23" s="8">
        <v>45108</v>
      </c>
      <c r="AA23" s="9">
        <f t="shared" si="3"/>
        <v>3.8099999999999996</v>
      </c>
      <c r="AB23" s="9">
        <f t="shared" si="3"/>
        <v>0.96</v>
      </c>
      <c r="AC23" s="17">
        <v>1000</v>
      </c>
      <c r="AD23" s="17"/>
      <c r="AF23" s="8">
        <v>45200</v>
      </c>
      <c r="AG23" s="9">
        <f>Data!G210</f>
        <v>3.29</v>
      </c>
      <c r="AH23" s="9">
        <f>Data!H210</f>
        <v>6.8</v>
      </c>
    </row>
    <row r="24" spans="1:34" x14ac:dyDescent="0.35">
      <c r="A24" s="8">
        <v>42248</v>
      </c>
      <c r="B24" s="9">
        <f>HAVERM!B315</f>
        <v>4.5</v>
      </c>
      <c r="C24" s="9">
        <f>HAVERM!C315</f>
        <v>1.91</v>
      </c>
      <c r="D24" s="9">
        <f>HAVERM!D315</f>
        <v>2.84</v>
      </c>
      <c r="H24" s="9">
        <f t="shared" si="0"/>
        <v>4</v>
      </c>
      <c r="I24" s="9">
        <f t="shared" si="0"/>
        <v>1.1834227272727271</v>
      </c>
      <c r="J24" s="9">
        <f t="shared" si="0"/>
        <v>1.6508136363636363</v>
      </c>
      <c r="L24" s="9">
        <f>HAVERM!E315</f>
        <v>0.5</v>
      </c>
      <c r="M24" s="9">
        <f>HAVERM!F315</f>
        <v>0.72657727272727268</v>
      </c>
      <c r="N24" s="9">
        <f>HAVERM!G315</f>
        <v>1.1891863636363635</v>
      </c>
      <c r="P24" s="8">
        <v>42248</v>
      </c>
      <c r="Q24" s="9">
        <f t="shared" si="2"/>
        <v>-1.9999999999999574E-2</v>
      </c>
      <c r="R24" s="9"/>
      <c r="S24" s="9"/>
      <c r="U24" s="8">
        <v>44075</v>
      </c>
      <c r="V24" s="9">
        <f>HAVERM!E375</f>
        <v>0.10000000000000003</v>
      </c>
      <c r="W24" s="9">
        <f>HAVERM!H375</f>
        <v>2.52</v>
      </c>
      <c r="X24" s="9">
        <f>HAVERM!I375</f>
        <v>2.13</v>
      </c>
      <c r="Z24" s="8">
        <v>45139</v>
      </c>
      <c r="AA24" s="9">
        <f t="shared" si="3"/>
        <v>4.01</v>
      </c>
      <c r="AB24" s="9">
        <f t="shared" si="3"/>
        <v>1.0499999999999998</v>
      </c>
      <c r="AC24" s="17">
        <v>1000</v>
      </c>
      <c r="AD24" s="17"/>
      <c r="AF24" s="8">
        <v>45292</v>
      </c>
      <c r="AG24" s="9">
        <f>Data!G211</f>
        <v>3.4733329999999998</v>
      </c>
      <c r="AH24" s="9">
        <f>Data!H211</f>
        <v>6.8566669999999998</v>
      </c>
    </row>
    <row r="25" spans="1:34" x14ac:dyDescent="0.35">
      <c r="A25" s="8">
        <v>42278</v>
      </c>
      <c r="B25" s="9">
        <f>HAVERM!B316</f>
        <v>4.54</v>
      </c>
      <c r="C25" s="9">
        <f>HAVERM!C316</f>
        <v>1.87</v>
      </c>
      <c r="D25" s="9">
        <f>HAVERM!D316</f>
        <v>2.78</v>
      </c>
      <c r="H25" s="9">
        <f t="shared" si="0"/>
        <v>4.04</v>
      </c>
      <c r="I25" s="9">
        <f t="shared" si="0"/>
        <v>1.2124818181818182</v>
      </c>
      <c r="J25" s="9">
        <f t="shared" si="0"/>
        <v>1.6863545454545454</v>
      </c>
      <c r="L25" s="9">
        <f>HAVERM!E316</f>
        <v>0.5</v>
      </c>
      <c r="M25" s="9">
        <f>HAVERM!F316</f>
        <v>0.65751818181818189</v>
      </c>
      <c r="N25" s="9">
        <f>HAVERM!G316</f>
        <v>1.0936454545454544</v>
      </c>
      <c r="P25" s="8">
        <v>42278</v>
      </c>
      <c r="Q25" s="9">
        <f t="shared" si="2"/>
        <v>9.9999999999997868E-3</v>
      </c>
      <c r="R25" s="9"/>
      <c r="S25" s="9"/>
      <c r="U25" s="8">
        <v>44105</v>
      </c>
      <c r="V25" s="9">
        <f>HAVERM!E376</f>
        <v>0.10000000000000003</v>
      </c>
      <c r="W25" s="9">
        <f>HAVERM!H376</f>
        <v>2.46</v>
      </c>
      <c r="X25" s="9">
        <f>HAVERM!I376</f>
        <v>2.12</v>
      </c>
      <c r="Z25" s="8">
        <v>45170</v>
      </c>
      <c r="AA25" s="9">
        <f t="shared" si="3"/>
        <v>4.1099999999999994</v>
      </c>
      <c r="AB25" s="9">
        <f t="shared" si="3"/>
        <v>1.1400000000000001</v>
      </c>
      <c r="AC25" s="17"/>
      <c r="AD25" s="17"/>
      <c r="AF25" s="8">
        <v>45383</v>
      </c>
      <c r="AG25" s="9">
        <f>Data!G212</f>
        <v>3.62</v>
      </c>
      <c r="AH25" s="9">
        <f>Data!H212</f>
        <v>6.89</v>
      </c>
    </row>
    <row r="26" spans="1:34" x14ac:dyDescent="0.35">
      <c r="A26" s="8">
        <v>42309</v>
      </c>
      <c r="B26" s="9">
        <f>HAVERM!B317</f>
        <v>4.49</v>
      </c>
      <c r="C26" s="9">
        <f>HAVERM!C317</f>
        <v>1.92</v>
      </c>
      <c r="D26" s="9">
        <f>HAVERM!D317</f>
        <v>2.77</v>
      </c>
      <c r="H26" s="9">
        <f t="shared" si="0"/>
        <v>3.99</v>
      </c>
      <c r="I26" s="9">
        <f t="shared" si="0"/>
        <v>1.1974619047619046</v>
      </c>
      <c r="J26" s="9">
        <f t="shared" si="0"/>
        <v>1.5989380952380954</v>
      </c>
      <c r="L26" s="9">
        <f>HAVERM!E317</f>
        <v>0.5</v>
      </c>
      <c r="M26" s="9">
        <f>HAVERM!F317</f>
        <v>0.7225380952380952</v>
      </c>
      <c r="N26" s="9">
        <f>HAVERM!G317</f>
        <v>1.1710619047619046</v>
      </c>
      <c r="P26" s="8">
        <v>42309</v>
      </c>
      <c r="Q26" s="9">
        <f t="shared" si="2"/>
        <v>0</v>
      </c>
      <c r="R26" s="9"/>
      <c r="S26" s="9"/>
      <c r="U26" s="8">
        <v>44136</v>
      </c>
      <c r="V26" s="9">
        <f>HAVERM!E377</f>
        <v>0.10000000000000002</v>
      </c>
      <c r="W26" s="9">
        <f>HAVERM!H377</f>
        <v>2.4500000000000002</v>
      </c>
      <c r="X26" s="9">
        <f>HAVERM!I377</f>
        <v>2.12</v>
      </c>
      <c r="Z26" s="8">
        <v>45200</v>
      </c>
      <c r="AA26" s="9">
        <f t="shared" si="3"/>
        <v>4.08</v>
      </c>
      <c r="AB26" s="9">
        <f t="shared" si="3"/>
        <v>1.2000000000000002</v>
      </c>
      <c r="AC26" s="17"/>
      <c r="AD26" s="17"/>
      <c r="AF26" s="8">
        <v>45474</v>
      </c>
      <c r="AG26" s="9">
        <f>Data!G213</f>
        <v>3.726667</v>
      </c>
      <c r="AH26" s="9">
        <f>Data!H213</f>
        <v>6.806667</v>
      </c>
    </row>
    <row r="27" spans="1:34" x14ac:dyDescent="0.35">
      <c r="A27" s="8">
        <v>42339</v>
      </c>
      <c r="B27" s="9">
        <f>HAVERM!B318</f>
        <v>4.49</v>
      </c>
      <c r="C27" s="9">
        <f>HAVERM!C318</f>
        <v>1.9</v>
      </c>
      <c r="D27" s="9">
        <f>HAVERM!D318</f>
        <v>2.75</v>
      </c>
      <c r="H27" s="9">
        <f t="shared" si="0"/>
        <v>3.99</v>
      </c>
      <c r="I27" s="9">
        <f t="shared" si="0"/>
        <v>1.1574739130434781</v>
      </c>
      <c r="J27" s="9">
        <f t="shared" si="0"/>
        <v>1.5918434782608692</v>
      </c>
      <c r="L27" s="9">
        <f>HAVERM!E318</f>
        <v>0.5</v>
      </c>
      <c r="M27" s="9">
        <f>HAVERM!F318</f>
        <v>0.74252608695652167</v>
      </c>
      <c r="N27" s="9">
        <f>HAVERM!G318</f>
        <v>1.1581565217391308</v>
      </c>
      <c r="P27" s="8">
        <v>42339</v>
      </c>
      <c r="Q27" s="9">
        <f t="shared" si="2"/>
        <v>9.9999999999997868E-3</v>
      </c>
      <c r="R27" s="9"/>
      <c r="S27" s="9"/>
      <c r="U27" s="8">
        <v>44166</v>
      </c>
      <c r="V27" s="9">
        <f>HAVERM!E378</f>
        <v>0.10000000000000003</v>
      </c>
      <c r="W27" s="9">
        <f>HAVERM!H378</f>
        <v>2.4500000000000002</v>
      </c>
      <c r="X27" s="9">
        <f>HAVERM!I378</f>
        <v>2.12</v>
      </c>
      <c r="Z27" s="8">
        <v>45231</v>
      </c>
      <c r="AA27" s="9">
        <f t="shared" si="3"/>
        <v>4.0999999999999996</v>
      </c>
      <c r="AB27" s="9">
        <f t="shared" si="3"/>
        <v>1.2599999999999998</v>
      </c>
      <c r="AC27" s="9"/>
      <c r="AD27" s="9"/>
      <c r="AF27" s="8">
        <v>45566</v>
      </c>
      <c r="AG27" s="9">
        <f>Data!G214</f>
        <v>3.8</v>
      </c>
      <c r="AH27" s="9">
        <f>Data!H214</f>
        <v>6.6466669999999999</v>
      </c>
    </row>
    <row r="28" spans="1:34" x14ac:dyDescent="0.35">
      <c r="A28" s="8">
        <v>42370</v>
      </c>
      <c r="B28" s="9">
        <f>HAVERM!B319</f>
        <v>4.5599999999999996</v>
      </c>
      <c r="C28" s="9">
        <f>HAVERM!C319</f>
        <v>1.93</v>
      </c>
      <c r="D28" s="9">
        <f>HAVERM!D319</f>
        <v>2.68</v>
      </c>
      <c r="H28" s="9">
        <f t="shared" si="0"/>
        <v>4.0599999999999996</v>
      </c>
      <c r="I28" s="9">
        <f t="shared" si="0"/>
        <v>1.3224</v>
      </c>
      <c r="J28" s="9">
        <f t="shared" si="0"/>
        <v>1.6969904761904764</v>
      </c>
      <c r="L28" s="9">
        <f>HAVERM!E319</f>
        <v>0.5</v>
      </c>
      <c r="M28" s="9">
        <f>HAVERM!F319</f>
        <v>0.60759999999999992</v>
      </c>
      <c r="N28" s="9">
        <f>HAVERM!G319</f>
        <v>0.98300952380952378</v>
      </c>
      <c r="P28" s="8">
        <v>42370</v>
      </c>
      <c r="Q28" s="9">
        <f t="shared" si="2"/>
        <v>0</v>
      </c>
      <c r="R28" s="9">
        <f t="shared" ref="R28:R91" si="4">C28-C4</f>
        <v>-0.44000000000000017</v>
      </c>
      <c r="S28" s="9"/>
      <c r="U28" s="8">
        <v>44197</v>
      </c>
      <c r="V28" s="9">
        <f>HAVERM!E379</f>
        <v>0.10000000000000002</v>
      </c>
      <c r="W28" s="9">
        <f>HAVERM!H379</f>
        <v>2.41</v>
      </c>
      <c r="X28" s="9">
        <f>HAVERM!I379</f>
        <v>2.09</v>
      </c>
      <c r="Z28" s="8">
        <v>45261</v>
      </c>
      <c r="AA28" s="9">
        <f t="shared" si="3"/>
        <v>4.12</v>
      </c>
      <c r="AB28" s="9">
        <f t="shared" si="3"/>
        <v>1.35</v>
      </c>
      <c r="AC28" s="9"/>
      <c r="AD28" s="9"/>
      <c r="AF28" s="8">
        <v>45658</v>
      </c>
      <c r="AG28" s="9">
        <f>Data!G215</f>
        <v>3.8466670000000001</v>
      </c>
      <c r="AH28" s="9">
        <f>Data!H215</f>
        <v>6.41</v>
      </c>
    </row>
    <row r="29" spans="1:34" x14ac:dyDescent="0.35">
      <c r="A29" s="8">
        <v>42401</v>
      </c>
      <c r="B29" s="9">
        <f>HAVERM!B320</f>
        <v>4.58</v>
      </c>
      <c r="C29" s="9">
        <f>HAVERM!C320</f>
        <v>1.95</v>
      </c>
      <c r="D29" s="9">
        <f>HAVERM!D320</f>
        <v>2.73</v>
      </c>
      <c r="H29" s="9">
        <f t="shared" si="0"/>
        <v>4.08</v>
      </c>
      <c r="I29" s="9">
        <f t="shared" si="0"/>
        <v>1.5433238095238095</v>
      </c>
      <c r="J29" s="9">
        <f t="shared" si="0"/>
        <v>2.1155333333333335</v>
      </c>
      <c r="L29" s="9">
        <f>HAVERM!E320</f>
        <v>0.5</v>
      </c>
      <c r="M29" s="9">
        <f>HAVERM!F320</f>
        <v>0.40667619047619041</v>
      </c>
      <c r="N29" s="9">
        <f>HAVERM!G320</f>
        <v>0.61446666666666672</v>
      </c>
      <c r="P29" s="8">
        <v>42401</v>
      </c>
      <c r="Q29" s="9">
        <f t="shared" si="2"/>
        <v>7.0000000000000284E-2</v>
      </c>
      <c r="R29" s="9">
        <f t="shared" si="4"/>
        <v>-0.42999999999999994</v>
      </c>
      <c r="S29" s="9"/>
      <c r="U29" s="8">
        <v>44228</v>
      </c>
      <c r="V29" s="9">
        <f>HAVERM!E380</f>
        <v>0.10000000000000002</v>
      </c>
      <c r="W29" s="9">
        <f>HAVERM!H380</f>
        <v>2.4300000000000002</v>
      </c>
      <c r="X29" s="9">
        <f>HAVERM!I380</f>
        <v>2.09</v>
      </c>
      <c r="Z29" s="8">
        <v>45292</v>
      </c>
      <c r="AA29" s="9">
        <f t="shared" si="3"/>
        <v>4.1399999999999997</v>
      </c>
      <c r="AB29" s="9">
        <f t="shared" si="3"/>
        <v>1.4</v>
      </c>
      <c r="AC29" s="9"/>
      <c r="AD29" s="9"/>
      <c r="AF29" s="8">
        <v>45748</v>
      </c>
      <c r="AG29" s="9">
        <f>Data!G216</f>
        <v>3.8733330000000001</v>
      </c>
      <c r="AH29" s="9">
        <f>Data!H216</f>
        <v>6.2166670000000002</v>
      </c>
    </row>
    <row r="30" spans="1:34" x14ac:dyDescent="0.35">
      <c r="A30" s="8">
        <v>42430</v>
      </c>
      <c r="B30" s="9">
        <f>HAVERM!B321</f>
        <v>4.57</v>
      </c>
      <c r="C30" s="9">
        <f>HAVERM!C321</f>
        <v>1.9</v>
      </c>
      <c r="D30" s="9">
        <f>HAVERM!D321</f>
        <v>2.7</v>
      </c>
      <c r="H30" s="9">
        <f t="shared" si="0"/>
        <v>4.07</v>
      </c>
      <c r="I30" s="9">
        <f t="shared" si="0"/>
        <v>1.4501434782608695</v>
      </c>
      <c r="J30" s="9">
        <f t="shared" si="0"/>
        <v>2.0500695652173917</v>
      </c>
      <c r="L30" s="9">
        <f>HAVERM!E321</f>
        <v>0.5</v>
      </c>
      <c r="M30" s="9">
        <f>HAVERM!F321</f>
        <v>0.44985652173913043</v>
      </c>
      <c r="N30" s="9">
        <f>HAVERM!G321</f>
        <v>0.64993043478260848</v>
      </c>
      <c r="P30" s="8">
        <v>42430</v>
      </c>
      <c r="Q30" s="9">
        <f t="shared" si="2"/>
        <v>6.0000000000000497E-2</v>
      </c>
      <c r="R30" s="9">
        <f t="shared" si="4"/>
        <v>-0.4700000000000002</v>
      </c>
      <c r="S30" s="9"/>
      <c r="U30" s="8">
        <v>44256</v>
      </c>
      <c r="V30" s="9">
        <f>HAVERM!E381</f>
        <v>0.10000000000000003</v>
      </c>
      <c r="W30" s="9">
        <f>HAVERM!H381</f>
        <v>2.44</v>
      </c>
      <c r="X30" s="9">
        <f>HAVERM!I381</f>
        <v>2.09</v>
      </c>
      <c r="Z30" s="8">
        <v>45323</v>
      </c>
      <c r="AA30" s="9">
        <f t="shared" si="3"/>
        <v>4.1499999999999995</v>
      </c>
      <c r="AB30" s="9">
        <f t="shared" si="3"/>
        <v>1.4700000000000002</v>
      </c>
      <c r="AC30" s="9"/>
      <c r="AD30" s="9"/>
      <c r="AF30" s="8">
        <v>45839</v>
      </c>
      <c r="AG30" s="9">
        <f>Data!G217</f>
        <v>3.8546209999999999</v>
      </c>
      <c r="AH30" s="9">
        <f>Data!H217</f>
        <v>6.0230079999999999</v>
      </c>
    </row>
    <row r="31" spans="1:34" x14ac:dyDescent="0.35">
      <c r="A31" s="8">
        <v>42461</v>
      </c>
      <c r="B31" s="9">
        <f>HAVERM!B322</f>
        <v>4.6399999999999997</v>
      </c>
      <c r="C31" s="9">
        <f>HAVERM!C322</f>
        <v>1.84</v>
      </c>
      <c r="D31" s="9">
        <f>HAVERM!D322</f>
        <v>2.71</v>
      </c>
      <c r="H31" s="9">
        <f t="shared" si="0"/>
        <v>4.1399999999999997</v>
      </c>
      <c r="I31" s="9">
        <f t="shared" si="0"/>
        <v>1.387961904761905</v>
      </c>
      <c r="J31" s="9">
        <f t="shared" si="0"/>
        <v>2.0608476190476188</v>
      </c>
      <c r="L31" s="9">
        <f>HAVERM!E322</f>
        <v>0.5</v>
      </c>
      <c r="M31" s="9">
        <f>HAVERM!F322</f>
        <v>0.45203809523809518</v>
      </c>
      <c r="N31" s="9">
        <f>HAVERM!G322</f>
        <v>0.64915238095238104</v>
      </c>
      <c r="P31" s="8">
        <v>42461</v>
      </c>
      <c r="Q31" s="9">
        <f t="shared" si="2"/>
        <v>0.10999999999999943</v>
      </c>
      <c r="R31" s="9">
        <f t="shared" si="4"/>
        <v>-0.7</v>
      </c>
      <c r="S31" s="9"/>
      <c r="U31" s="8">
        <v>44287</v>
      </c>
      <c r="V31" s="9">
        <f>HAVERM!E382</f>
        <v>0.10000000000000003</v>
      </c>
      <c r="W31" s="9">
        <f>HAVERM!H382</f>
        <v>2.42</v>
      </c>
      <c r="X31" s="9">
        <f>HAVERM!I382</f>
        <v>2.0699999999999998</v>
      </c>
      <c r="Z31" s="8">
        <v>45352</v>
      </c>
      <c r="AA31" s="9">
        <f t="shared" si="3"/>
        <v>4.18</v>
      </c>
      <c r="AB31" s="9">
        <f t="shared" si="3"/>
        <v>1.4899999999999998</v>
      </c>
      <c r="AC31" s="9"/>
      <c r="AD31" s="9"/>
      <c r="AF31" s="8">
        <v>45931</v>
      </c>
      <c r="AG31" s="9">
        <f>Data!G218</f>
        <v>3.855985</v>
      </c>
      <c r="AH31" s="9">
        <f>Data!H218</f>
        <v>5.8119050000000003</v>
      </c>
    </row>
    <row r="32" spans="1:34" x14ac:dyDescent="0.35">
      <c r="A32" s="8">
        <v>42491</v>
      </c>
      <c r="B32" s="9">
        <f>HAVERM!B323</f>
        <v>4.5599999999999996</v>
      </c>
      <c r="C32" s="9">
        <f>HAVERM!C323</f>
        <v>1.91</v>
      </c>
      <c r="D32" s="9">
        <f>HAVERM!D323</f>
        <v>2.64</v>
      </c>
      <c r="H32" s="9">
        <f t="shared" si="0"/>
        <v>4.0599999999999996</v>
      </c>
      <c r="I32" s="9">
        <f t="shared" si="0"/>
        <v>1.4411136363636363</v>
      </c>
      <c r="J32" s="9">
        <f t="shared" si="0"/>
        <v>1.950718181818182</v>
      </c>
      <c r="L32" s="9">
        <f>HAVERM!E323</f>
        <v>0.5</v>
      </c>
      <c r="M32" s="9">
        <f>HAVERM!F323</f>
        <v>0.46888636363636366</v>
      </c>
      <c r="N32" s="9">
        <f>HAVERM!G323</f>
        <v>0.68928181818181811</v>
      </c>
      <c r="P32" s="8">
        <v>42491</v>
      </c>
      <c r="Q32" s="9">
        <f t="shared" si="2"/>
        <v>9.9999999999997868E-3</v>
      </c>
      <c r="R32" s="9">
        <f t="shared" si="4"/>
        <v>-0.65000000000000013</v>
      </c>
      <c r="S32" s="9"/>
      <c r="U32" s="8">
        <v>44317</v>
      </c>
      <c r="V32" s="9">
        <f>HAVERM!E383</f>
        <v>0.10000000000000002</v>
      </c>
      <c r="W32" s="9">
        <f>HAVERM!H383</f>
        <v>2.5</v>
      </c>
      <c r="X32" s="9">
        <f>HAVERM!I383</f>
        <v>2.0699999999999998</v>
      </c>
      <c r="Z32" s="8">
        <v>45383</v>
      </c>
      <c r="AA32" s="9">
        <f t="shared" si="3"/>
        <v>4.17</v>
      </c>
      <c r="AB32" s="9">
        <f t="shared" si="3"/>
        <v>1.56</v>
      </c>
      <c r="AC32" s="9"/>
      <c r="AD32" s="9"/>
      <c r="AF32" s="8">
        <v>46023</v>
      </c>
      <c r="AG32" s="9">
        <f>Data!G219</f>
        <v>3.88</v>
      </c>
      <c r="AH32" s="9">
        <f>Data!H219</f>
        <v>5.6060660000000002</v>
      </c>
    </row>
    <row r="33" spans="1:34" x14ac:dyDescent="0.35">
      <c r="A33" s="8">
        <v>42522</v>
      </c>
      <c r="B33" s="9">
        <f>HAVERM!B324</f>
        <v>4.5199999999999996</v>
      </c>
      <c r="C33" s="9">
        <f>HAVERM!C324</f>
        <v>1.75</v>
      </c>
      <c r="D33" s="9">
        <f>HAVERM!D324</f>
        <v>2.54</v>
      </c>
      <c r="H33" s="9">
        <f t="shared" si="0"/>
        <v>4.0199999999999996</v>
      </c>
      <c r="I33" s="9">
        <f t="shared" si="0"/>
        <v>1.3929045454545455</v>
      </c>
      <c r="J33" s="9">
        <f t="shared" si="0"/>
        <v>2.0278727272727273</v>
      </c>
      <c r="L33" s="9">
        <f>HAVERM!E324</f>
        <v>0.5</v>
      </c>
      <c r="M33" s="9">
        <f>HAVERM!F324</f>
        <v>0.35709545454545455</v>
      </c>
      <c r="N33" s="9">
        <f>HAVERM!G324</f>
        <v>0.51212727272727276</v>
      </c>
      <c r="P33" s="8">
        <v>42522</v>
      </c>
      <c r="Q33" s="9">
        <f t="shared" si="2"/>
        <v>2.9999999999999361E-2</v>
      </c>
      <c r="R33" s="9">
        <f t="shared" si="4"/>
        <v>-0.85000000000000009</v>
      </c>
      <c r="S33" s="9"/>
      <c r="U33" s="8">
        <v>44348</v>
      </c>
      <c r="V33" s="9">
        <f>HAVERM!E384</f>
        <v>0.10000000000000003</v>
      </c>
      <c r="W33" s="9">
        <f>HAVERM!H384</f>
        <v>2.5499999999999998</v>
      </c>
      <c r="X33" s="9">
        <f>HAVERM!I384</f>
        <v>2.08</v>
      </c>
      <c r="Z33" s="8">
        <v>45413</v>
      </c>
      <c r="AA33" s="9">
        <f t="shared" si="3"/>
        <v>4.18</v>
      </c>
      <c r="AB33" s="9">
        <f t="shared" si="3"/>
        <v>1.6</v>
      </c>
      <c r="AC33" s="9"/>
      <c r="AD33" s="9"/>
      <c r="AF33" s="8">
        <v>46113</v>
      </c>
      <c r="AG33" s="9">
        <f>Data!G220</f>
        <v>3.8953850000000001</v>
      </c>
      <c r="AH33" s="9">
        <f>Data!H220</f>
        <v>5.398326</v>
      </c>
    </row>
    <row r="34" spans="1:34" x14ac:dyDescent="0.35">
      <c r="A34" s="8">
        <v>42552</v>
      </c>
      <c r="B34" s="9">
        <f>HAVERM!B325</f>
        <v>4.55</v>
      </c>
      <c r="C34" s="9">
        <f>HAVERM!C325</f>
        <v>1.72</v>
      </c>
      <c r="D34" s="9">
        <f>HAVERM!D325</f>
        <v>2.5099999999999998</v>
      </c>
      <c r="H34" s="9">
        <f t="shared" si="0"/>
        <v>4.05</v>
      </c>
      <c r="I34" s="9">
        <f t="shared" si="0"/>
        <v>1.5872619047619048</v>
      </c>
      <c r="J34" s="9">
        <f t="shared" si="0"/>
        <v>2.2893238095238093</v>
      </c>
      <c r="L34" s="9">
        <f>HAVERM!E325</f>
        <v>0.5</v>
      </c>
      <c r="M34" s="9">
        <f>HAVERM!F325</f>
        <v>0.13273809523809521</v>
      </c>
      <c r="N34" s="9">
        <f>HAVERM!G325</f>
        <v>0.22067619047619053</v>
      </c>
      <c r="P34" s="8">
        <v>42552</v>
      </c>
      <c r="Q34" s="9">
        <f t="shared" si="2"/>
        <v>4.9999999999999822E-2</v>
      </c>
      <c r="R34" s="9">
        <f t="shared" si="4"/>
        <v>-0.82000000000000006</v>
      </c>
      <c r="S34" s="9"/>
      <c r="U34" s="8">
        <v>44378</v>
      </c>
      <c r="V34" s="9">
        <f>HAVERM!E385</f>
        <v>0.10000000000000003</v>
      </c>
      <c r="W34" s="9">
        <f>HAVERM!H385</f>
        <v>2.5499999999999998</v>
      </c>
      <c r="X34" s="9">
        <f>HAVERM!I385</f>
        <v>2.0499999999999998</v>
      </c>
      <c r="Z34" s="8">
        <v>45444</v>
      </c>
      <c r="AA34" s="9">
        <f t="shared" si="3"/>
        <v>4.22</v>
      </c>
      <c r="AB34" s="9">
        <f t="shared" si="3"/>
        <v>1.6400000000000001</v>
      </c>
      <c r="AC34" s="9"/>
      <c r="AD34" s="9"/>
      <c r="AF34" s="8">
        <v>46204</v>
      </c>
      <c r="AG34" s="9">
        <f>Data!G221</f>
        <v>3.9440819999999999</v>
      </c>
      <c r="AH34" s="9">
        <f>Data!H221</f>
        <v>5.2507599999999996</v>
      </c>
    </row>
    <row r="35" spans="1:34" x14ac:dyDescent="0.35">
      <c r="A35" s="8">
        <v>42583</v>
      </c>
      <c r="B35" s="9">
        <f>HAVERM!B326</f>
        <v>4.3</v>
      </c>
      <c r="C35" s="9">
        <f>HAVERM!C326</f>
        <v>1.69</v>
      </c>
      <c r="D35" s="9">
        <f>HAVERM!D326</f>
        <v>2.39</v>
      </c>
      <c r="H35" s="9">
        <f t="shared" si="0"/>
        <v>4.017391304347826</v>
      </c>
      <c r="I35" s="9">
        <f t="shared" si="0"/>
        <v>1.5823999999999998</v>
      </c>
      <c r="J35" s="9">
        <f t="shared" si="0"/>
        <v>2.214721739130435</v>
      </c>
      <c r="L35" s="9">
        <f>HAVERM!E326</f>
        <v>0.28260869565217389</v>
      </c>
      <c r="M35" s="9">
        <f>HAVERM!F326</f>
        <v>0.10760000000000003</v>
      </c>
      <c r="N35" s="9">
        <f>HAVERM!G326</f>
        <v>0.17527826086956519</v>
      </c>
      <c r="P35" s="8">
        <v>42583</v>
      </c>
      <c r="Q35" s="9">
        <f t="shared" si="2"/>
        <v>-0.1800000000000006</v>
      </c>
      <c r="R35" s="9">
        <f t="shared" si="4"/>
        <v>-0.85000000000000009</v>
      </c>
      <c r="S35" s="9"/>
      <c r="U35" s="8">
        <v>44409</v>
      </c>
      <c r="V35" s="9">
        <f>HAVERM!E386</f>
        <v>0.10000000000000003</v>
      </c>
      <c r="W35" s="9">
        <f>HAVERM!H386</f>
        <v>2.65</v>
      </c>
      <c r="X35" s="9">
        <f>HAVERM!I386</f>
        <v>2.06</v>
      </c>
      <c r="Z35" s="8">
        <v>45474</v>
      </c>
      <c r="AA35" s="9">
        <f t="shared" si="3"/>
        <v>4.18</v>
      </c>
      <c r="AB35" s="9">
        <f t="shared" si="3"/>
        <v>1.6800000000000002</v>
      </c>
      <c r="AC35" s="9"/>
      <c r="AD35" s="9"/>
      <c r="AF35" s="8">
        <v>46296</v>
      </c>
      <c r="AG35" s="9">
        <f>Data!G222</f>
        <v>3.99024</v>
      </c>
      <c r="AH35" s="9">
        <f>Data!H222</f>
        <v>5.0834590000000004</v>
      </c>
    </row>
    <row r="36" spans="1:34" x14ac:dyDescent="0.35">
      <c r="A36" s="8">
        <v>42614</v>
      </c>
      <c r="B36" s="9">
        <f>HAVERM!B327</f>
        <v>4.24</v>
      </c>
      <c r="C36" s="9">
        <f>HAVERM!C327</f>
        <v>1.59</v>
      </c>
      <c r="D36" s="9">
        <f>HAVERM!D327</f>
        <v>2.34</v>
      </c>
      <c r="H36" s="9">
        <f t="shared" ref="H36:J67" si="5">B36-L36</f>
        <v>3.99</v>
      </c>
      <c r="I36" s="9">
        <f t="shared" si="5"/>
        <v>1.4666318181818183</v>
      </c>
      <c r="J36" s="9">
        <f t="shared" si="5"/>
        <v>2.1336090909090908</v>
      </c>
      <c r="L36" s="9">
        <f>HAVERM!E327</f>
        <v>0.25</v>
      </c>
      <c r="M36" s="9">
        <f>HAVERM!F327</f>
        <v>0.12336818181818181</v>
      </c>
      <c r="N36" s="9">
        <f>HAVERM!G327</f>
        <v>0.2063909090909091</v>
      </c>
      <c r="P36" s="8">
        <v>42614</v>
      </c>
      <c r="Q36" s="9">
        <f t="shared" si="2"/>
        <v>-0.25999999999999979</v>
      </c>
      <c r="R36" s="9">
        <f t="shared" si="4"/>
        <v>-0.86999999999999988</v>
      </c>
      <c r="S36" s="9"/>
      <c r="U36" s="8">
        <v>44440</v>
      </c>
      <c r="V36" s="9">
        <f>HAVERM!E387</f>
        <v>0.10000000000000003</v>
      </c>
      <c r="W36" s="9">
        <f>HAVERM!H387</f>
        <v>2.65</v>
      </c>
      <c r="X36" s="9">
        <f>HAVERM!I387</f>
        <v>2.0499999999999998</v>
      </c>
      <c r="Z36" s="8">
        <v>45505</v>
      </c>
      <c r="AA36" s="9">
        <f t="shared" si="3"/>
        <v>4.0699999999999994</v>
      </c>
      <c r="AB36" s="9">
        <f t="shared" si="3"/>
        <v>1.71</v>
      </c>
      <c r="AC36" s="9"/>
      <c r="AD36" s="9">
        <v>1000</v>
      </c>
      <c r="AF36" s="8">
        <v>46388</v>
      </c>
      <c r="AG36" s="9">
        <f>Data!G223</f>
        <v>4.0212690000000002</v>
      </c>
      <c r="AH36" s="9">
        <f>Data!H223</f>
        <v>4.9436739999999997</v>
      </c>
    </row>
    <row r="37" spans="1:34" x14ac:dyDescent="0.35">
      <c r="A37" s="8">
        <v>42644</v>
      </c>
      <c r="B37" s="9">
        <f>HAVERM!B328</f>
        <v>4.24</v>
      </c>
      <c r="C37" s="9">
        <f>HAVERM!C328</f>
        <v>1.52</v>
      </c>
      <c r="D37" s="9">
        <f>HAVERM!D328</f>
        <v>2.27</v>
      </c>
      <c r="H37" s="9">
        <f t="shared" si="5"/>
        <v>3.99</v>
      </c>
      <c r="I37" s="9">
        <f t="shared" si="5"/>
        <v>1.3240380952380952</v>
      </c>
      <c r="J37" s="9">
        <f t="shared" si="5"/>
        <v>1.9146571428571428</v>
      </c>
      <c r="L37" s="9">
        <f>HAVERM!E328</f>
        <v>0.25</v>
      </c>
      <c r="M37" s="9">
        <f>HAVERM!F328</f>
        <v>0.19596190476190478</v>
      </c>
      <c r="N37" s="9">
        <f>HAVERM!G328</f>
        <v>0.35534285714285718</v>
      </c>
      <c r="P37" s="8">
        <v>42644</v>
      </c>
      <c r="Q37" s="9">
        <f t="shared" si="2"/>
        <v>-0.29999999999999982</v>
      </c>
      <c r="R37" s="9">
        <f t="shared" si="4"/>
        <v>-0.69</v>
      </c>
      <c r="S37" s="9"/>
      <c r="U37" s="8">
        <v>44470</v>
      </c>
      <c r="V37" s="9">
        <f>HAVERM!E388</f>
        <v>0.10000000000000002</v>
      </c>
      <c r="W37" s="9">
        <f>HAVERM!H388</f>
        <v>2.66</v>
      </c>
      <c r="X37" s="9">
        <f>HAVERM!I388</f>
        <v>2.0299999999999998</v>
      </c>
      <c r="Z37" s="8">
        <v>45536</v>
      </c>
      <c r="AA37" s="9">
        <f t="shared" ref="AA37:AB52" si="6">W72-W$38</f>
        <v>4.0699999999999994</v>
      </c>
      <c r="AB37" s="9">
        <f t="shared" si="6"/>
        <v>1.73</v>
      </c>
      <c r="AC37" s="9"/>
      <c r="AD37" s="9">
        <v>1000</v>
      </c>
      <c r="AF37" s="8">
        <v>46478</v>
      </c>
      <c r="AG37" s="9">
        <f>Data!G224</f>
        <v>4.0294509999999999</v>
      </c>
      <c r="AH37" s="9">
        <f>Data!H224</f>
        <v>4.7827789999999997</v>
      </c>
    </row>
    <row r="38" spans="1:34" x14ac:dyDescent="0.35">
      <c r="A38" s="8">
        <v>42675</v>
      </c>
      <c r="B38" s="9">
        <f>HAVERM!B329</f>
        <v>4.28</v>
      </c>
      <c r="C38" s="9">
        <f>HAVERM!C329</f>
        <v>1.43</v>
      </c>
      <c r="D38" s="9">
        <f>HAVERM!D329</f>
        <v>2.25</v>
      </c>
      <c r="H38" s="9">
        <f t="shared" si="5"/>
        <v>4.03</v>
      </c>
      <c r="I38" s="9">
        <f t="shared" si="5"/>
        <v>1.1526454545454545</v>
      </c>
      <c r="J38" s="9">
        <f t="shared" si="5"/>
        <v>1.6863136363636364</v>
      </c>
      <c r="L38" s="9">
        <f>HAVERM!E329</f>
        <v>0.25</v>
      </c>
      <c r="M38" s="9">
        <f>HAVERM!F329</f>
        <v>0.27735454545454546</v>
      </c>
      <c r="N38" s="9">
        <f>HAVERM!G329</f>
        <v>0.5636863636363636</v>
      </c>
      <c r="P38" s="8">
        <v>42675</v>
      </c>
      <c r="Q38" s="9">
        <f t="shared" si="2"/>
        <v>-0.20999999999999996</v>
      </c>
      <c r="R38" s="9">
        <f t="shared" si="4"/>
        <v>-0.74</v>
      </c>
      <c r="S38" s="9"/>
      <c r="U38" s="8">
        <v>44501</v>
      </c>
      <c r="V38" s="9">
        <f>HAVERM!E389</f>
        <v>0.10000000000000003</v>
      </c>
      <c r="W38" s="9">
        <f>HAVERM!H389</f>
        <v>2.7</v>
      </c>
      <c r="X38" s="9">
        <f>HAVERM!I389</f>
        <v>2.02</v>
      </c>
      <c r="Z38" s="8">
        <v>45566</v>
      </c>
      <c r="AA38" s="9">
        <f t="shared" si="6"/>
        <v>4.05</v>
      </c>
      <c r="AB38" s="9">
        <f t="shared" si="6"/>
        <v>1.77</v>
      </c>
      <c r="AD38" s="9">
        <v>1000</v>
      </c>
      <c r="AF38" s="8">
        <v>46569</v>
      </c>
      <c r="AG38" s="9">
        <f>Data!G225</f>
        <v>4.0106210000000004</v>
      </c>
      <c r="AH38" s="9">
        <f>Data!H225</f>
        <v>4.6491040000000003</v>
      </c>
    </row>
    <row r="39" spans="1:34" x14ac:dyDescent="0.35">
      <c r="A39" s="8">
        <v>42705</v>
      </c>
      <c r="B39" s="9">
        <f>HAVERM!B330</f>
        <v>4.2300000000000004</v>
      </c>
      <c r="C39" s="9">
        <f>HAVERM!C330</f>
        <v>1.45</v>
      </c>
      <c r="D39" s="9">
        <f>HAVERM!D330</f>
        <v>2.2599999999999998</v>
      </c>
      <c r="H39" s="9">
        <f t="shared" si="5"/>
        <v>3.9800000000000004</v>
      </c>
      <c r="I39" s="9">
        <f t="shared" si="5"/>
        <v>1.1509363636363636</v>
      </c>
      <c r="J39" s="9">
        <f t="shared" si="5"/>
        <v>1.6513863636363633</v>
      </c>
      <c r="L39" s="9">
        <f>HAVERM!E330</f>
        <v>0.25</v>
      </c>
      <c r="M39" s="9">
        <f>HAVERM!F330</f>
        <v>0.29906363636363636</v>
      </c>
      <c r="N39" s="9">
        <f>HAVERM!G330</f>
        <v>0.60861363636363641</v>
      </c>
      <c r="P39" s="8">
        <v>42705</v>
      </c>
      <c r="Q39" s="9">
        <f t="shared" si="2"/>
        <v>-0.25999999999999979</v>
      </c>
      <c r="R39" s="9">
        <f t="shared" si="4"/>
        <v>-0.63000000000000012</v>
      </c>
      <c r="S39" s="9"/>
      <c r="U39" s="8">
        <v>44531</v>
      </c>
      <c r="V39" s="9">
        <f>HAVERM!E390</f>
        <v>0.17826086956521739</v>
      </c>
      <c r="W39" s="9">
        <f>HAVERM!H390</f>
        <v>2.75</v>
      </c>
      <c r="X39" s="9">
        <f>HAVERM!I390</f>
        <v>2.0099999999999998</v>
      </c>
      <c r="Z39" s="8">
        <v>45597</v>
      </c>
      <c r="AA39" s="9">
        <f t="shared" si="6"/>
        <v>3.91</v>
      </c>
      <c r="AB39" s="9">
        <f t="shared" si="6"/>
        <v>1.79</v>
      </c>
      <c r="AD39" s="9">
        <v>1000</v>
      </c>
      <c r="AF39" s="8">
        <v>46661</v>
      </c>
      <c r="AG39" s="9">
        <f>Data!G226</f>
        <v>3.9302739999999998</v>
      </c>
      <c r="AH39" s="9">
        <f>Data!H226</f>
        <v>4.4935419999999997</v>
      </c>
    </row>
    <row r="40" spans="1:34" x14ac:dyDescent="0.35">
      <c r="A40" s="8">
        <v>42736</v>
      </c>
      <c r="B40" s="9">
        <f>HAVERM!B331</f>
        <v>4.49</v>
      </c>
      <c r="C40" s="9">
        <f>HAVERM!C331</f>
        <v>1.45</v>
      </c>
      <c r="D40" s="9">
        <f>HAVERM!D331</f>
        <v>2.2200000000000002</v>
      </c>
      <c r="H40" s="9">
        <f t="shared" si="5"/>
        <v>4.24</v>
      </c>
      <c r="I40" s="9">
        <f t="shared" si="5"/>
        <v>1.1252181818181817</v>
      </c>
      <c r="J40" s="9">
        <f t="shared" si="5"/>
        <v>1.6104500000000002</v>
      </c>
      <c r="L40" s="9">
        <f>HAVERM!E331</f>
        <v>0.25</v>
      </c>
      <c r="M40" s="9">
        <f>HAVERM!F331</f>
        <v>0.32478181818181817</v>
      </c>
      <c r="N40" s="9">
        <f>HAVERM!G331</f>
        <v>0.60955000000000004</v>
      </c>
      <c r="P40" s="8">
        <v>42736</v>
      </c>
      <c r="Q40" s="9">
        <f t="shared" si="2"/>
        <v>-6.9999999999999396E-2</v>
      </c>
      <c r="R40" s="9">
        <f t="shared" si="4"/>
        <v>-0.55999999999999983</v>
      </c>
      <c r="S40" s="9"/>
      <c r="U40" s="8">
        <v>44562</v>
      </c>
      <c r="V40" s="9">
        <f>HAVERM!E391</f>
        <v>0.25</v>
      </c>
      <c r="W40" s="9">
        <f>HAVERM!H391</f>
        <v>2.81</v>
      </c>
      <c r="X40" s="9">
        <f>HAVERM!I391</f>
        <v>2.0099999999999998</v>
      </c>
      <c r="Z40" s="8">
        <v>45627</v>
      </c>
      <c r="AA40" s="9">
        <f t="shared" si="6"/>
        <v>3.88</v>
      </c>
      <c r="AB40" s="9">
        <f t="shared" si="6"/>
        <v>1.7799999999999998</v>
      </c>
      <c r="AD40" s="9">
        <v>1000</v>
      </c>
      <c r="AF40" s="8">
        <v>46753</v>
      </c>
      <c r="AG40" s="9">
        <f>Data!G227</f>
        <v>3.8858609999999998</v>
      </c>
      <c r="AH40" s="9">
        <f>Data!H227</f>
        <v>4.3715590000000004</v>
      </c>
    </row>
    <row r="41" spans="1:34" x14ac:dyDescent="0.35">
      <c r="A41" s="8">
        <v>42767</v>
      </c>
      <c r="B41" s="9">
        <f>HAVERM!B332</f>
        <v>4.37</v>
      </c>
      <c r="C41" s="9">
        <f>HAVERM!C332</f>
        <v>1.42</v>
      </c>
      <c r="D41" s="9">
        <f>HAVERM!D332</f>
        <v>2.2000000000000002</v>
      </c>
      <c r="H41" s="9">
        <f t="shared" si="5"/>
        <v>4.12</v>
      </c>
      <c r="I41" s="9">
        <f t="shared" si="5"/>
        <v>1.1224699999999999</v>
      </c>
      <c r="J41" s="9">
        <f t="shared" si="5"/>
        <v>1.6485350000000001</v>
      </c>
      <c r="L41" s="9">
        <f>HAVERM!E332</f>
        <v>0.25</v>
      </c>
      <c r="M41" s="9">
        <f>HAVERM!F332</f>
        <v>0.29753000000000002</v>
      </c>
      <c r="N41" s="9">
        <f>HAVERM!G332</f>
        <v>0.55146500000000009</v>
      </c>
      <c r="P41" s="8">
        <v>42767</v>
      </c>
      <c r="Q41" s="9">
        <f t="shared" si="2"/>
        <v>-0.20999999999999996</v>
      </c>
      <c r="R41" s="9">
        <f t="shared" si="4"/>
        <v>-0.54</v>
      </c>
      <c r="S41" s="9"/>
      <c r="U41" s="8">
        <v>44593</v>
      </c>
      <c r="V41" s="9">
        <f>HAVERM!E392</f>
        <v>0.47499999999999998</v>
      </c>
      <c r="W41" s="9">
        <f>HAVERM!H392</f>
        <v>2.95</v>
      </c>
      <c r="X41" s="9">
        <f>HAVERM!I392</f>
        <v>2.02</v>
      </c>
      <c r="Z41" s="8">
        <v>45658</v>
      </c>
      <c r="AA41" s="9">
        <f t="shared" si="6"/>
        <v>3.8099999999999996</v>
      </c>
      <c r="AB41" s="9">
        <f t="shared" si="6"/>
        <v>1.7999999999999998</v>
      </c>
      <c r="AD41" s="9">
        <v>1000</v>
      </c>
      <c r="AF41" s="8">
        <v>46844</v>
      </c>
      <c r="AG41" s="9">
        <f>Data!G228</f>
        <v>3.845469</v>
      </c>
      <c r="AH41" s="9">
        <f>Data!H228</f>
        <v>4.3</v>
      </c>
    </row>
    <row r="42" spans="1:34" x14ac:dyDescent="0.35">
      <c r="A42" s="8">
        <v>42795</v>
      </c>
      <c r="B42" s="9">
        <f>HAVERM!B333</f>
        <v>4.28</v>
      </c>
      <c r="C42" s="9">
        <f>HAVERM!C333</f>
        <v>1.37</v>
      </c>
      <c r="D42" s="9">
        <f>HAVERM!D333</f>
        <v>2.15</v>
      </c>
      <c r="H42" s="9">
        <f t="shared" si="5"/>
        <v>4.03</v>
      </c>
      <c r="I42" s="9">
        <f t="shared" si="5"/>
        <v>1.0473304347826089</v>
      </c>
      <c r="J42" s="9">
        <f t="shared" si="5"/>
        <v>1.591986956521739</v>
      </c>
      <c r="L42" s="9">
        <f>HAVERM!E333</f>
        <v>0.25</v>
      </c>
      <c r="M42" s="9">
        <f>HAVERM!F333</f>
        <v>0.32266956521739126</v>
      </c>
      <c r="N42" s="9">
        <f>HAVERM!G333</f>
        <v>0.55801304347826097</v>
      </c>
      <c r="P42" s="8">
        <v>42795</v>
      </c>
      <c r="Q42" s="9">
        <f t="shared" si="2"/>
        <v>-0.29000000000000004</v>
      </c>
      <c r="R42" s="9">
        <f t="shared" si="4"/>
        <v>-0.61999999999999988</v>
      </c>
      <c r="S42" s="9"/>
      <c r="U42" s="8">
        <v>44621</v>
      </c>
      <c r="V42" s="9">
        <f>HAVERM!E393</f>
        <v>0.61956521739130432</v>
      </c>
      <c r="W42" s="9">
        <f>HAVERM!H393</f>
        <v>3.05</v>
      </c>
      <c r="X42" s="9">
        <f>HAVERM!I393</f>
        <v>2.0499999999999998</v>
      </c>
      <c r="Z42" s="8">
        <v>45689</v>
      </c>
      <c r="AA42" s="9">
        <f t="shared" si="6"/>
        <v>3.6799999999999997</v>
      </c>
      <c r="AB42" s="9">
        <f t="shared" si="6"/>
        <v>1.85</v>
      </c>
      <c r="AD42" s="9">
        <v>1000</v>
      </c>
      <c r="AF42" s="8">
        <v>46935</v>
      </c>
      <c r="AG42" s="9">
        <f>Data!G229</f>
        <v>3.7748840000000001</v>
      </c>
      <c r="AH42" s="9">
        <f>Data!H229</f>
        <v>4.3</v>
      </c>
    </row>
    <row r="43" spans="1:34" x14ac:dyDescent="0.35">
      <c r="A43" s="8">
        <v>42826</v>
      </c>
      <c r="B43" s="9">
        <f>HAVERM!B334</f>
        <v>4.54</v>
      </c>
      <c r="C43" s="9">
        <f>HAVERM!C334</f>
        <v>1.35</v>
      </c>
      <c r="D43" s="9">
        <f>HAVERM!D334</f>
        <v>2.09</v>
      </c>
      <c r="H43" s="9">
        <f t="shared" si="5"/>
        <v>4.29</v>
      </c>
      <c r="I43" s="9">
        <f t="shared" si="5"/>
        <v>1.07341</v>
      </c>
      <c r="J43" s="9">
        <f t="shared" si="5"/>
        <v>1.6245449999999999</v>
      </c>
      <c r="L43" s="9">
        <f>HAVERM!E334</f>
        <v>0.25</v>
      </c>
      <c r="M43" s="9">
        <f>HAVERM!F334</f>
        <v>0.27659</v>
      </c>
      <c r="N43" s="9">
        <f>HAVERM!G334</f>
        <v>0.46545500000000006</v>
      </c>
      <c r="P43" s="8">
        <v>42826</v>
      </c>
      <c r="Q43" s="9">
        <f t="shared" si="2"/>
        <v>-9.9999999999999645E-2</v>
      </c>
      <c r="R43" s="9">
        <f t="shared" si="4"/>
        <v>-0.59999999999999987</v>
      </c>
      <c r="S43" s="9"/>
      <c r="U43" s="8">
        <v>44652</v>
      </c>
      <c r="V43" s="9">
        <f>HAVERM!E394</f>
        <v>0.75</v>
      </c>
      <c r="W43" s="9">
        <f>HAVERM!H394</f>
        <v>3.15</v>
      </c>
      <c r="X43" s="9">
        <f>HAVERM!I394</f>
        <v>2.0499999999999998</v>
      </c>
      <c r="Z43" s="8">
        <v>45717</v>
      </c>
      <c r="AA43" s="9">
        <f t="shared" si="6"/>
        <v>3.6399999999999997</v>
      </c>
      <c r="AB43" s="9">
        <f t="shared" si="6"/>
        <v>1.83</v>
      </c>
      <c r="AD43" s="9">
        <v>1000</v>
      </c>
      <c r="AF43" s="8">
        <v>47027</v>
      </c>
      <c r="AG43" s="9">
        <f>Data!G230</f>
        <v>3.7265229999999998</v>
      </c>
      <c r="AH43" s="9">
        <f>Data!H230</f>
        <v>4.3</v>
      </c>
    </row>
    <row r="44" spans="1:34" x14ac:dyDescent="0.35">
      <c r="A44" s="8">
        <v>42856</v>
      </c>
      <c r="B44" s="9">
        <f>HAVERM!B335</f>
        <v>4.2300000000000004</v>
      </c>
      <c r="C44" s="9">
        <f>HAVERM!C335</f>
        <v>1.49</v>
      </c>
      <c r="D44" s="9">
        <f>HAVERM!D335</f>
        <v>2.0299999999999998</v>
      </c>
      <c r="H44" s="9">
        <f t="shared" si="5"/>
        <v>3.9800000000000004</v>
      </c>
      <c r="I44" s="9">
        <f t="shared" si="5"/>
        <v>1.1840478260869565</v>
      </c>
      <c r="J44" s="9">
        <f t="shared" si="5"/>
        <v>1.5019739130434782</v>
      </c>
      <c r="L44" s="9">
        <f>HAVERM!E335</f>
        <v>0.25</v>
      </c>
      <c r="M44" s="9">
        <f>HAVERM!F335</f>
        <v>0.30595217391304347</v>
      </c>
      <c r="N44" s="9">
        <f>HAVERM!G335</f>
        <v>0.52802608695652176</v>
      </c>
      <c r="P44" s="8">
        <v>42856</v>
      </c>
      <c r="Q44" s="9">
        <f t="shared" si="2"/>
        <v>-0.32999999999999918</v>
      </c>
      <c r="R44" s="9">
        <f t="shared" si="4"/>
        <v>-0.40999999999999992</v>
      </c>
      <c r="S44" s="9"/>
      <c r="U44" s="8">
        <v>44682</v>
      </c>
      <c r="V44" s="9">
        <f>HAVERM!E395</f>
        <v>0.96590909090909094</v>
      </c>
      <c r="W44" s="9">
        <f>HAVERM!H395</f>
        <v>3.35</v>
      </c>
      <c r="X44" s="9">
        <f>HAVERM!I395</f>
        <v>2.08</v>
      </c>
      <c r="Z44" s="8">
        <v>45748</v>
      </c>
      <c r="AA44" s="9">
        <f t="shared" si="6"/>
        <v>3.5783335000000003</v>
      </c>
      <c r="AB44" s="9">
        <f t="shared" si="6"/>
        <v>1.8416665000000001</v>
      </c>
      <c r="AD44" s="9">
        <v>1000</v>
      </c>
    </row>
    <row r="45" spans="1:34" x14ac:dyDescent="0.35">
      <c r="A45" s="8">
        <v>42887</v>
      </c>
      <c r="B45" s="9">
        <f>HAVERM!B336</f>
        <v>4.28</v>
      </c>
      <c r="C45" s="9">
        <f>HAVERM!C336</f>
        <v>1.48</v>
      </c>
      <c r="D45" s="9">
        <f>HAVERM!D336</f>
        <v>1.99</v>
      </c>
      <c r="H45" s="9">
        <f t="shared" si="5"/>
        <v>4.03</v>
      </c>
      <c r="I45" s="9">
        <f t="shared" si="5"/>
        <v>1.1347681818181818</v>
      </c>
      <c r="J45" s="9">
        <f t="shared" si="5"/>
        <v>1.4356772727272729</v>
      </c>
      <c r="L45" s="9">
        <f>HAVERM!E336</f>
        <v>0.25</v>
      </c>
      <c r="M45" s="9">
        <f>HAVERM!F336</f>
        <v>0.3452318181818182</v>
      </c>
      <c r="N45" s="9">
        <f>HAVERM!G336</f>
        <v>0.55432272727272724</v>
      </c>
      <c r="P45" s="8">
        <v>42887</v>
      </c>
      <c r="Q45" s="9">
        <f t="shared" si="2"/>
        <v>-0.23999999999999932</v>
      </c>
      <c r="R45" s="9">
        <f t="shared" si="4"/>
        <v>-0.35000000000000009</v>
      </c>
      <c r="S45" s="9"/>
      <c r="U45" s="8">
        <v>44713</v>
      </c>
      <c r="V45" s="9">
        <f>HAVERM!E396</f>
        <v>1.125</v>
      </c>
      <c r="W45" s="9">
        <f>HAVERM!H396</f>
        <v>3.48</v>
      </c>
      <c r="X45" s="9">
        <f>HAVERM!I396</f>
        <v>2.12</v>
      </c>
      <c r="Z45" s="8">
        <v>45778</v>
      </c>
      <c r="AA45" s="9">
        <f t="shared" si="6"/>
        <v>3.516667</v>
      </c>
      <c r="AB45" s="9">
        <f t="shared" si="6"/>
        <v>1.8533330000000001</v>
      </c>
      <c r="AD45" s="9">
        <v>1000</v>
      </c>
    </row>
    <row r="46" spans="1:34" x14ac:dyDescent="0.35">
      <c r="A46" s="8">
        <v>42917</v>
      </c>
      <c r="B46" s="9">
        <f>HAVERM!B337</f>
        <v>4.51</v>
      </c>
      <c r="C46" s="9">
        <f>HAVERM!C337</f>
        <v>1.41</v>
      </c>
      <c r="D46" s="9">
        <f>HAVERM!D337</f>
        <v>1.97</v>
      </c>
      <c r="H46" s="9">
        <f t="shared" si="5"/>
        <v>4.26</v>
      </c>
      <c r="I46" s="9">
        <f t="shared" si="5"/>
        <v>0.97240952380952361</v>
      </c>
      <c r="J46" s="9">
        <f t="shared" si="5"/>
        <v>1.278257142857143</v>
      </c>
      <c r="L46" s="9">
        <f>HAVERM!E337</f>
        <v>0.25</v>
      </c>
      <c r="M46" s="9">
        <f>HAVERM!F337</f>
        <v>0.43759047619047631</v>
      </c>
      <c r="N46" s="9">
        <f>HAVERM!G337</f>
        <v>0.6917428571428571</v>
      </c>
      <c r="P46" s="8">
        <v>42917</v>
      </c>
      <c r="Q46" s="9">
        <f t="shared" si="2"/>
        <v>-4.0000000000000036E-2</v>
      </c>
      <c r="R46" s="9">
        <f t="shared" si="4"/>
        <v>-0.46000000000000019</v>
      </c>
      <c r="S46" s="9"/>
      <c r="U46" s="8">
        <v>44743</v>
      </c>
      <c r="V46" s="9">
        <f>HAVERM!E397</f>
        <v>1.25</v>
      </c>
      <c r="W46" s="9">
        <f>HAVERM!H397</f>
        <v>3.56</v>
      </c>
      <c r="X46" s="9">
        <f>HAVERM!I397</f>
        <v>2.13</v>
      </c>
      <c r="Z46" s="8">
        <v>45809</v>
      </c>
      <c r="AA46" s="9">
        <f t="shared" si="6"/>
        <v>3.4521139999999999</v>
      </c>
      <c r="AB46" s="9">
        <f t="shared" si="6"/>
        <v>1.8470956666666667</v>
      </c>
      <c r="AD46" s="9">
        <v>1000</v>
      </c>
    </row>
    <row r="47" spans="1:34" x14ac:dyDescent="0.35">
      <c r="A47" s="8">
        <v>42948</v>
      </c>
      <c r="B47" s="9">
        <f>HAVERM!B338</f>
        <v>4.32</v>
      </c>
      <c r="C47" s="9">
        <f>HAVERM!C338</f>
        <v>1.43</v>
      </c>
      <c r="D47" s="9">
        <f>HAVERM!D338</f>
        <v>1.96</v>
      </c>
      <c r="H47" s="9">
        <f t="shared" si="5"/>
        <v>4.07</v>
      </c>
      <c r="I47" s="9">
        <f t="shared" si="5"/>
        <v>1.0583739130434782</v>
      </c>
      <c r="J47" s="9">
        <f t="shared" si="5"/>
        <v>1.3781739130434782</v>
      </c>
      <c r="L47" s="9">
        <f>HAVERM!E338</f>
        <v>0.25</v>
      </c>
      <c r="M47" s="9">
        <f>HAVERM!F338</f>
        <v>0.37162608695652172</v>
      </c>
      <c r="N47" s="9">
        <f>HAVERM!G338</f>
        <v>0.58182608695652172</v>
      </c>
      <c r="P47" s="8">
        <v>42948</v>
      </c>
      <c r="Q47" s="9">
        <f t="shared" si="2"/>
        <v>2.0000000000000462E-2</v>
      </c>
      <c r="R47" s="9">
        <f t="shared" si="4"/>
        <v>-0.52</v>
      </c>
      <c r="S47" s="9"/>
      <c r="U47" s="8">
        <v>44774</v>
      </c>
      <c r="V47" s="9">
        <f>HAVERM!E398</f>
        <v>1.6847826086956521</v>
      </c>
      <c r="W47" s="9">
        <f>HAVERM!H398</f>
        <v>3.87</v>
      </c>
      <c r="X47" s="9">
        <f>HAVERM!I398</f>
        <v>2.1800000000000002</v>
      </c>
      <c r="Z47" s="8">
        <v>45839</v>
      </c>
      <c r="AA47" s="9">
        <f t="shared" si="6"/>
        <v>3.3875609999999998</v>
      </c>
      <c r="AB47" s="9">
        <f t="shared" si="6"/>
        <v>1.8408583333333333</v>
      </c>
      <c r="AD47" s="9">
        <v>1000</v>
      </c>
    </row>
    <row r="48" spans="1:34" x14ac:dyDescent="0.35">
      <c r="A48" s="8">
        <v>42979</v>
      </c>
      <c r="B48" s="9">
        <f>HAVERM!B339</f>
        <v>4.3099999999999996</v>
      </c>
      <c r="C48" s="9">
        <f>HAVERM!C339</f>
        <v>1.4</v>
      </c>
      <c r="D48" s="9">
        <f>HAVERM!D339</f>
        <v>1.9</v>
      </c>
      <c r="H48" s="9">
        <f t="shared" si="5"/>
        <v>4.0599999999999996</v>
      </c>
      <c r="I48" s="9">
        <f t="shared" si="5"/>
        <v>0.86071428571428554</v>
      </c>
      <c r="J48" s="9">
        <f t="shared" si="5"/>
        <v>1.1466619047619047</v>
      </c>
      <c r="L48" s="9">
        <f>HAVERM!E339</f>
        <v>0.25</v>
      </c>
      <c r="M48" s="9">
        <f>HAVERM!F339</f>
        <v>0.53928571428571437</v>
      </c>
      <c r="N48" s="9">
        <f>HAVERM!G339</f>
        <v>0.75333809523809525</v>
      </c>
      <c r="P48" s="8">
        <v>42979</v>
      </c>
      <c r="Q48" s="9">
        <f t="shared" si="2"/>
        <v>6.9999999999999396E-2</v>
      </c>
      <c r="R48" s="9">
        <f t="shared" si="4"/>
        <v>-0.51</v>
      </c>
      <c r="S48" s="9"/>
      <c r="U48" s="8">
        <v>44805</v>
      </c>
      <c r="V48" s="9">
        <f>HAVERM!E399</f>
        <v>1.9090909090909092</v>
      </c>
      <c r="W48" s="9">
        <f>HAVERM!H399</f>
        <v>4.08</v>
      </c>
      <c r="X48" s="9">
        <f>HAVERM!I399</f>
        <v>2.25</v>
      </c>
      <c r="Z48" s="8">
        <v>45870</v>
      </c>
      <c r="AA48" s="9">
        <f t="shared" si="6"/>
        <v>3.3230079999999997</v>
      </c>
      <c r="AB48" s="9">
        <f t="shared" si="6"/>
        <v>1.8346209999999998</v>
      </c>
      <c r="AD48" s="9">
        <v>1000</v>
      </c>
    </row>
    <row r="49" spans="1:30" x14ac:dyDescent="0.35">
      <c r="A49" s="8">
        <v>43009</v>
      </c>
      <c r="B49" s="9">
        <f>HAVERM!B340</f>
        <v>4.3099999999999996</v>
      </c>
      <c r="C49" s="9">
        <f>HAVERM!C340</f>
        <v>1.55</v>
      </c>
      <c r="D49" s="9">
        <f>HAVERM!D340</f>
        <v>2.04</v>
      </c>
      <c r="H49" s="9">
        <f t="shared" si="5"/>
        <v>4.0599999999999996</v>
      </c>
      <c r="I49" s="9">
        <f t="shared" si="5"/>
        <v>0.8747818181818181</v>
      </c>
      <c r="J49" s="9">
        <f t="shared" si="5"/>
        <v>1.1439545454545454</v>
      </c>
      <c r="L49" s="9">
        <f>HAVERM!E340</f>
        <v>0.25</v>
      </c>
      <c r="M49" s="9">
        <f>HAVERM!F340</f>
        <v>0.67521818181818194</v>
      </c>
      <c r="N49" s="9">
        <f>HAVERM!G340</f>
        <v>0.89604545454545459</v>
      </c>
      <c r="P49" s="8">
        <v>43009</v>
      </c>
      <c r="Q49" s="9">
        <f t="shared" si="2"/>
        <v>6.9999999999999396E-2</v>
      </c>
      <c r="R49" s="9">
        <f t="shared" si="4"/>
        <v>-0.32000000000000006</v>
      </c>
      <c r="S49" s="9"/>
      <c r="U49" s="8">
        <v>44835</v>
      </c>
      <c r="V49" s="9">
        <f>HAVERM!E400</f>
        <v>2.25</v>
      </c>
      <c r="W49" s="9">
        <f>HAVERM!H400</f>
        <v>4.33</v>
      </c>
      <c r="X49" s="9">
        <f>HAVERM!I400</f>
        <v>2.29</v>
      </c>
      <c r="Z49" s="8">
        <v>45901</v>
      </c>
      <c r="AA49" s="9">
        <f t="shared" si="6"/>
        <v>3.2526403333333329</v>
      </c>
      <c r="AB49" s="9">
        <f t="shared" si="6"/>
        <v>1.8350756666666665</v>
      </c>
      <c r="AD49" s="9">
        <v>1000</v>
      </c>
    </row>
    <row r="50" spans="1:30" x14ac:dyDescent="0.35">
      <c r="A50" s="8">
        <v>43040</v>
      </c>
      <c r="B50" s="9">
        <f>HAVERM!B341</f>
        <v>4.34</v>
      </c>
      <c r="C50" s="9">
        <f>HAVERM!C341</f>
        <v>1.61</v>
      </c>
      <c r="D50" s="9">
        <f>HAVERM!D341</f>
        <v>2.04</v>
      </c>
      <c r="H50" s="9">
        <f t="shared" si="5"/>
        <v>3.8513636363636361</v>
      </c>
      <c r="I50" s="9">
        <f t="shared" si="5"/>
        <v>0.93155238095238113</v>
      </c>
      <c r="J50" s="9">
        <f t="shared" si="5"/>
        <v>1.1523904761904764</v>
      </c>
      <c r="L50" s="9">
        <f>HAVERM!E341</f>
        <v>0.48863636363636365</v>
      </c>
      <c r="M50" s="9">
        <f>HAVERM!F341</f>
        <v>0.67844761904761897</v>
      </c>
      <c r="N50" s="9">
        <f>HAVERM!G341</f>
        <v>0.88760952380952374</v>
      </c>
      <c r="P50" s="8">
        <v>43040</v>
      </c>
      <c r="Q50" s="9">
        <f t="shared" si="2"/>
        <v>5.9999999999999609E-2</v>
      </c>
      <c r="R50" s="9">
        <f t="shared" si="4"/>
        <v>-0.30999999999999983</v>
      </c>
      <c r="S50" s="9"/>
      <c r="U50" s="8">
        <v>44866</v>
      </c>
      <c r="V50" s="9">
        <f>HAVERM!E401</f>
        <v>2.9318181818181817</v>
      </c>
      <c r="W50" s="9">
        <f>HAVERM!H401</f>
        <v>4.82</v>
      </c>
      <c r="X50" s="9">
        <f>HAVERM!I401</f>
        <v>2.39</v>
      </c>
      <c r="Z50" s="8">
        <v>45931</v>
      </c>
      <c r="AA50" s="9">
        <f t="shared" si="6"/>
        <v>3.1822726666666661</v>
      </c>
      <c r="AB50" s="9">
        <f t="shared" si="6"/>
        <v>1.8355303333333333</v>
      </c>
      <c r="AD50" s="9">
        <v>1000</v>
      </c>
    </row>
    <row r="51" spans="1:30" x14ac:dyDescent="0.35">
      <c r="A51" s="8">
        <v>43070</v>
      </c>
      <c r="B51" s="9">
        <f>HAVERM!B342</f>
        <v>4.54</v>
      </c>
      <c r="C51" s="9">
        <f>HAVERM!C342</f>
        <v>1.57</v>
      </c>
      <c r="D51" s="9">
        <f>HAVERM!D342</f>
        <v>2.0699999999999998</v>
      </c>
      <c r="H51" s="9">
        <f t="shared" si="5"/>
        <v>4.04</v>
      </c>
      <c r="I51" s="9">
        <f t="shared" si="5"/>
        <v>0.88347142857142857</v>
      </c>
      <c r="J51" s="9">
        <f t="shared" si="5"/>
        <v>1.1779047619047613</v>
      </c>
      <c r="L51" s="9">
        <f>HAVERM!E342</f>
        <v>0.5</v>
      </c>
      <c r="M51" s="9">
        <f>HAVERM!F342</f>
        <v>0.68652857142857149</v>
      </c>
      <c r="N51" s="9">
        <f>HAVERM!G342</f>
        <v>0.89209523809523839</v>
      </c>
      <c r="P51" s="8">
        <v>43070</v>
      </c>
      <c r="Q51" s="9">
        <f t="shared" si="2"/>
        <v>0.30999999999999961</v>
      </c>
      <c r="R51" s="9">
        <f t="shared" si="4"/>
        <v>-0.32999999999999985</v>
      </c>
      <c r="S51" s="9"/>
      <c r="U51" s="8">
        <v>44896</v>
      </c>
      <c r="V51" s="9">
        <f>HAVERM!E402</f>
        <v>3.2727272727272729</v>
      </c>
      <c r="W51" s="9">
        <f>HAVERM!H402</f>
        <v>5.14</v>
      </c>
      <c r="X51" s="9">
        <f>HAVERM!I402</f>
        <v>2.5099999999999998</v>
      </c>
      <c r="Z51" s="8">
        <v>45962</v>
      </c>
      <c r="AA51" s="9">
        <f t="shared" si="6"/>
        <v>3.1119050000000001</v>
      </c>
      <c r="AB51" s="9">
        <f t="shared" si="6"/>
        <v>1.835985</v>
      </c>
      <c r="AD51" s="9">
        <v>1000</v>
      </c>
    </row>
    <row r="52" spans="1:30" x14ac:dyDescent="0.35">
      <c r="A52" s="8">
        <v>43101</v>
      </c>
      <c r="B52" s="9">
        <f>HAVERM!B343</f>
        <v>4.21</v>
      </c>
      <c r="C52" s="9">
        <f>HAVERM!C343</f>
        <v>1.54</v>
      </c>
      <c r="D52" s="9">
        <f>HAVERM!D343</f>
        <v>1.98</v>
      </c>
      <c r="H52" s="9">
        <f t="shared" si="5"/>
        <v>3.71</v>
      </c>
      <c r="I52" s="9">
        <f t="shared" si="5"/>
        <v>0.79875454545454561</v>
      </c>
      <c r="J52" s="9">
        <f t="shared" si="5"/>
        <v>0.99838636363636368</v>
      </c>
      <c r="L52" s="9">
        <f>HAVERM!E343</f>
        <v>0.5</v>
      </c>
      <c r="M52" s="9">
        <f>HAVERM!F343</f>
        <v>0.74124545454545443</v>
      </c>
      <c r="N52" s="9">
        <f>HAVERM!G343</f>
        <v>0.9816136363636363</v>
      </c>
      <c r="P52" s="8">
        <v>43101</v>
      </c>
      <c r="Q52" s="9">
        <f t="shared" si="2"/>
        <v>-0.28000000000000025</v>
      </c>
      <c r="R52" s="9">
        <f t="shared" si="4"/>
        <v>-0.3899999999999999</v>
      </c>
      <c r="S52" s="9"/>
      <c r="U52" s="8">
        <v>44927</v>
      </c>
      <c r="V52" s="9">
        <f>HAVERM!E403</f>
        <v>3.5</v>
      </c>
      <c r="W52" s="9">
        <f>HAVERM!H403</f>
        <v>5.3</v>
      </c>
      <c r="X52" s="9">
        <f>HAVERM!I403</f>
        <v>2.5499999999999998</v>
      </c>
      <c r="Z52" s="8">
        <v>45992</v>
      </c>
      <c r="AA52" s="9">
        <f t="shared" si="6"/>
        <v>3.0432920000000001</v>
      </c>
      <c r="AB52" s="9">
        <f t="shared" si="6"/>
        <v>1.8439899999999998</v>
      </c>
      <c r="AD52" s="9">
        <v>1000</v>
      </c>
    </row>
    <row r="53" spans="1:30" x14ac:dyDescent="0.35">
      <c r="A53" s="8">
        <v>43132</v>
      </c>
      <c r="B53" s="9">
        <f>HAVERM!B344</f>
        <v>4.2300000000000004</v>
      </c>
      <c r="C53" s="9">
        <f>HAVERM!C344</f>
        <v>1.49</v>
      </c>
      <c r="D53" s="9">
        <f>HAVERM!D344</f>
        <v>1.99</v>
      </c>
      <c r="H53" s="9">
        <f t="shared" si="5"/>
        <v>3.7300000000000004</v>
      </c>
      <c r="I53" s="9">
        <f t="shared" si="5"/>
        <v>0.62634999999999985</v>
      </c>
      <c r="J53" s="9">
        <f t="shared" si="5"/>
        <v>0.81268000000000007</v>
      </c>
      <c r="L53" s="9">
        <f>HAVERM!E344</f>
        <v>0.5</v>
      </c>
      <c r="M53" s="9">
        <f>HAVERM!F344</f>
        <v>0.86365000000000014</v>
      </c>
      <c r="N53" s="9">
        <f>HAVERM!G344</f>
        <v>1.1773199999999999</v>
      </c>
      <c r="P53" s="8">
        <v>43132</v>
      </c>
      <c r="Q53" s="9">
        <f t="shared" si="2"/>
        <v>-0.13999999999999968</v>
      </c>
      <c r="R53" s="9">
        <f t="shared" si="4"/>
        <v>-0.45999999999999996</v>
      </c>
      <c r="S53" s="9"/>
      <c r="U53" s="8">
        <v>44958</v>
      </c>
      <c r="V53" s="9">
        <f>HAVERM!E404</f>
        <v>3.9750000000000001</v>
      </c>
      <c r="W53" s="9">
        <f>HAVERM!H404</f>
        <v>5.65</v>
      </c>
      <c r="X53" s="9">
        <f>HAVERM!I404</f>
        <v>2.65</v>
      </c>
      <c r="Z53" s="8">
        <v>46023</v>
      </c>
      <c r="AA53" s="9">
        <f t="shared" ref="AA53:AB64" si="7">W88-W$38</f>
        <v>2.9746790000000001</v>
      </c>
      <c r="AB53" s="9">
        <f t="shared" si="7"/>
        <v>1.8519949999999996</v>
      </c>
      <c r="AD53" s="9">
        <v>1000</v>
      </c>
    </row>
    <row r="54" spans="1:30" x14ac:dyDescent="0.35">
      <c r="A54" s="8">
        <v>43160</v>
      </c>
      <c r="B54" s="9">
        <f>HAVERM!B345</f>
        <v>4.1399999999999997</v>
      </c>
      <c r="C54" s="9">
        <f>HAVERM!C345</f>
        <v>1.53</v>
      </c>
      <c r="D54" s="9">
        <f>HAVERM!D345</f>
        <v>2.02</v>
      </c>
      <c r="H54" s="9">
        <f t="shared" si="5"/>
        <v>3.6399999999999997</v>
      </c>
      <c r="I54" s="9">
        <f t="shared" si="5"/>
        <v>0.63301818181818159</v>
      </c>
      <c r="J54" s="9">
        <f t="shared" si="5"/>
        <v>0.89234545454545455</v>
      </c>
      <c r="L54" s="9">
        <f>HAVERM!E345</f>
        <v>0.5</v>
      </c>
      <c r="M54" s="9">
        <f>HAVERM!F345</f>
        <v>0.89698181818181844</v>
      </c>
      <c r="N54" s="9">
        <f>HAVERM!G345</f>
        <v>1.1276545454545455</v>
      </c>
      <c r="P54" s="8">
        <v>43160</v>
      </c>
      <c r="Q54" s="9">
        <f t="shared" si="2"/>
        <v>-0.14000000000000057</v>
      </c>
      <c r="R54" s="9">
        <f t="shared" si="4"/>
        <v>-0.36999999999999988</v>
      </c>
      <c r="S54" s="9"/>
      <c r="U54" s="8">
        <v>44986</v>
      </c>
      <c r="V54" s="9">
        <f>HAVERM!E405</f>
        <v>4.0760869565217392</v>
      </c>
      <c r="W54" s="9">
        <f>HAVERM!H405</f>
        <v>5.79</v>
      </c>
      <c r="X54" s="9">
        <f>HAVERM!I405</f>
        <v>2.75</v>
      </c>
      <c r="Z54" s="8">
        <v>46054</v>
      </c>
      <c r="AA54" s="9">
        <f t="shared" si="7"/>
        <v>2.906066</v>
      </c>
      <c r="AB54" s="9">
        <f t="shared" si="7"/>
        <v>1.8599999999999999</v>
      </c>
      <c r="AD54" s="9">
        <v>1000</v>
      </c>
    </row>
    <row r="55" spans="1:30" x14ac:dyDescent="0.35">
      <c r="A55" s="8">
        <v>43191</v>
      </c>
      <c r="B55" s="9">
        <f>HAVERM!B346</f>
        <v>4.17</v>
      </c>
      <c r="C55" s="9">
        <f>HAVERM!C346</f>
        <v>1.72</v>
      </c>
      <c r="D55" s="9">
        <f>HAVERM!D346</f>
        <v>2.0099999999999998</v>
      </c>
      <c r="H55" s="9">
        <f t="shared" si="5"/>
        <v>3.67</v>
      </c>
      <c r="I55" s="9">
        <f t="shared" si="5"/>
        <v>0.8357</v>
      </c>
      <c r="J55" s="9">
        <f t="shared" si="5"/>
        <v>0.90777142857142845</v>
      </c>
      <c r="L55" s="9">
        <f>HAVERM!E346</f>
        <v>0.5</v>
      </c>
      <c r="M55" s="9">
        <f>HAVERM!F346</f>
        <v>0.88429999999999997</v>
      </c>
      <c r="N55" s="9">
        <f>HAVERM!G346</f>
        <v>1.1022285714285713</v>
      </c>
      <c r="P55" s="8">
        <v>43191</v>
      </c>
      <c r="Q55" s="9">
        <f t="shared" si="2"/>
        <v>-0.37000000000000011</v>
      </c>
      <c r="R55" s="9">
        <f t="shared" si="4"/>
        <v>-0.12000000000000011</v>
      </c>
      <c r="S55" s="9"/>
      <c r="U55" s="8">
        <v>45017</v>
      </c>
      <c r="V55" s="9">
        <f>HAVERM!E406</f>
        <v>4.25</v>
      </c>
      <c r="W55" s="9">
        <f>HAVERM!H406</f>
        <v>5.91</v>
      </c>
      <c r="X55" s="9">
        <f>HAVERM!I406</f>
        <v>2.76</v>
      </c>
      <c r="Z55" s="8">
        <v>46082</v>
      </c>
      <c r="AA55" s="9">
        <f t="shared" si="7"/>
        <v>2.8368193333333336</v>
      </c>
      <c r="AB55" s="9">
        <f t="shared" si="7"/>
        <v>1.8651283333333333</v>
      </c>
      <c r="AD55" s="9">
        <v>1000</v>
      </c>
    </row>
    <row r="56" spans="1:30" x14ac:dyDescent="0.35">
      <c r="A56" s="8">
        <v>43221</v>
      </c>
      <c r="B56" s="9">
        <f>HAVERM!B347</f>
        <v>4.16</v>
      </c>
      <c r="C56" s="9">
        <f>HAVERM!C347</f>
        <v>1.74</v>
      </c>
      <c r="D56" s="9">
        <f>HAVERM!D347</f>
        <v>2.06</v>
      </c>
      <c r="H56" s="9">
        <f t="shared" si="5"/>
        <v>3.66</v>
      </c>
      <c r="I56" s="9">
        <f t="shared" si="5"/>
        <v>0.95797826086956506</v>
      </c>
      <c r="J56" s="9">
        <f t="shared" si="5"/>
        <v>1.0067347826086956</v>
      </c>
      <c r="L56" s="9">
        <f>HAVERM!E347</f>
        <v>0.5</v>
      </c>
      <c r="M56" s="9">
        <f>HAVERM!F347</f>
        <v>0.78202173913043493</v>
      </c>
      <c r="N56" s="9">
        <f>HAVERM!G347</f>
        <v>1.0532652173913044</v>
      </c>
      <c r="P56" s="8">
        <v>43221</v>
      </c>
      <c r="Q56" s="9">
        <f t="shared" si="2"/>
        <v>-7.0000000000000284E-2</v>
      </c>
      <c r="R56" s="9">
        <f t="shared" si="4"/>
        <v>-0.16999999999999993</v>
      </c>
      <c r="S56" s="9"/>
      <c r="U56" s="8">
        <v>45047</v>
      </c>
      <c r="V56" s="9">
        <f>HAVERM!E407</f>
        <v>4.4130434782608692</v>
      </c>
      <c r="W56" s="9">
        <f>HAVERM!H407</f>
        <v>6.04</v>
      </c>
      <c r="X56" s="9">
        <f>HAVERM!I407</f>
        <v>2.83</v>
      </c>
      <c r="Z56" s="8">
        <v>46113</v>
      </c>
      <c r="AA56" s="9">
        <f t="shared" si="7"/>
        <v>2.7675726666666671</v>
      </c>
      <c r="AB56" s="9">
        <f t="shared" si="7"/>
        <v>1.8702566666666667</v>
      </c>
      <c r="AD56" s="9">
        <v>1000</v>
      </c>
    </row>
    <row r="57" spans="1:30" x14ac:dyDescent="0.35">
      <c r="A57" s="8">
        <v>43252</v>
      </c>
      <c r="B57" s="9">
        <f>HAVERM!B348</f>
        <v>4.0599999999999996</v>
      </c>
      <c r="C57" s="9">
        <f>HAVERM!C348</f>
        <v>1.74</v>
      </c>
      <c r="D57" s="9">
        <f>HAVERM!D348</f>
        <v>2.0299999999999998</v>
      </c>
      <c r="H57" s="9">
        <f t="shared" si="5"/>
        <v>3.5599999999999996</v>
      </c>
      <c r="I57" s="9">
        <f t="shared" si="5"/>
        <v>0.94799523809523822</v>
      </c>
      <c r="J57" s="9">
        <f t="shared" si="5"/>
        <v>0.99781904761904716</v>
      </c>
      <c r="L57" s="9">
        <f>HAVERM!E348</f>
        <v>0.5</v>
      </c>
      <c r="M57" s="9">
        <f>HAVERM!F348</f>
        <v>0.79200476190476177</v>
      </c>
      <c r="N57" s="9">
        <f>HAVERM!G348</f>
        <v>1.0321809523809526</v>
      </c>
      <c r="P57" s="8">
        <v>43252</v>
      </c>
      <c r="Q57" s="9">
        <f t="shared" si="2"/>
        <v>-0.22000000000000064</v>
      </c>
      <c r="R57" s="9">
        <f t="shared" si="4"/>
        <v>-1.0000000000000009E-2</v>
      </c>
      <c r="S57" s="9"/>
      <c r="U57" s="8">
        <v>45078</v>
      </c>
      <c r="V57" s="9">
        <f>HAVERM!E408</f>
        <v>4.6590909090909092</v>
      </c>
      <c r="W57" s="9">
        <f>HAVERM!H408</f>
        <v>6.32</v>
      </c>
      <c r="X57" s="9">
        <f>HAVERM!I408</f>
        <v>2.93</v>
      </c>
      <c r="Z57" s="8">
        <v>46143</v>
      </c>
      <c r="AA57" s="9">
        <f t="shared" si="7"/>
        <v>2.6983259999999998</v>
      </c>
      <c r="AB57" s="9">
        <f t="shared" si="7"/>
        <v>1.8753850000000001</v>
      </c>
      <c r="AD57" s="9">
        <v>1000</v>
      </c>
    </row>
    <row r="58" spans="1:30" x14ac:dyDescent="0.35">
      <c r="A58" s="8">
        <v>43282</v>
      </c>
      <c r="B58" s="9">
        <f>HAVERM!B349</f>
        <v>4.0999999999999996</v>
      </c>
      <c r="C58" s="9">
        <f>HAVERM!C349</f>
        <v>1.75</v>
      </c>
      <c r="D58" s="9">
        <f>HAVERM!D349</f>
        <v>2.04</v>
      </c>
      <c r="H58" s="9">
        <f t="shared" si="5"/>
        <v>3.5999999999999996</v>
      </c>
      <c r="I58" s="9">
        <f t="shared" si="5"/>
        <v>0.9152863636363634</v>
      </c>
      <c r="J58" s="9">
        <f t="shared" si="5"/>
        <v>1.0096954545454546</v>
      </c>
      <c r="L58" s="9">
        <f>HAVERM!E349</f>
        <v>0.5</v>
      </c>
      <c r="M58" s="9">
        <f>HAVERM!F349</f>
        <v>0.8347136363636366</v>
      </c>
      <c r="N58" s="9">
        <f>HAVERM!G349</f>
        <v>1.0303045454545454</v>
      </c>
      <c r="P58" s="8">
        <v>43282</v>
      </c>
      <c r="Q58" s="9">
        <f t="shared" si="2"/>
        <v>-0.41000000000000014</v>
      </c>
      <c r="R58" s="9">
        <f t="shared" si="4"/>
        <v>3.0000000000000027E-2</v>
      </c>
      <c r="S58" s="9"/>
      <c r="U58" s="8">
        <v>45108</v>
      </c>
      <c r="V58" s="9">
        <f>HAVERM!E409</f>
        <v>5</v>
      </c>
      <c r="W58" s="9">
        <f>HAVERM!H409</f>
        <v>6.51</v>
      </c>
      <c r="X58" s="9">
        <f>HAVERM!I409</f>
        <v>2.98</v>
      </c>
      <c r="Z58" s="8">
        <v>46174</v>
      </c>
      <c r="AA58" s="9">
        <f t="shared" si="7"/>
        <v>2.649137333333333</v>
      </c>
      <c r="AB58" s="9">
        <f t="shared" si="7"/>
        <v>1.8916173333333335</v>
      </c>
      <c r="AD58" s="9">
        <v>1000</v>
      </c>
    </row>
    <row r="59" spans="1:30" x14ac:dyDescent="0.35">
      <c r="A59" s="8">
        <v>43313</v>
      </c>
      <c r="B59" s="9">
        <f>HAVERM!B350</f>
        <v>4.3499999999999996</v>
      </c>
      <c r="C59" s="9">
        <f>HAVERM!C350</f>
        <v>1.75</v>
      </c>
      <c r="D59" s="9">
        <f>HAVERM!D350</f>
        <v>2.0299999999999998</v>
      </c>
      <c r="H59" s="9">
        <f t="shared" si="5"/>
        <v>3.6108695652173912</v>
      </c>
      <c r="I59" s="9">
        <f t="shared" si="5"/>
        <v>0.88283478260869563</v>
      </c>
      <c r="J59" s="9">
        <f t="shared" si="5"/>
        <v>0.96839130434782583</v>
      </c>
      <c r="L59" s="9">
        <f>HAVERM!E350</f>
        <v>0.73913043478260865</v>
      </c>
      <c r="M59" s="9">
        <f>HAVERM!F350</f>
        <v>0.86716521739130437</v>
      </c>
      <c r="N59" s="9">
        <f>HAVERM!G350</f>
        <v>1.061608695652174</v>
      </c>
      <c r="P59" s="8">
        <v>43313</v>
      </c>
      <c r="Q59" s="9">
        <f t="shared" si="2"/>
        <v>2.9999999999999361E-2</v>
      </c>
      <c r="R59" s="9">
        <f t="shared" si="4"/>
        <v>6.0000000000000053E-2</v>
      </c>
      <c r="S59" s="9"/>
      <c r="U59" s="8">
        <v>45139</v>
      </c>
      <c r="V59" s="9">
        <f>HAVERM!E410</f>
        <v>5.2282608695652177</v>
      </c>
      <c r="W59" s="9">
        <f>HAVERM!H410</f>
        <v>6.71</v>
      </c>
      <c r="X59" s="9">
        <f>HAVERM!I410</f>
        <v>3.07</v>
      </c>
      <c r="Z59" s="8">
        <v>46204</v>
      </c>
      <c r="AA59" s="9">
        <f t="shared" si="7"/>
        <v>2.5999486666666662</v>
      </c>
      <c r="AB59" s="9">
        <f t="shared" si="7"/>
        <v>1.9078496666666669</v>
      </c>
      <c r="AD59" s="9">
        <v>1000</v>
      </c>
    </row>
    <row r="60" spans="1:30" x14ac:dyDescent="0.35">
      <c r="A60" s="8">
        <v>43344</v>
      </c>
      <c r="B60" s="9">
        <f>HAVERM!B351</f>
        <v>4.3899999999999997</v>
      </c>
      <c r="C60" s="9">
        <f>HAVERM!C351</f>
        <v>1.71</v>
      </c>
      <c r="D60" s="9">
        <f>HAVERM!D351</f>
        <v>2.0099999999999998</v>
      </c>
      <c r="H60" s="9">
        <f t="shared" si="5"/>
        <v>3.6399999999999997</v>
      </c>
      <c r="I60" s="9">
        <f t="shared" si="5"/>
        <v>0.79029499999999986</v>
      </c>
      <c r="J60" s="9">
        <f t="shared" si="5"/>
        <v>0.85917999999999983</v>
      </c>
      <c r="L60" s="9">
        <f>HAVERM!E351</f>
        <v>0.75</v>
      </c>
      <c r="M60" s="9">
        <f>HAVERM!F351</f>
        <v>0.91970500000000011</v>
      </c>
      <c r="N60" s="9">
        <f>HAVERM!G351</f>
        <v>1.15082</v>
      </c>
      <c r="P60" s="8">
        <v>43344</v>
      </c>
      <c r="Q60" s="9">
        <f t="shared" si="2"/>
        <v>8.0000000000000071E-2</v>
      </c>
      <c r="R60" s="9">
        <f t="shared" si="4"/>
        <v>0.11999999999999988</v>
      </c>
      <c r="S60" s="9"/>
      <c r="U60" s="8">
        <v>45170</v>
      </c>
      <c r="V60" s="9">
        <f>HAVERM!E411</f>
        <v>5.25</v>
      </c>
      <c r="W60" s="9">
        <f>HAVERM!H411</f>
        <v>6.81</v>
      </c>
      <c r="X60" s="9">
        <f>HAVERM!I411</f>
        <v>3.16</v>
      </c>
      <c r="Z60" s="8">
        <v>46235</v>
      </c>
      <c r="AA60" s="9">
        <f t="shared" si="7"/>
        <v>2.5507599999999995</v>
      </c>
      <c r="AB60" s="9">
        <f t="shared" si="7"/>
        <v>1.9240819999999998</v>
      </c>
      <c r="AD60" s="9">
        <v>1000</v>
      </c>
    </row>
    <row r="61" spans="1:30" x14ac:dyDescent="0.35">
      <c r="A61" s="8">
        <v>43374</v>
      </c>
      <c r="B61" s="9">
        <f>HAVERM!B352</f>
        <v>4.45</v>
      </c>
      <c r="C61" s="9">
        <f>HAVERM!C352</f>
        <v>1.8</v>
      </c>
      <c r="D61" s="9">
        <f>HAVERM!D352</f>
        <v>2.06</v>
      </c>
      <c r="F61" s="9"/>
      <c r="H61" s="9">
        <f t="shared" si="5"/>
        <v>3.7</v>
      </c>
      <c r="I61" s="9">
        <f t="shared" si="5"/>
        <v>0.85045217391304351</v>
      </c>
      <c r="J61" s="9">
        <f t="shared" si="5"/>
        <v>0.86357826086956546</v>
      </c>
      <c r="L61" s="9">
        <f>HAVERM!E352</f>
        <v>0.75</v>
      </c>
      <c r="M61" s="9">
        <f>HAVERM!F352</f>
        <v>0.94954782608695654</v>
      </c>
      <c r="N61" s="9">
        <f>HAVERM!G352</f>
        <v>1.1964217391304346</v>
      </c>
      <c r="P61" s="8">
        <v>43374</v>
      </c>
      <c r="Q61" s="9">
        <f t="shared" si="2"/>
        <v>0.14000000000000057</v>
      </c>
      <c r="R61" s="9">
        <f t="shared" si="4"/>
        <v>0.28000000000000003</v>
      </c>
      <c r="S61" s="9"/>
      <c r="U61" s="8">
        <v>45200</v>
      </c>
      <c r="V61" s="9">
        <f>HAVERM!E412</f>
        <v>5.25</v>
      </c>
      <c r="W61" s="9">
        <f>HAVERM!H412</f>
        <v>6.78</v>
      </c>
      <c r="X61" s="9">
        <f>HAVERM!I412</f>
        <v>3.22</v>
      </c>
      <c r="Z61" s="8">
        <v>46266</v>
      </c>
      <c r="AA61" s="9">
        <f t="shared" si="7"/>
        <v>2.494993</v>
      </c>
      <c r="AB61" s="9">
        <f t="shared" si="7"/>
        <v>1.9394679999999997</v>
      </c>
      <c r="AD61" s="9">
        <v>1000</v>
      </c>
    </row>
    <row r="62" spans="1:30" x14ac:dyDescent="0.35">
      <c r="A62" s="8">
        <v>43405</v>
      </c>
      <c r="B62" s="9">
        <f>HAVERM!B353</f>
        <v>4.41</v>
      </c>
      <c r="C62" s="9">
        <f>HAVERM!C353</f>
        <v>1.75</v>
      </c>
      <c r="D62" s="9">
        <f>HAVERM!D353</f>
        <v>2.02</v>
      </c>
      <c r="F62" s="9"/>
      <c r="H62" s="9">
        <f t="shared" si="5"/>
        <v>3.66</v>
      </c>
      <c r="I62" s="9">
        <f t="shared" si="5"/>
        <v>0.83523181818181813</v>
      </c>
      <c r="J62" s="9">
        <f t="shared" si="5"/>
        <v>0.89829545454545467</v>
      </c>
      <c r="L62" s="9">
        <f>HAVERM!E353</f>
        <v>0.75</v>
      </c>
      <c r="M62" s="9">
        <f>HAVERM!F353</f>
        <v>0.91476818181818187</v>
      </c>
      <c r="N62" s="9">
        <f>HAVERM!G353</f>
        <v>1.1217045454545453</v>
      </c>
      <c r="P62" s="8">
        <v>43405</v>
      </c>
      <c r="Q62" s="9">
        <f t="shared" si="2"/>
        <v>7.0000000000000284E-2</v>
      </c>
      <c r="R62" s="9">
        <f t="shared" si="4"/>
        <v>0.32000000000000006</v>
      </c>
      <c r="S62" s="9"/>
      <c r="U62" s="8">
        <v>45231</v>
      </c>
      <c r="V62" s="9">
        <f>HAVERM!E413</f>
        <v>5.25</v>
      </c>
      <c r="W62" s="9">
        <f>HAVERM!H413</f>
        <v>6.8</v>
      </c>
      <c r="X62" s="9">
        <f>HAVERM!I413</f>
        <v>3.28</v>
      </c>
      <c r="Z62" s="8">
        <v>46296</v>
      </c>
      <c r="AA62" s="9">
        <f t="shared" si="7"/>
        <v>2.4392260000000006</v>
      </c>
      <c r="AB62" s="9">
        <f t="shared" si="7"/>
        <v>1.9548539999999996</v>
      </c>
      <c r="AD62" s="9">
        <v>1000</v>
      </c>
    </row>
    <row r="63" spans="1:30" x14ac:dyDescent="0.35">
      <c r="A63" s="8">
        <v>43435</v>
      </c>
      <c r="B63" s="9">
        <f>HAVERM!B354</f>
        <v>4.4000000000000004</v>
      </c>
      <c r="C63" s="9">
        <f>HAVERM!C354</f>
        <v>1.73</v>
      </c>
      <c r="D63" s="9">
        <f>HAVERM!D354</f>
        <v>2.0099999999999998</v>
      </c>
      <c r="F63" s="9"/>
      <c r="H63" s="9">
        <f t="shared" si="5"/>
        <v>3.6500000000000004</v>
      </c>
      <c r="I63" s="9">
        <f t="shared" si="5"/>
        <v>0.85709999999999997</v>
      </c>
      <c r="J63" s="9">
        <f t="shared" si="5"/>
        <v>0.98364285714285704</v>
      </c>
      <c r="L63" s="9">
        <f>HAVERM!E354</f>
        <v>0.75</v>
      </c>
      <c r="M63" s="9">
        <f>HAVERM!F354</f>
        <v>0.87290000000000001</v>
      </c>
      <c r="N63" s="9">
        <f>HAVERM!G354</f>
        <v>1.0263571428571427</v>
      </c>
      <c r="P63" s="8">
        <v>43435</v>
      </c>
      <c r="Q63" s="9">
        <f t="shared" si="2"/>
        <v>-0.13999999999999968</v>
      </c>
      <c r="R63" s="9">
        <f t="shared" si="4"/>
        <v>0.28000000000000003</v>
      </c>
      <c r="S63" s="9"/>
      <c r="U63" s="8">
        <v>45261</v>
      </c>
      <c r="V63" s="9">
        <f>HAVERM!E414</f>
        <v>5.25</v>
      </c>
      <c r="W63" s="9">
        <f>HAVERM!H414</f>
        <v>6.82</v>
      </c>
      <c r="X63" s="9">
        <f>HAVERM!I414</f>
        <v>3.37</v>
      </c>
      <c r="Z63" s="8">
        <v>46327</v>
      </c>
      <c r="AA63" s="9">
        <f t="shared" si="7"/>
        <v>2.3834590000000002</v>
      </c>
      <c r="AB63" s="9">
        <f t="shared" si="7"/>
        <v>1.97024</v>
      </c>
      <c r="AD63" s="9">
        <v>1000</v>
      </c>
    </row>
    <row r="64" spans="1:30" x14ac:dyDescent="0.35">
      <c r="A64" s="8">
        <v>43466</v>
      </c>
      <c r="B64" s="9">
        <f>HAVERM!B355</f>
        <v>4.4800000000000004</v>
      </c>
      <c r="C64" s="9">
        <f>HAVERM!C355</f>
        <v>1.72</v>
      </c>
      <c r="D64" s="9">
        <f>HAVERM!D355</f>
        <v>2.0499999999999998</v>
      </c>
      <c r="F64" s="9">
        <v>100</v>
      </c>
      <c r="H64" s="9">
        <f t="shared" si="5"/>
        <v>3.7300000000000004</v>
      </c>
      <c r="I64" s="9">
        <f t="shared" si="5"/>
        <v>0.85026086956521751</v>
      </c>
      <c r="J64" s="9">
        <f t="shared" si="5"/>
        <v>1.0260217391304347</v>
      </c>
      <c r="L64" s="9">
        <f>HAVERM!E355</f>
        <v>0.75</v>
      </c>
      <c r="M64" s="9">
        <f>HAVERM!F355</f>
        <v>0.86973913043478246</v>
      </c>
      <c r="N64" s="9">
        <f>HAVERM!G355</f>
        <v>1.0239782608695651</v>
      </c>
      <c r="P64" s="8">
        <v>43466</v>
      </c>
      <c r="Q64" s="9">
        <f t="shared" si="2"/>
        <v>0.27000000000000046</v>
      </c>
      <c r="R64" s="9">
        <f t="shared" si="4"/>
        <v>0.27</v>
      </c>
      <c r="S64" s="9">
        <f t="shared" ref="S64:S127" si="8">D64-D4</f>
        <v>-1.29</v>
      </c>
      <c r="U64" s="8">
        <v>45292</v>
      </c>
      <c r="V64" s="9">
        <f>HAVERM!E415</f>
        <v>5.25</v>
      </c>
      <c r="W64" s="9">
        <f>HAVERM!H415</f>
        <v>6.84</v>
      </c>
      <c r="X64" s="9">
        <f>HAVERM!I415</f>
        <v>3.42</v>
      </c>
      <c r="Z64" s="8">
        <v>46357</v>
      </c>
      <c r="AA64" s="9">
        <f t="shared" si="7"/>
        <v>2.3368640000000003</v>
      </c>
      <c r="AB64" s="9">
        <f t="shared" si="7"/>
        <v>1.9805829999999998</v>
      </c>
      <c r="AD64" s="9">
        <v>1000</v>
      </c>
    </row>
    <row r="65" spans="1:24" x14ac:dyDescent="0.35">
      <c r="A65" s="8">
        <v>43497</v>
      </c>
      <c r="B65" s="9">
        <f>HAVERM!B356</f>
        <v>4.3099999999999996</v>
      </c>
      <c r="C65" s="9">
        <f>HAVERM!C356</f>
        <v>1.7</v>
      </c>
      <c r="D65" s="9">
        <f>HAVERM!D356</f>
        <v>2.0499999999999998</v>
      </c>
      <c r="F65" s="9">
        <v>100</v>
      </c>
      <c r="H65" s="9">
        <f t="shared" si="5"/>
        <v>3.5599999999999996</v>
      </c>
      <c r="I65" s="9">
        <f t="shared" si="5"/>
        <v>0.87339499999999992</v>
      </c>
      <c r="J65" s="9">
        <f t="shared" si="5"/>
        <v>1.0789399999999998</v>
      </c>
      <c r="L65" s="9">
        <f>HAVERM!E356</f>
        <v>0.75</v>
      </c>
      <c r="M65" s="9">
        <f>HAVERM!F356</f>
        <v>0.82660500000000003</v>
      </c>
      <c r="N65" s="9">
        <f>HAVERM!G356</f>
        <v>0.97106000000000015</v>
      </c>
      <c r="P65" s="8">
        <v>43497</v>
      </c>
      <c r="Q65" s="9">
        <f t="shared" si="2"/>
        <v>7.9999999999999183E-2</v>
      </c>
      <c r="R65" s="9">
        <f t="shared" si="4"/>
        <v>0.28000000000000003</v>
      </c>
      <c r="S65" s="9">
        <f t="shared" si="8"/>
        <v>-1.4000000000000004</v>
      </c>
      <c r="U65" s="8">
        <v>45323</v>
      </c>
      <c r="V65" s="9">
        <f>HAVERM!E416</f>
        <v>5.25</v>
      </c>
      <c r="W65" s="9">
        <f>HAVERM!H416</f>
        <v>6.85</v>
      </c>
      <c r="X65" s="9">
        <f>HAVERM!I416</f>
        <v>3.49</v>
      </c>
    </row>
    <row r="66" spans="1:24" x14ac:dyDescent="0.35">
      <c r="A66" s="8">
        <v>43525</v>
      </c>
      <c r="B66" s="9">
        <f>HAVERM!B357</f>
        <v>4.3099999999999996</v>
      </c>
      <c r="C66" s="9">
        <f>HAVERM!C357</f>
        <v>1.7</v>
      </c>
      <c r="D66" s="9">
        <f>HAVERM!D357</f>
        <v>2.0299999999999998</v>
      </c>
      <c r="F66" s="9">
        <v>100</v>
      </c>
      <c r="H66" s="9">
        <f t="shared" si="5"/>
        <v>3.5599999999999996</v>
      </c>
      <c r="I66" s="9">
        <f t="shared" si="5"/>
        <v>0.90167619047619041</v>
      </c>
      <c r="J66" s="9">
        <f t="shared" si="5"/>
        <v>1.0867999999999998</v>
      </c>
      <c r="L66" s="9">
        <f>HAVERM!E357</f>
        <v>0.75</v>
      </c>
      <c r="M66" s="9">
        <f>HAVERM!F357</f>
        <v>0.79832380952380955</v>
      </c>
      <c r="N66" s="9">
        <f>HAVERM!G357</f>
        <v>0.94320000000000004</v>
      </c>
      <c r="P66" s="8">
        <v>43525</v>
      </c>
      <c r="Q66" s="9">
        <f t="shared" si="2"/>
        <v>0.16999999999999993</v>
      </c>
      <c r="R66" s="9">
        <f t="shared" si="4"/>
        <v>0.32999999999999985</v>
      </c>
      <c r="S66" s="9">
        <f t="shared" si="8"/>
        <v>-1.4500000000000002</v>
      </c>
      <c r="U66" s="8">
        <v>45352</v>
      </c>
      <c r="V66" s="9">
        <f>HAVERM!E417</f>
        <v>5.25</v>
      </c>
      <c r="W66" s="9">
        <f>HAVERM!H417</f>
        <v>6.88</v>
      </c>
      <c r="X66" s="9">
        <f>HAVERM!I417</f>
        <v>3.51</v>
      </c>
    </row>
    <row r="67" spans="1:24" x14ac:dyDescent="0.35">
      <c r="A67" s="8">
        <v>43556</v>
      </c>
      <c r="B67" s="9">
        <f>HAVERM!B358</f>
        <v>4.3099999999999996</v>
      </c>
      <c r="C67" s="9">
        <f>HAVERM!C358</f>
        <v>1.66</v>
      </c>
      <c r="D67" s="9">
        <f>HAVERM!D358</f>
        <v>2</v>
      </c>
      <c r="F67" s="9">
        <v>100</v>
      </c>
      <c r="H67" s="9">
        <f t="shared" si="5"/>
        <v>3.5599999999999996</v>
      </c>
      <c r="I67" s="9">
        <f t="shared" si="5"/>
        <v>0.86787272727272724</v>
      </c>
      <c r="J67" s="9">
        <f t="shared" si="5"/>
        <v>1.0611363636363638</v>
      </c>
      <c r="L67" s="9">
        <f>HAVERM!E358</f>
        <v>0.75</v>
      </c>
      <c r="M67" s="9">
        <f>HAVERM!F358</f>
        <v>0.79212727272727268</v>
      </c>
      <c r="N67" s="9">
        <f>HAVERM!G358</f>
        <v>0.93886363636363623</v>
      </c>
      <c r="P67" s="8">
        <v>43556</v>
      </c>
      <c r="Q67" s="9">
        <f t="shared" si="2"/>
        <v>0.13999999999999968</v>
      </c>
      <c r="R67" s="9">
        <f t="shared" si="4"/>
        <v>0.30999999999999983</v>
      </c>
      <c r="S67" s="9">
        <f t="shared" si="8"/>
        <v>-1.69</v>
      </c>
      <c r="U67" s="8">
        <v>45383</v>
      </c>
      <c r="V67" s="9">
        <f>HAVERM!E418</f>
        <v>5.25</v>
      </c>
      <c r="W67" s="9">
        <f>HAVERM!H418</f>
        <v>6.87</v>
      </c>
      <c r="X67" s="9">
        <f>HAVERM!I418</f>
        <v>3.58</v>
      </c>
    </row>
    <row r="68" spans="1:24" x14ac:dyDescent="0.35">
      <c r="A68" s="8">
        <v>43586</v>
      </c>
      <c r="B68" s="9">
        <f>HAVERM!B359</f>
        <v>4.29</v>
      </c>
      <c r="C68" s="9">
        <f>HAVERM!C359</f>
        <v>1.65</v>
      </c>
      <c r="D68" s="9">
        <f>HAVERM!D359</f>
        <v>1.99</v>
      </c>
      <c r="F68" s="9">
        <v>100</v>
      </c>
      <c r="H68" s="9">
        <f t="shared" ref="H68:J99" si="9">B68-L68</f>
        <v>3.54</v>
      </c>
      <c r="I68" s="9">
        <f t="shared" si="9"/>
        <v>0.8832130434782608</v>
      </c>
      <c r="J68" s="9">
        <f t="shared" si="9"/>
        <v>1.1189521739130437</v>
      </c>
      <c r="L68" s="9">
        <f>HAVERM!E359</f>
        <v>0.75</v>
      </c>
      <c r="M68" s="9">
        <f>HAVERM!F359</f>
        <v>0.76678695652173912</v>
      </c>
      <c r="N68" s="9">
        <f>HAVERM!G359</f>
        <v>0.8710478260869563</v>
      </c>
      <c r="P68" s="8">
        <v>43586</v>
      </c>
      <c r="Q68" s="9">
        <f t="shared" si="2"/>
        <v>0.12999999999999989</v>
      </c>
      <c r="R68" s="9">
        <f t="shared" si="4"/>
        <v>0.15999999999999992</v>
      </c>
      <c r="S68" s="9">
        <f t="shared" si="8"/>
        <v>-1.7300000000000002</v>
      </c>
      <c r="U68" s="8">
        <v>45413</v>
      </c>
      <c r="V68" s="9">
        <f>HAVERM!E419</f>
        <v>5.25</v>
      </c>
      <c r="W68" s="9">
        <f>HAVERM!H419</f>
        <v>6.88</v>
      </c>
      <c r="X68" s="9">
        <f>HAVERM!I419</f>
        <v>3.62</v>
      </c>
    </row>
    <row r="69" spans="1:24" x14ac:dyDescent="0.35">
      <c r="A69" s="8">
        <v>43617</v>
      </c>
      <c r="B69" s="9">
        <f>HAVERM!B360</f>
        <v>4.29</v>
      </c>
      <c r="C69" s="9">
        <f>HAVERM!C360</f>
        <v>1.64</v>
      </c>
      <c r="D69" s="9">
        <f>HAVERM!D360</f>
        <v>1.97</v>
      </c>
      <c r="F69" s="9">
        <v>100</v>
      </c>
      <c r="H69" s="9">
        <f t="shared" si="9"/>
        <v>3.54</v>
      </c>
      <c r="I69" s="9">
        <f t="shared" si="9"/>
        <v>0.99899499999999986</v>
      </c>
      <c r="J69" s="9">
        <f t="shared" si="9"/>
        <v>1.2903849999999999</v>
      </c>
      <c r="L69" s="9">
        <f>HAVERM!E360</f>
        <v>0.75</v>
      </c>
      <c r="M69" s="9">
        <f>HAVERM!F360</f>
        <v>0.64100500000000005</v>
      </c>
      <c r="N69" s="9">
        <f>HAVERM!G360</f>
        <v>0.67961500000000008</v>
      </c>
      <c r="P69" s="8">
        <v>43617</v>
      </c>
      <c r="Q69" s="9">
        <f t="shared" si="2"/>
        <v>0.23000000000000043</v>
      </c>
      <c r="R69" s="9">
        <f t="shared" si="4"/>
        <v>0.15999999999999992</v>
      </c>
      <c r="S69" s="9">
        <f t="shared" si="8"/>
        <v>-1.72</v>
      </c>
      <c r="U69" s="8">
        <v>45444</v>
      </c>
      <c r="V69" s="9">
        <f>HAVERM!E420</f>
        <v>5.25</v>
      </c>
      <c r="W69" s="9">
        <f>HAVERM!H420</f>
        <v>6.92</v>
      </c>
      <c r="X69" s="9">
        <f>HAVERM!I420</f>
        <v>3.66</v>
      </c>
    </row>
    <row r="70" spans="1:24" x14ac:dyDescent="0.35">
      <c r="A70" s="8">
        <v>43647</v>
      </c>
      <c r="B70" s="9">
        <f>HAVERM!B361</f>
        <v>4.29</v>
      </c>
      <c r="C70" s="9">
        <f>HAVERM!C361</f>
        <v>1.61</v>
      </c>
      <c r="D70" s="9">
        <f>HAVERM!D361</f>
        <v>1.93</v>
      </c>
      <c r="F70" s="9">
        <v>100</v>
      </c>
      <c r="H70" s="9">
        <f t="shared" si="9"/>
        <v>3.54</v>
      </c>
      <c r="I70" s="9">
        <f t="shared" si="9"/>
        <v>1.0740869565217392</v>
      </c>
      <c r="J70" s="9">
        <f t="shared" si="9"/>
        <v>1.3573086956521738</v>
      </c>
      <c r="L70" s="9">
        <f>HAVERM!E361</f>
        <v>0.75</v>
      </c>
      <c r="M70" s="9">
        <f>HAVERM!F361</f>
        <v>0.53591304347826085</v>
      </c>
      <c r="N70" s="9">
        <f>HAVERM!G361</f>
        <v>0.57269130434782611</v>
      </c>
      <c r="P70" s="8">
        <v>43647</v>
      </c>
      <c r="Q70" s="9">
        <f t="shared" si="2"/>
        <v>0.19000000000000039</v>
      </c>
      <c r="R70" s="9">
        <f t="shared" si="4"/>
        <v>0.20000000000000018</v>
      </c>
      <c r="S70" s="9">
        <f t="shared" si="8"/>
        <v>-1.8499999999999999</v>
      </c>
      <c r="U70" s="8">
        <v>45474</v>
      </c>
      <c r="V70" s="9">
        <f>HAVERM!E421</f>
        <v>5.25</v>
      </c>
      <c r="W70" s="9">
        <f>HAVERM!H421</f>
        <v>6.88</v>
      </c>
      <c r="X70" s="9">
        <f>HAVERM!I421</f>
        <v>3.7</v>
      </c>
    </row>
    <row r="71" spans="1:24" x14ac:dyDescent="0.35">
      <c r="A71" s="8">
        <v>43678</v>
      </c>
      <c r="B71" s="9">
        <f>HAVERM!B362</f>
        <v>4.29</v>
      </c>
      <c r="C71" s="9">
        <f>HAVERM!C362</f>
        <v>1.59</v>
      </c>
      <c r="D71" s="9">
        <f>HAVERM!D362</f>
        <v>1.89</v>
      </c>
      <c r="F71" s="9">
        <v>100</v>
      </c>
      <c r="H71" s="9">
        <f t="shared" si="9"/>
        <v>3.54</v>
      </c>
      <c r="I71" s="9">
        <f t="shared" si="9"/>
        <v>1.1301772727272728</v>
      </c>
      <c r="J71" s="9">
        <f t="shared" si="9"/>
        <v>1.4921818181818181</v>
      </c>
      <c r="L71" s="9">
        <f>HAVERM!E362</f>
        <v>0.75</v>
      </c>
      <c r="M71" s="9">
        <f>HAVERM!F362</f>
        <v>0.45982272727272727</v>
      </c>
      <c r="N71" s="9">
        <f>HAVERM!G362</f>
        <v>0.39781818181818179</v>
      </c>
      <c r="P71" s="8">
        <v>43678</v>
      </c>
      <c r="Q71" s="9">
        <f t="shared" si="2"/>
        <v>-5.9999999999999609E-2</v>
      </c>
      <c r="R71" s="9">
        <f t="shared" si="4"/>
        <v>0.16000000000000014</v>
      </c>
      <c r="S71" s="9">
        <f t="shared" si="8"/>
        <v>-1.8699999999999999</v>
      </c>
      <c r="U71" s="8">
        <v>45505</v>
      </c>
      <c r="V71" s="9">
        <f>HAVERM!E422</f>
        <v>5</v>
      </c>
      <c r="W71" s="9">
        <f>HAVERM!H422</f>
        <v>6.77</v>
      </c>
      <c r="X71" s="9">
        <f>HAVERM!I422</f>
        <v>3.73</v>
      </c>
    </row>
    <row r="72" spans="1:24" x14ac:dyDescent="0.35">
      <c r="A72" s="8">
        <v>43709</v>
      </c>
      <c r="B72" s="9">
        <f>HAVERM!B363</f>
        <v>4.29</v>
      </c>
      <c r="C72" s="9">
        <f>HAVERM!C363</f>
        <v>1.55</v>
      </c>
      <c r="D72" s="9">
        <f>HAVERM!D363</f>
        <v>1.79</v>
      </c>
      <c r="F72" s="9">
        <v>100</v>
      </c>
      <c r="H72" s="9">
        <f t="shared" si="9"/>
        <v>3.54</v>
      </c>
      <c r="I72" s="9">
        <f t="shared" si="9"/>
        <v>1.017895238095238</v>
      </c>
      <c r="J72" s="9">
        <f t="shared" si="9"/>
        <v>1.3218285714285716</v>
      </c>
      <c r="L72" s="9">
        <f>HAVERM!E363</f>
        <v>0.75</v>
      </c>
      <c r="M72" s="9">
        <f>HAVERM!F363</f>
        <v>0.53210476190476197</v>
      </c>
      <c r="N72" s="9">
        <f>HAVERM!G363</f>
        <v>0.46817142857142846</v>
      </c>
      <c r="P72" s="8">
        <v>43709</v>
      </c>
      <c r="Q72" s="9">
        <f t="shared" si="2"/>
        <v>-9.9999999999999645E-2</v>
      </c>
      <c r="R72" s="9">
        <f t="shared" si="4"/>
        <v>0.15000000000000013</v>
      </c>
      <c r="S72" s="9">
        <f t="shared" si="8"/>
        <v>-1.8199999999999998</v>
      </c>
      <c r="U72" s="8">
        <v>45536</v>
      </c>
      <c r="V72" s="9">
        <f>HAVERM!E423</f>
        <v>5</v>
      </c>
      <c r="W72" s="9">
        <f>HAVERM!H423</f>
        <v>6.77</v>
      </c>
      <c r="X72" s="9">
        <f>HAVERM!I423</f>
        <v>3.75</v>
      </c>
    </row>
    <row r="73" spans="1:24" x14ac:dyDescent="0.35">
      <c r="A73" s="8">
        <v>43739</v>
      </c>
      <c r="B73" s="9">
        <f>HAVERM!B364</f>
        <v>4.2699999999999996</v>
      </c>
      <c r="C73" s="9">
        <f>HAVERM!C364</f>
        <v>1.47</v>
      </c>
      <c r="D73" s="9">
        <f>HAVERM!D364</f>
        <v>1.71</v>
      </c>
      <c r="F73" s="9">
        <v>100</v>
      </c>
      <c r="H73" s="9">
        <f t="shared" si="9"/>
        <v>3.5199999999999996</v>
      </c>
      <c r="I73" s="9">
        <f t="shared" si="9"/>
        <v>0.94510869565217392</v>
      </c>
      <c r="J73" s="9">
        <f t="shared" si="9"/>
        <v>1.2177695652173912</v>
      </c>
      <c r="L73" s="9">
        <f>HAVERM!E364</f>
        <v>0.75</v>
      </c>
      <c r="M73" s="9">
        <f>HAVERM!F364</f>
        <v>0.52489130434782605</v>
      </c>
      <c r="N73" s="9">
        <f>HAVERM!G364</f>
        <v>0.49223043478260875</v>
      </c>
      <c r="P73" s="8">
        <v>43739</v>
      </c>
      <c r="Q73" s="9">
        <f t="shared" si="2"/>
        <v>-0.1800000000000006</v>
      </c>
      <c r="R73" s="9">
        <f t="shared" si="4"/>
        <v>-8.0000000000000071E-2</v>
      </c>
      <c r="S73" s="9">
        <f t="shared" si="8"/>
        <v>-1.56</v>
      </c>
      <c r="U73" s="8">
        <v>45566</v>
      </c>
      <c r="V73" s="9">
        <f>HAVERM!E424</f>
        <v>5</v>
      </c>
      <c r="W73" s="9">
        <f>HAVERM!H424</f>
        <v>6.75</v>
      </c>
      <c r="X73" s="9">
        <f>HAVERM!I424</f>
        <v>3.79</v>
      </c>
    </row>
    <row r="74" spans="1:24" x14ac:dyDescent="0.35">
      <c r="A74" s="8">
        <v>43770</v>
      </c>
      <c r="B74" s="9">
        <f>HAVERM!B365</f>
        <v>4.2699999999999996</v>
      </c>
      <c r="C74" s="9">
        <f>HAVERM!C365</f>
        <v>1.41</v>
      </c>
      <c r="D74" s="9">
        <f>HAVERM!D365</f>
        <v>1.67</v>
      </c>
      <c r="F74" s="9">
        <v>100</v>
      </c>
      <c r="H74" s="9">
        <f t="shared" si="9"/>
        <v>3.5199999999999996</v>
      </c>
      <c r="I74" s="9">
        <f t="shared" si="9"/>
        <v>0.8291952380952381</v>
      </c>
      <c r="J74" s="9">
        <f t="shared" si="9"/>
        <v>1.0745142857142855</v>
      </c>
      <c r="L74" s="9">
        <f>HAVERM!E365</f>
        <v>0.75</v>
      </c>
      <c r="M74" s="9">
        <f>HAVERM!F365</f>
        <v>0.58080476190476182</v>
      </c>
      <c r="N74" s="9">
        <f>HAVERM!G365</f>
        <v>0.5954857142857144</v>
      </c>
      <c r="P74" s="8">
        <v>43770</v>
      </c>
      <c r="Q74" s="9">
        <f t="shared" si="2"/>
        <v>-0.14000000000000057</v>
      </c>
      <c r="R74" s="9">
        <f t="shared" si="4"/>
        <v>-0.20000000000000018</v>
      </c>
      <c r="S74" s="9">
        <f t="shared" si="8"/>
        <v>-1.54</v>
      </c>
      <c r="U74" s="8">
        <v>45597</v>
      </c>
      <c r="V74" s="9">
        <f>HAVERM!E425</f>
        <v>4.7976190476190474</v>
      </c>
      <c r="W74" s="9">
        <f>HAVERM!H425</f>
        <v>6.61</v>
      </c>
      <c r="X74" s="9">
        <f>HAVERM!I425</f>
        <v>3.81</v>
      </c>
    </row>
    <row r="75" spans="1:24" x14ac:dyDescent="0.35">
      <c r="A75" s="8">
        <v>43800</v>
      </c>
      <c r="B75" s="9">
        <f>HAVERM!B366</f>
        <v>4.2699999999999996</v>
      </c>
      <c r="C75" s="9">
        <f>HAVERM!C366</f>
        <v>1.42</v>
      </c>
      <c r="D75" s="9">
        <f>HAVERM!D366</f>
        <v>1.67</v>
      </c>
      <c r="F75" s="9">
        <v>100</v>
      </c>
      <c r="H75" s="9">
        <f t="shared" si="9"/>
        <v>3.5199999999999996</v>
      </c>
      <c r="I75" s="9">
        <f t="shared" si="9"/>
        <v>0.81618181818181812</v>
      </c>
      <c r="J75" s="9">
        <f t="shared" si="9"/>
        <v>1.0191954545454545</v>
      </c>
      <c r="L75" s="9">
        <f>HAVERM!E366</f>
        <v>0.75</v>
      </c>
      <c r="M75" s="9">
        <f>HAVERM!F366</f>
        <v>0.60381818181818181</v>
      </c>
      <c r="N75" s="9">
        <f>HAVERM!G366</f>
        <v>0.65080454545454536</v>
      </c>
      <c r="P75" s="8">
        <v>43800</v>
      </c>
      <c r="Q75" s="9">
        <f t="shared" si="2"/>
        <v>-0.13000000000000078</v>
      </c>
      <c r="R75" s="9">
        <f t="shared" si="4"/>
        <v>-0.15000000000000013</v>
      </c>
      <c r="S75" s="9">
        <f t="shared" si="8"/>
        <v>-1.54</v>
      </c>
      <c r="U75" s="8">
        <v>45627</v>
      </c>
      <c r="V75" s="9">
        <f>HAVERM!E426</f>
        <v>4.75</v>
      </c>
      <c r="W75" s="9">
        <f>HAVERM!H426</f>
        <v>6.58</v>
      </c>
      <c r="X75" s="9">
        <f>HAVERM!I426</f>
        <v>3.8</v>
      </c>
    </row>
    <row r="76" spans="1:24" x14ac:dyDescent="0.35">
      <c r="A76" s="8">
        <v>43831</v>
      </c>
      <c r="B76" s="9">
        <f>HAVERM!B367</f>
        <v>4.2699999999999996</v>
      </c>
      <c r="C76" s="9">
        <f>HAVERM!C367</f>
        <v>1.41</v>
      </c>
      <c r="D76" s="9">
        <f>HAVERM!D367</f>
        <v>1.68</v>
      </c>
      <c r="H76" s="9">
        <f t="shared" si="9"/>
        <v>3.5199999999999996</v>
      </c>
      <c r="I76" s="9">
        <f t="shared" si="9"/>
        <v>0.90799999999999992</v>
      </c>
      <c r="J76" s="9">
        <f t="shared" si="9"/>
        <v>1.1408260869565217</v>
      </c>
      <c r="L76" s="9">
        <f>HAVERM!E367</f>
        <v>0.75</v>
      </c>
      <c r="M76" s="9">
        <f>HAVERM!F367</f>
        <v>0.502</v>
      </c>
      <c r="N76" s="9">
        <f>HAVERM!G367</f>
        <v>0.53917391304347828</v>
      </c>
      <c r="P76" s="8">
        <v>43831</v>
      </c>
      <c r="Q76" s="9">
        <f t="shared" si="2"/>
        <v>-0.21000000000000085</v>
      </c>
      <c r="R76" s="9">
        <f t="shared" si="4"/>
        <v>-0.13000000000000012</v>
      </c>
      <c r="S76" s="9">
        <f t="shared" si="8"/>
        <v>-1.41</v>
      </c>
      <c r="U76" s="8">
        <v>45658</v>
      </c>
      <c r="V76" s="9">
        <f>HAVERM!E427</f>
        <v>4.75</v>
      </c>
      <c r="W76" s="9">
        <f>HAVERM!H427</f>
        <v>6.51</v>
      </c>
      <c r="X76" s="9">
        <f>HAVERM!I427</f>
        <v>3.82</v>
      </c>
    </row>
    <row r="77" spans="1:24" x14ac:dyDescent="0.35">
      <c r="A77" s="8">
        <v>43862</v>
      </c>
      <c r="B77" s="9">
        <f>HAVERM!B368</f>
        <v>4.26</v>
      </c>
      <c r="C77" s="9">
        <f>HAVERM!C368</f>
        <v>1.4</v>
      </c>
      <c r="D77" s="9">
        <f>HAVERM!D368</f>
        <v>1.67</v>
      </c>
      <c r="H77" s="9">
        <f t="shared" si="9"/>
        <v>3.51</v>
      </c>
      <c r="I77" s="9">
        <f t="shared" si="9"/>
        <v>0.89045999999999992</v>
      </c>
      <c r="J77" s="9">
        <f t="shared" si="9"/>
        <v>1.1757500000000001</v>
      </c>
      <c r="L77" s="9">
        <f>HAVERM!E368</f>
        <v>0.75</v>
      </c>
      <c r="M77" s="9">
        <f>HAVERM!F368</f>
        <v>0.50953999999999999</v>
      </c>
      <c r="N77" s="9">
        <f>HAVERM!G368</f>
        <v>0.49424999999999991</v>
      </c>
      <c r="P77" s="8">
        <v>43862</v>
      </c>
      <c r="Q77" s="9">
        <f t="shared" si="2"/>
        <v>-4.9999999999999822E-2</v>
      </c>
      <c r="R77" s="9">
        <f t="shared" si="4"/>
        <v>-9.000000000000008E-2</v>
      </c>
      <c r="S77" s="9">
        <f t="shared" si="8"/>
        <v>-1.38</v>
      </c>
      <c r="U77" s="8">
        <v>45689</v>
      </c>
      <c r="V77" s="9">
        <f>HAVERM!E428</f>
        <v>4.5374999999999996</v>
      </c>
      <c r="W77" s="9">
        <f>HAVERM!H428</f>
        <v>6.38</v>
      </c>
      <c r="X77" s="9">
        <f>HAVERM!I428</f>
        <v>3.87</v>
      </c>
    </row>
    <row r="78" spans="1:24" x14ac:dyDescent="0.35">
      <c r="A78" s="8">
        <v>43891</v>
      </c>
      <c r="B78" s="9">
        <f>HAVERM!B369</f>
        <v>4.0999999999999996</v>
      </c>
      <c r="C78" s="9">
        <f>HAVERM!C369</f>
        <v>1.4</v>
      </c>
      <c r="D78" s="9">
        <f>HAVERM!D369</f>
        <v>1.66</v>
      </c>
      <c r="H78" s="9">
        <f t="shared" si="9"/>
        <v>3.752272727272727</v>
      </c>
      <c r="I78" s="9">
        <f t="shared" si="9"/>
        <v>1.2043318181818181</v>
      </c>
      <c r="J78" s="9">
        <f t="shared" si="9"/>
        <v>1.376531818181818</v>
      </c>
      <c r="L78" s="9">
        <f>HAVERM!E369</f>
        <v>0.34772727272727261</v>
      </c>
      <c r="M78" s="9">
        <f>HAVERM!F369</f>
        <v>0.1956681818181818</v>
      </c>
      <c r="N78" s="9">
        <f>HAVERM!G369</f>
        <v>0.2834681818181819</v>
      </c>
      <c r="P78" s="8">
        <v>43891</v>
      </c>
      <c r="Q78" s="9">
        <f t="shared" si="2"/>
        <v>-0.20999999999999996</v>
      </c>
      <c r="R78" s="9">
        <f t="shared" si="4"/>
        <v>-0.13000000000000012</v>
      </c>
      <c r="S78" s="9">
        <f t="shared" si="8"/>
        <v>-1.32</v>
      </c>
      <c r="U78" s="8">
        <v>45717</v>
      </c>
      <c r="V78" s="9">
        <f>HAVERM!E429</f>
        <v>4.5</v>
      </c>
      <c r="W78" s="15">
        <f>HAVERM!H429</f>
        <v>6.34</v>
      </c>
      <c r="X78" s="15">
        <f>HAVERM!I429</f>
        <v>3.85</v>
      </c>
    </row>
    <row r="79" spans="1:24" x14ac:dyDescent="0.35">
      <c r="A79" s="8">
        <v>43922</v>
      </c>
      <c r="B79" s="9">
        <f>HAVERM!B370</f>
        <v>3.66</v>
      </c>
      <c r="C79" s="9">
        <f>HAVERM!C370</f>
        <v>1.38</v>
      </c>
      <c r="D79" s="9">
        <f>HAVERM!D370</f>
        <v>1.67</v>
      </c>
      <c r="H79" s="9">
        <f t="shared" si="9"/>
        <v>3.56</v>
      </c>
      <c r="I79" s="9">
        <f t="shared" si="9"/>
        <v>1.2634181818181818</v>
      </c>
      <c r="J79" s="9">
        <f t="shared" si="9"/>
        <v>1.4713272727272726</v>
      </c>
      <c r="L79" s="9">
        <f>HAVERM!E370</f>
        <v>0.10000000000000003</v>
      </c>
      <c r="M79" s="9">
        <f>HAVERM!F370</f>
        <v>0.11658181818181818</v>
      </c>
      <c r="N79" s="9">
        <f>HAVERM!G370</f>
        <v>0.19867272727272728</v>
      </c>
      <c r="P79" s="8">
        <v>43922</v>
      </c>
      <c r="Q79" s="9">
        <f t="shared" si="2"/>
        <v>-0.64999999999999947</v>
      </c>
      <c r="R79" s="9">
        <f t="shared" si="4"/>
        <v>-0.34000000000000008</v>
      </c>
      <c r="S79" s="9">
        <f t="shared" si="8"/>
        <v>-1.25</v>
      </c>
      <c r="U79" s="8">
        <v>45748</v>
      </c>
      <c r="V79" s="15">
        <f>HAVERM!E430</f>
        <v>4.5</v>
      </c>
      <c r="W79" s="11">
        <f>W78+(W80-W78)*1/2</f>
        <v>6.2783335000000005</v>
      </c>
      <c r="X79" s="11">
        <f>X78+(X80-X78)*1/2</f>
        <v>3.8616665000000001</v>
      </c>
    </row>
    <row r="80" spans="1:24" x14ac:dyDescent="0.35">
      <c r="A80" s="8">
        <v>43952</v>
      </c>
      <c r="B80" s="9">
        <f>HAVERM!B371</f>
        <v>3.65</v>
      </c>
      <c r="C80" s="9">
        <f>HAVERM!C371</f>
        <v>1.42</v>
      </c>
      <c r="D80" s="9">
        <f>HAVERM!D371</f>
        <v>1.7</v>
      </c>
      <c r="H80" s="9">
        <f t="shared" si="9"/>
        <v>3.55</v>
      </c>
      <c r="I80" s="9">
        <f t="shared" si="9"/>
        <v>1.3963999999999999</v>
      </c>
      <c r="J80" s="9">
        <f t="shared" si="9"/>
        <v>1.6153</v>
      </c>
      <c r="L80" s="9">
        <f>HAVERM!E371</f>
        <v>0.10000000000000002</v>
      </c>
      <c r="M80" s="9">
        <f>HAVERM!F371</f>
        <v>2.3600000000000006E-2</v>
      </c>
      <c r="N80" s="9">
        <f>HAVERM!G371</f>
        <v>8.4699999999999998E-2</v>
      </c>
      <c r="P80" s="8">
        <v>43952</v>
      </c>
      <c r="Q80" s="9">
        <f t="shared" ref="Q80:Q143" si="10">B80-B68</f>
        <v>-0.64000000000000012</v>
      </c>
      <c r="R80" s="9">
        <f t="shared" si="4"/>
        <v>-0.32000000000000006</v>
      </c>
      <c r="S80" s="9">
        <f t="shared" si="8"/>
        <v>-1.1599999999999999</v>
      </c>
      <c r="U80" s="8">
        <v>45778</v>
      </c>
      <c r="V80" s="10">
        <f>'[2]Daily fcst'!L37</f>
        <v>4.3068181818181817</v>
      </c>
      <c r="W80" s="10">
        <f>Data!H216</f>
        <v>6.2166670000000002</v>
      </c>
      <c r="X80" s="10">
        <f>Data!G216</f>
        <v>3.8733330000000001</v>
      </c>
    </row>
    <row r="81" spans="1:24" x14ac:dyDescent="0.35">
      <c r="A81" s="8">
        <v>43983</v>
      </c>
      <c r="B81" s="9">
        <f>HAVERM!B372</f>
        <v>3.65</v>
      </c>
      <c r="C81" s="9">
        <f>HAVERM!C372</f>
        <v>1.41</v>
      </c>
      <c r="D81" s="9">
        <f>HAVERM!D372</f>
        <v>1.69</v>
      </c>
      <c r="H81" s="9">
        <f t="shared" si="9"/>
        <v>3.55</v>
      </c>
      <c r="I81" s="9">
        <f t="shared" si="9"/>
        <v>1.4068772727272727</v>
      </c>
      <c r="J81" s="9">
        <f t="shared" si="9"/>
        <v>1.6384454545454545</v>
      </c>
      <c r="L81" s="9">
        <f>HAVERM!E372</f>
        <v>0.10000000000000003</v>
      </c>
      <c r="M81" s="9">
        <f>HAVERM!F372</f>
        <v>3.1227272727272718E-3</v>
      </c>
      <c r="N81" s="9">
        <f>HAVERM!G372</f>
        <v>5.155454545454545E-2</v>
      </c>
      <c r="P81" s="8">
        <v>43983</v>
      </c>
      <c r="Q81" s="9">
        <f t="shared" si="10"/>
        <v>-0.64000000000000012</v>
      </c>
      <c r="R81" s="9">
        <f t="shared" si="4"/>
        <v>-0.33000000000000007</v>
      </c>
      <c r="S81" s="9">
        <f t="shared" si="8"/>
        <v>-1.1299999999999999</v>
      </c>
      <c r="U81" s="8">
        <v>45809</v>
      </c>
      <c r="V81" s="10">
        <f>'[2]Daily fcst'!L38</f>
        <v>4.25</v>
      </c>
      <c r="W81" s="11">
        <f>W80+(W83-W80)*1/3</f>
        <v>6.1521140000000001</v>
      </c>
      <c r="X81" s="11">
        <f t="shared" ref="X81" si="11">X80+(X83-X80)*1/3</f>
        <v>3.8670956666666667</v>
      </c>
    </row>
    <row r="82" spans="1:24" x14ac:dyDescent="0.35">
      <c r="A82" s="8">
        <v>44013</v>
      </c>
      <c r="B82" s="9">
        <f>HAVERM!B373</f>
        <v>3.66</v>
      </c>
      <c r="C82" s="9">
        <f>HAVERM!C373</f>
        <v>1.45</v>
      </c>
      <c r="D82" s="9">
        <f>HAVERM!D373</f>
        <v>1.7</v>
      </c>
      <c r="H82" s="9">
        <f t="shared" si="9"/>
        <v>3.56</v>
      </c>
      <c r="I82" s="9">
        <f t="shared" si="9"/>
        <v>1.4926739130434783</v>
      </c>
      <c r="J82" s="9">
        <f t="shared" si="9"/>
        <v>1.7278956521739131</v>
      </c>
      <c r="L82" s="9">
        <f>HAVERM!E373</f>
        <v>0.10000000000000003</v>
      </c>
      <c r="M82" s="9">
        <f>HAVERM!F373</f>
        <v>-4.2673913043478257E-2</v>
      </c>
      <c r="N82" s="9">
        <f>HAVERM!G373</f>
        <v>-2.789565217391304E-2</v>
      </c>
      <c r="P82" s="8">
        <v>44013</v>
      </c>
      <c r="Q82" s="9">
        <f t="shared" si="10"/>
        <v>-0.62999999999999989</v>
      </c>
      <c r="R82" s="9">
        <f t="shared" si="4"/>
        <v>-0.30000000000000004</v>
      </c>
      <c r="S82" s="9">
        <f t="shared" si="8"/>
        <v>-1.1300000000000001</v>
      </c>
      <c r="U82" s="8">
        <v>45839</v>
      </c>
      <c r="V82" s="10">
        <f>'[2]Daily fcst'!L39</f>
        <v>4.25</v>
      </c>
      <c r="W82" s="11">
        <f>W81+(W83-W80)*1/3</f>
        <v>6.087561</v>
      </c>
      <c r="X82" s="11">
        <f t="shared" ref="X82" si="12">X81+(X83-X80)*1/3</f>
        <v>3.8608583333333333</v>
      </c>
    </row>
    <row r="83" spans="1:24" x14ac:dyDescent="0.35">
      <c r="A83" s="8">
        <v>44044</v>
      </c>
      <c r="B83" s="9">
        <f>HAVERM!B374</f>
        <v>3.65</v>
      </c>
      <c r="C83" s="9">
        <f>HAVERM!C374</f>
        <v>1.6</v>
      </c>
      <c r="D83" s="9">
        <f>HAVERM!D374</f>
        <v>1.79</v>
      </c>
      <c r="H83" s="9">
        <f t="shared" si="9"/>
        <v>3.55</v>
      </c>
      <c r="I83" s="9">
        <f t="shared" si="9"/>
        <v>1.6307238095238097</v>
      </c>
      <c r="J83" s="9">
        <f t="shared" si="9"/>
        <v>1.7956761904761904</v>
      </c>
      <c r="L83" s="9">
        <f>HAVERM!E374</f>
        <v>0.10000000000000002</v>
      </c>
      <c r="M83" s="9">
        <f>HAVERM!F374</f>
        <v>-3.0723809523809525E-2</v>
      </c>
      <c r="N83" s="9">
        <f>HAVERM!G374</f>
        <v>-5.6761904761904753E-3</v>
      </c>
      <c r="P83" s="8">
        <v>44044</v>
      </c>
      <c r="Q83" s="9">
        <f t="shared" si="10"/>
        <v>-0.64000000000000012</v>
      </c>
      <c r="R83" s="9">
        <f t="shared" si="4"/>
        <v>-0.14999999999999991</v>
      </c>
      <c r="S83" s="9">
        <f t="shared" si="8"/>
        <v>-1.1299999999999999</v>
      </c>
      <c r="U83" s="8">
        <v>45870</v>
      </c>
      <c r="V83" s="10">
        <f>'[2]Daily fcst'!L40</f>
        <v>4.0476190476190474</v>
      </c>
      <c r="W83" s="10">
        <f>Data!H217</f>
        <v>6.0230079999999999</v>
      </c>
      <c r="X83" s="10">
        <f>Data!G217</f>
        <v>3.8546209999999999</v>
      </c>
    </row>
    <row r="84" spans="1:24" x14ac:dyDescent="0.35">
      <c r="A84" s="8">
        <v>44075</v>
      </c>
      <c r="B84" s="9">
        <f>HAVERM!B375</f>
        <v>3.65</v>
      </c>
      <c r="C84" s="9">
        <f>HAVERM!C375</f>
        <v>1.75</v>
      </c>
      <c r="D84" s="9">
        <f>HAVERM!D375</f>
        <v>1.92</v>
      </c>
      <c r="H84" s="9">
        <f t="shared" si="9"/>
        <v>3.55</v>
      </c>
      <c r="I84" s="9">
        <f t="shared" si="9"/>
        <v>1.8163909090909092</v>
      </c>
      <c r="J84" s="9">
        <f t="shared" si="9"/>
        <v>1.9531499999999999</v>
      </c>
      <c r="L84" s="9">
        <f>HAVERM!E375</f>
        <v>0.10000000000000003</v>
      </c>
      <c r="M84" s="9">
        <f>HAVERM!F375</f>
        <v>-6.639090909090907E-2</v>
      </c>
      <c r="N84" s="9">
        <f>HAVERM!G375</f>
        <v>-3.3150000000000006E-2</v>
      </c>
      <c r="P84" s="8">
        <v>44075</v>
      </c>
      <c r="Q84" s="9">
        <f t="shared" si="10"/>
        <v>-0.64000000000000012</v>
      </c>
      <c r="R84" s="9">
        <f t="shared" si="4"/>
        <v>4.0000000000000036E-2</v>
      </c>
      <c r="S84" s="9">
        <f t="shared" si="8"/>
        <v>-0.91999999999999993</v>
      </c>
      <c r="U84" s="8">
        <v>45901</v>
      </c>
      <c r="V84" s="10">
        <f>'[2]Daily fcst'!L41</f>
        <v>4</v>
      </c>
      <c r="W84" s="11">
        <f>W83+(W86-W83)*1/3</f>
        <v>5.9526403333333331</v>
      </c>
      <c r="X84" s="11">
        <f t="shared" ref="X84" si="13">X83+(X86-X83)*1/3</f>
        <v>3.8550756666666666</v>
      </c>
    </row>
    <row r="85" spans="1:24" x14ac:dyDescent="0.35">
      <c r="A85" s="8">
        <v>44105</v>
      </c>
      <c r="B85" s="9">
        <f>HAVERM!B376</f>
        <v>3.64</v>
      </c>
      <c r="C85" s="9">
        <f>HAVERM!C376</f>
        <v>1.94</v>
      </c>
      <c r="D85" s="9">
        <f>HAVERM!D376</f>
        <v>2.0499999999999998</v>
      </c>
      <c r="H85" s="9">
        <f t="shared" si="9"/>
        <v>3.54</v>
      </c>
      <c r="I85" s="9">
        <f t="shared" si="9"/>
        <v>1.9874954545454546</v>
      </c>
      <c r="J85" s="9">
        <f t="shared" si="9"/>
        <v>2.0551999999999997</v>
      </c>
      <c r="L85" s="9">
        <f>HAVERM!E376</f>
        <v>0.10000000000000003</v>
      </c>
      <c r="M85" s="9">
        <f>HAVERM!F376</f>
        <v>-4.7495454545454563E-2</v>
      </c>
      <c r="N85" s="9">
        <f>HAVERM!G376</f>
        <v>-5.2000000000000015E-3</v>
      </c>
      <c r="P85" s="8">
        <v>44105</v>
      </c>
      <c r="Q85" s="9">
        <f t="shared" si="10"/>
        <v>-0.62999999999999945</v>
      </c>
      <c r="R85" s="9">
        <f t="shared" si="4"/>
        <v>0.1399999999999999</v>
      </c>
      <c r="S85" s="9">
        <f t="shared" si="8"/>
        <v>-0.73</v>
      </c>
      <c r="U85" s="8">
        <v>45931</v>
      </c>
      <c r="V85" s="10">
        <f>'[2]Daily fcst'!L42</f>
        <v>4</v>
      </c>
      <c r="W85" s="11">
        <f>W84+(W86-W83)*1/3</f>
        <v>5.8822726666666663</v>
      </c>
      <c r="X85" s="11">
        <f t="shared" ref="X85" si="14">X84+(X86-X83)*1/3</f>
        <v>3.8555303333333333</v>
      </c>
    </row>
    <row r="86" spans="1:24" x14ac:dyDescent="0.35">
      <c r="A86" s="8">
        <v>44136</v>
      </c>
      <c r="B86" s="9">
        <f>HAVERM!B377</f>
        <v>3.62</v>
      </c>
      <c r="C86" s="9">
        <f>HAVERM!C377</f>
        <v>1.92</v>
      </c>
      <c r="D86" s="9">
        <f>HAVERM!D377</f>
        <v>2.0499999999999998</v>
      </c>
      <c r="H86" s="9">
        <f t="shared" si="9"/>
        <v>3.52</v>
      </c>
      <c r="I86" s="9">
        <f t="shared" si="9"/>
        <v>1.9391047619047619</v>
      </c>
      <c r="J86" s="9">
        <f t="shared" si="9"/>
        <v>2.0021714285714283</v>
      </c>
      <c r="L86" s="9">
        <f>HAVERM!E377</f>
        <v>0.10000000000000002</v>
      </c>
      <c r="M86" s="9">
        <f>HAVERM!F377</f>
        <v>-1.9104761904761902E-2</v>
      </c>
      <c r="N86" s="9">
        <f>HAVERM!G377</f>
        <v>4.7828571428571436E-2</v>
      </c>
      <c r="P86" s="8">
        <v>44136</v>
      </c>
      <c r="Q86" s="9">
        <f t="shared" si="10"/>
        <v>-0.64999999999999947</v>
      </c>
      <c r="R86" s="9">
        <f t="shared" si="4"/>
        <v>0.16999999999999993</v>
      </c>
      <c r="S86" s="9">
        <f t="shared" si="8"/>
        <v>-0.7200000000000002</v>
      </c>
      <c r="U86" s="8">
        <v>45962</v>
      </c>
      <c r="V86" s="10">
        <f>'[2]Daily fcst'!L43</f>
        <v>3.7875000000000001</v>
      </c>
      <c r="W86" s="10">
        <f>Data!H218</f>
        <v>5.8119050000000003</v>
      </c>
      <c r="X86" s="10">
        <f>Data!G218</f>
        <v>3.855985</v>
      </c>
    </row>
    <row r="87" spans="1:24" x14ac:dyDescent="0.35">
      <c r="A87" s="8">
        <v>44166</v>
      </c>
      <c r="B87" s="9">
        <f>HAVERM!B378</f>
        <v>3.62</v>
      </c>
      <c r="C87" s="9">
        <f>HAVERM!C378</f>
        <v>1.86</v>
      </c>
      <c r="D87" s="9">
        <f>HAVERM!D378</f>
        <v>2</v>
      </c>
      <c r="H87" s="9">
        <f t="shared" si="9"/>
        <v>3.52</v>
      </c>
      <c r="I87" s="9">
        <f t="shared" si="9"/>
        <v>1.8880869565217393</v>
      </c>
      <c r="J87" s="9">
        <f t="shared" si="9"/>
        <v>1.9713739130434782</v>
      </c>
      <c r="L87" s="9">
        <f>HAVERM!E378</f>
        <v>0.10000000000000003</v>
      </c>
      <c r="M87" s="9">
        <f>HAVERM!F378</f>
        <v>-2.8086956521739127E-2</v>
      </c>
      <c r="N87" s="9">
        <f>HAVERM!G378</f>
        <v>2.8626086956521739E-2</v>
      </c>
      <c r="P87" s="8">
        <v>44166</v>
      </c>
      <c r="Q87" s="9">
        <f t="shared" si="10"/>
        <v>-0.64999999999999947</v>
      </c>
      <c r="R87" s="9">
        <f t="shared" si="4"/>
        <v>0.13000000000000012</v>
      </c>
      <c r="S87" s="9">
        <f t="shared" si="8"/>
        <v>-0.75</v>
      </c>
      <c r="U87" s="8">
        <v>45992</v>
      </c>
      <c r="V87" s="10">
        <f>'[2]Daily fcst'!L44</f>
        <v>3.75</v>
      </c>
      <c r="W87" s="11">
        <f>W86+(W89-W86)*1/3</f>
        <v>5.7432920000000003</v>
      </c>
      <c r="X87" s="11">
        <f t="shared" ref="X87" si="15">X86+(X89-X86)*1/3</f>
        <v>3.8639899999999998</v>
      </c>
    </row>
    <row r="88" spans="1:24" x14ac:dyDescent="0.35">
      <c r="A88" s="8">
        <v>44197</v>
      </c>
      <c r="B88" s="9">
        <f>HAVERM!B379</f>
        <v>3.62</v>
      </c>
      <c r="C88" s="9">
        <f>HAVERM!C379</f>
        <v>1.75</v>
      </c>
      <c r="D88" s="9">
        <f>HAVERM!D379</f>
        <v>1.92</v>
      </c>
      <c r="H88" s="9">
        <f t="shared" si="9"/>
        <v>3.52</v>
      </c>
      <c r="I88" s="9">
        <f t="shared" si="9"/>
        <v>1.8021952380952382</v>
      </c>
      <c r="J88" s="9">
        <f t="shared" si="9"/>
        <v>1.8915285714285714</v>
      </c>
      <c r="L88" s="9">
        <f>HAVERM!E379</f>
        <v>0.10000000000000002</v>
      </c>
      <c r="M88" s="9">
        <f>HAVERM!F379</f>
        <v>-5.21952380952381E-2</v>
      </c>
      <c r="N88" s="9">
        <f>HAVERM!G379</f>
        <v>2.8471428571428571E-2</v>
      </c>
      <c r="P88" s="8">
        <v>44197</v>
      </c>
      <c r="Q88" s="9">
        <f t="shared" si="10"/>
        <v>-0.64999999999999947</v>
      </c>
      <c r="R88" s="9">
        <f t="shared" si="4"/>
        <v>3.0000000000000027E-2</v>
      </c>
      <c r="S88" s="9">
        <f t="shared" si="8"/>
        <v>-0.76000000000000023</v>
      </c>
      <c r="U88" s="8">
        <v>46023</v>
      </c>
      <c r="V88" s="10">
        <f>'[2]Daily fcst'!L45</f>
        <v>3.75</v>
      </c>
      <c r="W88" s="11">
        <f>W87+(W89-W86)*1/3</f>
        <v>5.6746790000000003</v>
      </c>
      <c r="X88" s="11">
        <f t="shared" ref="X88" si="16">X87+(X89-X86)*1/3</f>
        <v>3.8719949999999996</v>
      </c>
    </row>
    <row r="89" spans="1:24" x14ac:dyDescent="0.35">
      <c r="A89" s="8">
        <v>44228</v>
      </c>
      <c r="B89" s="9">
        <f>HAVERM!B380</f>
        <v>3.62</v>
      </c>
      <c r="C89" s="9">
        <f>HAVERM!C380</f>
        <v>1.61</v>
      </c>
      <c r="D89" s="9">
        <f>HAVERM!D380</f>
        <v>1.8</v>
      </c>
      <c r="H89" s="9">
        <f t="shared" si="9"/>
        <v>3.52</v>
      </c>
      <c r="I89" s="9">
        <f t="shared" si="9"/>
        <v>1.57728</v>
      </c>
      <c r="J89" s="9">
        <f t="shared" si="9"/>
        <v>1.5794049999999999</v>
      </c>
      <c r="L89" s="9">
        <f>HAVERM!E380</f>
        <v>0.10000000000000002</v>
      </c>
      <c r="M89" s="9">
        <f>HAVERM!F380</f>
        <v>3.2719999999999999E-2</v>
      </c>
      <c r="N89" s="9">
        <f>HAVERM!G380</f>
        <v>0.22059500000000001</v>
      </c>
      <c r="P89" s="8">
        <v>44228</v>
      </c>
      <c r="Q89" s="9">
        <f t="shared" si="10"/>
        <v>-0.63999999999999968</v>
      </c>
      <c r="R89" s="9">
        <f t="shared" si="4"/>
        <v>-8.9999999999999858E-2</v>
      </c>
      <c r="S89" s="9">
        <f t="shared" si="8"/>
        <v>-0.92999999999999994</v>
      </c>
      <c r="U89" s="8">
        <v>46054</v>
      </c>
      <c r="V89" s="10">
        <f>'[2]Daily fcst'!L46</f>
        <v>3.5375000000000001</v>
      </c>
      <c r="W89" s="10">
        <f>Data!H219</f>
        <v>5.6060660000000002</v>
      </c>
      <c r="X89" s="10">
        <f>Data!G219</f>
        <v>3.88</v>
      </c>
    </row>
    <row r="90" spans="1:24" x14ac:dyDescent="0.35">
      <c r="A90" s="8">
        <v>44256</v>
      </c>
      <c r="B90" s="9">
        <f>HAVERM!B381</f>
        <v>3.62</v>
      </c>
      <c r="C90" s="9">
        <f>HAVERM!C381</f>
        <v>1.56</v>
      </c>
      <c r="D90" s="9">
        <f>HAVERM!D381</f>
        <v>1.74</v>
      </c>
      <c r="H90" s="9">
        <f t="shared" si="9"/>
        <v>3.52</v>
      </c>
      <c r="I90" s="9">
        <f t="shared" si="9"/>
        <v>1.4588913043478262</v>
      </c>
      <c r="J90" s="9">
        <f t="shared" si="9"/>
        <v>1.3310999999999999</v>
      </c>
      <c r="L90" s="9">
        <f>HAVERM!E381</f>
        <v>0.10000000000000003</v>
      </c>
      <c r="M90" s="9">
        <f>HAVERM!F381</f>
        <v>0.10110869565217391</v>
      </c>
      <c r="N90" s="9">
        <f>HAVERM!G381</f>
        <v>0.40889999999999999</v>
      </c>
      <c r="P90" s="8">
        <v>44256</v>
      </c>
      <c r="Q90" s="9">
        <f t="shared" si="10"/>
        <v>-0.47999999999999954</v>
      </c>
      <c r="R90" s="9">
        <f t="shared" si="4"/>
        <v>-0.1399999999999999</v>
      </c>
      <c r="S90" s="9">
        <f t="shared" si="8"/>
        <v>-0.96000000000000019</v>
      </c>
      <c r="U90" s="8">
        <v>46082</v>
      </c>
      <c r="V90" s="10">
        <f>'[2]Daily fcst'!L47</f>
        <v>3.5</v>
      </c>
      <c r="W90" s="11">
        <f>W89+(W92-W89)*1/3</f>
        <v>5.5368193333333338</v>
      </c>
      <c r="X90" s="11">
        <f t="shared" ref="X90" si="17">X89+(X92-X89)*1/3</f>
        <v>3.8851283333333333</v>
      </c>
    </row>
    <row r="91" spans="1:24" x14ac:dyDescent="0.35">
      <c r="A91" s="8">
        <v>44287</v>
      </c>
      <c r="B91" s="9">
        <f>HAVERM!B382</f>
        <v>3.61</v>
      </c>
      <c r="C91" s="9">
        <f>HAVERM!C382</f>
        <v>1.49</v>
      </c>
      <c r="D91" s="9">
        <f>HAVERM!D382</f>
        <v>1.71</v>
      </c>
      <c r="H91" s="9">
        <f t="shared" si="9"/>
        <v>3.51</v>
      </c>
      <c r="I91" s="9">
        <f t="shared" si="9"/>
        <v>1.3774681818181818</v>
      </c>
      <c r="J91" s="9">
        <f t="shared" si="9"/>
        <v>1.2763363636363636</v>
      </c>
      <c r="L91" s="9">
        <f>HAVERM!E382</f>
        <v>0.10000000000000003</v>
      </c>
      <c r="M91" s="9">
        <f>HAVERM!F382</f>
        <v>0.11253181818181819</v>
      </c>
      <c r="N91" s="9">
        <f>HAVERM!G382</f>
        <v>0.43366363636363636</v>
      </c>
      <c r="P91" s="8">
        <v>44287</v>
      </c>
      <c r="Q91" s="9">
        <f t="shared" si="10"/>
        <v>-5.0000000000000266E-2</v>
      </c>
      <c r="R91" s="9">
        <f t="shared" si="4"/>
        <v>-0.16999999999999993</v>
      </c>
      <c r="S91" s="9">
        <f t="shared" si="8"/>
        <v>-1</v>
      </c>
      <c r="U91" s="8">
        <v>46113</v>
      </c>
      <c r="V91" s="10">
        <f>'[2]Daily fcst'!L48</f>
        <v>3.5</v>
      </c>
      <c r="W91" s="11">
        <f>W90+(W92-W89)*1/3</f>
        <v>5.4675726666666673</v>
      </c>
      <c r="X91" s="11">
        <f t="shared" ref="X91" si="18">X90+(X92-X89)*1/3</f>
        <v>3.8902566666666667</v>
      </c>
    </row>
    <row r="92" spans="1:24" x14ac:dyDescent="0.35">
      <c r="A92" s="8">
        <v>44317</v>
      </c>
      <c r="B92" s="9">
        <f>HAVERM!B383</f>
        <v>3.61</v>
      </c>
      <c r="C92" s="9">
        <f>HAVERM!C383</f>
        <v>1.47</v>
      </c>
      <c r="D92" s="9">
        <f>HAVERM!D383</f>
        <v>1.68</v>
      </c>
      <c r="H92" s="9">
        <f t="shared" si="9"/>
        <v>3.51</v>
      </c>
      <c r="I92" s="9">
        <f t="shared" si="9"/>
        <v>1.3355999999999999</v>
      </c>
      <c r="J92" s="9">
        <f t="shared" si="9"/>
        <v>1.2162999999999999</v>
      </c>
      <c r="L92" s="9">
        <f>HAVERM!E383</f>
        <v>0.10000000000000002</v>
      </c>
      <c r="M92" s="9">
        <f>HAVERM!F383</f>
        <v>0.13439999999999999</v>
      </c>
      <c r="N92" s="9">
        <f>HAVERM!G383</f>
        <v>0.46369999999999995</v>
      </c>
      <c r="P92" s="8">
        <v>44317</v>
      </c>
      <c r="Q92" s="9">
        <f t="shared" si="10"/>
        <v>-4.0000000000000036E-2</v>
      </c>
      <c r="R92" s="9">
        <f t="shared" ref="R92:R134" si="19">C92-C68</f>
        <v>-0.17999999999999994</v>
      </c>
      <c r="S92" s="9">
        <f t="shared" si="8"/>
        <v>-0.96000000000000019</v>
      </c>
      <c r="U92" s="8">
        <v>46143</v>
      </c>
      <c r="V92" s="10">
        <f>'[2]Daily fcst'!L49</f>
        <v>3.2976190476190474</v>
      </c>
      <c r="W92" s="10">
        <f>Data!H220</f>
        <v>5.398326</v>
      </c>
      <c r="X92" s="10">
        <f>Data!G220</f>
        <v>3.8953850000000001</v>
      </c>
    </row>
    <row r="93" spans="1:24" x14ac:dyDescent="0.35">
      <c r="A93" s="8">
        <v>44348</v>
      </c>
      <c r="B93" s="9">
        <f>HAVERM!B384</f>
        <v>3.61</v>
      </c>
      <c r="C93" s="9">
        <f>HAVERM!C384</f>
        <v>1.39</v>
      </c>
      <c r="D93" s="9">
        <f>HAVERM!D384</f>
        <v>1.6</v>
      </c>
      <c r="H93" s="9">
        <f t="shared" si="9"/>
        <v>3.51</v>
      </c>
      <c r="I93" s="9">
        <f t="shared" si="9"/>
        <v>1.2148727272727271</v>
      </c>
      <c r="J93" s="9">
        <f t="shared" si="9"/>
        <v>1.1281045454545455</v>
      </c>
      <c r="L93" s="9">
        <f>HAVERM!E384</f>
        <v>0.10000000000000003</v>
      </c>
      <c r="M93" s="9">
        <f>HAVERM!F384</f>
        <v>0.17512727272727277</v>
      </c>
      <c r="N93" s="9">
        <f>HAVERM!G384</f>
        <v>0.47189545454545456</v>
      </c>
      <c r="P93" s="8">
        <v>44348</v>
      </c>
      <c r="Q93" s="9">
        <f t="shared" si="10"/>
        <v>-4.0000000000000036E-2</v>
      </c>
      <c r="R93" s="9">
        <f t="shared" si="19"/>
        <v>-0.25</v>
      </c>
      <c r="S93" s="9">
        <f t="shared" si="8"/>
        <v>-0.94</v>
      </c>
      <c r="U93" s="8">
        <v>46174</v>
      </c>
      <c r="V93" s="10">
        <f>'[2]Daily fcst'!L50</f>
        <v>3.25</v>
      </c>
      <c r="W93" s="11">
        <f>W92+(W95-W92)*1/3</f>
        <v>5.3491373333333332</v>
      </c>
      <c r="X93" s="11">
        <f t="shared" ref="X93" si="20">X92+(X95-X92)*1/3</f>
        <v>3.9116173333333335</v>
      </c>
    </row>
    <row r="94" spans="1:24" x14ac:dyDescent="0.35">
      <c r="A94" s="8">
        <v>44378</v>
      </c>
      <c r="B94" s="9">
        <f>HAVERM!B385</f>
        <v>3.61</v>
      </c>
      <c r="C94" s="9">
        <f>HAVERM!C385</f>
        <v>1.29</v>
      </c>
      <c r="D94" s="9">
        <f>HAVERM!D385</f>
        <v>1.45</v>
      </c>
      <c r="H94" s="9">
        <f t="shared" si="9"/>
        <v>3.51</v>
      </c>
      <c r="I94" s="9">
        <f t="shared" si="9"/>
        <v>1.0817272727272726</v>
      </c>
      <c r="J94" s="9">
        <f t="shared" si="9"/>
        <v>1.0199272727272726</v>
      </c>
      <c r="L94" s="9">
        <f>HAVERM!E385</f>
        <v>0.10000000000000003</v>
      </c>
      <c r="M94" s="9">
        <f>HAVERM!F385</f>
        <v>0.20827272727272728</v>
      </c>
      <c r="N94" s="9">
        <f>HAVERM!G385</f>
        <v>0.43007272727272733</v>
      </c>
      <c r="P94" s="8">
        <v>44378</v>
      </c>
      <c r="Q94" s="9">
        <f t="shared" si="10"/>
        <v>-5.0000000000000266E-2</v>
      </c>
      <c r="R94" s="9">
        <f t="shared" si="19"/>
        <v>-0.32000000000000006</v>
      </c>
      <c r="S94" s="9">
        <f t="shared" si="8"/>
        <v>-1.0599999999999998</v>
      </c>
      <c r="U94" s="8">
        <v>46204</v>
      </c>
      <c r="V94" s="10">
        <f>'[2]Daily fcst'!L51</f>
        <v>3.25</v>
      </c>
      <c r="W94" s="11">
        <f>W93+(W95-W92)*1/3</f>
        <v>5.2999486666666664</v>
      </c>
      <c r="X94" s="11">
        <f t="shared" ref="X94" si="21">X93+(X95-X92)*1/3</f>
        <v>3.9278496666666669</v>
      </c>
    </row>
    <row r="95" spans="1:24" x14ac:dyDescent="0.35">
      <c r="A95" s="8">
        <v>44409</v>
      </c>
      <c r="B95" s="9">
        <f>HAVERM!B386</f>
        <v>3.61</v>
      </c>
      <c r="C95" s="9">
        <f>HAVERM!C386</f>
        <v>1.23</v>
      </c>
      <c r="D95" s="9">
        <f>HAVERM!D386</f>
        <v>1.39</v>
      </c>
      <c r="H95" s="9">
        <f t="shared" si="9"/>
        <v>3.51</v>
      </c>
      <c r="I95" s="9">
        <f t="shared" si="9"/>
        <v>0.96960454545454544</v>
      </c>
      <c r="J95" s="9">
        <f t="shared" si="9"/>
        <v>0.95339545454545438</v>
      </c>
      <c r="L95" s="9">
        <f>HAVERM!E386</f>
        <v>0.10000000000000003</v>
      </c>
      <c r="M95" s="9">
        <f>HAVERM!F386</f>
        <v>0.26039545454545454</v>
      </c>
      <c r="N95" s="9">
        <f>HAVERM!G386</f>
        <v>0.43660454545454552</v>
      </c>
      <c r="P95" s="8">
        <v>44409</v>
      </c>
      <c r="Q95" s="9">
        <f t="shared" si="10"/>
        <v>-4.0000000000000036E-2</v>
      </c>
      <c r="R95" s="9">
        <f t="shared" si="19"/>
        <v>-0.3600000000000001</v>
      </c>
      <c r="S95" s="9">
        <f t="shared" si="8"/>
        <v>-1.0000000000000002</v>
      </c>
      <c r="U95" s="8">
        <v>46235</v>
      </c>
      <c r="V95" s="10">
        <f>'[2]Daily fcst'!L52</f>
        <v>3.25</v>
      </c>
      <c r="W95" s="10">
        <f>Data!H221</f>
        <v>5.2507599999999996</v>
      </c>
      <c r="X95" s="10">
        <f>Data!G221</f>
        <v>3.9440819999999999</v>
      </c>
    </row>
    <row r="96" spans="1:24" x14ac:dyDescent="0.35">
      <c r="A96" s="8">
        <v>44440</v>
      </c>
      <c r="B96" s="9">
        <f>HAVERM!B387</f>
        <v>3.61</v>
      </c>
      <c r="C96" s="9">
        <f>HAVERM!C387</f>
        <v>1.2</v>
      </c>
      <c r="D96" s="9">
        <f>HAVERM!D387</f>
        <v>1.28</v>
      </c>
      <c r="H96" s="9">
        <f t="shared" si="9"/>
        <v>3.51</v>
      </c>
      <c r="I96" s="9">
        <f t="shared" si="9"/>
        <v>0.84570454545454532</v>
      </c>
      <c r="J96" s="9">
        <f t="shared" si="9"/>
        <v>0.70779999999999998</v>
      </c>
      <c r="L96" s="9">
        <f>HAVERM!E387</f>
        <v>0.10000000000000003</v>
      </c>
      <c r="M96" s="9">
        <f>HAVERM!F387</f>
        <v>0.35429545454545458</v>
      </c>
      <c r="N96" s="9">
        <f>HAVERM!G387</f>
        <v>0.57220000000000004</v>
      </c>
      <c r="P96" s="8">
        <v>44440</v>
      </c>
      <c r="Q96" s="9">
        <f t="shared" si="10"/>
        <v>-4.0000000000000036E-2</v>
      </c>
      <c r="R96" s="9">
        <f t="shared" si="19"/>
        <v>-0.35000000000000009</v>
      </c>
      <c r="S96" s="9">
        <f t="shared" si="8"/>
        <v>-1.0599999999999998</v>
      </c>
      <c r="U96" s="8">
        <v>46266</v>
      </c>
      <c r="V96" s="10">
        <f>'[2]Daily fcst'!L53</f>
        <v>3.25</v>
      </c>
      <c r="W96" s="11">
        <f>W95+(W98-W95)*1/3</f>
        <v>5.1949930000000002</v>
      </c>
      <c r="X96" s="11">
        <f t="shared" ref="X96" si="22">X95+(X98-X95)*1/3</f>
        <v>3.9594679999999998</v>
      </c>
    </row>
    <row r="97" spans="1:24" x14ac:dyDescent="0.35">
      <c r="A97" s="8">
        <v>44470</v>
      </c>
      <c r="B97" s="9">
        <f>HAVERM!B388</f>
        <v>3.6</v>
      </c>
      <c r="C97" s="9">
        <f>HAVERM!C388</f>
        <v>1.29</v>
      </c>
      <c r="D97" s="9">
        <f>HAVERM!D388</f>
        <v>1.3</v>
      </c>
      <c r="E97" s="9"/>
      <c r="H97" s="9">
        <f t="shared" si="9"/>
        <v>3.5</v>
      </c>
      <c r="I97" s="9">
        <f t="shared" si="9"/>
        <v>0.51142857142857157</v>
      </c>
      <c r="J97" s="9">
        <f t="shared" si="9"/>
        <v>0.39312857142857149</v>
      </c>
      <c r="L97" s="9">
        <f>HAVERM!E388</f>
        <v>0.10000000000000002</v>
      </c>
      <c r="M97" s="9">
        <f>HAVERM!F388</f>
        <v>0.77857142857142847</v>
      </c>
      <c r="N97" s="9">
        <f>HAVERM!G388</f>
        <v>0.90687142857142855</v>
      </c>
      <c r="P97" s="8">
        <v>44470</v>
      </c>
      <c r="Q97" s="9">
        <f t="shared" si="10"/>
        <v>-4.0000000000000036E-2</v>
      </c>
      <c r="R97" s="9">
        <f t="shared" si="19"/>
        <v>-0.17999999999999994</v>
      </c>
      <c r="S97" s="9">
        <f t="shared" si="8"/>
        <v>-0.97</v>
      </c>
      <c r="U97" s="8">
        <v>46296</v>
      </c>
      <c r="V97" s="10">
        <f>'[2]Daily fcst'!L54</f>
        <v>3.25</v>
      </c>
      <c r="W97" s="11">
        <f>W96+(W98-W95)*1/3</f>
        <v>5.1392260000000007</v>
      </c>
      <c r="X97" s="11">
        <f t="shared" ref="X97" si="23">X96+(X98-X95)*1/3</f>
        <v>3.9748539999999997</v>
      </c>
    </row>
    <row r="98" spans="1:24" x14ac:dyDescent="0.35">
      <c r="A98" s="8">
        <v>44501</v>
      </c>
      <c r="B98" s="9">
        <f>HAVERM!B389</f>
        <v>3.59</v>
      </c>
      <c r="C98" s="9">
        <f>HAVERM!C389</f>
        <v>1.53</v>
      </c>
      <c r="D98" s="9">
        <f>HAVERM!D389</f>
        <v>1.52</v>
      </c>
      <c r="E98" s="9"/>
      <c r="H98" s="9">
        <f t="shared" si="9"/>
        <v>3.4899999999999998</v>
      </c>
      <c r="I98" s="9">
        <f t="shared" si="9"/>
        <v>0.63360909090909101</v>
      </c>
      <c r="J98" s="9">
        <f t="shared" si="9"/>
        <v>0.53602727272727257</v>
      </c>
      <c r="L98" s="9">
        <f>HAVERM!E389</f>
        <v>0.10000000000000003</v>
      </c>
      <c r="M98" s="9">
        <f>HAVERM!F389</f>
        <v>0.89639090909090902</v>
      </c>
      <c r="N98" s="9">
        <f>HAVERM!G389</f>
        <v>0.98397272727272744</v>
      </c>
      <c r="P98" s="8">
        <v>44501</v>
      </c>
      <c r="Q98" s="9">
        <f t="shared" si="10"/>
        <v>-3.0000000000000249E-2</v>
      </c>
      <c r="R98" s="9">
        <f t="shared" si="19"/>
        <v>0.12000000000000011</v>
      </c>
      <c r="S98" s="9">
        <f t="shared" si="8"/>
        <v>-0.73</v>
      </c>
      <c r="U98" s="8">
        <v>46327</v>
      </c>
      <c r="V98" s="10">
        <f>'[2]Daily fcst'!L55</f>
        <v>3.0357142857142856</v>
      </c>
      <c r="W98" s="10">
        <f>Data!H222</f>
        <v>5.0834590000000004</v>
      </c>
      <c r="X98" s="10">
        <f>Data!G222</f>
        <v>3.99024</v>
      </c>
    </row>
    <row r="99" spans="1:24" x14ac:dyDescent="0.35">
      <c r="A99" s="8">
        <v>44531</v>
      </c>
      <c r="B99" s="9">
        <f>HAVERM!B390</f>
        <v>3.61</v>
      </c>
      <c r="C99" s="9">
        <f>HAVERM!C390</f>
        <v>1.57</v>
      </c>
      <c r="D99" s="9">
        <f>HAVERM!D390</f>
        <v>1.59</v>
      </c>
      <c r="E99" s="9"/>
      <c r="H99" s="9">
        <f t="shared" si="9"/>
        <v>3.4317391304347824</v>
      </c>
      <c r="I99" s="9">
        <f t="shared" si="9"/>
        <v>0.6703782608695652</v>
      </c>
      <c r="J99" s="9">
        <f t="shared" si="9"/>
        <v>0.65821739130434787</v>
      </c>
      <c r="L99" s="9">
        <f>HAVERM!E390</f>
        <v>0.17826086956521739</v>
      </c>
      <c r="M99" s="9">
        <f>HAVERM!F390</f>
        <v>0.89962173913043486</v>
      </c>
      <c r="N99" s="9">
        <f>HAVERM!G390</f>
        <v>0.93178260869565221</v>
      </c>
      <c r="P99" s="8">
        <v>44531</v>
      </c>
      <c r="Q99" s="9">
        <f t="shared" si="10"/>
        <v>-1.0000000000000231E-2</v>
      </c>
      <c r="R99" s="9">
        <f t="shared" si="19"/>
        <v>0.15000000000000013</v>
      </c>
      <c r="S99" s="9">
        <f t="shared" si="8"/>
        <v>-0.66999999999999971</v>
      </c>
      <c r="U99" s="8">
        <v>46357</v>
      </c>
      <c r="V99" s="10">
        <f>'[2]Daily fcst'!L56</f>
        <v>3</v>
      </c>
      <c r="W99" s="11">
        <f>W98+(W101-W98)*1/3</f>
        <v>5.0368640000000005</v>
      </c>
      <c r="X99" s="11">
        <f t="shared" ref="X99" si="24">X98+(X101-X98)*1/3</f>
        <v>4.0005829999999998</v>
      </c>
    </row>
    <row r="100" spans="1:24" x14ac:dyDescent="0.35">
      <c r="A100" s="8">
        <v>44562</v>
      </c>
      <c r="B100" s="9">
        <f>HAVERM!B391</f>
        <v>3.67</v>
      </c>
      <c r="C100" s="9">
        <f>HAVERM!C391</f>
        <v>1.64</v>
      </c>
      <c r="D100" s="9">
        <f>HAVERM!D391</f>
        <v>1.63</v>
      </c>
      <c r="E100" s="9">
        <v>100</v>
      </c>
      <c r="H100" s="9">
        <f t="shared" ref="H100:J123" si="25">B100-L100</f>
        <v>3.42</v>
      </c>
      <c r="I100" s="9">
        <f t="shared" si="25"/>
        <v>0.50936666666666675</v>
      </c>
      <c r="J100" s="9">
        <f t="shared" si="25"/>
        <v>0.44407142857142845</v>
      </c>
      <c r="L100" s="9">
        <f>HAVERM!E391</f>
        <v>0.25</v>
      </c>
      <c r="M100" s="9">
        <f>HAVERM!F391</f>
        <v>1.1306333333333332</v>
      </c>
      <c r="N100" s="9">
        <f>HAVERM!G391</f>
        <v>1.1859285714285714</v>
      </c>
      <c r="P100" s="8">
        <v>44562</v>
      </c>
      <c r="Q100" s="9">
        <f t="shared" si="10"/>
        <v>4.9999999999999822E-2</v>
      </c>
      <c r="R100" s="9">
        <f t="shared" si="19"/>
        <v>0.22999999999999998</v>
      </c>
      <c r="S100" s="9">
        <f t="shared" si="8"/>
        <v>-0.5900000000000003</v>
      </c>
      <c r="W100" s="11">
        <f>W99+(W101-W98)*1/3</f>
        <v>4.9902690000000005</v>
      </c>
      <c r="X100" s="11">
        <f t="shared" ref="X100" si="26">X99+(X101-X98)*1/3</f>
        <v>4.0109259999999995</v>
      </c>
    </row>
    <row r="101" spans="1:24" x14ac:dyDescent="0.35">
      <c r="A101" s="8">
        <v>44593</v>
      </c>
      <c r="B101" s="9">
        <f>HAVERM!B392</f>
        <v>3.84</v>
      </c>
      <c r="C101" s="9">
        <f>HAVERM!C392</f>
        <v>1.78</v>
      </c>
      <c r="D101" s="9">
        <f>HAVERM!D392</f>
        <v>1.79</v>
      </c>
      <c r="E101" s="9">
        <v>100</v>
      </c>
      <c r="H101" s="9">
        <f t="shared" si="25"/>
        <v>3.3649999999999998</v>
      </c>
      <c r="I101" s="9">
        <f t="shared" si="25"/>
        <v>0.12531500000000007</v>
      </c>
      <c r="J101" s="9">
        <f t="shared" si="25"/>
        <v>0.20478499999999999</v>
      </c>
      <c r="L101" s="9">
        <f>HAVERM!E392</f>
        <v>0.47499999999999998</v>
      </c>
      <c r="M101" s="9">
        <f>HAVERM!F392</f>
        <v>1.654685</v>
      </c>
      <c r="N101" s="9">
        <f>HAVERM!G392</f>
        <v>1.585215</v>
      </c>
      <c r="P101" s="8">
        <v>44593</v>
      </c>
      <c r="Q101" s="9">
        <f t="shared" si="10"/>
        <v>0.21999999999999975</v>
      </c>
      <c r="R101" s="9">
        <f t="shared" si="19"/>
        <v>0.38000000000000012</v>
      </c>
      <c r="S101" s="9">
        <f t="shared" si="8"/>
        <v>-0.41000000000000014</v>
      </c>
      <c r="W101" s="10">
        <f>Data!H223</f>
        <v>4.9436739999999997</v>
      </c>
      <c r="X101" s="10">
        <f>Data!G223</f>
        <v>4.0212690000000002</v>
      </c>
    </row>
    <row r="102" spans="1:24" x14ac:dyDescent="0.35">
      <c r="A102" s="8">
        <v>44621</v>
      </c>
      <c r="B102" s="9">
        <f>HAVERM!B393</f>
        <v>3.99</v>
      </c>
      <c r="C102" s="9">
        <f>HAVERM!C393</f>
        <v>2.14</v>
      </c>
      <c r="D102" s="9">
        <f>HAVERM!D393</f>
        <v>2.11</v>
      </c>
      <c r="E102" s="9">
        <v>100</v>
      </c>
      <c r="H102" s="9">
        <f t="shared" si="25"/>
        <v>3.370434782608696</v>
      </c>
      <c r="I102" s="9">
        <f t="shared" si="25"/>
        <v>0.26233478260869592</v>
      </c>
      <c r="J102" s="9">
        <f t="shared" si="25"/>
        <v>0.34684347826086959</v>
      </c>
      <c r="L102" s="9">
        <f>HAVERM!E393</f>
        <v>0.61956521739130432</v>
      </c>
      <c r="M102" s="9">
        <f>HAVERM!F393</f>
        <v>1.8776652173913042</v>
      </c>
      <c r="N102" s="9">
        <f>HAVERM!G393</f>
        <v>1.7631565217391303</v>
      </c>
      <c r="P102" s="8">
        <v>44621</v>
      </c>
      <c r="Q102" s="9">
        <f t="shared" si="10"/>
        <v>0.37000000000000011</v>
      </c>
      <c r="R102" s="9">
        <f t="shared" si="19"/>
        <v>0.74000000000000021</v>
      </c>
      <c r="S102" s="9">
        <f t="shared" si="8"/>
        <v>-4.0000000000000036E-2</v>
      </c>
    </row>
    <row r="103" spans="1:24" x14ac:dyDescent="0.35">
      <c r="A103" s="8">
        <v>44652</v>
      </c>
      <c r="B103" s="9">
        <f>HAVERM!B394</f>
        <v>4.1100000000000003</v>
      </c>
      <c r="C103" s="9">
        <f>HAVERM!C394</f>
        <v>2.35</v>
      </c>
      <c r="D103" s="9">
        <f>HAVERM!D394</f>
        <v>2.35</v>
      </c>
      <c r="E103" s="9">
        <v>100</v>
      </c>
      <c r="H103" s="9">
        <f t="shared" si="25"/>
        <v>3.3600000000000003</v>
      </c>
      <c r="I103" s="9">
        <f t="shared" si="25"/>
        <v>0.19494761904761937</v>
      </c>
      <c r="J103" s="9">
        <f t="shared" si="25"/>
        <v>0.29374285714285664</v>
      </c>
      <c r="L103" s="9">
        <f>HAVERM!E394</f>
        <v>0.75</v>
      </c>
      <c r="M103" s="9">
        <f>HAVERM!F394</f>
        <v>2.1550523809523807</v>
      </c>
      <c r="N103" s="9">
        <f>HAVERM!G394</f>
        <v>2.0562571428571434</v>
      </c>
      <c r="P103" s="8">
        <v>44652</v>
      </c>
      <c r="Q103" s="9">
        <f t="shared" si="10"/>
        <v>0.50000000000000044</v>
      </c>
      <c r="R103" s="9">
        <f t="shared" si="19"/>
        <v>0.9700000000000002</v>
      </c>
      <c r="S103" s="9">
        <f t="shared" si="8"/>
        <v>0.26000000000000023</v>
      </c>
    </row>
    <row r="104" spans="1:24" x14ac:dyDescent="0.35">
      <c r="A104" s="8">
        <v>44682</v>
      </c>
      <c r="B104" s="9">
        <f>HAVERM!B395</f>
        <v>4.26</v>
      </c>
      <c r="C104" s="9">
        <f>HAVERM!C395</f>
        <v>2.63</v>
      </c>
      <c r="D104" s="9">
        <f>HAVERM!D395</f>
        <v>2.62</v>
      </c>
      <c r="E104" s="9">
        <v>100</v>
      </c>
      <c r="H104" s="9">
        <f t="shared" si="25"/>
        <v>3.294090909090909</v>
      </c>
      <c r="I104" s="9">
        <f t="shared" si="25"/>
        <v>0.4451227272727265</v>
      </c>
      <c r="J104" s="9">
        <f t="shared" si="25"/>
        <v>0.52685000000000004</v>
      </c>
      <c r="L104" s="9">
        <f>HAVERM!E395</f>
        <v>0.96590909090909094</v>
      </c>
      <c r="M104" s="9">
        <f>HAVERM!F395</f>
        <v>2.1848772727272734</v>
      </c>
      <c r="N104" s="9">
        <f>HAVERM!G395</f>
        <v>2.0931500000000001</v>
      </c>
      <c r="P104" s="8">
        <v>44682</v>
      </c>
      <c r="Q104" s="9">
        <f t="shared" si="10"/>
        <v>0.64999999999999991</v>
      </c>
      <c r="R104" s="9">
        <f t="shared" si="19"/>
        <v>1.21</v>
      </c>
      <c r="S104" s="9">
        <f t="shared" si="8"/>
        <v>0.5900000000000003</v>
      </c>
    </row>
    <row r="105" spans="1:24" x14ac:dyDescent="0.35">
      <c r="A105" s="8">
        <v>44713</v>
      </c>
      <c r="B105" s="9">
        <f>HAVERM!B396</f>
        <v>4.3899999999999997</v>
      </c>
      <c r="C105" s="9">
        <f>HAVERM!C396</f>
        <v>2.87</v>
      </c>
      <c r="D105" s="9">
        <f>HAVERM!D396</f>
        <v>2.9</v>
      </c>
      <c r="E105" s="9">
        <v>100</v>
      </c>
      <c r="H105" s="9">
        <f t="shared" si="25"/>
        <v>3.2649999999999997</v>
      </c>
      <c r="I105" s="9">
        <f t="shared" si="25"/>
        <v>9.8968181818182011E-2</v>
      </c>
      <c r="J105" s="9">
        <f t="shared" si="25"/>
        <v>0.26043181818181838</v>
      </c>
      <c r="L105" s="9">
        <f>HAVERM!E396</f>
        <v>1.125</v>
      </c>
      <c r="M105" s="9">
        <f>HAVERM!F396</f>
        <v>2.7710318181818181</v>
      </c>
      <c r="N105" s="9">
        <f>HAVERM!G396</f>
        <v>2.6395681818181815</v>
      </c>
      <c r="P105" s="8">
        <v>44713</v>
      </c>
      <c r="Q105" s="9">
        <f t="shared" si="10"/>
        <v>0.7799999999999998</v>
      </c>
      <c r="R105" s="9">
        <f t="shared" si="19"/>
        <v>1.4600000000000002</v>
      </c>
      <c r="S105" s="9">
        <f t="shared" si="8"/>
        <v>0.90999999999999992</v>
      </c>
    </row>
    <row r="106" spans="1:24" x14ac:dyDescent="0.35">
      <c r="A106" s="8">
        <v>44743</v>
      </c>
      <c r="B106" s="9">
        <f>HAVERM!B397</f>
        <v>4.55</v>
      </c>
      <c r="C106" s="9">
        <f>HAVERM!C397</f>
        <v>3.48</v>
      </c>
      <c r="D106" s="9">
        <f>HAVERM!D397</f>
        <v>3.43</v>
      </c>
      <c r="E106" s="9">
        <v>100</v>
      </c>
      <c r="H106" s="9">
        <f t="shared" si="25"/>
        <v>3.3</v>
      </c>
      <c r="I106" s="9">
        <f t="shared" si="25"/>
        <v>0.83590476190476171</v>
      </c>
      <c r="J106" s="9">
        <f t="shared" si="25"/>
        <v>1.0384238095238092</v>
      </c>
      <c r="L106" s="9">
        <f>HAVERM!E397</f>
        <v>1.25</v>
      </c>
      <c r="M106" s="9">
        <f>HAVERM!F397</f>
        <v>2.6440952380952383</v>
      </c>
      <c r="N106" s="9">
        <f>HAVERM!G397</f>
        <v>2.391576190476191</v>
      </c>
      <c r="P106" s="8">
        <v>44743</v>
      </c>
      <c r="Q106" s="9">
        <f t="shared" si="10"/>
        <v>0.94</v>
      </c>
      <c r="R106" s="9">
        <f t="shared" si="19"/>
        <v>2.0300000000000002</v>
      </c>
      <c r="S106" s="9">
        <f t="shared" si="8"/>
        <v>1.4600000000000002</v>
      </c>
    </row>
    <row r="107" spans="1:24" x14ac:dyDescent="0.35">
      <c r="A107" s="8">
        <v>44774</v>
      </c>
      <c r="B107" s="9">
        <f>HAVERM!B398</f>
        <v>4.88</v>
      </c>
      <c r="C107" s="9">
        <f>HAVERM!C398</f>
        <v>3.6</v>
      </c>
      <c r="D107" s="9">
        <f>HAVERM!D398</f>
        <v>3.61</v>
      </c>
      <c r="E107" s="9">
        <v>100</v>
      </c>
      <c r="H107" s="9">
        <f t="shared" si="25"/>
        <v>3.1952173913043476</v>
      </c>
      <c r="I107" s="9">
        <f t="shared" si="25"/>
        <v>0.40231304347826136</v>
      </c>
      <c r="J107" s="9">
        <f t="shared" si="25"/>
        <v>0.84390869565217397</v>
      </c>
      <c r="L107" s="9">
        <f>HAVERM!E398</f>
        <v>1.6847826086956521</v>
      </c>
      <c r="M107" s="9">
        <f>HAVERM!F398</f>
        <v>3.1976869565217387</v>
      </c>
      <c r="N107" s="9">
        <f>HAVERM!G398</f>
        <v>2.7660913043478259</v>
      </c>
      <c r="P107" s="8">
        <v>44774</v>
      </c>
      <c r="Q107" s="9">
        <f t="shared" si="10"/>
        <v>1.27</v>
      </c>
      <c r="R107" s="9">
        <f t="shared" si="19"/>
        <v>2</v>
      </c>
      <c r="S107" s="9">
        <f t="shared" si="8"/>
        <v>1.65</v>
      </c>
    </row>
    <row r="108" spans="1:24" x14ac:dyDescent="0.35">
      <c r="A108" s="8">
        <v>44805</v>
      </c>
      <c r="B108" s="9">
        <f>HAVERM!B399</f>
        <v>5.0999999999999996</v>
      </c>
      <c r="C108" s="9">
        <f>HAVERM!C399</f>
        <v>4.17</v>
      </c>
      <c r="D108" s="9">
        <f>HAVERM!D399</f>
        <v>3.97</v>
      </c>
      <c r="E108" s="9">
        <v>100</v>
      </c>
      <c r="H108" s="9">
        <f t="shared" si="25"/>
        <v>3.1909090909090905</v>
      </c>
      <c r="I108" s="9">
        <f t="shared" si="25"/>
        <v>-0.29443636363636383</v>
      </c>
      <c r="J108" s="9">
        <f t="shared" si="25"/>
        <v>-4.5904545454545254E-2</v>
      </c>
      <c r="L108" s="9">
        <f>HAVERM!E399</f>
        <v>1.9090909090909092</v>
      </c>
      <c r="M108" s="9">
        <f>HAVERM!F399</f>
        <v>4.4644363636363638</v>
      </c>
      <c r="N108" s="9">
        <f>HAVERM!G399</f>
        <v>4.0159045454545454</v>
      </c>
      <c r="P108" s="8">
        <v>44805</v>
      </c>
      <c r="Q108" s="9">
        <f t="shared" si="10"/>
        <v>1.4899999999999998</v>
      </c>
      <c r="R108" s="9">
        <f t="shared" si="19"/>
        <v>2.42</v>
      </c>
      <c r="S108" s="9">
        <f t="shared" si="8"/>
        <v>2.0700000000000003</v>
      </c>
    </row>
    <row r="109" spans="1:24" x14ac:dyDescent="0.35">
      <c r="A109" s="8">
        <v>44835</v>
      </c>
      <c r="B109" s="9">
        <f>HAVERM!B400</f>
        <v>5.42</v>
      </c>
      <c r="C109" s="9">
        <f>HAVERM!C400</f>
        <v>5.99</v>
      </c>
      <c r="D109" s="9">
        <f>HAVERM!D400</f>
        <v>5.61</v>
      </c>
      <c r="E109" s="9">
        <v>100</v>
      </c>
      <c r="H109" s="9">
        <f t="shared" si="25"/>
        <v>3.17</v>
      </c>
      <c r="I109" s="9">
        <f t="shared" si="25"/>
        <v>1.0281999999999991</v>
      </c>
      <c r="J109" s="9">
        <f t="shared" si="25"/>
        <v>0.88082857142857129</v>
      </c>
      <c r="L109" s="9">
        <f>HAVERM!E400</f>
        <v>2.25</v>
      </c>
      <c r="M109" s="9">
        <f>HAVERM!F400</f>
        <v>4.9618000000000011</v>
      </c>
      <c r="N109" s="9">
        <f>HAVERM!G400</f>
        <v>4.729171428571429</v>
      </c>
      <c r="P109" s="8">
        <v>44835</v>
      </c>
      <c r="Q109" s="9">
        <f t="shared" si="10"/>
        <v>1.8199999999999998</v>
      </c>
      <c r="R109" s="9">
        <f t="shared" si="19"/>
        <v>4.0500000000000007</v>
      </c>
      <c r="S109" s="9">
        <f t="shared" si="8"/>
        <v>3.5700000000000003</v>
      </c>
    </row>
    <row r="110" spans="1:24" x14ac:dyDescent="0.35">
      <c r="A110" s="8">
        <v>44866</v>
      </c>
      <c r="B110" s="9">
        <f>HAVERM!B401</f>
        <v>5.87</v>
      </c>
      <c r="C110" s="9">
        <f>HAVERM!C401</f>
        <v>5.98</v>
      </c>
      <c r="D110" s="9">
        <f>HAVERM!D401</f>
        <v>5.5</v>
      </c>
      <c r="E110" s="9">
        <v>100</v>
      </c>
      <c r="H110" s="9">
        <f t="shared" si="25"/>
        <v>2.9381818181818184</v>
      </c>
      <c r="I110" s="9">
        <f t="shared" si="25"/>
        <v>1.6356272727272732</v>
      </c>
      <c r="J110" s="9">
        <f t="shared" si="25"/>
        <v>1.5627590909090912</v>
      </c>
      <c r="L110" s="9">
        <f>HAVERM!E401</f>
        <v>2.9318181818181817</v>
      </c>
      <c r="M110" s="9">
        <f>HAVERM!F401</f>
        <v>4.3443727272727273</v>
      </c>
      <c r="N110" s="9">
        <f>HAVERM!G401</f>
        <v>3.9372409090909088</v>
      </c>
      <c r="P110" s="8">
        <v>44866</v>
      </c>
      <c r="Q110" s="9">
        <f t="shared" si="10"/>
        <v>2.2800000000000002</v>
      </c>
      <c r="R110" s="9">
        <f t="shared" si="19"/>
        <v>4.0600000000000005</v>
      </c>
      <c r="S110" s="9">
        <f t="shared" si="8"/>
        <v>3.46</v>
      </c>
    </row>
    <row r="111" spans="1:24" x14ac:dyDescent="0.35">
      <c r="A111" s="8">
        <v>44896</v>
      </c>
      <c r="B111" s="9">
        <f>HAVERM!B402</f>
        <v>6.42</v>
      </c>
      <c r="C111" s="9">
        <f>HAVERM!C402</f>
        <v>5.43</v>
      </c>
      <c r="D111" s="9">
        <f>HAVERM!D402</f>
        <v>5.05</v>
      </c>
      <c r="E111" s="9">
        <v>100</v>
      </c>
      <c r="H111" s="9">
        <f t="shared" si="25"/>
        <v>3.147272727272727</v>
      </c>
      <c r="I111" s="9">
        <f t="shared" si="25"/>
        <v>1.055968181818181</v>
      </c>
      <c r="J111" s="9">
        <f t="shared" si="25"/>
        <v>1.1480681818181822</v>
      </c>
      <c r="L111" s="9">
        <f>HAVERM!E402</f>
        <v>3.2727272727272729</v>
      </c>
      <c r="M111" s="9">
        <f>HAVERM!F402</f>
        <v>4.3740318181818187</v>
      </c>
      <c r="N111" s="9">
        <f>HAVERM!G402</f>
        <v>3.9019318181818177</v>
      </c>
      <c r="P111" s="8">
        <v>44896</v>
      </c>
      <c r="Q111" s="9">
        <f t="shared" si="10"/>
        <v>2.81</v>
      </c>
      <c r="R111" s="9">
        <f t="shared" si="19"/>
        <v>3.5699999999999994</v>
      </c>
      <c r="S111" s="9">
        <f t="shared" si="8"/>
        <v>2.98</v>
      </c>
    </row>
    <row r="112" spans="1:24" x14ac:dyDescent="0.35">
      <c r="A112" s="8">
        <v>44927</v>
      </c>
      <c r="B112" s="9">
        <f>HAVERM!B403</f>
        <v>6.61</v>
      </c>
      <c r="C112" s="9">
        <f>HAVERM!C403</f>
        <v>5.14</v>
      </c>
      <c r="D112" s="9">
        <f>HAVERM!D403</f>
        <v>4.66</v>
      </c>
      <c r="H112" s="9">
        <f t="shared" si="25"/>
        <v>3.1100000000000003</v>
      </c>
      <c r="I112" s="9">
        <f t="shared" si="25"/>
        <v>0.9770590909090906</v>
      </c>
      <c r="J112" s="9">
        <f t="shared" si="25"/>
        <v>0.94867272727272711</v>
      </c>
      <c r="L112" s="9">
        <f>HAVERM!E403</f>
        <v>3.5</v>
      </c>
      <c r="M112" s="9">
        <f>HAVERM!F403</f>
        <v>4.1629409090909091</v>
      </c>
      <c r="N112" s="9">
        <f>HAVERM!G403</f>
        <v>3.711327272727273</v>
      </c>
      <c r="P112" s="8">
        <v>44927</v>
      </c>
      <c r="Q112" s="9">
        <f t="shared" si="10"/>
        <v>2.9400000000000004</v>
      </c>
      <c r="R112" s="9">
        <f t="shared" si="19"/>
        <v>3.3899999999999997</v>
      </c>
      <c r="S112" s="9">
        <f t="shared" si="8"/>
        <v>2.68</v>
      </c>
    </row>
    <row r="113" spans="1:19" x14ac:dyDescent="0.35">
      <c r="A113" s="8">
        <v>44958</v>
      </c>
      <c r="B113" s="9">
        <f>HAVERM!B404</f>
        <v>6.97</v>
      </c>
      <c r="C113" s="9">
        <f>HAVERM!C404</f>
        <v>4.79</v>
      </c>
      <c r="D113" s="9">
        <f>HAVERM!D404</f>
        <v>4.3600000000000003</v>
      </c>
      <c r="H113" s="9">
        <f t="shared" si="25"/>
        <v>2.9949999999999997</v>
      </c>
      <c r="I113" s="9">
        <f t="shared" si="25"/>
        <v>0.61070000000000046</v>
      </c>
      <c r="J113" s="9">
        <f t="shared" si="25"/>
        <v>0.63180500000000084</v>
      </c>
      <c r="L113" s="9">
        <f>HAVERM!E404</f>
        <v>3.9750000000000001</v>
      </c>
      <c r="M113" s="9">
        <f>HAVERM!F404</f>
        <v>4.1792999999999996</v>
      </c>
      <c r="N113" s="9">
        <f>HAVERM!G404</f>
        <v>3.7281949999999995</v>
      </c>
      <c r="P113" s="8">
        <v>44958</v>
      </c>
      <c r="Q113" s="9">
        <f t="shared" si="10"/>
        <v>3.13</v>
      </c>
      <c r="R113" s="9">
        <f t="shared" si="19"/>
        <v>3.1799999999999997</v>
      </c>
      <c r="S113" s="9">
        <f t="shared" si="8"/>
        <v>2.37</v>
      </c>
    </row>
    <row r="114" spans="1:19" x14ac:dyDescent="0.35">
      <c r="A114" s="8">
        <v>44986</v>
      </c>
      <c r="B114" s="9">
        <f>HAVERM!B405</f>
        <v>7.16</v>
      </c>
      <c r="C114" s="9">
        <f>HAVERM!C405</f>
        <v>4.74</v>
      </c>
      <c r="D114" s="9">
        <f>HAVERM!D405</f>
        <v>4.26</v>
      </c>
      <c r="H114" s="9">
        <f t="shared" si="25"/>
        <v>3.0839130434782609</v>
      </c>
      <c r="I114" s="9">
        <f t="shared" si="25"/>
        <v>0.4481869565217389</v>
      </c>
      <c r="J114" s="9">
        <f t="shared" si="25"/>
        <v>0.43181304347826011</v>
      </c>
      <c r="L114" s="9">
        <f>HAVERM!E405</f>
        <v>4.0760869565217392</v>
      </c>
      <c r="M114" s="9">
        <f>HAVERM!F405</f>
        <v>4.2918130434782613</v>
      </c>
      <c r="N114" s="9">
        <f>HAVERM!G405</f>
        <v>3.8281869565217397</v>
      </c>
      <c r="P114" s="8">
        <v>44986</v>
      </c>
      <c r="Q114" s="9">
        <f t="shared" si="10"/>
        <v>3.17</v>
      </c>
      <c r="R114" s="9">
        <f t="shared" si="19"/>
        <v>3.18</v>
      </c>
      <c r="S114" s="9">
        <f t="shared" si="8"/>
        <v>2.2399999999999998</v>
      </c>
    </row>
    <row r="115" spans="1:19" x14ac:dyDescent="0.35">
      <c r="A115" s="8">
        <v>45017</v>
      </c>
      <c r="B115" s="9">
        <f>HAVERM!B406</f>
        <v>7.3</v>
      </c>
      <c r="C115" s="9">
        <f>HAVERM!C406</f>
        <v>4.5999999999999996</v>
      </c>
      <c r="D115" s="9">
        <f>HAVERM!D406</f>
        <v>4.16</v>
      </c>
      <c r="H115" s="9">
        <f t="shared" si="25"/>
        <v>3.05</v>
      </c>
      <c r="I115" s="9">
        <f t="shared" si="25"/>
        <v>0.25405499999999925</v>
      </c>
      <c r="J115" s="9">
        <f t="shared" si="25"/>
        <v>0.30359999999999943</v>
      </c>
      <c r="L115" s="9">
        <f>HAVERM!E406</f>
        <v>4.25</v>
      </c>
      <c r="M115" s="9">
        <f>HAVERM!F406</f>
        <v>4.3459450000000004</v>
      </c>
      <c r="N115" s="9">
        <f>HAVERM!G406</f>
        <v>3.8564000000000007</v>
      </c>
      <c r="P115" s="8">
        <v>45017</v>
      </c>
      <c r="Q115" s="9">
        <f t="shared" si="10"/>
        <v>3.1899999999999995</v>
      </c>
      <c r="R115" s="9">
        <f t="shared" si="19"/>
        <v>3.1099999999999994</v>
      </c>
      <c r="S115" s="9">
        <f t="shared" si="8"/>
        <v>2.1500000000000004</v>
      </c>
    </row>
    <row r="116" spans="1:19" x14ac:dyDescent="0.35">
      <c r="A116" s="8">
        <v>45047</v>
      </c>
      <c r="B116" s="9">
        <f>HAVERM!B407</f>
        <v>7.38</v>
      </c>
      <c r="C116" s="9">
        <f>HAVERM!C407</f>
        <v>4.72</v>
      </c>
      <c r="D116" s="9">
        <f>HAVERM!D407</f>
        <v>4.28</v>
      </c>
      <c r="H116" s="9">
        <f t="shared" si="25"/>
        <v>2.9669565217391307</v>
      </c>
      <c r="I116" s="9">
        <f t="shared" si="25"/>
        <v>3.2291304347825012E-2</v>
      </c>
      <c r="J116" s="9">
        <f t="shared" si="25"/>
        <v>0.1096826086956515</v>
      </c>
      <c r="L116" s="9">
        <f>HAVERM!E407</f>
        <v>4.4130434782608692</v>
      </c>
      <c r="M116" s="9">
        <f>HAVERM!F407</f>
        <v>4.6877086956521747</v>
      </c>
      <c r="N116" s="9">
        <f>HAVERM!G407</f>
        <v>4.1703173913043488</v>
      </c>
      <c r="P116" s="8">
        <v>45047</v>
      </c>
      <c r="Q116" s="9">
        <f t="shared" si="10"/>
        <v>3.12</v>
      </c>
      <c r="R116" s="9">
        <f t="shared" si="19"/>
        <v>3.25</v>
      </c>
      <c r="S116" s="9">
        <f t="shared" si="8"/>
        <v>2.2200000000000002</v>
      </c>
    </row>
    <row r="117" spans="1:19" x14ac:dyDescent="0.35">
      <c r="A117" s="8">
        <v>45078</v>
      </c>
      <c r="B117" s="9">
        <f>HAVERM!B408</f>
        <v>7.47</v>
      </c>
      <c r="C117" s="9">
        <f>HAVERM!C408</f>
        <v>5.49</v>
      </c>
      <c r="D117" s="9">
        <f>HAVERM!D408</f>
        <v>4.95</v>
      </c>
      <c r="H117" s="9">
        <f t="shared" si="25"/>
        <v>2.8109090909090906</v>
      </c>
      <c r="I117" s="9">
        <f t="shared" si="25"/>
        <v>-3.707272727272759E-2</v>
      </c>
      <c r="J117" s="9">
        <f t="shared" si="25"/>
        <v>0.13845909090909103</v>
      </c>
      <c r="L117" s="9">
        <f>HAVERM!E408</f>
        <v>4.6590909090909092</v>
      </c>
      <c r="M117" s="9">
        <f>HAVERM!F408</f>
        <v>5.5270727272727278</v>
      </c>
      <c r="N117" s="9">
        <f>HAVERM!G408</f>
        <v>4.8115409090909091</v>
      </c>
      <c r="P117" s="8">
        <v>45078</v>
      </c>
      <c r="Q117" s="9">
        <f t="shared" si="10"/>
        <v>3.08</v>
      </c>
      <c r="R117" s="9">
        <f t="shared" si="19"/>
        <v>4.1000000000000005</v>
      </c>
      <c r="S117" s="9">
        <f t="shared" si="8"/>
        <v>2.9200000000000004</v>
      </c>
    </row>
    <row r="118" spans="1:19" x14ac:dyDescent="0.35">
      <c r="A118" s="8">
        <v>45108</v>
      </c>
      <c r="B118" s="9">
        <f>HAVERM!B409</f>
        <v>7.64</v>
      </c>
      <c r="C118" s="9">
        <f>HAVERM!C409</f>
        <v>6.22</v>
      </c>
      <c r="D118" s="9">
        <f>HAVERM!D409</f>
        <v>5.71</v>
      </c>
      <c r="H118" s="9">
        <f t="shared" si="25"/>
        <v>2.6399999999999997</v>
      </c>
      <c r="I118" s="9">
        <f t="shared" si="25"/>
        <v>0.37700476190476184</v>
      </c>
      <c r="J118" s="9">
        <f t="shared" si="25"/>
        <v>0.69453333333333322</v>
      </c>
      <c r="L118" s="9">
        <f>HAVERM!E409</f>
        <v>5</v>
      </c>
      <c r="M118" s="9">
        <f>HAVERM!F409</f>
        <v>5.8429952380952379</v>
      </c>
      <c r="N118" s="9">
        <f>HAVERM!G409</f>
        <v>5.0154666666666667</v>
      </c>
      <c r="P118" s="8">
        <v>45108</v>
      </c>
      <c r="Q118" s="9">
        <f t="shared" si="10"/>
        <v>3.09</v>
      </c>
      <c r="R118" s="9">
        <f t="shared" si="19"/>
        <v>4.93</v>
      </c>
      <c r="S118" s="9">
        <f t="shared" si="8"/>
        <v>3.67</v>
      </c>
    </row>
    <row r="119" spans="1:19" x14ac:dyDescent="0.35">
      <c r="A119" s="8">
        <v>45139</v>
      </c>
      <c r="B119" s="9">
        <f>HAVERM!B410</f>
        <v>7.91</v>
      </c>
      <c r="C119" s="9">
        <f>HAVERM!C410</f>
        <v>6.18</v>
      </c>
      <c r="D119" s="9">
        <f>HAVERM!D410</f>
        <v>5.53</v>
      </c>
      <c r="H119" s="9">
        <f t="shared" si="25"/>
        <v>2.6817391304347824</v>
      </c>
      <c r="I119" s="9">
        <f t="shared" si="25"/>
        <v>0.55060434782608514</v>
      </c>
      <c r="J119" s="9">
        <f t="shared" si="25"/>
        <v>0.60108695652174049</v>
      </c>
      <c r="L119" s="9">
        <f>HAVERM!E410</f>
        <v>5.2282608695652177</v>
      </c>
      <c r="M119" s="9">
        <f>HAVERM!F410</f>
        <v>5.6293956521739146</v>
      </c>
      <c r="N119" s="9">
        <f>HAVERM!G410</f>
        <v>4.9289130434782598</v>
      </c>
      <c r="P119" s="8">
        <v>45139</v>
      </c>
      <c r="Q119" s="9">
        <f t="shared" si="10"/>
        <v>3.0300000000000002</v>
      </c>
      <c r="R119" s="9">
        <f t="shared" si="19"/>
        <v>4.9499999999999993</v>
      </c>
      <c r="S119" s="9">
        <f t="shared" si="8"/>
        <v>3.5000000000000004</v>
      </c>
    </row>
    <row r="120" spans="1:19" x14ac:dyDescent="0.35">
      <c r="A120" s="8">
        <v>45170</v>
      </c>
      <c r="B120" s="9">
        <f>HAVERM!B411</f>
        <v>7.98</v>
      </c>
      <c r="C120" s="9">
        <f>HAVERM!C411</f>
        <v>5.91</v>
      </c>
      <c r="D120" s="9">
        <f>HAVERM!D411</f>
        <v>5.24</v>
      </c>
      <c r="H120" s="9">
        <f t="shared" si="25"/>
        <v>2.7300000000000004</v>
      </c>
      <c r="I120" s="9">
        <f t="shared" si="25"/>
        <v>0.614185714285715</v>
      </c>
      <c r="J120" s="9">
        <f t="shared" si="25"/>
        <v>0.58186666666666653</v>
      </c>
      <c r="L120" s="9">
        <f>HAVERM!E411</f>
        <v>5.25</v>
      </c>
      <c r="M120" s="9">
        <f>HAVERM!F411</f>
        <v>5.2958142857142851</v>
      </c>
      <c r="N120" s="9">
        <f>HAVERM!G411</f>
        <v>4.6581333333333337</v>
      </c>
      <c r="P120" s="8">
        <v>45170</v>
      </c>
      <c r="Q120" s="9">
        <f t="shared" si="10"/>
        <v>2.8800000000000008</v>
      </c>
      <c r="R120" s="9">
        <f t="shared" si="19"/>
        <v>4.71</v>
      </c>
      <c r="S120" s="9">
        <f t="shared" si="8"/>
        <v>3.2300000000000004</v>
      </c>
    </row>
    <row r="121" spans="1:19" x14ac:dyDescent="0.35">
      <c r="A121" s="8">
        <v>45200</v>
      </c>
      <c r="B121" s="9">
        <f>HAVERM!B412</f>
        <v>8.02</v>
      </c>
      <c r="C121" s="9">
        <f>HAVERM!C412</f>
        <v>5.6</v>
      </c>
      <c r="D121" s="9">
        <f>HAVERM!D412</f>
        <v>5.0199999999999996</v>
      </c>
      <c r="H121" s="9">
        <f t="shared" si="25"/>
        <v>2.7699999999999996</v>
      </c>
      <c r="I121" s="9">
        <f t="shared" si="25"/>
        <v>0.49028636363636302</v>
      </c>
      <c r="J121" s="9">
        <f t="shared" si="25"/>
        <v>0.40371818181818053</v>
      </c>
      <c r="L121" s="9">
        <f>HAVERM!E412</f>
        <v>5.25</v>
      </c>
      <c r="M121" s="9">
        <f>HAVERM!F412</f>
        <v>5.1097136363636366</v>
      </c>
      <c r="N121" s="9">
        <f>HAVERM!G412</f>
        <v>4.616281818181819</v>
      </c>
      <c r="P121" s="8">
        <v>45200</v>
      </c>
      <c r="Q121" s="9">
        <f t="shared" si="10"/>
        <v>2.5999999999999996</v>
      </c>
      <c r="R121" s="9">
        <f t="shared" si="19"/>
        <v>4.3099999999999996</v>
      </c>
      <c r="S121" s="9">
        <f t="shared" si="8"/>
        <v>2.9599999999999995</v>
      </c>
    </row>
    <row r="122" spans="1:19" x14ac:dyDescent="0.35">
      <c r="A122" s="8">
        <v>45231</v>
      </c>
      <c r="B122" s="9">
        <f>HAVERM!B413</f>
        <v>8</v>
      </c>
      <c r="C122" s="9">
        <f>HAVERM!C413</f>
        <v>5.28</v>
      </c>
      <c r="D122" s="9">
        <f>HAVERM!D413</f>
        <v>4.8899999999999997</v>
      </c>
      <c r="H122" s="9">
        <f t="shared" si="25"/>
        <v>2.75</v>
      </c>
      <c r="I122" s="9">
        <f t="shared" si="25"/>
        <v>0.47829090909090866</v>
      </c>
      <c r="J122" s="9">
        <f t="shared" si="25"/>
        <v>0.63816363636363516</v>
      </c>
      <c r="L122" s="9">
        <f>HAVERM!E413</f>
        <v>5.25</v>
      </c>
      <c r="M122" s="9">
        <f>HAVERM!F413</f>
        <v>4.8017090909090916</v>
      </c>
      <c r="N122" s="9">
        <f>HAVERM!G413</f>
        <v>4.2518363636363645</v>
      </c>
      <c r="P122" s="8">
        <v>45231</v>
      </c>
      <c r="Q122" s="9">
        <f t="shared" si="10"/>
        <v>2.13</v>
      </c>
      <c r="R122" s="9">
        <f t="shared" si="19"/>
        <v>3.75</v>
      </c>
      <c r="S122" s="9">
        <f t="shared" si="8"/>
        <v>2.8699999999999997</v>
      </c>
    </row>
    <row r="123" spans="1:19" x14ac:dyDescent="0.35">
      <c r="A123" s="8">
        <v>45261</v>
      </c>
      <c r="B123" s="9">
        <f>HAVERM!B414</f>
        <v>7.92</v>
      </c>
      <c r="C123" s="9">
        <f>HAVERM!C414</f>
        <v>5.03</v>
      </c>
      <c r="D123" s="9">
        <f>HAVERM!D414</f>
        <v>4.68</v>
      </c>
      <c r="H123" s="9">
        <f t="shared" si="25"/>
        <v>2.67</v>
      </c>
      <c r="I123" s="9">
        <f t="shared" si="25"/>
        <v>0.67720476190476298</v>
      </c>
      <c r="J123" s="9">
        <f t="shared" si="25"/>
        <v>0.96569523809523794</v>
      </c>
      <c r="L123" s="9">
        <f>HAVERM!E414</f>
        <v>5.25</v>
      </c>
      <c r="M123" s="9">
        <f>HAVERM!F414</f>
        <v>4.3527952380952373</v>
      </c>
      <c r="N123" s="9">
        <f>HAVERM!G414</f>
        <v>3.7143047619047618</v>
      </c>
      <c r="P123" s="8">
        <v>45261</v>
      </c>
      <c r="Q123" s="9">
        <f t="shared" si="10"/>
        <v>1.5</v>
      </c>
      <c r="R123" s="9">
        <f t="shared" si="19"/>
        <v>3.46</v>
      </c>
      <c r="S123" s="9">
        <f t="shared" si="8"/>
        <v>2.67</v>
      </c>
    </row>
    <row r="124" spans="1:19" x14ac:dyDescent="0.35">
      <c r="A124" s="8">
        <v>45292</v>
      </c>
      <c r="B124" s="9">
        <f>HAVERM!B415</f>
        <v>7.94</v>
      </c>
      <c r="C124" s="9">
        <f>HAVERM!C415</f>
        <v>4.71</v>
      </c>
      <c r="D124" s="9">
        <f>HAVERM!D415</f>
        <v>4.43</v>
      </c>
      <c r="H124" s="9">
        <f t="shared" ref="H124:J139" si="27">B124-L124</f>
        <v>2.6900000000000004</v>
      </c>
      <c r="I124" s="9">
        <f t="shared" si="27"/>
        <v>0.47477727272727233</v>
      </c>
      <c r="J124" s="9">
        <f t="shared" si="27"/>
        <v>0.77136956521739108</v>
      </c>
      <c r="L124" s="9">
        <f>HAVERM!E415</f>
        <v>5.25</v>
      </c>
      <c r="M124" s="9">
        <f>HAVERM!F415</f>
        <v>4.2352227272727276</v>
      </c>
      <c r="N124" s="9">
        <f>HAVERM!G415</f>
        <v>3.6586304347826086</v>
      </c>
      <c r="P124" s="8">
        <v>45292</v>
      </c>
      <c r="Q124" s="9">
        <f t="shared" si="10"/>
        <v>1.33</v>
      </c>
      <c r="R124" s="9">
        <f t="shared" si="19"/>
        <v>3.0700000000000003</v>
      </c>
      <c r="S124" s="9">
        <f t="shared" si="8"/>
        <v>2.38</v>
      </c>
    </row>
    <row r="125" spans="1:19" x14ac:dyDescent="0.35">
      <c r="A125" s="8">
        <v>45323</v>
      </c>
      <c r="B125" s="9">
        <f>HAVERM!B416</f>
        <v>7.94</v>
      </c>
      <c r="C125" s="9">
        <f>HAVERM!C416</f>
        <v>4.76</v>
      </c>
      <c r="D125" s="9">
        <f>HAVERM!D416</f>
        <v>4.41</v>
      </c>
      <c r="H125" s="9">
        <f t="shared" si="27"/>
        <v>2.6900000000000004</v>
      </c>
      <c r="I125" s="9">
        <f t="shared" si="27"/>
        <v>0.24355714285714214</v>
      </c>
      <c r="J125" s="9">
        <f t="shared" si="27"/>
        <v>0.4541476190476188</v>
      </c>
      <c r="L125" s="9">
        <f>HAVERM!E416</f>
        <v>5.25</v>
      </c>
      <c r="M125" s="9">
        <f>HAVERM!F416</f>
        <v>4.5164428571428576</v>
      </c>
      <c r="N125" s="9">
        <f>HAVERM!G416</f>
        <v>3.9558523809523813</v>
      </c>
      <c r="P125" s="8">
        <v>45323</v>
      </c>
      <c r="Q125" s="9">
        <f t="shared" si="10"/>
        <v>0.97000000000000064</v>
      </c>
      <c r="R125" s="9">
        <f t="shared" si="19"/>
        <v>2.9799999999999995</v>
      </c>
      <c r="S125" s="9">
        <f t="shared" si="8"/>
        <v>2.3600000000000003</v>
      </c>
    </row>
    <row r="126" spans="1:19" x14ac:dyDescent="0.35">
      <c r="A126" s="8">
        <v>45352</v>
      </c>
      <c r="B126" s="9">
        <f>HAVERM!B417</f>
        <v>7.93</v>
      </c>
      <c r="C126" s="9">
        <f>HAVERM!C417</f>
        <v>4.96</v>
      </c>
      <c r="D126" s="9">
        <f>HAVERM!D417</f>
        <v>4.53</v>
      </c>
      <c r="H126" s="9">
        <f t="shared" si="27"/>
        <v>2.6799999999999997</v>
      </c>
      <c r="I126" s="9">
        <f t="shared" si="27"/>
        <v>0.47039047619047558</v>
      </c>
      <c r="J126" s="9">
        <f t="shared" si="27"/>
        <v>0.62670476190476165</v>
      </c>
      <c r="L126" s="9">
        <f>HAVERM!E417</f>
        <v>5.25</v>
      </c>
      <c r="M126" s="9">
        <f>HAVERM!F417</f>
        <v>4.4896095238095244</v>
      </c>
      <c r="N126" s="9">
        <f>HAVERM!G417</f>
        <v>3.9032952380952386</v>
      </c>
      <c r="P126" s="8">
        <v>45352</v>
      </c>
      <c r="Q126" s="9">
        <f t="shared" si="10"/>
        <v>0.76999999999999957</v>
      </c>
      <c r="R126" s="9">
        <f t="shared" si="19"/>
        <v>2.82</v>
      </c>
      <c r="S126" s="9">
        <f t="shared" si="8"/>
        <v>2.5000000000000004</v>
      </c>
    </row>
    <row r="127" spans="1:19" x14ac:dyDescent="0.35">
      <c r="A127" s="8">
        <v>45383</v>
      </c>
      <c r="B127" s="9">
        <f>HAVERM!B418</f>
        <v>8</v>
      </c>
      <c r="C127" s="9">
        <f>HAVERM!C418</f>
        <v>4.9800000000000004</v>
      </c>
      <c r="D127" s="9">
        <f>HAVERM!D418</f>
        <v>4.51</v>
      </c>
      <c r="H127" s="9">
        <f t="shared" si="27"/>
        <v>2.75</v>
      </c>
      <c r="I127" s="9">
        <f t="shared" si="27"/>
        <v>0.38600952380952425</v>
      </c>
      <c r="J127" s="9">
        <f t="shared" si="27"/>
        <v>0.45218571428571419</v>
      </c>
      <c r="L127" s="9">
        <f>HAVERM!E418</f>
        <v>5.25</v>
      </c>
      <c r="M127" s="9">
        <f>HAVERM!F418</f>
        <v>4.5939904761904762</v>
      </c>
      <c r="N127" s="9">
        <f>HAVERM!G418</f>
        <v>4.0578142857142856</v>
      </c>
      <c r="P127" s="8">
        <v>45383</v>
      </c>
      <c r="Q127" s="9">
        <f t="shared" si="10"/>
        <v>0.70000000000000018</v>
      </c>
      <c r="R127" s="9">
        <f t="shared" si="19"/>
        <v>2.6300000000000003</v>
      </c>
      <c r="S127" s="9">
        <f t="shared" si="8"/>
        <v>2.5099999999999998</v>
      </c>
    </row>
    <row r="128" spans="1:19" x14ac:dyDescent="0.35">
      <c r="A128" s="8">
        <v>45413</v>
      </c>
      <c r="B128" s="9">
        <f>HAVERM!B419</f>
        <v>8</v>
      </c>
      <c r="C128" s="9">
        <f>HAVERM!C419</f>
        <v>5.19</v>
      </c>
      <c r="D128" s="9">
        <f>HAVERM!D419</f>
        <v>4.66</v>
      </c>
      <c r="H128" s="9">
        <f t="shared" si="27"/>
        <v>2.75</v>
      </c>
      <c r="I128" s="9">
        <f t="shared" si="27"/>
        <v>0.56181304347826089</v>
      </c>
      <c r="J128" s="9">
        <f t="shared" si="27"/>
        <v>0.57997826086956472</v>
      </c>
      <c r="L128" s="9">
        <f>HAVERM!E419</f>
        <v>5.25</v>
      </c>
      <c r="M128" s="9">
        <f>HAVERM!F419</f>
        <v>4.6281869565217395</v>
      </c>
      <c r="N128" s="9">
        <f>HAVERM!G419</f>
        <v>4.0800217391304354</v>
      </c>
      <c r="P128" s="8">
        <v>45413</v>
      </c>
      <c r="Q128" s="9">
        <f t="shared" si="10"/>
        <v>0.62000000000000011</v>
      </c>
      <c r="R128" s="9">
        <f t="shared" si="19"/>
        <v>2.5600000000000005</v>
      </c>
      <c r="S128" s="9">
        <f t="shared" ref="S128:S134" si="28">D128-D68</f>
        <v>2.67</v>
      </c>
    </row>
    <row r="129" spans="1:19" x14ac:dyDescent="0.35">
      <c r="A129" s="8">
        <v>45444</v>
      </c>
      <c r="B129" s="9">
        <f>HAVERM!B420</f>
        <v>8.0299999999999994</v>
      </c>
      <c r="C129" s="9">
        <f>HAVERM!C420</f>
        <v>5.16</v>
      </c>
      <c r="D129" s="9">
        <f>HAVERM!D420</f>
        <v>4.6399999999999997</v>
      </c>
      <c r="H129" s="9">
        <f t="shared" si="27"/>
        <v>2.7799999999999994</v>
      </c>
      <c r="I129" s="9">
        <f t="shared" si="27"/>
        <v>0.58655263157894844</v>
      </c>
      <c r="J129" s="9">
        <f t="shared" si="27"/>
        <v>0.63676315789473659</v>
      </c>
      <c r="L129" s="9">
        <f>HAVERM!E420</f>
        <v>5.25</v>
      </c>
      <c r="M129" s="9">
        <f>HAVERM!F420</f>
        <v>4.5734473684210517</v>
      </c>
      <c r="N129" s="9">
        <f>HAVERM!G420</f>
        <v>4.0032368421052631</v>
      </c>
      <c r="P129" s="8">
        <v>45444</v>
      </c>
      <c r="Q129" s="9">
        <f t="shared" si="10"/>
        <v>0.55999999999999961</v>
      </c>
      <c r="R129" s="9">
        <f t="shared" si="19"/>
        <v>2.29</v>
      </c>
      <c r="S129" s="9">
        <f t="shared" si="28"/>
        <v>2.67</v>
      </c>
    </row>
    <row r="130" spans="1:19" x14ac:dyDescent="0.35">
      <c r="A130" s="8">
        <v>45474</v>
      </c>
      <c r="B130" s="9">
        <f>HAVERM!B421</f>
        <v>8.07</v>
      </c>
      <c r="C130" s="9">
        <f>HAVERM!C421</f>
        <v>4.99</v>
      </c>
      <c r="D130" s="9">
        <f>HAVERM!D421</f>
        <v>4.49</v>
      </c>
      <c r="H130" s="9">
        <f t="shared" si="27"/>
        <v>2.8200000000000003</v>
      </c>
      <c r="I130" s="9">
        <f t="shared" si="27"/>
        <v>0.5763045454545459</v>
      </c>
      <c r="J130" s="9">
        <f t="shared" si="27"/>
        <v>0.57900909090909192</v>
      </c>
      <c r="L130" s="9">
        <f>HAVERM!E421</f>
        <v>5.25</v>
      </c>
      <c r="M130" s="9">
        <f>HAVERM!F421</f>
        <v>4.4136954545454543</v>
      </c>
      <c r="N130" s="9">
        <f>HAVERM!G421</f>
        <v>3.9109909090909083</v>
      </c>
      <c r="P130" s="8">
        <v>45474</v>
      </c>
      <c r="Q130" s="9">
        <f t="shared" si="10"/>
        <v>0.4300000000000006</v>
      </c>
      <c r="R130" s="9">
        <f t="shared" si="19"/>
        <v>1.5100000000000002</v>
      </c>
      <c r="S130" s="9">
        <f t="shared" si="28"/>
        <v>2.5600000000000005</v>
      </c>
    </row>
    <row r="131" spans="1:19" x14ac:dyDescent="0.35">
      <c r="A131" s="8">
        <v>45505</v>
      </c>
      <c r="B131" s="9">
        <f>HAVERM!B422</f>
        <v>7.86</v>
      </c>
      <c r="C131" s="9">
        <f>HAVERM!C422</f>
        <v>4.8</v>
      </c>
      <c r="D131" s="9">
        <f>HAVERM!D422</f>
        <v>4.33</v>
      </c>
      <c r="H131" s="9">
        <f t="shared" si="27"/>
        <v>2.8600000000000003</v>
      </c>
      <c r="I131" s="9">
        <f t="shared" si="27"/>
        <v>0.70774090909090859</v>
      </c>
      <c r="J131" s="9">
        <f t="shared" si="27"/>
        <v>0.64981363636363687</v>
      </c>
      <c r="L131" s="9">
        <f>HAVERM!E422</f>
        <v>5</v>
      </c>
      <c r="M131" s="9">
        <f>HAVERM!F422</f>
        <v>4.0922590909090912</v>
      </c>
      <c r="N131" s="9">
        <f>HAVERM!G422</f>
        <v>3.6801863636363632</v>
      </c>
      <c r="P131" s="8">
        <v>45505</v>
      </c>
      <c r="Q131" s="9">
        <f t="shared" si="10"/>
        <v>-4.9999999999999822E-2</v>
      </c>
      <c r="R131" s="9">
        <f t="shared" si="19"/>
        <v>1.1999999999999997</v>
      </c>
      <c r="S131" s="9">
        <f t="shared" si="28"/>
        <v>2.4400000000000004</v>
      </c>
    </row>
    <row r="132" spans="1:19" x14ac:dyDescent="0.35">
      <c r="A132" s="8">
        <v>45536</v>
      </c>
      <c r="B132" s="9">
        <f>HAVERM!B423</f>
        <v>7.7</v>
      </c>
      <c r="C132" s="9">
        <f>HAVERM!C423</f>
        <v>4.58</v>
      </c>
      <c r="D132" s="9">
        <f>HAVERM!D423</f>
        <v>4.09</v>
      </c>
      <c r="H132" s="9">
        <f t="shared" si="27"/>
        <v>2.7</v>
      </c>
      <c r="I132" s="9">
        <f t="shared" si="27"/>
        <v>0.69880476190476193</v>
      </c>
      <c r="J132" s="9">
        <f t="shared" si="27"/>
        <v>0.53131428571428563</v>
      </c>
      <c r="L132" s="9">
        <f>HAVERM!E423</f>
        <v>5</v>
      </c>
      <c r="M132" s="9">
        <f>HAVERM!F423</f>
        <v>3.8811952380952381</v>
      </c>
      <c r="N132" s="9">
        <f>HAVERM!G423</f>
        <v>3.5586857142857142</v>
      </c>
      <c r="P132" s="8">
        <v>45536</v>
      </c>
      <c r="Q132" s="9">
        <f t="shared" si="10"/>
        <v>-0.28000000000000025</v>
      </c>
      <c r="R132" s="9">
        <f t="shared" si="19"/>
        <v>0.41000000000000014</v>
      </c>
      <c r="S132" s="9">
        <f t="shared" si="28"/>
        <v>2.2999999999999998</v>
      </c>
    </row>
    <row r="133" spans="1:19" x14ac:dyDescent="0.35">
      <c r="A133" s="8">
        <v>45566</v>
      </c>
      <c r="B133" s="9">
        <f>HAVERM!B424</f>
        <v>7.68</v>
      </c>
      <c r="C133" s="9">
        <f>HAVERM!C424</f>
        <v>4.4000000000000004</v>
      </c>
      <c r="D133" s="9">
        <f>HAVERM!D424</f>
        <v>4.0599999999999996</v>
      </c>
      <c r="H133" s="9">
        <f t="shared" si="27"/>
        <v>2.6799999999999997</v>
      </c>
      <c r="I133" s="9">
        <f t="shared" si="27"/>
        <v>0.38687391304347862</v>
      </c>
      <c r="J133" s="9">
        <f t="shared" si="27"/>
        <v>0.2651434782608697</v>
      </c>
      <c r="L133" s="9">
        <f>HAVERM!E424</f>
        <v>5</v>
      </c>
      <c r="M133" s="9">
        <f>HAVERM!F424</f>
        <v>4.0131260869565217</v>
      </c>
      <c r="N133" s="9">
        <f>HAVERM!G424</f>
        <v>3.7948565217391299</v>
      </c>
      <c r="P133" s="8">
        <v>45566</v>
      </c>
      <c r="Q133" s="9">
        <f t="shared" si="10"/>
        <v>-0.33999999999999986</v>
      </c>
      <c r="R133" s="9">
        <f t="shared" si="19"/>
        <v>-1.5899999999999999</v>
      </c>
      <c r="S133" s="9">
        <f t="shared" si="28"/>
        <v>2.3499999999999996</v>
      </c>
    </row>
    <row r="134" spans="1:19" x14ac:dyDescent="0.35">
      <c r="A134" s="8">
        <v>45597</v>
      </c>
      <c r="B134" s="9">
        <f>HAVERM!B425</f>
        <v>7.56</v>
      </c>
      <c r="C134" s="9">
        <f>HAVERM!C425</f>
        <v>4.53</v>
      </c>
      <c r="D134" s="9">
        <f>HAVERM!D425</f>
        <v>4.29</v>
      </c>
      <c r="H134" s="9">
        <f t="shared" si="27"/>
        <v>2.7623809523809522</v>
      </c>
      <c r="I134" s="9">
        <f t="shared" si="27"/>
        <v>0.28674285714285741</v>
      </c>
      <c r="J134" s="9">
        <f t="shared" si="27"/>
        <v>0.27665238095238021</v>
      </c>
      <c r="L134" s="9">
        <f>HAVERM!E425</f>
        <v>4.7976190476190474</v>
      </c>
      <c r="M134" s="9">
        <f>HAVERM!F425</f>
        <v>4.2432571428571428</v>
      </c>
      <c r="N134" s="9">
        <f>HAVERM!G425</f>
        <v>4.0133476190476198</v>
      </c>
      <c r="P134" s="8">
        <v>45597</v>
      </c>
      <c r="Q134" s="9">
        <f t="shared" si="10"/>
        <v>-0.44000000000000039</v>
      </c>
      <c r="R134" s="9">
        <f t="shared" si="19"/>
        <v>-1.4500000000000002</v>
      </c>
      <c r="S134" s="9">
        <f t="shared" si="28"/>
        <v>2.62</v>
      </c>
    </row>
    <row r="135" spans="1:19" x14ac:dyDescent="0.35">
      <c r="A135" s="8">
        <v>45627</v>
      </c>
      <c r="B135" s="9">
        <f>HAVERM!B426</f>
        <v>7.47</v>
      </c>
      <c r="C135" s="9">
        <f>HAVERM!C426</f>
        <v>4.5999999999999996</v>
      </c>
      <c r="D135" s="9">
        <f>HAVERM!D426</f>
        <v>4.37</v>
      </c>
      <c r="H135" s="9">
        <f t="shared" si="27"/>
        <v>2.7199999999999998</v>
      </c>
      <c r="I135" s="9">
        <f t="shared" si="27"/>
        <v>0.38651363636363723</v>
      </c>
      <c r="J135" s="9">
        <f t="shared" si="27"/>
        <v>0.40181818181818096</v>
      </c>
      <c r="L135" s="9">
        <f>HAVERM!E426</f>
        <v>4.75</v>
      </c>
      <c r="M135" s="9">
        <f>HAVERM!F426</f>
        <v>4.2134863636363624</v>
      </c>
      <c r="N135" s="9">
        <f>HAVERM!G426</f>
        <v>3.9681818181818191</v>
      </c>
      <c r="P135" s="8">
        <v>45627</v>
      </c>
      <c r="Q135" s="9">
        <f t="shared" si="10"/>
        <v>-0.45000000000000018</v>
      </c>
      <c r="R135" s="9">
        <f>C135-C111</f>
        <v>-0.83000000000000007</v>
      </c>
      <c r="S135" s="9">
        <f>D135-D75</f>
        <v>2.7</v>
      </c>
    </row>
    <row r="136" spans="1:19" x14ac:dyDescent="0.35">
      <c r="A136" s="8">
        <v>45658</v>
      </c>
      <c r="B136" s="9">
        <f>HAVERM!B427</f>
        <v>7.44</v>
      </c>
      <c r="C136" s="9">
        <f>HAVERM!C427</f>
        <v>4.6500000000000004</v>
      </c>
      <c r="D136" s="9">
        <f>HAVERM!D427</f>
        <v>4.41</v>
      </c>
      <c r="H136" s="9">
        <f t="shared" si="27"/>
        <v>2.6900000000000004</v>
      </c>
      <c r="I136" s="9">
        <f t="shared" si="27"/>
        <v>0.39264782608695725</v>
      </c>
      <c r="J136" s="9">
        <f t="shared" si="27"/>
        <v>0.30292608695652135</v>
      </c>
      <c r="L136" s="9">
        <f>HAVERM!E427</f>
        <v>4.75</v>
      </c>
      <c r="M136" s="9">
        <f>HAVERM!F427</f>
        <v>4.2573521739130431</v>
      </c>
      <c r="N136" s="9">
        <f>HAVERM!G427</f>
        <v>4.1070739130434788</v>
      </c>
      <c r="P136" s="8">
        <v>45658</v>
      </c>
      <c r="Q136" s="9">
        <f t="shared" si="10"/>
        <v>-0.5</v>
      </c>
      <c r="R136" s="9">
        <f t="shared" ref="R136:R171" si="29">C136-C112</f>
        <v>-0.48999999999999932</v>
      </c>
      <c r="S136" s="9">
        <f t="shared" ref="S136:S171" si="30">D136-D76</f>
        <v>2.7300000000000004</v>
      </c>
    </row>
    <row r="137" spans="1:19" x14ac:dyDescent="0.35">
      <c r="A137" s="8">
        <v>45689</v>
      </c>
      <c r="B137" s="9">
        <f>HAVERM!B428</f>
        <v>7.31</v>
      </c>
      <c r="C137" s="9">
        <f>HAVERM!C428</f>
        <v>4.6900000000000004</v>
      </c>
      <c r="D137" s="9">
        <f>HAVERM!D428</f>
        <v>4.41</v>
      </c>
      <c r="H137" s="9">
        <f t="shared" si="27"/>
        <v>2.7725</v>
      </c>
      <c r="I137" s="9">
        <f t="shared" si="27"/>
        <v>0.63871500000000125</v>
      </c>
      <c r="J137" s="9">
        <f t="shared" si="27"/>
        <v>0.46558000000000055</v>
      </c>
      <c r="L137" s="9">
        <f>HAVERM!E428</f>
        <v>4.5374999999999996</v>
      </c>
      <c r="M137" s="9">
        <f>HAVERM!F428</f>
        <v>4.0512849999999991</v>
      </c>
      <c r="N137" s="9">
        <f>HAVERM!G428</f>
        <v>3.9444199999999996</v>
      </c>
      <c r="P137" s="8">
        <v>45689</v>
      </c>
      <c r="Q137" s="9">
        <f t="shared" si="10"/>
        <v>-0.63000000000000078</v>
      </c>
      <c r="R137" s="9">
        <f t="shared" si="29"/>
        <v>-9.9999999999999645E-2</v>
      </c>
      <c r="S137" s="9">
        <f t="shared" si="30"/>
        <v>2.74</v>
      </c>
    </row>
    <row r="138" spans="1:19" x14ac:dyDescent="0.35">
      <c r="A138" s="8">
        <v>45717</v>
      </c>
      <c r="B138" s="9">
        <f>HAVERM!B429</f>
        <v>7.21</v>
      </c>
      <c r="C138" s="9">
        <f>HAVERM!C429</f>
        <v>4.5599999999999996</v>
      </c>
      <c r="D138" s="9">
        <f>HAVERM!D429</f>
        <v>4.34</v>
      </c>
      <c r="H138" s="9">
        <f t="shared" si="27"/>
        <v>2.71</v>
      </c>
      <c r="I138" s="9">
        <f t="shared" si="27"/>
        <v>0.48669999999999902</v>
      </c>
      <c r="J138" s="9">
        <f t="shared" si="27"/>
        <v>0.32260476190476162</v>
      </c>
      <c r="L138" s="9">
        <f>HAVERM!E429</f>
        <v>4.5</v>
      </c>
      <c r="M138" s="9">
        <f>HAVERM!F429</f>
        <v>4.0733000000000006</v>
      </c>
      <c r="N138" s="9">
        <f>HAVERM!G429</f>
        <v>4.0173952380952382</v>
      </c>
      <c r="P138" s="8">
        <v>45717</v>
      </c>
      <c r="Q138" s="9">
        <f t="shared" si="10"/>
        <v>-0.71999999999999975</v>
      </c>
      <c r="R138" s="9">
        <f t="shared" si="29"/>
        <v>-0.1800000000000006</v>
      </c>
      <c r="S138" s="9">
        <f t="shared" si="30"/>
        <v>2.6799999999999997</v>
      </c>
    </row>
    <row r="139" spans="1:19" x14ac:dyDescent="0.35">
      <c r="A139" s="8">
        <v>45748</v>
      </c>
      <c r="B139" s="18">
        <f>HAVERM!B430</f>
        <v>7.19</v>
      </c>
      <c r="C139" s="18">
        <f>HAVERM!C430</f>
        <v>4.42</v>
      </c>
      <c r="D139" s="18">
        <f>HAVERM!D430</f>
        <v>4.32</v>
      </c>
      <c r="E139" s="19"/>
      <c r="F139" s="19"/>
      <c r="G139" s="19"/>
      <c r="H139" s="18">
        <f t="shared" si="27"/>
        <v>2.6900000000000004</v>
      </c>
      <c r="I139" s="18">
        <f t="shared" si="27"/>
        <v>0.6533590909090905</v>
      </c>
      <c r="J139" s="18">
        <f t="shared" si="27"/>
        <v>0.54240000000000066</v>
      </c>
      <c r="K139" s="19"/>
      <c r="L139" s="18">
        <f>HAVERM!E430</f>
        <v>4.5</v>
      </c>
      <c r="M139" s="18">
        <f>HAVERM!F430</f>
        <v>3.7666409090909094</v>
      </c>
      <c r="N139" s="18">
        <f>HAVERM!G430</f>
        <v>3.7775999999999996</v>
      </c>
      <c r="P139" s="8">
        <v>45748</v>
      </c>
      <c r="Q139" s="9">
        <f t="shared" si="10"/>
        <v>-0.80999999999999961</v>
      </c>
      <c r="R139" s="9">
        <f t="shared" si="29"/>
        <v>-0.17999999999999972</v>
      </c>
      <c r="S139" s="9">
        <f t="shared" si="30"/>
        <v>2.6500000000000004</v>
      </c>
    </row>
    <row r="140" spans="1:19" x14ac:dyDescent="0.35">
      <c r="A140" s="8">
        <v>45778</v>
      </c>
      <c r="B140" s="18">
        <f>HAVERM!B431</f>
        <v>7.09</v>
      </c>
      <c r="C140" s="18">
        <f>HAVERM!C431</f>
        <v>4.1900000000000004</v>
      </c>
      <c r="D140" s="18">
        <f>HAVERM!D431</f>
        <v>4.22</v>
      </c>
      <c r="H140" s="15">
        <f t="shared" ref="H140" si="31">B140-L140</f>
        <v>2.7831818181818182</v>
      </c>
      <c r="I140" s="15">
        <f t="shared" ref="I140" si="32">C140-M140</f>
        <v>0.40614545454545636</v>
      </c>
      <c r="J140" s="15">
        <f t="shared" ref="J140" si="33">D140-N140</f>
        <v>0.41290000000000093</v>
      </c>
      <c r="K140" s="16"/>
      <c r="L140" s="15">
        <f>HAVERM!E431</f>
        <v>4.3068181818181817</v>
      </c>
      <c r="M140" s="15">
        <f>HAVERM!F431</f>
        <v>3.783854545454544</v>
      </c>
      <c r="N140" s="15">
        <f>HAVERM!G431</f>
        <v>3.8070999999999988</v>
      </c>
      <c r="P140" s="8">
        <v>45778</v>
      </c>
      <c r="Q140" s="9">
        <f t="shared" si="10"/>
        <v>-0.91000000000000014</v>
      </c>
      <c r="R140" s="9">
        <f t="shared" si="29"/>
        <v>-0.52999999999999936</v>
      </c>
      <c r="S140" s="9">
        <f t="shared" si="30"/>
        <v>2.5199999999999996</v>
      </c>
    </row>
    <row r="141" spans="1:19" x14ac:dyDescent="0.35">
      <c r="A141" s="8">
        <v>45809</v>
      </c>
      <c r="B141" s="15">
        <f>HAVERM!B432</f>
        <v>6.98</v>
      </c>
      <c r="C141" s="15">
        <f>HAVERM!C432</f>
        <v>4.32</v>
      </c>
      <c r="D141" s="15">
        <f>HAVERM!D432</f>
        <v>4.3</v>
      </c>
      <c r="H141" s="11">
        <f>H140</f>
        <v>2.7831818181818182</v>
      </c>
      <c r="I141" s="11">
        <f>I140+(I143-I140)*1/3</f>
        <v>0.44576363636363758</v>
      </c>
      <c r="J141" s="11">
        <f>J140+(J143-J140)*1/3</f>
        <v>0.42526666666666729</v>
      </c>
      <c r="L141" s="10">
        <f>'[2]Daily fcst'!L38</f>
        <v>4.25</v>
      </c>
      <c r="M141" s="11">
        <f>M140+(M143-M140)*1/3</f>
        <v>3.7268491589285038</v>
      </c>
      <c r="N141" s="11">
        <f>N140+(N143-N140)*1/3</f>
        <v>3.7677454056326187</v>
      </c>
      <c r="P141" s="8">
        <v>45809</v>
      </c>
      <c r="Q141" s="9">
        <f t="shared" si="10"/>
        <v>-1.0499999999999989</v>
      </c>
      <c r="R141" s="9">
        <f t="shared" si="29"/>
        <v>-1.17</v>
      </c>
      <c r="S141" s="9">
        <f t="shared" si="30"/>
        <v>2.61</v>
      </c>
    </row>
    <row r="142" spans="1:19" x14ac:dyDescent="0.35">
      <c r="A142" s="8">
        <v>45839</v>
      </c>
      <c r="B142" s="9">
        <f t="shared" ref="B141:D155" si="34">H142+L142</f>
        <v>7.0331818181818182</v>
      </c>
      <c r="C142" s="9">
        <f t="shared" si="34"/>
        <v>4.1552255905842825</v>
      </c>
      <c r="D142" s="9">
        <f t="shared" si="34"/>
        <v>4.1660241445985724</v>
      </c>
      <c r="H142" s="11">
        <f>H140</f>
        <v>2.7831818181818182</v>
      </c>
      <c r="I142" s="11">
        <f>I141+(I143-I140)*1/3</f>
        <v>0.4853818181818188</v>
      </c>
      <c r="J142" s="11">
        <f>J141+(J143-J140)*1/3</f>
        <v>0.43763333333333365</v>
      </c>
      <c r="L142" s="10">
        <f>'[2]Daily fcst'!L39</f>
        <v>4.25</v>
      </c>
      <c r="M142" s="11">
        <f>M141+(M143-M140)*1/3</f>
        <v>3.6698437724024635</v>
      </c>
      <c r="N142" s="11">
        <f>N141+(N143-N140)*1/3</f>
        <v>3.7283908112652386</v>
      </c>
      <c r="P142" s="8">
        <v>45839</v>
      </c>
      <c r="Q142" s="9">
        <f t="shared" si="10"/>
        <v>-1.0368181818181821</v>
      </c>
      <c r="R142" s="9">
        <f t="shared" si="29"/>
        <v>-2.0647744094157172</v>
      </c>
      <c r="S142" s="9">
        <f t="shared" si="30"/>
        <v>2.4660241445985722</v>
      </c>
    </row>
    <row r="143" spans="1:19" x14ac:dyDescent="0.35">
      <c r="A143" s="8">
        <v>45870</v>
      </c>
      <c r="B143" s="9">
        <f t="shared" si="34"/>
        <v>6.8294372294372288</v>
      </c>
      <c r="C143" s="9">
        <f t="shared" si="34"/>
        <v>4.1378383858764236</v>
      </c>
      <c r="D143" s="9">
        <f t="shared" si="34"/>
        <v>4.1390362168978587</v>
      </c>
      <c r="H143" s="10">
        <f>'[2]Mortgage &amp; deposit rates'!Y113</f>
        <v>2.7818181818181817</v>
      </c>
      <c r="I143" s="10">
        <f>'[2]Mortgage &amp; deposit rates'!Z113</f>
        <v>0.52500000000000002</v>
      </c>
      <c r="J143" s="10">
        <f>'[2]Mortgage &amp; deposit rates'!AA113</f>
        <v>0.45</v>
      </c>
      <c r="L143" s="10">
        <f>'[2]Daily fcst'!L40</f>
        <v>4.0476190476190474</v>
      </c>
      <c r="M143" s="10">
        <f>'[2]RRFRxxx-RSWAPxxxxRFR'!H113</f>
        <v>3.6128383858764233</v>
      </c>
      <c r="N143" s="10">
        <f>'[2]RRFRxxx-RSWAPxxxxRFR'!K113</f>
        <v>3.6890362168978585</v>
      </c>
      <c r="P143" s="8">
        <v>45870</v>
      </c>
      <c r="Q143" s="9">
        <f t="shared" si="10"/>
        <v>-1.0305627705627716</v>
      </c>
      <c r="R143" s="9">
        <f t="shared" si="29"/>
        <v>-2.0421616141235761</v>
      </c>
      <c r="S143" s="9">
        <f t="shared" si="30"/>
        <v>2.3490362168978587</v>
      </c>
    </row>
    <row r="144" spans="1:19" x14ac:dyDescent="0.35">
      <c r="A144" s="8">
        <v>45901</v>
      </c>
      <c r="B144" s="9">
        <f t="shared" si="34"/>
        <v>6.7818181818181813</v>
      </c>
      <c r="C144" s="9">
        <f t="shared" si="34"/>
        <v>4.1288651493999344</v>
      </c>
      <c r="D144" s="9">
        <f t="shared" si="34"/>
        <v>4.1363523661353794</v>
      </c>
      <c r="H144" s="11">
        <f>H143</f>
        <v>2.7818181818181817</v>
      </c>
      <c r="I144" s="11">
        <f>I143+(I146-I143)*1/3</f>
        <v>0.53333333333333333</v>
      </c>
      <c r="J144" s="11">
        <f>J143+(J146-J143)*1/3</f>
        <v>0.44333333333333336</v>
      </c>
      <c r="L144" s="10">
        <f>'[2]Daily fcst'!L41</f>
        <v>4</v>
      </c>
      <c r="M144" s="11">
        <f>M143+(M146-M143)*1/3</f>
        <v>3.5955318160666008</v>
      </c>
      <c r="N144" s="11">
        <f>N143+(N146-N143)*1/3</f>
        <v>3.693019032802046</v>
      </c>
      <c r="P144" s="8">
        <v>45901</v>
      </c>
      <c r="Q144" s="9">
        <f t="shared" ref="Q144:Q158" si="35">B144-B132</f>
        <v>-0.91818181818181888</v>
      </c>
      <c r="R144" s="9">
        <f t="shared" si="29"/>
        <v>-1.7811348506000657</v>
      </c>
      <c r="S144" s="9">
        <f t="shared" si="30"/>
        <v>2.2163523661353794</v>
      </c>
    </row>
    <row r="145" spans="1:19" x14ac:dyDescent="0.35">
      <c r="A145" s="8">
        <v>45931</v>
      </c>
      <c r="B145" s="9">
        <f t="shared" si="34"/>
        <v>6.7818181818181813</v>
      </c>
      <c r="C145" s="9">
        <f t="shared" si="34"/>
        <v>4.1198919129234453</v>
      </c>
      <c r="D145" s="9">
        <f t="shared" si="34"/>
        <v>4.1336685153729</v>
      </c>
      <c r="H145" s="11">
        <f>H143</f>
        <v>2.7818181818181817</v>
      </c>
      <c r="I145" s="11">
        <f>I144+(I146-I143)*1/3</f>
        <v>0.54166666666666663</v>
      </c>
      <c r="J145" s="11">
        <f>J144+(J146-J143)*1/3</f>
        <v>0.4366666666666667</v>
      </c>
      <c r="L145" s="10">
        <f>'[2]Daily fcst'!L42</f>
        <v>4</v>
      </c>
      <c r="M145" s="11">
        <f>M144+(M146-M143)*1/3</f>
        <v>3.5782252462567783</v>
      </c>
      <c r="N145" s="11">
        <f>N144+(N146-N143)*1/3</f>
        <v>3.6970018487062335</v>
      </c>
      <c r="P145" s="8">
        <v>45931</v>
      </c>
      <c r="Q145" s="9">
        <f t="shared" si="35"/>
        <v>-0.89818181818181841</v>
      </c>
      <c r="R145" s="9">
        <f t="shared" si="29"/>
        <v>-1.4801080870765544</v>
      </c>
      <c r="S145" s="9">
        <f t="shared" si="30"/>
        <v>2.0836685153729002</v>
      </c>
    </row>
    <row r="146" spans="1:19" x14ac:dyDescent="0.35">
      <c r="A146" s="8">
        <v>45962</v>
      </c>
      <c r="B146" s="9">
        <f t="shared" si="34"/>
        <v>6.6211363636363636</v>
      </c>
      <c r="C146" s="9">
        <f t="shared" si="34"/>
        <v>4.1109186764469561</v>
      </c>
      <c r="D146" s="9">
        <f t="shared" si="34"/>
        <v>4.1309846646104207</v>
      </c>
      <c r="H146" s="10">
        <f>'[2]Mortgage &amp; deposit rates'!Y114</f>
        <v>2.8336363636363635</v>
      </c>
      <c r="I146" s="10">
        <f>'[2]Mortgage &amp; deposit rates'!Z114</f>
        <v>0.55000000000000004</v>
      </c>
      <c r="J146" s="10">
        <f>'[2]Mortgage &amp; deposit rates'!AA114</f>
        <v>0.43</v>
      </c>
      <c r="L146" s="10">
        <f>'[2]Daily fcst'!L43</f>
        <v>3.7875000000000001</v>
      </c>
      <c r="M146" s="10">
        <f>'[2]RRFRxxx-RSWAPxxxxRFR'!H114</f>
        <v>3.5609186764469558</v>
      </c>
      <c r="N146" s="10">
        <f>'[2]RRFRxxx-RSWAPxxxxRFR'!K114</f>
        <v>3.700984664610421</v>
      </c>
      <c r="P146" s="8">
        <v>45962</v>
      </c>
      <c r="Q146" s="9">
        <f t="shared" si="35"/>
        <v>-0.93886363636363601</v>
      </c>
      <c r="R146" s="9">
        <f t="shared" si="29"/>
        <v>-1.1690813235530442</v>
      </c>
      <c r="S146" s="9">
        <f t="shared" si="30"/>
        <v>2.0809846646104209</v>
      </c>
    </row>
    <row r="147" spans="1:19" x14ac:dyDescent="0.35">
      <c r="A147" s="8">
        <v>45992</v>
      </c>
      <c r="B147" s="9">
        <f t="shared" si="34"/>
        <v>6.583636363636364</v>
      </c>
      <c r="C147" s="9">
        <f t="shared" si="34"/>
        <v>4.1022668632653341</v>
      </c>
      <c r="D147" s="9">
        <f t="shared" si="34"/>
        <v>4.1214582097841568</v>
      </c>
      <c r="H147" s="11">
        <f>H146</f>
        <v>2.8336363636363635</v>
      </c>
      <c r="I147" s="11">
        <f>I146+(I149-I146)*1/3</f>
        <v>0.58333333333333337</v>
      </c>
      <c r="J147" s="11">
        <f>J146+(J149-J146)*1/3</f>
        <v>0.43</v>
      </c>
      <c r="L147" s="10">
        <f>'[2]Daily fcst'!L44</f>
        <v>3.75</v>
      </c>
      <c r="M147" s="11">
        <f>M146+(M149-M146)*1/3</f>
        <v>3.5189335299320006</v>
      </c>
      <c r="N147" s="11">
        <f>N146+(N149-N146)*1/3</f>
        <v>3.6914582097841566</v>
      </c>
      <c r="P147" s="8">
        <v>45992</v>
      </c>
      <c r="Q147" s="9">
        <f t="shared" si="35"/>
        <v>-0.8863636363636358</v>
      </c>
      <c r="R147" s="9">
        <f t="shared" si="29"/>
        <v>-0.92773313673466618</v>
      </c>
      <c r="S147" s="9">
        <f t="shared" si="30"/>
        <v>2.1214582097841568</v>
      </c>
    </row>
    <row r="148" spans="1:19" x14ac:dyDescent="0.35">
      <c r="A148" s="8">
        <v>46023</v>
      </c>
      <c r="B148" s="9">
        <f t="shared" si="34"/>
        <v>6.583636363636364</v>
      </c>
      <c r="C148" s="9">
        <f t="shared" si="34"/>
        <v>4.0936150500837121</v>
      </c>
      <c r="D148" s="9">
        <f t="shared" si="34"/>
        <v>4.111931754957892</v>
      </c>
      <c r="H148" s="11">
        <f>H146</f>
        <v>2.8336363636363635</v>
      </c>
      <c r="I148" s="11">
        <f>I147+(I149-I146)*1/3</f>
        <v>0.6166666666666667</v>
      </c>
      <c r="J148" s="11">
        <f>J147+(J149-J146)*1/3</f>
        <v>0.43</v>
      </c>
      <c r="L148" s="10">
        <f>'[2]Daily fcst'!L45</f>
        <v>3.75</v>
      </c>
      <c r="M148" s="11">
        <f>M147+(M149-M146)*1/3</f>
        <v>3.4769483834170454</v>
      </c>
      <c r="N148" s="11">
        <f>N147+(N149-N146)*1/3</f>
        <v>3.6819317549578923</v>
      </c>
      <c r="P148" s="8">
        <v>46023</v>
      </c>
      <c r="Q148" s="9">
        <f t="shared" si="35"/>
        <v>-0.85636363636363644</v>
      </c>
      <c r="R148" s="9">
        <f t="shared" si="29"/>
        <v>-0.61638494991628789</v>
      </c>
      <c r="S148" s="9">
        <f t="shared" si="30"/>
        <v>2.1919317549578921</v>
      </c>
    </row>
    <row r="149" spans="1:19" x14ac:dyDescent="0.35">
      <c r="A149" s="8">
        <v>46054</v>
      </c>
      <c r="B149" s="9">
        <f t="shared" si="34"/>
        <v>6.4229545454545454</v>
      </c>
      <c r="C149" s="9">
        <f t="shared" si="34"/>
        <v>4.0849632369020901</v>
      </c>
      <c r="D149" s="9">
        <f t="shared" si="34"/>
        <v>4.1024053001316281</v>
      </c>
      <c r="H149" s="10">
        <f>'[2]Mortgage &amp; deposit rates'!Y115</f>
        <v>2.8854545454545453</v>
      </c>
      <c r="I149" s="10">
        <f>'[2]Mortgage &amp; deposit rates'!Z115</f>
        <v>0.65</v>
      </c>
      <c r="J149" s="10">
        <f>'[2]Mortgage &amp; deposit rates'!AA115</f>
        <v>0.43</v>
      </c>
      <c r="L149" s="10">
        <f>'[2]Daily fcst'!L46</f>
        <v>3.5375000000000001</v>
      </c>
      <c r="M149" s="10">
        <f>'[2]RRFRxxx-RSWAPxxxxRFR'!H115</f>
        <v>3.4349632369020902</v>
      </c>
      <c r="N149" s="10">
        <f>'[2]RRFRxxx-RSWAPxxxxRFR'!K115</f>
        <v>3.6724053001316284</v>
      </c>
      <c r="P149" s="8">
        <v>46054</v>
      </c>
      <c r="Q149" s="9">
        <f t="shared" si="35"/>
        <v>-0.88704545454545425</v>
      </c>
      <c r="R149" s="9">
        <f t="shared" si="29"/>
        <v>-0.67503676309790972</v>
      </c>
      <c r="S149" s="9">
        <f t="shared" si="30"/>
        <v>2.3024053001316283</v>
      </c>
    </row>
    <row r="150" spans="1:19" x14ac:dyDescent="0.35">
      <c r="A150" s="8">
        <v>46082</v>
      </c>
      <c r="B150" s="9">
        <f t="shared" si="34"/>
        <v>6.3854545454545448</v>
      </c>
      <c r="C150" s="9">
        <f t="shared" si="34"/>
        <v>4.069878721561059</v>
      </c>
      <c r="D150" s="9">
        <f t="shared" si="34"/>
        <v>4.0868689237248965</v>
      </c>
      <c r="H150" s="11">
        <f>H149</f>
        <v>2.8854545454545453</v>
      </c>
      <c r="I150" s="11">
        <f>I149+(I152-I149)*1/3</f>
        <v>0.67500000000000004</v>
      </c>
      <c r="J150" s="11">
        <f>J149+(J152-J149)*1/3</f>
        <v>0.43666666666666665</v>
      </c>
      <c r="L150" s="10">
        <f>'[2]Daily fcst'!L47</f>
        <v>3.5</v>
      </c>
      <c r="M150" s="11">
        <f>M149+(M152-M149)*1/3</f>
        <v>3.3948787215610587</v>
      </c>
      <c r="N150" s="11">
        <f>N149+(N152-N149)*1/3</f>
        <v>3.6502022570582295</v>
      </c>
      <c r="P150" s="8">
        <v>46082</v>
      </c>
      <c r="Q150" s="9">
        <f t="shared" si="35"/>
        <v>-0.82454545454545514</v>
      </c>
      <c r="R150" s="9">
        <f t="shared" si="29"/>
        <v>-0.89012127843894095</v>
      </c>
      <c r="S150" s="9">
        <f t="shared" si="30"/>
        <v>2.3468689237248963</v>
      </c>
    </row>
    <row r="151" spans="1:19" x14ac:dyDescent="0.35">
      <c r="A151" s="8">
        <v>46113</v>
      </c>
      <c r="B151" s="9">
        <f t="shared" si="34"/>
        <v>6.3854545454545448</v>
      </c>
      <c r="C151" s="9">
        <f t="shared" si="34"/>
        <v>4.0547942062200271</v>
      </c>
      <c r="D151" s="9">
        <f t="shared" si="34"/>
        <v>4.0713325473181641</v>
      </c>
      <c r="H151" s="11">
        <f>H149</f>
        <v>2.8854545454545453</v>
      </c>
      <c r="I151" s="11">
        <f>I150+(I152-I149)*1/3</f>
        <v>0.70000000000000007</v>
      </c>
      <c r="J151" s="11">
        <f>J150+(J152-J149)*1/3</f>
        <v>0.4433333333333333</v>
      </c>
      <c r="L151" s="10">
        <f>'[2]Daily fcst'!L48</f>
        <v>3.5</v>
      </c>
      <c r="M151" s="11">
        <f>M150+(M152-M149)*1/3</f>
        <v>3.3547942062200273</v>
      </c>
      <c r="N151" s="11">
        <f>N150+(N152-N149)*1/3</f>
        <v>3.6279992139848307</v>
      </c>
      <c r="P151" s="8">
        <v>46113</v>
      </c>
      <c r="Q151" s="9">
        <f t="shared" si="35"/>
        <v>-0.80454545454545556</v>
      </c>
      <c r="R151" s="9">
        <f t="shared" si="29"/>
        <v>-0.92520579377997336</v>
      </c>
      <c r="S151" s="9">
        <f t="shared" si="30"/>
        <v>2.3613325473181641</v>
      </c>
    </row>
    <row r="152" spans="1:19" x14ac:dyDescent="0.35">
      <c r="A152" s="8">
        <v>46143</v>
      </c>
      <c r="B152" s="9">
        <f t="shared" si="34"/>
        <v>6.2348917748917749</v>
      </c>
      <c r="C152" s="9">
        <f t="shared" si="34"/>
        <v>4.039709690878996</v>
      </c>
      <c r="D152" s="9">
        <f t="shared" si="34"/>
        <v>4.0557961709114316</v>
      </c>
      <c r="H152" s="10">
        <f>'[2]Mortgage &amp; deposit rates'!Y116</f>
        <v>2.937272727272727</v>
      </c>
      <c r="I152" s="10">
        <f>'[2]Mortgage &amp; deposit rates'!Z116</f>
        <v>0.72499999999999998</v>
      </c>
      <c r="J152" s="10">
        <f>'[2]Mortgage &amp; deposit rates'!AA116</f>
        <v>0.45</v>
      </c>
      <c r="L152" s="10">
        <f>'[2]Daily fcst'!L49</f>
        <v>3.2976190476190474</v>
      </c>
      <c r="M152" s="10">
        <f>'[2]RRFRxxx-RSWAPxxxxRFR'!H116</f>
        <v>3.3147096908789959</v>
      </c>
      <c r="N152" s="10">
        <f>'[2]RRFRxxx-RSWAPxxxxRFR'!K116</f>
        <v>3.6057961709114319</v>
      </c>
      <c r="P152" s="8">
        <v>46143</v>
      </c>
      <c r="Q152" s="9">
        <f t="shared" si="35"/>
        <v>-0.85510822510822493</v>
      </c>
      <c r="R152" s="9">
        <f t="shared" si="29"/>
        <v>-1.1502903091210044</v>
      </c>
      <c r="S152" s="9">
        <f t="shared" si="30"/>
        <v>2.3757961709114319</v>
      </c>
    </row>
    <row r="153" spans="1:19" x14ac:dyDescent="0.35">
      <c r="A153" s="8">
        <v>46174</v>
      </c>
      <c r="B153" s="9">
        <f t="shared" si="34"/>
        <v>6.1872727272727275</v>
      </c>
      <c r="C153" s="9">
        <f t="shared" si="34"/>
        <v>4.0266722905167001</v>
      </c>
      <c r="D153" s="9">
        <f t="shared" si="34"/>
        <v>4.0501042672702363</v>
      </c>
      <c r="H153" s="11">
        <f>H152</f>
        <v>2.937272727272727</v>
      </c>
      <c r="I153" s="11">
        <f>I152+(I155-I152)*1/3</f>
        <v>0.75</v>
      </c>
      <c r="J153" s="11">
        <f>J152+(J155-J152)*1/3</f>
        <v>0.46666666666666667</v>
      </c>
      <c r="L153" s="10">
        <f>'[2]Daily fcst'!L50</f>
        <v>3.25</v>
      </c>
      <c r="M153" s="11">
        <f>M152+(M155-M152)*1/3</f>
        <v>3.2766722905166996</v>
      </c>
      <c r="N153" s="11">
        <f>N152+(N155-N152)*1/3</f>
        <v>3.58343760060357</v>
      </c>
      <c r="P153" s="8">
        <v>46174</v>
      </c>
      <c r="Q153" s="9">
        <f t="shared" si="35"/>
        <v>-0.79272727272727295</v>
      </c>
      <c r="R153" s="9">
        <f t="shared" si="29"/>
        <v>-1.1333277094833001</v>
      </c>
      <c r="S153" s="9">
        <f t="shared" si="30"/>
        <v>2.4501042672702362</v>
      </c>
    </row>
    <row r="154" spans="1:19" x14ac:dyDescent="0.35">
      <c r="A154" s="8">
        <v>46204</v>
      </c>
      <c r="B154" s="9">
        <f t="shared" si="34"/>
        <v>6.1872727272727275</v>
      </c>
      <c r="C154" s="9">
        <f t="shared" si="34"/>
        <v>4.0136348901544032</v>
      </c>
      <c r="D154" s="9">
        <f t="shared" si="34"/>
        <v>4.044412363629041</v>
      </c>
      <c r="H154" s="11">
        <f>H152</f>
        <v>2.937272727272727</v>
      </c>
      <c r="I154" s="11">
        <f>I153+(I155-I152)*1/3</f>
        <v>0.77500000000000002</v>
      </c>
      <c r="J154" s="11">
        <f>J153+(J155-J152)*1/3</f>
        <v>0.48333333333333334</v>
      </c>
      <c r="L154" s="10">
        <f>'[2]Daily fcst'!L51</f>
        <v>3.25</v>
      </c>
      <c r="M154" s="11">
        <f>M153+(M155-M152)*1/3</f>
        <v>3.2386348901544033</v>
      </c>
      <c r="N154" s="11">
        <f>N153+(N155-N152)*1/3</f>
        <v>3.561079030295708</v>
      </c>
      <c r="P154" s="8">
        <v>46204</v>
      </c>
      <c r="Q154" s="9">
        <f t="shared" si="35"/>
        <v>-0.84590909090909072</v>
      </c>
      <c r="R154" s="9">
        <f t="shared" si="29"/>
        <v>-0.97636510984559699</v>
      </c>
      <c r="S154" s="9">
        <f t="shared" si="30"/>
        <v>2.5944123636290408</v>
      </c>
    </row>
    <row r="155" spans="1:19" x14ac:dyDescent="0.35">
      <c r="A155" s="8">
        <v>46235</v>
      </c>
      <c r="B155" s="9">
        <f t="shared" si="34"/>
        <v>6.2390909090909084</v>
      </c>
      <c r="C155" s="9">
        <f t="shared" si="34"/>
        <v>4.0005974897921073</v>
      </c>
      <c r="D155" s="9">
        <f t="shared" si="34"/>
        <v>4.0387204599878466</v>
      </c>
      <c r="H155" s="10">
        <f>'[2]Mortgage &amp; deposit rates'!Y117</f>
        <v>2.9890909090909088</v>
      </c>
      <c r="I155" s="10">
        <f>'[2]Mortgage &amp; deposit rates'!Z117</f>
        <v>0.8</v>
      </c>
      <c r="J155" s="10">
        <f>'[2]Mortgage &amp; deposit rates'!AA117</f>
        <v>0.5</v>
      </c>
      <c r="L155" s="10">
        <f>'[2]Daily fcst'!L52</f>
        <v>3.25</v>
      </c>
      <c r="M155" s="10">
        <f>'[2]RRFRxxx-RSWAPxxxxRFR'!H117</f>
        <v>3.200597489792107</v>
      </c>
      <c r="N155" s="10">
        <f>'[2]RRFRxxx-RSWAPxxxxRFR'!K117</f>
        <v>3.5387204599878461</v>
      </c>
      <c r="P155" s="8">
        <v>46235</v>
      </c>
      <c r="Q155" s="9">
        <f t="shared" si="35"/>
        <v>-0.5903463203463204</v>
      </c>
      <c r="R155" s="9">
        <f t="shared" si="29"/>
        <v>-0.79940251020789255</v>
      </c>
      <c r="S155" s="9">
        <f t="shared" si="30"/>
        <v>2.6487204599878469</v>
      </c>
    </row>
    <row r="156" spans="1:19" x14ac:dyDescent="0.35">
      <c r="A156" s="8">
        <v>46266</v>
      </c>
      <c r="B156" s="9">
        <f t="shared" ref="B156:D171" si="36">H156+L156</f>
        <v>6.2390909090909084</v>
      </c>
      <c r="C156" s="9">
        <f t="shared" si="36"/>
        <v>3.9734966242833716</v>
      </c>
      <c r="D156" s="9">
        <f t="shared" si="36"/>
        <v>4.0269627749847716</v>
      </c>
      <c r="H156" s="11">
        <f>H155</f>
        <v>2.9890909090909088</v>
      </c>
      <c r="I156" s="11">
        <f>I155+(I158-I155)*1/3</f>
        <v>0.81565206123456802</v>
      </c>
      <c r="J156" s="11">
        <f>J155+(J158-J155)*1/3</f>
        <v>0.51666666666666672</v>
      </c>
      <c r="L156" s="10">
        <f>'[2]Daily fcst'!L53</f>
        <v>3.25</v>
      </c>
      <c r="M156" s="11">
        <f>M155+(M158-M155)*1/3</f>
        <v>3.1578445630488035</v>
      </c>
      <c r="N156" s="11">
        <f>N155+(N158-N155)*1/3</f>
        <v>3.5102961083181046</v>
      </c>
      <c r="P156" s="8">
        <v>46266</v>
      </c>
      <c r="Q156" s="9">
        <f t="shared" si="35"/>
        <v>-0.54272727272727295</v>
      </c>
      <c r="R156" s="9">
        <f t="shared" si="29"/>
        <v>-0.60650337571662849</v>
      </c>
      <c r="S156" s="9">
        <f t="shared" si="30"/>
        <v>2.7469627749847714</v>
      </c>
    </row>
    <row r="157" spans="1:19" x14ac:dyDescent="0.35">
      <c r="A157" s="8">
        <v>46296</v>
      </c>
      <c r="B157" s="9">
        <f t="shared" si="36"/>
        <v>6.2390909090909084</v>
      </c>
      <c r="C157" s="9">
        <f t="shared" si="36"/>
        <v>3.9463957587746359</v>
      </c>
      <c r="D157" s="9">
        <f t="shared" si="36"/>
        <v>4.0152050899816967</v>
      </c>
      <c r="H157" s="11">
        <f>H155</f>
        <v>2.9890909090909088</v>
      </c>
      <c r="I157" s="11">
        <f>I156+(I158-I155)*1/3</f>
        <v>0.83130412246913599</v>
      </c>
      <c r="J157" s="11">
        <f>J156+(J158-J155)*1/3</f>
        <v>0.53333333333333344</v>
      </c>
      <c r="L157" s="10">
        <f>'[2]Daily fcst'!L54</f>
        <v>3.25</v>
      </c>
      <c r="M157" s="11">
        <f>M156+(M158-M155)*1/3</f>
        <v>3.1150916363054999</v>
      </c>
      <c r="N157" s="11">
        <f>N156+(N158-N155)*1/3</f>
        <v>3.481871756648363</v>
      </c>
      <c r="P157" s="8">
        <v>46296</v>
      </c>
      <c r="Q157" s="9">
        <f t="shared" si="35"/>
        <v>-0.54272727272727295</v>
      </c>
      <c r="R157" s="9">
        <f t="shared" si="29"/>
        <v>-0.45360424122536447</v>
      </c>
      <c r="S157" s="9">
        <f t="shared" si="30"/>
        <v>2.7152050899816969</v>
      </c>
    </row>
    <row r="158" spans="1:19" x14ac:dyDescent="0.35">
      <c r="A158" s="8">
        <v>46327</v>
      </c>
      <c r="B158" s="9">
        <f t="shared" si="36"/>
        <v>6.0766233766233757</v>
      </c>
      <c r="C158" s="9">
        <f t="shared" si="36"/>
        <v>3.9192948932659002</v>
      </c>
      <c r="D158" s="9">
        <f t="shared" si="36"/>
        <v>4.0034474049786208</v>
      </c>
      <c r="H158" s="10">
        <f>'[2]Mortgage &amp; deposit rates'!Y118</f>
        <v>3.0409090909090906</v>
      </c>
      <c r="I158" s="10">
        <f>'[2]Mortgage &amp; deposit rates'!Z118</f>
        <v>0.84695618370370385</v>
      </c>
      <c r="J158" s="10">
        <f>'[2]Mortgage &amp; deposit rates'!AA118</f>
        <v>0.55000000000000004</v>
      </c>
      <c r="L158" s="10">
        <f>'[2]Daily fcst'!L55</f>
        <v>3.0357142857142856</v>
      </c>
      <c r="M158" s="10">
        <f>'[2]RRFRxxx-RSWAPxxxxRFR'!H118</f>
        <v>3.0723387095621963</v>
      </c>
      <c r="N158" s="10">
        <f>'[2]RRFRxxx-RSWAPxxxxRFR'!K118</f>
        <v>3.453447404978621</v>
      </c>
      <c r="P158" s="8">
        <v>46327</v>
      </c>
      <c r="Q158" s="9">
        <f t="shared" si="35"/>
        <v>-0.54451298701298789</v>
      </c>
      <c r="R158" s="9">
        <f t="shared" si="29"/>
        <v>-0.61070510673410006</v>
      </c>
      <c r="S158" s="9">
        <f t="shared" si="30"/>
        <v>2.4834474049786208</v>
      </c>
    </row>
    <row r="159" spans="1:19" x14ac:dyDescent="0.35">
      <c r="A159" s="8">
        <v>46357</v>
      </c>
      <c r="B159" s="9">
        <f t="shared" si="36"/>
        <v>6.040909090909091</v>
      </c>
      <c r="C159" s="9">
        <f t="shared" si="36"/>
        <v>3.882284695940371</v>
      </c>
      <c r="D159" s="9">
        <f t="shared" si="36"/>
        <v>3.9878691392817505</v>
      </c>
      <c r="H159" s="11">
        <f>H158</f>
        <v>3.0409090909090906</v>
      </c>
      <c r="I159" s="11">
        <f>I158+(I161-I158)*1/3</f>
        <v>0.84695618370370385</v>
      </c>
      <c r="J159" s="11">
        <f>J158+(J161-J158)*1/3</f>
        <v>0.56666666666666665</v>
      </c>
      <c r="L159" s="10">
        <f>'[2]Daily fcst'!L56</f>
        <v>3</v>
      </c>
      <c r="M159" s="11">
        <f>M158+(M161-M158)*1/3</f>
        <v>3.0353285122366671</v>
      </c>
      <c r="N159" s="11">
        <f>N158+(N161-N158)*1/3</f>
        <v>3.421202472615084</v>
      </c>
      <c r="P159" s="8">
        <v>46357</v>
      </c>
      <c r="Q159" s="9">
        <f>B159-B147</f>
        <v>-0.54272727272727295</v>
      </c>
      <c r="R159" s="9">
        <f t="shared" si="29"/>
        <v>-0.71771530405962869</v>
      </c>
      <c r="S159" s="9">
        <f t="shared" si="30"/>
        <v>2.3978691392817506</v>
      </c>
    </row>
    <row r="160" spans="1:19" x14ac:dyDescent="0.35">
      <c r="A160" s="8">
        <v>46388</v>
      </c>
      <c r="B160" s="9">
        <f t="shared" si="36"/>
        <v>6.040909090909091</v>
      </c>
      <c r="C160" s="9">
        <f t="shared" si="36"/>
        <v>3.8452744986148417</v>
      </c>
      <c r="D160" s="9">
        <f t="shared" si="36"/>
        <v>3.9722908735848801</v>
      </c>
      <c r="H160" s="11">
        <f>H158</f>
        <v>3.0409090909090906</v>
      </c>
      <c r="I160" s="11">
        <f>I159+(I161-I158)*1/3</f>
        <v>0.84695618370370385</v>
      </c>
      <c r="J160" s="11">
        <f>J159+(J161-J158)*1/3</f>
        <v>0.58333333333333326</v>
      </c>
      <c r="L160" s="10">
        <f>'[2]Daily fcst'!L57</f>
        <v>3</v>
      </c>
      <c r="M160" s="11">
        <f>M159+(M161-M158)*1/3</f>
        <v>2.9983183149111379</v>
      </c>
      <c r="N160" s="11">
        <f>N159+(N161-N158)*1/3</f>
        <v>3.3889575402515471</v>
      </c>
      <c r="P160" s="8">
        <v>46388</v>
      </c>
      <c r="Q160" s="9">
        <f t="shared" ref="Q160:Q171" si="37">B160-B148</f>
        <v>-0.54272727272727295</v>
      </c>
      <c r="R160" s="9">
        <f t="shared" si="29"/>
        <v>-0.80472550138515864</v>
      </c>
      <c r="S160" s="9">
        <f t="shared" si="30"/>
        <v>2.3422908735848802</v>
      </c>
    </row>
    <row r="161" spans="1:19" x14ac:dyDescent="0.35">
      <c r="A161" s="8">
        <v>46419</v>
      </c>
      <c r="B161" s="9">
        <f t="shared" si="36"/>
        <v>6.0927272727272719</v>
      </c>
      <c r="C161" s="9">
        <f t="shared" si="36"/>
        <v>3.808264301289312</v>
      </c>
      <c r="D161" s="9">
        <f t="shared" si="36"/>
        <v>3.9567126078880097</v>
      </c>
      <c r="H161" s="10">
        <f>'[2]Mortgage &amp; deposit rates'!Y119</f>
        <v>3.0927272727272723</v>
      </c>
      <c r="I161" s="10">
        <f>'[2]Mortgage &amp; deposit rates'!Z119</f>
        <v>0.84695618370370385</v>
      </c>
      <c r="J161" s="10">
        <f>'[2]Mortgage &amp; deposit rates'!AA119</f>
        <v>0.6</v>
      </c>
      <c r="L161" s="10">
        <f>'[2]Daily fcst'!L58</f>
        <v>3</v>
      </c>
      <c r="M161" s="10">
        <f>'[2]RRFRxxx-RSWAPxxxxRFR'!H119</f>
        <v>2.9613081175856082</v>
      </c>
      <c r="N161" s="10">
        <f>'[2]RRFRxxx-RSWAPxxxxRFR'!K119</f>
        <v>3.3567126078880096</v>
      </c>
      <c r="P161" s="8">
        <v>46419</v>
      </c>
      <c r="Q161" s="9">
        <f t="shared" si="37"/>
        <v>-0.33022727272727348</v>
      </c>
      <c r="R161" s="9">
        <f t="shared" si="29"/>
        <v>-0.88173569871068835</v>
      </c>
      <c r="S161" s="9">
        <f t="shared" si="30"/>
        <v>2.1667126078880097</v>
      </c>
    </row>
    <row r="162" spans="1:19" x14ac:dyDescent="0.35">
      <c r="A162" s="8">
        <v>46447</v>
      </c>
      <c r="B162" s="9">
        <f t="shared" si="36"/>
        <v>6.0927272727272719</v>
      </c>
      <c r="C162" s="9">
        <f t="shared" si="36"/>
        <v>3.7650450627573626</v>
      </c>
      <c r="D162" s="9">
        <f t="shared" si="36"/>
        <v>3.866654198931823</v>
      </c>
      <c r="H162" s="11">
        <f>H161</f>
        <v>3.0927272727272723</v>
      </c>
      <c r="I162" s="11">
        <f>I161+(I164-I161)*1/3</f>
        <v>0.84695618370370385</v>
      </c>
      <c r="J162" s="11">
        <f>J161+(J164-J161)*1/3</f>
        <v>0.6166666666666667</v>
      </c>
      <c r="L162" s="10">
        <f>'[3]Daily fcst'!L59</f>
        <v>3</v>
      </c>
      <c r="M162" s="11">
        <f>M161+(M164-M161)*1/3</f>
        <v>2.9180888790536588</v>
      </c>
      <c r="N162" s="11">
        <f>N161+(N164-N161)*1/3</f>
        <v>3.2499875322651564</v>
      </c>
      <c r="P162" s="8">
        <v>46447</v>
      </c>
      <c r="Q162" s="9">
        <f t="shared" si="37"/>
        <v>-0.29272727272727295</v>
      </c>
      <c r="R162" s="9">
        <f t="shared" si="29"/>
        <v>-0.79495493724263699</v>
      </c>
      <c r="S162" s="9">
        <f t="shared" si="30"/>
        <v>1.7566541989318232</v>
      </c>
    </row>
    <row r="163" spans="1:19" x14ac:dyDescent="0.35">
      <c r="A163" s="8">
        <v>46478</v>
      </c>
      <c r="B163" s="9">
        <f t="shared" si="36"/>
        <v>6.0927272727272719</v>
      </c>
      <c r="C163" s="9">
        <f t="shared" si="36"/>
        <v>3.7218258242254132</v>
      </c>
      <c r="D163" s="9">
        <f t="shared" si="36"/>
        <v>3.7765957899756364</v>
      </c>
      <c r="H163" s="11">
        <f>H161</f>
        <v>3.0927272727272723</v>
      </c>
      <c r="I163" s="11">
        <f>I162+(I164-I161)*1/3</f>
        <v>0.84695618370370385</v>
      </c>
      <c r="J163" s="11">
        <f>J162+(J164-J161)*1/3</f>
        <v>0.63333333333333341</v>
      </c>
      <c r="L163" s="10">
        <f>'[3]Daily fcst'!L60</f>
        <v>3</v>
      </c>
      <c r="M163" s="11">
        <f>M162+(M164-M161)*1/3</f>
        <v>2.8748696405217093</v>
      </c>
      <c r="N163" s="11">
        <f>N162+(N164-N161)*1/3</f>
        <v>3.1432624566423031</v>
      </c>
      <c r="P163" s="8">
        <v>46478</v>
      </c>
      <c r="Q163" s="9">
        <f t="shared" si="37"/>
        <v>-0.29272727272727295</v>
      </c>
      <c r="R163" s="9">
        <f t="shared" si="29"/>
        <v>-0.69817417577458674</v>
      </c>
      <c r="S163" s="9">
        <f t="shared" si="30"/>
        <v>1.4265957899756363</v>
      </c>
    </row>
    <row r="164" spans="1:19" x14ac:dyDescent="0.35">
      <c r="A164" s="8">
        <v>46508</v>
      </c>
      <c r="B164" s="9">
        <f t="shared" si="36"/>
        <v>5.9302597402597392</v>
      </c>
      <c r="C164" s="9">
        <f t="shared" si="36"/>
        <v>3.6786065856934638</v>
      </c>
      <c r="D164" s="9">
        <f t="shared" si="36"/>
        <v>3.6865373810194502</v>
      </c>
      <c r="H164" s="10">
        <f>'[3]Mortgage &amp; deposit rates'!Y120</f>
        <v>3.1445454545454541</v>
      </c>
      <c r="I164" s="10">
        <f>'[3]Mortgage &amp; deposit rates'!Z120</f>
        <v>0.84695618370370385</v>
      </c>
      <c r="J164" s="10">
        <f>'[3]Mortgage &amp; deposit rates'!AA120</f>
        <v>0.65</v>
      </c>
      <c r="L164" s="10">
        <f>'[3]Daily fcst'!L61</f>
        <v>2.7857142857142856</v>
      </c>
      <c r="M164" s="10">
        <f>'[3]RRFRxxx-RSWAPxxxxRFR'!H120</f>
        <v>2.8316504019897599</v>
      </c>
      <c r="N164" s="10">
        <f>'[3]RRFRxxx-RSWAPxxxxRFR'!I120</f>
        <v>3.0365373810194503</v>
      </c>
      <c r="P164" s="8">
        <v>46508</v>
      </c>
      <c r="Q164" s="9">
        <f t="shared" si="37"/>
        <v>-0.3046320346320357</v>
      </c>
      <c r="R164" s="9">
        <f t="shared" si="29"/>
        <v>-0.51139341430653662</v>
      </c>
      <c r="S164" s="9">
        <f t="shared" si="30"/>
        <v>1.0665373810194501</v>
      </c>
    </row>
    <row r="165" spans="1:19" x14ac:dyDescent="0.35">
      <c r="A165" s="8">
        <v>46539</v>
      </c>
      <c r="B165" s="9">
        <f t="shared" si="36"/>
        <v>5.8945454545454545</v>
      </c>
      <c r="C165" s="9">
        <f t="shared" si="36"/>
        <v>3.6398970461221354</v>
      </c>
      <c r="D165" s="9">
        <f t="shared" si="36"/>
        <v>3.6762095948389177</v>
      </c>
      <c r="H165" s="11">
        <f>H164</f>
        <v>3.1445454545454541</v>
      </c>
      <c r="I165" s="11">
        <f>I164+(I167-I164)*1/3</f>
        <v>0.84695618370370385</v>
      </c>
      <c r="J165" s="11">
        <f>J164+(J167-J164)*1/3</f>
        <v>0.68333333333333335</v>
      </c>
      <c r="L165" s="10">
        <f>'[3]Daily fcst'!L62</f>
        <v>2.75</v>
      </c>
      <c r="M165" s="11">
        <f>M164+(M167-M164)*1/3</f>
        <v>2.7929408624184315</v>
      </c>
      <c r="N165" s="11">
        <f>N164+(N167-N164)*1/3</f>
        <v>2.9928762615055846</v>
      </c>
      <c r="P165" s="8">
        <v>46539</v>
      </c>
      <c r="Q165" s="9">
        <f t="shared" si="37"/>
        <v>-0.29272727272727295</v>
      </c>
      <c r="R165" s="9">
        <f t="shared" si="29"/>
        <v>-0.6801029538778649</v>
      </c>
      <c r="S165" s="9">
        <f t="shared" si="30"/>
        <v>0.77620959483891783</v>
      </c>
    </row>
    <row r="166" spans="1:19" x14ac:dyDescent="0.35">
      <c r="A166" s="8">
        <v>46569</v>
      </c>
      <c r="B166" s="9">
        <f t="shared" si="36"/>
        <v>5.8945454545454545</v>
      </c>
      <c r="C166" s="9">
        <f t="shared" si="36"/>
        <v>3.601187506550807</v>
      </c>
      <c r="D166" s="9">
        <f t="shared" si="36"/>
        <v>3.6658818086583858</v>
      </c>
      <c r="H166" s="11">
        <f>H164</f>
        <v>3.1445454545454541</v>
      </c>
      <c r="I166" s="11">
        <f>I165+(I167-I164)*1/3</f>
        <v>0.84695618370370385</v>
      </c>
      <c r="J166" s="11">
        <f>J165+(J167-J164)*1/3</f>
        <v>0.71666666666666667</v>
      </c>
      <c r="L166" s="10">
        <f>'[3]Daily fcst'!L63</f>
        <v>2.75</v>
      </c>
      <c r="M166" s="11">
        <f>M165+(M167-M164)*1/3</f>
        <v>2.7542313228471031</v>
      </c>
      <c r="N166" s="11">
        <f>N165+(N167-N164)*1/3</f>
        <v>2.949215141991719</v>
      </c>
      <c r="P166" s="8">
        <v>46569</v>
      </c>
      <c r="Q166" s="9">
        <f t="shared" si="37"/>
        <v>-0.29272727272727295</v>
      </c>
      <c r="R166" s="9">
        <f t="shared" si="29"/>
        <v>-0.55403808403347554</v>
      </c>
      <c r="S166" s="9">
        <f t="shared" si="30"/>
        <v>0.23588180865838559</v>
      </c>
    </row>
    <row r="167" spans="1:19" x14ac:dyDescent="0.35">
      <c r="A167" s="8">
        <v>46600</v>
      </c>
      <c r="B167" s="9">
        <f t="shared" si="36"/>
        <v>5.9463636363636354</v>
      </c>
      <c r="C167" s="9">
        <f t="shared" si="36"/>
        <v>3.5624779669794782</v>
      </c>
      <c r="D167" s="9">
        <f t="shared" si="36"/>
        <v>3.6555540224778533</v>
      </c>
      <c r="H167" s="10">
        <f>'[3]Mortgage &amp; deposit rates'!Y121</f>
        <v>3.1963636363636359</v>
      </c>
      <c r="I167" s="10">
        <f>'[3]Mortgage &amp; deposit rates'!Z121</f>
        <v>0.84695618370370385</v>
      </c>
      <c r="J167" s="10">
        <f>'[3]Mortgage &amp; deposit rates'!AA121</f>
        <v>0.75</v>
      </c>
      <c r="L167" s="10">
        <f>'[3]Daily fcst'!L64</f>
        <v>2.75</v>
      </c>
      <c r="M167" s="10">
        <f>'[3]RRFRxxx-RSWAPxxxxRFR'!H121</f>
        <v>2.7155217832757743</v>
      </c>
      <c r="N167" s="10">
        <f>'[3]RRFRxxx-RSWAPxxxxRFR'!I121</f>
        <v>2.9055540224778533</v>
      </c>
      <c r="P167" s="8">
        <v>46600</v>
      </c>
      <c r="Q167" s="9">
        <f t="shared" si="37"/>
        <v>-0.29272727272727295</v>
      </c>
      <c r="R167" s="9">
        <f t="shared" si="29"/>
        <v>-0.57536041889694545</v>
      </c>
      <c r="S167" s="9">
        <f t="shared" si="30"/>
        <v>4.5554022477853451E-2</v>
      </c>
    </row>
    <row r="168" spans="1:19" x14ac:dyDescent="0.35">
      <c r="A168" s="8">
        <v>46631</v>
      </c>
      <c r="B168" s="9">
        <f t="shared" si="36"/>
        <v>5.9463636363636354</v>
      </c>
      <c r="C168" s="9">
        <f t="shared" si="36"/>
        <v>3.5320377486156533</v>
      </c>
      <c r="D168" s="9">
        <f t="shared" si="36"/>
        <v>3.655480329059603</v>
      </c>
      <c r="H168" s="11">
        <f>H167</f>
        <v>3.1963636363636359</v>
      </c>
      <c r="I168" s="11">
        <f>I167+(I170-I167)*1/3</f>
        <v>0.84695618370370385</v>
      </c>
      <c r="J168" s="11">
        <f>J167+(J170-J167)*1/3</f>
        <v>0.78333333333333333</v>
      </c>
      <c r="L168" s="10">
        <f>'[3]Daily fcst'!L65</f>
        <v>2.75</v>
      </c>
      <c r="M168" s="11">
        <f>M167+(M170-M167)*1/3</f>
        <v>2.6850815649119495</v>
      </c>
      <c r="N168" s="11">
        <f>N167+(N170-N167)*1/3</f>
        <v>2.8721469957262697</v>
      </c>
      <c r="P168" s="8">
        <v>46631</v>
      </c>
      <c r="Q168" s="9">
        <f t="shared" si="37"/>
        <v>-0.29272727272727295</v>
      </c>
      <c r="R168" s="9">
        <f t="shared" si="29"/>
        <v>-0.59682740078428109</v>
      </c>
      <c r="S168" s="9">
        <f t="shared" si="30"/>
        <v>-0.31451967094039723</v>
      </c>
    </row>
    <row r="169" spans="1:19" x14ac:dyDescent="0.35">
      <c r="A169" s="8">
        <v>46661</v>
      </c>
      <c r="B169" s="9">
        <f t="shared" si="36"/>
        <v>5.9463636363636354</v>
      </c>
      <c r="C169" s="9">
        <f t="shared" si="36"/>
        <v>3.5015975302518285</v>
      </c>
      <c r="D169" s="9">
        <f t="shared" si="36"/>
        <v>3.655406635641353</v>
      </c>
      <c r="H169" s="11">
        <f>H167</f>
        <v>3.1963636363636359</v>
      </c>
      <c r="I169" s="11">
        <f>I168+(I170-I167)*1/3</f>
        <v>0.84695618370370385</v>
      </c>
      <c r="J169" s="11">
        <f>J168+(J170-J167)*1/3</f>
        <v>0.81666666666666665</v>
      </c>
      <c r="L169" s="10">
        <f>'[3]Daily fcst'!L66</f>
        <v>2.75</v>
      </c>
      <c r="M169" s="11">
        <f>M168+(M170-M167)*1/3</f>
        <v>2.6546413465481247</v>
      </c>
      <c r="N169" s="11">
        <f>N168+(N170-N167)*1/3</f>
        <v>2.8387399689746862</v>
      </c>
      <c r="P169" s="8">
        <v>46661</v>
      </c>
      <c r="Q169" s="9">
        <f t="shared" si="37"/>
        <v>-0.29272727272727295</v>
      </c>
      <c r="R169" s="9">
        <f t="shared" si="29"/>
        <v>-0.61829438267161674</v>
      </c>
      <c r="S169" s="9">
        <f t="shared" si="30"/>
        <v>-1.9545933643586473</v>
      </c>
    </row>
    <row r="170" spans="1:19" x14ac:dyDescent="0.35">
      <c r="A170" s="8">
        <v>46692</v>
      </c>
      <c r="B170" s="9">
        <f t="shared" si="36"/>
        <v>5.7822727272727263</v>
      </c>
      <c r="C170" s="9">
        <f t="shared" si="36"/>
        <v>3.4711573118880032</v>
      </c>
      <c r="D170" s="9">
        <f t="shared" si="36"/>
        <v>3.6553329422231027</v>
      </c>
      <c r="H170" s="10">
        <f>'[3]Mortgage &amp; deposit rates'!Y122</f>
        <v>3.2481818181818176</v>
      </c>
      <c r="I170" s="10">
        <f>'[3]Mortgage &amp; deposit rates'!Z122</f>
        <v>0.84695618370370385</v>
      </c>
      <c r="J170" s="10">
        <f>'[3]Mortgage &amp; deposit rates'!AA122</f>
        <v>0.85</v>
      </c>
      <c r="L170" s="10">
        <f>'[3]Daily fcst'!L67</f>
        <v>2.5340909090909092</v>
      </c>
      <c r="M170" s="10">
        <f>'[3]RRFRxxx-RSWAPxxxxRFR'!H122</f>
        <v>2.6242011281842994</v>
      </c>
      <c r="N170" s="10">
        <f>'[3]RRFRxxx-RSWAPxxxxRFR'!I122</f>
        <v>2.8053329422231026</v>
      </c>
      <c r="P170" s="8">
        <v>46692</v>
      </c>
      <c r="Q170" s="9">
        <f t="shared" si="37"/>
        <v>-0.29435064935064936</v>
      </c>
      <c r="R170" s="9">
        <f t="shared" si="29"/>
        <v>-0.63976136455895283</v>
      </c>
      <c r="S170" s="9">
        <f t="shared" si="30"/>
        <v>-1.8446670577768973</v>
      </c>
    </row>
    <row r="171" spans="1:19" x14ac:dyDescent="0.35">
      <c r="A171" s="8">
        <v>46722</v>
      </c>
      <c r="B171" s="9">
        <f t="shared" si="36"/>
        <v>5.7481818181818181</v>
      </c>
      <c r="C171" s="9">
        <f t="shared" si="36"/>
        <v>3.4645152764423179</v>
      </c>
      <c r="D171" s="9">
        <f t="shared" si="36"/>
        <v>3.6576441064917065</v>
      </c>
      <c r="H171" s="11">
        <f>H170</f>
        <v>3.2481818181818176</v>
      </c>
      <c r="I171" s="11">
        <f>I170+(I173-I170)*1/3</f>
        <v>0.84695618370370385</v>
      </c>
      <c r="J171" s="11">
        <f>J170+(J173-J170)*1/3</f>
        <v>0.86</v>
      </c>
      <c r="L171" s="10">
        <f>'[3]Daily fcst'!L68</f>
        <v>2.5</v>
      </c>
      <c r="M171" s="11">
        <f>M170+(M173-M170)*1/3</f>
        <v>2.6175590927386141</v>
      </c>
      <c r="N171" s="11">
        <f>N170+(N173-N170)*1/3</f>
        <v>2.7976441064917066</v>
      </c>
      <c r="P171" s="8">
        <v>46722</v>
      </c>
      <c r="Q171" s="9">
        <f t="shared" si="37"/>
        <v>-0.29272727272727295</v>
      </c>
      <c r="R171" s="9">
        <f t="shared" si="29"/>
        <v>-0.63775158682301614</v>
      </c>
      <c r="S171" s="9">
        <f t="shared" si="30"/>
        <v>-1.3923558935082934</v>
      </c>
    </row>
    <row r="172" spans="1:19" x14ac:dyDescent="0.35">
      <c r="H172" s="11">
        <f>H170</f>
        <v>3.2481818181818176</v>
      </c>
      <c r="I172" s="11">
        <f>I171+(I173-I170)*1/3</f>
        <v>0.84695618370370385</v>
      </c>
      <c r="J172" s="11">
        <f>J171+(J173-J170)*1/3</f>
        <v>0.87</v>
      </c>
      <c r="L172" s="10">
        <f>'[3]Daily fcst'!L69</f>
        <v>2.5</v>
      </c>
      <c r="M172" s="11">
        <f>M171+(M173-M170)*1/3</f>
        <v>2.6109170572929288</v>
      </c>
      <c r="N172" s="11">
        <f>N171+(N173-N170)*1/3</f>
        <v>2.7899552707603106</v>
      </c>
      <c r="P172" s="8"/>
    </row>
    <row r="173" spans="1:19" x14ac:dyDescent="0.35">
      <c r="H173" s="10">
        <f>'[3]Mortgage &amp; deposit rates'!Y123</f>
        <v>3.3</v>
      </c>
      <c r="I173" s="10">
        <f>'[3]Mortgage &amp; deposit rates'!Z123</f>
        <v>0.84695618370370385</v>
      </c>
      <c r="J173" s="10">
        <f>'[3]Mortgage &amp; deposit rates'!AA123</f>
        <v>0.88</v>
      </c>
      <c r="L173" s="10">
        <f>'[3]Daily fcst'!L70</f>
        <v>2.5</v>
      </c>
      <c r="M173" s="10">
        <f>'[3]RRFRxxx-RSWAPxxxxRFR'!H123</f>
        <v>2.6042750218472435</v>
      </c>
      <c r="N173" s="10">
        <f>'[3]RRFRxxx-RSWAPxxxxRFR'!I123</f>
        <v>2.7822664350289141</v>
      </c>
      <c r="P17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9308-0B9F-4D3F-931C-A4C0D8FE6238}">
  <sheetPr codeName="Sheet9"/>
  <dimension ref="A1:I432"/>
  <sheetViews>
    <sheetView workbookViewId="0">
      <pane xSplit="1" ySplit="6" topLeftCell="B426" activePane="bottomRight" state="frozen"/>
      <selection pane="topRight" activeCell="B1" sqref="B1"/>
      <selection pane="bottomLeft" activeCell="A7" sqref="A7"/>
      <selection pane="bottomRight" activeCell="F437" sqref="F437"/>
    </sheetView>
  </sheetViews>
  <sheetFormatPr defaultRowHeight="14.5" x14ac:dyDescent="0.35"/>
  <cols>
    <col min="2" max="15" width="16.81640625" customWidth="1"/>
  </cols>
  <sheetData>
    <row r="1" spans="1:9" x14ac:dyDescent="0.3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426</v>
      </c>
      <c r="H1" t="s">
        <v>896</v>
      </c>
      <c r="I1" t="s">
        <v>897</v>
      </c>
    </row>
    <row r="2" spans="1:9" s="13" customFormat="1" ht="87" x14ac:dyDescent="0.35">
      <c r="A2" s="13" t="s">
        <v>455</v>
      </c>
      <c r="B2" s="13" t="s">
        <v>458</v>
      </c>
      <c r="C2" s="13" t="s">
        <v>459</v>
      </c>
      <c r="D2" s="13" t="s">
        <v>460</v>
      </c>
      <c r="E2" s="13" t="s">
        <v>404</v>
      </c>
      <c r="F2" s="13" t="s">
        <v>422</v>
      </c>
      <c r="G2" s="13" t="s">
        <v>427</v>
      </c>
      <c r="H2" s="13" t="s">
        <v>899</v>
      </c>
      <c r="I2" s="13" t="s">
        <v>399</v>
      </c>
    </row>
    <row r="3" spans="1:9" x14ac:dyDescent="0.35">
      <c r="A3" t="s">
        <v>454</v>
      </c>
      <c r="B3" t="s">
        <v>457</v>
      </c>
      <c r="C3" t="s">
        <v>457</v>
      </c>
      <c r="D3" t="s">
        <v>457</v>
      </c>
      <c r="E3" t="s">
        <v>461</v>
      </c>
      <c r="F3" t="s">
        <v>462</v>
      </c>
      <c r="G3" t="s">
        <v>462</v>
      </c>
      <c r="H3" t="s">
        <v>898</v>
      </c>
      <c r="I3" t="s">
        <v>898</v>
      </c>
    </row>
    <row r="4" spans="1:9" x14ac:dyDescent="0.35">
      <c r="A4" t="s">
        <v>453</v>
      </c>
      <c r="B4" t="s">
        <v>908</v>
      </c>
      <c r="C4" t="s">
        <v>908</v>
      </c>
      <c r="D4" t="s">
        <v>908</v>
      </c>
      <c r="E4" t="s">
        <v>910</v>
      </c>
      <c r="F4" t="s">
        <v>910</v>
      </c>
      <c r="G4" t="s">
        <v>910</v>
      </c>
      <c r="H4" t="s">
        <v>903</v>
      </c>
      <c r="I4" t="s">
        <v>903</v>
      </c>
    </row>
    <row r="5" spans="1:9" x14ac:dyDescent="0.35">
      <c r="A5" t="s">
        <v>452</v>
      </c>
      <c r="B5" t="s">
        <v>456</v>
      </c>
      <c r="C5" t="s">
        <v>456</v>
      </c>
      <c r="D5" t="s">
        <v>456</v>
      </c>
      <c r="E5" t="s">
        <v>456</v>
      </c>
      <c r="F5" t="s">
        <v>425</v>
      </c>
      <c r="G5" t="s">
        <v>425</v>
      </c>
      <c r="H5" t="s">
        <v>456</v>
      </c>
      <c r="I5" t="s">
        <v>456</v>
      </c>
    </row>
    <row r="6" spans="1:9" x14ac:dyDescent="0.35">
      <c r="A6" t="s">
        <v>451</v>
      </c>
      <c r="B6" t="s">
        <v>907</v>
      </c>
      <c r="C6" t="s">
        <v>907</v>
      </c>
      <c r="D6" t="s">
        <v>907</v>
      </c>
      <c r="E6" t="s">
        <v>909</v>
      </c>
      <c r="F6" t="s">
        <v>911</v>
      </c>
      <c r="G6" t="s">
        <v>911</v>
      </c>
      <c r="H6" t="s">
        <v>905</v>
      </c>
      <c r="I6" t="s">
        <v>905</v>
      </c>
    </row>
    <row r="7" spans="1:9" x14ac:dyDescent="0.35">
      <c r="A7" t="s">
        <v>463</v>
      </c>
      <c r="B7" s="9" t="e">
        <v>#N/A</v>
      </c>
      <c r="C7" s="9" t="e">
        <v>#N/A</v>
      </c>
      <c r="D7" s="9" t="e">
        <v>#N/A</v>
      </c>
      <c r="E7" s="12">
        <v>14.875</v>
      </c>
      <c r="F7" s="12" t="e">
        <v>#N/A</v>
      </c>
      <c r="G7" s="12" t="e">
        <v>#N/A</v>
      </c>
      <c r="H7" s="9" t="e">
        <v>#N/A</v>
      </c>
      <c r="I7" s="9" t="e">
        <v>#N/A</v>
      </c>
    </row>
    <row r="8" spans="1:9" x14ac:dyDescent="0.35">
      <c r="A8" t="s">
        <v>464</v>
      </c>
      <c r="B8" s="9" t="e">
        <v>#N/A</v>
      </c>
      <c r="C8" s="9" t="e">
        <v>#N/A</v>
      </c>
      <c r="D8" s="9" t="e">
        <v>#N/A</v>
      </c>
      <c r="E8" s="12">
        <v>14.875</v>
      </c>
      <c r="F8" s="12" t="e">
        <v>#N/A</v>
      </c>
      <c r="G8" s="12" t="e">
        <v>#N/A</v>
      </c>
      <c r="H8" s="9" t="e">
        <v>#N/A</v>
      </c>
      <c r="I8" s="9" t="e">
        <v>#N/A</v>
      </c>
    </row>
    <row r="9" spans="1:9" x14ac:dyDescent="0.35">
      <c r="A9" t="s">
        <v>465</v>
      </c>
      <c r="B9" s="9" t="e">
        <v>#N/A</v>
      </c>
      <c r="C9" s="9" t="e">
        <v>#N/A</v>
      </c>
      <c r="D9" s="9" t="e">
        <v>#N/A</v>
      </c>
      <c r="E9" s="12">
        <v>14.875</v>
      </c>
      <c r="F9" s="12" t="e">
        <v>#N/A</v>
      </c>
      <c r="G9" s="12" t="e">
        <v>#N/A</v>
      </c>
      <c r="H9" s="9" t="e">
        <v>#N/A</v>
      </c>
      <c r="I9" s="9" t="e">
        <v>#N/A</v>
      </c>
    </row>
    <row r="10" spans="1:9" x14ac:dyDescent="0.35">
      <c r="A10" t="s">
        <v>466</v>
      </c>
      <c r="B10" s="9" t="e">
        <v>#N/A</v>
      </c>
      <c r="C10" s="9" t="e">
        <v>#N/A</v>
      </c>
      <c r="D10" s="9" t="e">
        <v>#N/A</v>
      </c>
      <c r="E10" s="12">
        <v>14.875</v>
      </c>
      <c r="F10" s="12" t="e">
        <v>#N/A</v>
      </c>
      <c r="G10" s="12" t="e">
        <v>#N/A</v>
      </c>
      <c r="H10" s="9" t="e">
        <v>#N/A</v>
      </c>
      <c r="I10" s="9" t="e">
        <v>#N/A</v>
      </c>
    </row>
    <row r="11" spans="1:9" x14ac:dyDescent="0.35">
      <c r="A11" t="s">
        <v>467</v>
      </c>
      <c r="B11" s="9" t="e">
        <v>#N/A</v>
      </c>
      <c r="C11" s="9" t="e">
        <v>#N/A</v>
      </c>
      <c r="D11" s="9" t="e">
        <v>#N/A</v>
      </c>
      <c r="E11" s="12">
        <v>14.875</v>
      </c>
      <c r="F11" s="12" t="e">
        <v>#N/A</v>
      </c>
      <c r="G11" s="12" t="e">
        <v>#N/A</v>
      </c>
      <c r="H11" s="9" t="e">
        <v>#N/A</v>
      </c>
      <c r="I11" s="9" t="e">
        <v>#N/A</v>
      </c>
    </row>
    <row r="12" spans="1:9" x14ac:dyDescent="0.35">
      <c r="A12" t="s">
        <v>468</v>
      </c>
      <c r="B12" s="9" t="e">
        <v>#N/A</v>
      </c>
      <c r="C12" s="9" t="e">
        <v>#N/A</v>
      </c>
      <c r="D12" s="9" t="e">
        <v>#N/A</v>
      </c>
      <c r="E12" s="12">
        <v>14.875</v>
      </c>
      <c r="F12" s="12" t="e">
        <v>#N/A</v>
      </c>
      <c r="G12" s="12" t="e">
        <v>#N/A</v>
      </c>
      <c r="H12" s="9" t="e">
        <v>#N/A</v>
      </c>
      <c r="I12" s="9" t="e">
        <v>#N/A</v>
      </c>
    </row>
    <row r="13" spans="1:9" x14ac:dyDescent="0.35">
      <c r="A13" t="s">
        <v>469</v>
      </c>
      <c r="B13" s="9" t="e">
        <v>#N/A</v>
      </c>
      <c r="C13" s="9" t="e">
        <v>#N/A</v>
      </c>
      <c r="D13" s="9" t="e">
        <v>#N/A</v>
      </c>
      <c r="E13" s="12">
        <v>14.875</v>
      </c>
      <c r="F13" s="12" t="e">
        <v>#N/A</v>
      </c>
      <c r="G13" s="12" t="e">
        <v>#N/A</v>
      </c>
      <c r="H13" s="9" t="e">
        <v>#N/A</v>
      </c>
      <c r="I13" s="9" t="e">
        <v>#N/A</v>
      </c>
    </row>
    <row r="14" spans="1:9" x14ac:dyDescent="0.35">
      <c r="A14" t="s">
        <v>470</v>
      </c>
      <c r="B14" s="9" t="e">
        <v>#N/A</v>
      </c>
      <c r="C14" s="9" t="e">
        <v>#N/A</v>
      </c>
      <c r="D14" s="9" t="e">
        <v>#N/A</v>
      </c>
      <c r="E14" s="12">
        <v>14.875</v>
      </c>
      <c r="F14" s="12" t="e">
        <v>#N/A</v>
      </c>
      <c r="G14" s="12" t="e">
        <v>#N/A</v>
      </c>
      <c r="H14" s="9" t="e">
        <v>#N/A</v>
      </c>
      <c r="I14" s="9" t="e">
        <v>#N/A</v>
      </c>
    </row>
    <row r="15" spans="1:9" x14ac:dyDescent="0.35">
      <c r="A15" t="s">
        <v>471</v>
      </c>
      <c r="B15" s="9" t="e">
        <v>#N/A</v>
      </c>
      <c r="C15" s="9" t="e">
        <v>#N/A</v>
      </c>
      <c r="D15" s="9" t="e">
        <v>#N/A</v>
      </c>
      <c r="E15" s="12">
        <v>14.875</v>
      </c>
      <c r="F15" s="12" t="e">
        <v>#N/A</v>
      </c>
      <c r="G15" s="12" t="e">
        <v>#N/A</v>
      </c>
      <c r="H15" s="9" t="e">
        <v>#N/A</v>
      </c>
      <c r="I15" s="9" t="e">
        <v>#N/A</v>
      </c>
    </row>
    <row r="16" spans="1:9" x14ac:dyDescent="0.35">
      <c r="A16" t="s">
        <v>472</v>
      </c>
      <c r="B16" s="9" t="e">
        <v>#N/A</v>
      </c>
      <c r="C16" s="9" t="e">
        <v>#N/A</v>
      </c>
      <c r="D16" s="9" t="e">
        <v>#N/A</v>
      </c>
      <c r="E16" s="12">
        <v>14.092391304347826</v>
      </c>
      <c r="F16" s="12" t="e">
        <v>#N/A</v>
      </c>
      <c r="G16" s="12" t="e">
        <v>#N/A</v>
      </c>
      <c r="H16" s="9" t="e">
        <v>#N/A</v>
      </c>
      <c r="I16" s="9" t="e">
        <v>#N/A</v>
      </c>
    </row>
    <row r="17" spans="1:9" x14ac:dyDescent="0.35">
      <c r="A17" t="s">
        <v>473</v>
      </c>
      <c r="B17" s="9" t="e">
        <v>#N/A</v>
      </c>
      <c r="C17" s="9" t="e">
        <v>#N/A</v>
      </c>
      <c r="D17" s="9" t="e">
        <v>#N/A</v>
      </c>
      <c r="E17" s="12">
        <v>13.875</v>
      </c>
      <c r="F17" s="12" t="e">
        <v>#N/A</v>
      </c>
      <c r="G17" s="12" t="e">
        <v>#N/A</v>
      </c>
      <c r="H17" s="9" t="e">
        <v>#N/A</v>
      </c>
      <c r="I17" s="9" t="e">
        <v>#N/A</v>
      </c>
    </row>
    <row r="18" spans="1:9" x14ac:dyDescent="0.35">
      <c r="A18" t="s">
        <v>474</v>
      </c>
      <c r="B18" s="9" t="e">
        <v>#N/A</v>
      </c>
      <c r="C18" s="9" t="e">
        <v>#N/A</v>
      </c>
      <c r="D18" s="9" t="e">
        <v>#N/A</v>
      </c>
      <c r="E18" s="12">
        <v>13.875</v>
      </c>
      <c r="F18" s="12" t="e">
        <v>#N/A</v>
      </c>
      <c r="G18" s="12" t="e">
        <v>#N/A</v>
      </c>
      <c r="H18" s="9" t="e">
        <v>#N/A</v>
      </c>
      <c r="I18" s="9" t="e">
        <v>#N/A</v>
      </c>
    </row>
    <row r="19" spans="1:9" x14ac:dyDescent="0.35">
      <c r="A19" t="s">
        <v>475</v>
      </c>
      <c r="B19" s="9" t="e">
        <v>#N/A</v>
      </c>
      <c r="C19" s="9" t="e">
        <v>#N/A</v>
      </c>
      <c r="D19" s="9" t="e">
        <v>#N/A</v>
      </c>
      <c r="E19" s="12">
        <v>13.875</v>
      </c>
      <c r="F19" s="12" t="e">
        <v>#N/A</v>
      </c>
      <c r="G19" s="12" t="e">
        <v>#N/A</v>
      </c>
      <c r="H19" s="9" t="e">
        <v>#N/A</v>
      </c>
      <c r="I19" s="9" t="e">
        <v>#N/A</v>
      </c>
    </row>
    <row r="20" spans="1:9" x14ac:dyDescent="0.35">
      <c r="A20" t="s">
        <v>476</v>
      </c>
      <c r="B20" s="9" t="e">
        <v>#N/A</v>
      </c>
      <c r="C20" s="9" t="e">
        <v>#N/A</v>
      </c>
      <c r="D20" s="9" t="e">
        <v>#N/A</v>
      </c>
      <c r="E20" s="12">
        <v>13.525</v>
      </c>
      <c r="F20" s="12" t="e">
        <v>#N/A</v>
      </c>
      <c r="G20" s="12" t="e">
        <v>#N/A</v>
      </c>
      <c r="H20" s="9" t="e">
        <v>#N/A</v>
      </c>
      <c r="I20" s="9" t="e">
        <v>#N/A</v>
      </c>
    </row>
    <row r="21" spans="1:9" x14ac:dyDescent="0.35">
      <c r="A21" t="s">
        <v>477</v>
      </c>
      <c r="B21" s="9" t="e">
        <v>#N/A</v>
      </c>
      <c r="C21" s="9" t="e">
        <v>#N/A</v>
      </c>
      <c r="D21" s="9" t="e">
        <v>#N/A</v>
      </c>
      <c r="E21" s="12">
        <v>12.732142857142858</v>
      </c>
      <c r="F21" s="12" t="e">
        <v>#N/A</v>
      </c>
      <c r="G21" s="12" t="e">
        <v>#N/A</v>
      </c>
      <c r="H21" s="9" t="e">
        <v>#N/A</v>
      </c>
      <c r="I21" s="9" t="e">
        <v>#N/A</v>
      </c>
    </row>
    <row r="22" spans="1:9" x14ac:dyDescent="0.35">
      <c r="A22" t="s">
        <v>478</v>
      </c>
      <c r="B22" s="9" t="e">
        <v>#N/A</v>
      </c>
      <c r="C22" s="9" t="e">
        <v>#N/A</v>
      </c>
      <c r="D22" s="9" t="e">
        <v>#N/A</v>
      </c>
      <c r="E22" s="12">
        <v>12.079545454545455</v>
      </c>
      <c r="F22" s="12" t="e">
        <v>#N/A</v>
      </c>
      <c r="G22" s="12" t="e">
        <v>#N/A</v>
      </c>
      <c r="H22" s="9" t="e">
        <v>#N/A</v>
      </c>
      <c r="I22" s="9" t="e">
        <v>#N/A</v>
      </c>
    </row>
    <row r="23" spans="1:9" x14ac:dyDescent="0.35">
      <c r="A23" t="s">
        <v>479</v>
      </c>
      <c r="B23" s="9" t="e">
        <v>#N/A</v>
      </c>
      <c r="C23" s="9" t="e">
        <v>#N/A</v>
      </c>
      <c r="D23" s="9" t="e">
        <v>#N/A</v>
      </c>
      <c r="E23" s="12">
        <v>11.744565217391305</v>
      </c>
      <c r="F23" s="12" t="e">
        <v>#N/A</v>
      </c>
      <c r="G23" s="12" t="e">
        <v>#N/A</v>
      </c>
      <c r="H23" s="9" t="e">
        <v>#N/A</v>
      </c>
      <c r="I23" s="9" t="e">
        <v>#N/A</v>
      </c>
    </row>
    <row r="24" spans="1:9" x14ac:dyDescent="0.35">
      <c r="A24" t="s">
        <v>480</v>
      </c>
      <c r="B24" s="9" t="e">
        <v>#N/A</v>
      </c>
      <c r="C24" s="9" t="e">
        <v>#N/A</v>
      </c>
      <c r="D24" s="9" t="e">
        <v>#N/A</v>
      </c>
      <c r="E24" s="12">
        <v>11.375</v>
      </c>
      <c r="F24" s="12" t="e">
        <v>#N/A</v>
      </c>
      <c r="G24" s="12" t="e">
        <v>#N/A</v>
      </c>
      <c r="H24" s="9" t="e">
        <v>#N/A</v>
      </c>
      <c r="I24" s="9" t="e">
        <v>#N/A</v>
      </c>
    </row>
    <row r="25" spans="1:9" x14ac:dyDescent="0.35">
      <c r="A25" t="s">
        <v>481</v>
      </c>
      <c r="B25" s="9" t="e">
        <v>#N/A</v>
      </c>
      <c r="C25" s="9" t="e">
        <v>#N/A</v>
      </c>
      <c r="D25" s="9" t="e">
        <v>#N/A</v>
      </c>
      <c r="E25" s="12">
        <v>11.070652173913043</v>
      </c>
      <c r="F25" s="12" t="e">
        <v>#N/A</v>
      </c>
      <c r="G25" s="12" t="e">
        <v>#N/A</v>
      </c>
      <c r="H25" s="9" t="e">
        <v>#N/A</v>
      </c>
      <c r="I25" s="9" t="e">
        <v>#N/A</v>
      </c>
    </row>
    <row r="26" spans="1:9" x14ac:dyDescent="0.35">
      <c r="A26" t="s">
        <v>482</v>
      </c>
      <c r="B26" s="9" t="e">
        <v>#N/A</v>
      </c>
      <c r="C26" s="9" t="e">
        <v>#N/A</v>
      </c>
      <c r="D26" s="9" t="e">
        <v>#N/A</v>
      </c>
      <c r="E26" s="12">
        <v>10.875</v>
      </c>
      <c r="F26" s="12" t="e">
        <v>#N/A</v>
      </c>
      <c r="G26" s="12" t="e">
        <v>#N/A</v>
      </c>
      <c r="H26" s="9" t="e">
        <v>#N/A</v>
      </c>
      <c r="I26" s="9" t="e">
        <v>#N/A</v>
      </c>
    </row>
    <row r="27" spans="1:9" x14ac:dyDescent="0.35">
      <c r="A27" t="s">
        <v>483</v>
      </c>
      <c r="B27" s="9" t="e">
        <v>#N/A</v>
      </c>
      <c r="C27" s="9" t="e">
        <v>#N/A</v>
      </c>
      <c r="D27" s="9" t="e">
        <v>#N/A</v>
      </c>
      <c r="E27" s="12">
        <v>10.422619047619047</v>
      </c>
      <c r="F27" s="12" t="e">
        <v>#N/A</v>
      </c>
      <c r="G27" s="12" t="e">
        <v>#N/A</v>
      </c>
      <c r="H27" s="9" t="e">
        <v>#N/A</v>
      </c>
      <c r="I27" s="9" t="e">
        <v>#N/A</v>
      </c>
    </row>
    <row r="28" spans="1:9" x14ac:dyDescent="0.35">
      <c r="A28" t="s">
        <v>484</v>
      </c>
      <c r="B28" s="9" t="e">
        <v>#N/A</v>
      </c>
      <c r="C28" s="9" t="e">
        <v>#N/A</v>
      </c>
      <c r="D28" s="9" t="e">
        <v>#N/A</v>
      </c>
      <c r="E28" s="12">
        <v>10.375</v>
      </c>
      <c r="F28" s="12" t="e">
        <v>#N/A</v>
      </c>
      <c r="G28" s="12" t="e">
        <v>#N/A</v>
      </c>
      <c r="H28" s="9" t="e">
        <v>#N/A</v>
      </c>
      <c r="I28" s="9" t="e">
        <v>#N/A</v>
      </c>
    </row>
    <row r="29" spans="1:9" x14ac:dyDescent="0.35">
      <c r="A29" t="s">
        <v>485</v>
      </c>
      <c r="B29" s="9" t="e">
        <v>#N/A</v>
      </c>
      <c r="C29" s="9" t="e">
        <v>#N/A</v>
      </c>
      <c r="D29" s="9" t="e">
        <v>#N/A</v>
      </c>
      <c r="E29" s="12">
        <v>10.375</v>
      </c>
      <c r="F29" s="12" t="e">
        <v>#N/A</v>
      </c>
      <c r="G29" s="12" t="e">
        <v>#N/A</v>
      </c>
      <c r="H29" s="9" t="e">
        <v>#N/A</v>
      </c>
      <c r="I29" s="9" t="e">
        <v>#N/A</v>
      </c>
    </row>
    <row r="30" spans="1:9" x14ac:dyDescent="0.35">
      <c r="A30" t="s">
        <v>486</v>
      </c>
      <c r="B30" s="9" t="e">
        <v>#N/A</v>
      </c>
      <c r="C30" s="9" t="e">
        <v>#N/A</v>
      </c>
      <c r="D30" s="9" t="e">
        <v>#N/A</v>
      </c>
      <c r="E30" s="12">
        <v>10.375</v>
      </c>
      <c r="F30" s="12" t="e">
        <v>#N/A</v>
      </c>
      <c r="G30" s="12" t="e">
        <v>#N/A</v>
      </c>
      <c r="H30" s="9" t="e">
        <v>#N/A</v>
      </c>
      <c r="I30" s="9" t="e">
        <v>#N/A</v>
      </c>
    </row>
    <row r="31" spans="1:9" x14ac:dyDescent="0.35">
      <c r="A31" t="s">
        <v>487</v>
      </c>
      <c r="B31" s="9" t="e">
        <v>#N/A</v>
      </c>
      <c r="C31" s="9" t="e">
        <v>#N/A</v>
      </c>
      <c r="D31" s="9" t="e">
        <v>#N/A</v>
      </c>
      <c r="E31" s="12">
        <v>10.375</v>
      </c>
      <c r="F31" s="12" t="e">
        <v>#N/A</v>
      </c>
      <c r="G31" s="12" t="e">
        <v>#N/A</v>
      </c>
      <c r="H31" s="9" t="e">
        <v>#N/A</v>
      </c>
      <c r="I31" s="9" t="e">
        <v>#N/A</v>
      </c>
    </row>
    <row r="32" spans="1:9" x14ac:dyDescent="0.35">
      <c r="A32" t="s">
        <v>488</v>
      </c>
      <c r="B32" s="9" t="e">
        <v>#N/A</v>
      </c>
      <c r="C32" s="9" t="e">
        <v>#N/A</v>
      </c>
      <c r="D32" s="9" t="e">
        <v>#N/A</v>
      </c>
      <c r="E32" s="12">
        <v>10.375</v>
      </c>
      <c r="F32" s="12" t="e">
        <v>#N/A</v>
      </c>
      <c r="G32" s="12" t="e">
        <v>#N/A</v>
      </c>
      <c r="H32" s="9" t="e">
        <v>#N/A</v>
      </c>
      <c r="I32" s="9" t="e">
        <v>#N/A</v>
      </c>
    </row>
    <row r="33" spans="1:9" x14ac:dyDescent="0.35">
      <c r="A33" t="s">
        <v>489</v>
      </c>
      <c r="B33" s="9" t="e">
        <v>#N/A</v>
      </c>
      <c r="C33" s="9" t="e">
        <v>#N/A</v>
      </c>
      <c r="D33" s="9" t="e">
        <v>#N/A</v>
      </c>
      <c r="E33" s="12">
        <v>10.375</v>
      </c>
      <c r="F33" s="12" t="e">
        <v>#N/A</v>
      </c>
      <c r="G33" s="12" t="e">
        <v>#N/A</v>
      </c>
      <c r="H33" s="9" t="e">
        <v>#N/A</v>
      </c>
      <c r="I33" s="9" t="e">
        <v>#N/A</v>
      </c>
    </row>
    <row r="34" spans="1:9" x14ac:dyDescent="0.35">
      <c r="A34" t="s">
        <v>490</v>
      </c>
      <c r="B34" s="9" t="e">
        <v>#N/A</v>
      </c>
      <c r="C34" s="9" t="e">
        <v>#N/A</v>
      </c>
      <c r="D34" s="9" t="e">
        <v>#N/A</v>
      </c>
      <c r="E34" s="12">
        <v>10.375</v>
      </c>
      <c r="F34" s="12" t="e">
        <v>#N/A</v>
      </c>
      <c r="G34" s="12" t="e">
        <v>#N/A</v>
      </c>
      <c r="H34" s="9" t="e">
        <v>#N/A</v>
      </c>
      <c r="I34" s="9" t="e">
        <v>#N/A</v>
      </c>
    </row>
    <row r="35" spans="1:9" x14ac:dyDescent="0.35">
      <c r="A35" t="s">
        <v>491</v>
      </c>
      <c r="B35" s="9" t="e">
        <v>#N/A</v>
      </c>
      <c r="C35" s="9" t="e">
        <v>#N/A</v>
      </c>
      <c r="D35" s="9" t="e">
        <v>#N/A</v>
      </c>
      <c r="E35" s="12">
        <v>9.9226190476190474</v>
      </c>
      <c r="F35" s="12" t="e">
        <v>#N/A</v>
      </c>
      <c r="G35" s="12" t="e">
        <v>#N/A</v>
      </c>
      <c r="H35" s="9" t="e">
        <v>#N/A</v>
      </c>
      <c r="I35" s="9" t="e">
        <v>#N/A</v>
      </c>
    </row>
    <row r="36" spans="1:9" x14ac:dyDescent="0.35">
      <c r="A36" t="s">
        <v>492</v>
      </c>
      <c r="B36" s="9" t="e">
        <v>#N/A</v>
      </c>
      <c r="C36" s="9" t="e">
        <v>#N/A</v>
      </c>
      <c r="D36" s="9" t="e">
        <v>#N/A</v>
      </c>
      <c r="E36" s="12">
        <v>9.875</v>
      </c>
      <c r="F36" s="12" t="e">
        <v>#N/A</v>
      </c>
      <c r="G36" s="12" t="e">
        <v>#N/A</v>
      </c>
      <c r="H36" s="9" t="e">
        <v>#N/A</v>
      </c>
      <c r="I36" s="9" t="e">
        <v>#N/A</v>
      </c>
    </row>
    <row r="37" spans="1:9" x14ac:dyDescent="0.35">
      <c r="A37" t="s">
        <v>493</v>
      </c>
      <c r="B37" s="9" t="e">
        <v>#N/A</v>
      </c>
      <c r="C37" s="9" t="e">
        <v>#N/A</v>
      </c>
      <c r="D37" s="9" t="e">
        <v>#N/A</v>
      </c>
      <c r="E37" s="12">
        <v>9.875</v>
      </c>
      <c r="F37" s="12" t="e">
        <v>#N/A</v>
      </c>
      <c r="G37" s="12" t="e">
        <v>#N/A</v>
      </c>
      <c r="H37" s="9" t="e">
        <v>#N/A</v>
      </c>
      <c r="I37" s="9" t="e">
        <v>#N/A</v>
      </c>
    </row>
    <row r="38" spans="1:9" x14ac:dyDescent="0.35">
      <c r="A38" t="s">
        <v>494</v>
      </c>
      <c r="B38" s="9" t="e">
        <v>#N/A</v>
      </c>
      <c r="C38" s="9" t="e">
        <v>#N/A</v>
      </c>
      <c r="D38" s="9" t="e">
        <v>#N/A</v>
      </c>
      <c r="E38" s="12">
        <v>9.875</v>
      </c>
      <c r="F38" s="12" t="e">
        <v>#N/A</v>
      </c>
      <c r="G38" s="12" t="e">
        <v>#N/A</v>
      </c>
      <c r="H38" s="9" t="e">
        <v>#N/A</v>
      </c>
      <c r="I38" s="9" t="e">
        <v>#N/A</v>
      </c>
    </row>
    <row r="39" spans="1:9" x14ac:dyDescent="0.35">
      <c r="A39" t="s">
        <v>495</v>
      </c>
      <c r="B39" s="9" t="e">
        <v>#N/A</v>
      </c>
      <c r="C39" s="9" t="e">
        <v>#N/A</v>
      </c>
      <c r="D39" s="9" t="e">
        <v>#N/A</v>
      </c>
      <c r="E39" s="12">
        <v>9.5568181818181817</v>
      </c>
      <c r="F39" s="12" t="e">
        <v>#N/A</v>
      </c>
      <c r="G39" s="12" t="e">
        <v>#N/A</v>
      </c>
      <c r="H39" s="9" t="e">
        <v>#N/A</v>
      </c>
      <c r="I39" s="9" t="e">
        <v>#N/A</v>
      </c>
    </row>
    <row r="40" spans="1:9" x14ac:dyDescent="0.35">
      <c r="A40" t="s">
        <v>496</v>
      </c>
      <c r="B40" s="9" t="e">
        <v>#N/A</v>
      </c>
      <c r="C40" s="9" t="e">
        <v>#N/A</v>
      </c>
      <c r="D40" s="9" t="e">
        <v>#N/A</v>
      </c>
      <c r="E40" s="12">
        <v>8.375</v>
      </c>
      <c r="F40" s="12" t="e">
        <v>#N/A</v>
      </c>
      <c r="G40" s="12" t="e">
        <v>#N/A</v>
      </c>
      <c r="H40" s="9" t="e">
        <v>#N/A</v>
      </c>
      <c r="I40" s="9" t="e">
        <v>#N/A</v>
      </c>
    </row>
    <row r="41" spans="1:9" x14ac:dyDescent="0.35">
      <c r="A41" t="s">
        <v>497</v>
      </c>
      <c r="B41" s="9" t="e">
        <v>#N/A</v>
      </c>
      <c r="C41" s="9" t="e">
        <v>#N/A</v>
      </c>
      <c r="D41" s="9" t="e">
        <v>#N/A</v>
      </c>
      <c r="E41" s="12">
        <v>7.3035714285714288</v>
      </c>
      <c r="F41" s="12" t="e">
        <v>#N/A</v>
      </c>
      <c r="G41" s="12" t="e">
        <v>#N/A</v>
      </c>
      <c r="H41" s="9" t="e">
        <v>#N/A</v>
      </c>
      <c r="I41" s="9" t="e">
        <v>#N/A</v>
      </c>
    </row>
    <row r="42" spans="1:9" x14ac:dyDescent="0.35">
      <c r="A42" t="s">
        <v>498</v>
      </c>
      <c r="B42" s="9" t="e">
        <v>#N/A</v>
      </c>
      <c r="C42" s="9" t="e">
        <v>#N/A</v>
      </c>
      <c r="D42" s="9" t="e">
        <v>#N/A</v>
      </c>
      <c r="E42" s="12">
        <v>6.875</v>
      </c>
      <c r="F42" s="12" t="e">
        <v>#N/A</v>
      </c>
      <c r="G42" s="12" t="e">
        <v>#N/A</v>
      </c>
      <c r="H42" s="9" t="e">
        <v>#N/A</v>
      </c>
      <c r="I42" s="9" t="e">
        <v>#N/A</v>
      </c>
    </row>
    <row r="43" spans="1:9" x14ac:dyDescent="0.35">
      <c r="A43" t="s">
        <v>499</v>
      </c>
      <c r="B43" s="9" t="e">
        <v>#N/A</v>
      </c>
      <c r="C43" s="9" t="e">
        <v>#N/A</v>
      </c>
      <c r="D43" s="9" t="e">
        <v>#N/A</v>
      </c>
      <c r="E43" s="12">
        <v>6.6845238095238093</v>
      </c>
      <c r="F43" s="12" t="e">
        <v>#N/A</v>
      </c>
      <c r="G43" s="12" t="e">
        <v>#N/A</v>
      </c>
      <c r="H43" s="9" t="e">
        <v>#N/A</v>
      </c>
      <c r="I43" s="9" t="e">
        <v>#N/A</v>
      </c>
    </row>
    <row r="44" spans="1:9" x14ac:dyDescent="0.35">
      <c r="A44" t="s">
        <v>500</v>
      </c>
      <c r="B44" s="9" t="e">
        <v>#N/A</v>
      </c>
      <c r="C44" s="9" t="e">
        <v>#N/A</v>
      </c>
      <c r="D44" s="9" t="e">
        <v>#N/A</v>
      </c>
      <c r="E44" s="12">
        <v>5.875</v>
      </c>
      <c r="F44" s="12" t="e">
        <v>#N/A</v>
      </c>
      <c r="G44" s="12" t="e">
        <v>#N/A</v>
      </c>
      <c r="H44" s="9" t="e">
        <v>#N/A</v>
      </c>
      <c r="I44" s="9" t="e">
        <v>#N/A</v>
      </c>
    </row>
    <row r="45" spans="1:9" x14ac:dyDescent="0.35">
      <c r="A45" t="s">
        <v>501</v>
      </c>
      <c r="B45" s="9" t="e">
        <v>#N/A</v>
      </c>
      <c r="C45" s="9" t="e">
        <v>#N/A</v>
      </c>
      <c r="D45" s="9" t="e">
        <v>#N/A</v>
      </c>
      <c r="E45" s="12">
        <v>5.875</v>
      </c>
      <c r="F45" s="12" t="e">
        <v>#N/A</v>
      </c>
      <c r="G45" s="12" t="e">
        <v>#N/A</v>
      </c>
      <c r="H45" s="9" t="e">
        <v>#N/A</v>
      </c>
      <c r="I45" s="9" t="e">
        <v>#N/A</v>
      </c>
    </row>
    <row r="46" spans="1:9" x14ac:dyDescent="0.35">
      <c r="A46" t="s">
        <v>502</v>
      </c>
      <c r="B46" s="9" t="e">
        <v>#N/A</v>
      </c>
      <c r="C46" s="9" t="e">
        <v>#N/A</v>
      </c>
      <c r="D46" s="9" t="e">
        <v>#N/A</v>
      </c>
      <c r="E46" s="12">
        <v>5.875</v>
      </c>
      <c r="F46" s="12" t="e">
        <v>#N/A</v>
      </c>
      <c r="G46" s="12" t="e">
        <v>#N/A</v>
      </c>
      <c r="H46" s="9" t="e">
        <v>#N/A</v>
      </c>
      <c r="I46" s="9" t="e">
        <v>#N/A</v>
      </c>
    </row>
    <row r="47" spans="1:9" x14ac:dyDescent="0.35">
      <c r="A47" t="s">
        <v>503</v>
      </c>
      <c r="B47" s="9" t="e">
        <v>#N/A</v>
      </c>
      <c r="C47" s="9" t="e">
        <v>#N/A</v>
      </c>
      <c r="D47" s="9" t="e">
        <v>#N/A</v>
      </c>
      <c r="E47" s="12">
        <v>5.875</v>
      </c>
      <c r="F47" s="12" t="e">
        <v>#N/A</v>
      </c>
      <c r="G47" s="12" t="e">
        <v>#N/A</v>
      </c>
      <c r="H47" s="9" t="e">
        <v>#N/A</v>
      </c>
      <c r="I47" s="9" t="e">
        <v>#N/A</v>
      </c>
    </row>
    <row r="48" spans="1:9" x14ac:dyDescent="0.35">
      <c r="A48" t="s">
        <v>504</v>
      </c>
      <c r="B48" s="9" t="e">
        <v>#N/A</v>
      </c>
      <c r="C48" s="9" t="e">
        <v>#N/A</v>
      </c>
      <c r="D48" s="9" t="e">
        <v>#N/A</v>
      </c>
      <c r="E48" s="12">
        <v>5.875</v>
      </c>
      <c r="F48" s="12" t="e">
        <v>#N/A</v>
      </c>
      <c r="G48" s="12" t="e">
        <v>#N/A</v>
      </c>
      <c r="H48" s="9" t="e">
        <v>#N/A</v>
      </c>
      <c r="I48" s="9" t="e">
        <v>#N/A</v>
      </c>
    </row>
    <row r="49" spans="1:9" x14ac:dyDescent="0.35">
      <c r="A49" t="s">
        <v>505</v>
      </c>
      <c r="B49" s="9" t="e">
        <v>#N/A</v>
      </c>
      <c r="C49" s="9" t="e">
        <v>#N/A</v>
      </c>
      <c r="D49" s="9" t="e">
        <v>#N/A</v>
      </c>
      <c r="E49" s="12">
        <v>5.875</v>
      </c>
      <c r="F49" s="12" t="e">
        <v>#N/A</v>
      </c>
      <c r="G49" s="12" t="e">
        <v>#N/A</v>
      </c>
      <c r="H49" s="9" t="e">
        <v>#N/A</v>
      </c>
      <c r="I49" s="9" t="e">
        <v>#N/A</v>
      </c>
    </row>
    <row r="50" spans="1:9" x14ac:dyDescent="0.35">
      <c r="A50" t="s">
        <v>506</v>
      </c>
      <c r="B50" s="9" t="e">
        <v>#N/A</v>
      </c>
      <c r="C50" s="9" t="e">
        <v>#N/A</v>
      </c>
      <c r="D50" s="9" t="e">
        <v>#N/A</v>
      </c>
      <c r="E50" s="12">
        <v>5.875</v>
      </c>
      <c r="F50" s="12" t="e">
        <v>#N/A</v>
      </c>
      <c r="G50" s="12" t="e">
        <v>#N/A</v>
      </c>
      <c r="H50" s="9" t="e">
        <v>#N/A</v>
      </c>
      <c r="I50" s="9" t="e">
        <v>#N/A</v>
      </c>
    </row>
    <row r="51" spans="1:9" x14ac:dyDescent="0.35">
      <c r="A51" t="s">
        <v>507</v>
      </c>
      <c r="B51" s="9" t="e">
        <v>#N/A</v>
      </c>
      <c r="C51" s="9" t="e">
        <v>#N/A</v>
      </c>
      <c r="D51" s="9" t="e">
        <v>#N/A</v>
      </c>
      <c r="E51" s="12">
        <v>5.875</v>
      </c>
      <c r="F51" s="12" t="e">
        <v>#N/A</v>
      </c>
      <c r="G51" s="12" t="e">
        <v>#N/A</v>
      </c>
      <c r="H51" s="9" t="e">
        <v>#N/A</v>
      </c>
      <c r="I51" s="9" t="e">
        <v>#N/A</v>
      </c>
    </row>
    <row r="52" spans="1:9" x14ac:dyDescent="0.35">
      <c r="A52" t="s">
        <v>508</v>
      </c>
      <c r="B52" s="9" t="e">
        <v>#N/A</v>
      </c>
      <c r="C52" s="9" t="e">
        <v>#N/A</v>
      </c>
      <c r="D52" s="9" t="e">
        <v>#N/A</v>
      </c>
      <c r="E52" s="12">
        <v>5.875</v>
      </c>
      <c r="F52" s="12" t="e">
        <v>#N/A</v>
      </c>
      <c r="G52" s="12" t="e">
        <v>#N/A</v>
      </c>
      <c r="H52" s="9" t="e">
        <v>#N/A</v>
      </c>
      <c r="I52" s="9" t="e">
        <v>#N/A</v>
      </c>
    </row>
    <row r="53" spans="1:9" x14ac:dyDescent="0.35">
      <c r="A53" t="s">
        <v>509</v>
      </c>
      <c r="B53" s="9" t="e">
        <v>#N/A</v>
      </c>
      <c r="C53" s="9" t="e">
        <v>#N/A</v>
      </c>
      <c r="D53" s="9" t="e">
        <v>#N/A</v>
      </c>
      <c r="E53" s="12">
        <v>5.7386363636363633</v>
      </c>
      <c r="F53" s="12" t="e">
        <v>#N/A</v>
      </c>
      <c r="G53" s="12" t="e">
        <v>#N/A</v>
      </c>
      <c r="H53" s="9" t="e">
        <v>#N/A</v>
      </c>
      <c r="I53" s="9" t="e">
        <v>#N/A</v>
      </c>
    </row>
    <row r="54" spans="1:9" x14ac:dyDescent="0.35">
      <c r="A54" t="s">
        <v>510</v>
      </c>
      <c r="B54" s="9" t="e">
        <v>#N/A</v>
      </c>
      <c r="C54" s="9" t="e">
        <v>#N/A</v>
      </c>
      <c r="D54" s="9" t="e">
        <v>#N/A</v>
      </c>
      <c r="E54" s="12">
        <v>5.375</v>
      </c>
      <c r="F54" s="12" t="e">
        <v>#N/A</v>
      </c>
      <c r="G54" s="12" t="e">
        <v>#N/A</v>
      </c>
      <c r="H54" s="9" t="e">
        <v>#N/A</v>
      </c>
      <c r="I54" s="9" t="e">
        <v>#N/A</v>
      </c>
    </row>
    <row r="55" spans="1:9" x14ac:dyDescent="0.35">
      <c r="A55" t="s">
        <v>511</v>
      </c>
      <c r="B55" s="9" t="e">
        <v>#N/A</v>
      </c>
      <c r="C55" s="9" t="e">
        <v>#N/A</v>
      </c>
      <c r="D55" s="9" t="e">
        <v>#N/A</v>
      </c>
      <c r="E55" s="12">
        <v>5.375</v>
      </c>
      <c r="F55" s="12" t="e">
        <v>#N/A</v>
      </c>
      <c r="G55" s="12" t="e">
        <v>#N/A</v>
      </c>
      <c r="H55" s="9" t="e">
        <v>#N/A</v>
      </c>
      <c r="I55" s="9" t="e">
        <v>#N/A</v>
      </c>
    </row>
    <row r="56" spans="1:9" x14ac:dyDescent="0.35">
      <c r="A56" t="s">
        <v>512</v>
      </c>
      <c r="B56" s="9" t="e">
        <v>#N/A</v>
      </c>
      <c r="C56" s="9" t="e">
        <v>#N/A</v>
      </c>
      <c r="D56" s="9" t="e">
        <v>#N/A</v>
      </c>
      <c r="E56" s="12">
        <v>5.1875</v>
      </c>
      <c r="F56" s="12" t="e">
        <v>#N/A</v>
      </c>
      <c r="G56" s="12" t="e">
        <v>#N/A</v>
      </c>
      <c r="H56" s="9" t="e">
        <v>#N/A</v>
      </c>
      <c r="I56" s="9" t="e">
        <v>#N/A</v>
      </c>
    </row>
    <row r="57" spans="1:9" x14ac:dyDescent="0.35">
      <c r="A57" t="s">
        <v>513</v>
      </c>
      <c r="B57" s="9" t="e">
        <v>#N/A</v>
      </c>
      <c r="C57" s="9" t="e">
        <v>#N/A</v>
      </c>
      <c r="D57" s="9" t="e">
        <v>#N/A</v>
      </c>
      <c r="E57" s="12">
        <v>5.125</v>
      </c>
      <c r="F57" s="12" t="e">
        <v>#N/A</v>
      </c>
      <c r="G57" s="12" t="e">
        <v>#N/A</v>
      </c>
      <c r="H57" s="9" t="e">
        <v>#N/A</v>
      </c>
      <c r="I57" s="9" t="e">
        <v>#N/A</v>
      </c>
    </row>
    <row r="58" spans="1:9" x14ac:dyDescent="0.35">
      <c r="A58" t="s">
        <v>514</v>
      </c>
      <c r="B58" s="9" t="e">
        <v>#N/A</v>
      </c>
      <c r="C58" s="9" t="e">
        <v>#N/A</v>
      </c>
      <c r="D58" s="9" t="e">
        <v>#N/A</v>
      </c>
      <c r="E58" s="12">
        <v>5.125</v>
      </c>
      <c r="F58" s="12" t="e">
        <v>#N/A</v>
      </c>
      <c r="G58" s="12" t="e">
        <v>#N/A</v>
      </c>
      <c r="H58" s="9" t="e">
        <v>#N/A</v>
      </c>
      <c r="I58" s="9" t="e">
        <v>#N/A</v>
      </c>
    </row>
    <row r="59" spans="1:9" x14ac:dyDescent="0.35">
      <c r="A59" t="s">
        <v>515</v>
      </c>
      <c r="B59" s="9" t="e">
        <v>#N/A</v>
      </c>
      <c r="C59" s="9" t="e">
        <v>#N/A</v>
      </c>
      <c r="D59" s="9" t="e">
        <v>#N/A</v>
      </c>
      <c r="E59" s="12">
        <v>5.125</v>
      </c>
      <c r="F59" s="12" t="e">
        <v>#N/A</v>
      </c>
      <c r="G59" s="12" t="e">
        <v>#N/A</v>
      </c>
      <c r="H59" s="9" t="e">
        <v>#N/A</v>
      </c>
      <c r="I59" s="9" t="e">
        <v>#N/A</v>
      </c>
    </row>
    <row r="60" spans="1:9" x14ac:dyDescent="0.35">
      <c r="A60" t="s">
        <v>516</v>
      </c>
      <c r="B60" s="9" t="e">
        <v>#N/A</v>
      </c>
      <c r="C60" s="9" t="e">
        <v>#N/A</v>
      </c>
      <c r="D60" s="9" t="e">
        <v>#N/A</v>
      </c>
      <c r="E60" s="12">
        <v>5.125</v>
      </c>
      <c r="F60" s="12" t="e">
        <v>#N/A</v>
      </c>
      <c r="G60" s="12" t="e">
        <v>#N/A</v>
      </c>
      <c r="H60" s="9" t="e">
        <v>#N/A</v>
      </c>
      <c r="I60" s="9" t="e">
        <v>#N/A</v>
      </c>
    </row>
    <row r="61" spans="1:9" x14ac:dyDescent="0.35">
      <c r="A61" t="s">
        <v>517</v>
      </c>
      <c r="B61" s="9" t="e">
        <v>#N/A</v>
      </c>
      <c r="C61" s="9" t="e">
        <v>#N/A</v>
      </c>
      <c r="D61" s="9" t="e">
        <v>#N/A</v>
      </c>
      <c r="E61" s="12">
        <v>5.125</v>
      </c>
      <c r="F61" s="12" t="e">
        <v>#N/A</v>
      </c>
      <c r="G61" s="12" t="e">
        <v>#N/A</v>
      </c>
      <c r="H61" s="9" t="e">
        <v>#N/A</v>
      </c>
      <c r="I61" s="9" t="e">
        <v>#N/A</v>
      </c>
    </row>
    <row r="62" spans="1:9" x14ac:dyDescent="0.35">
      <c r="A62" t="s">
        <v>518</v>
      </c>
      <c r="B62" s="9" t="e">
        <v>#N/A</v>
      </c>
      <c r="C62" s="9" t="e">
        <v>#N/A</v>
      </c>
      <c r="D62" s="9" t="e">
        <v>#N/A</v>
      </c>
      <c r="E62" s="12">
        <v>5.125</v>
      </c>
      <c r="F62" s="12" t="e">
        <v>#N/A</v>
      </c>
      <c r="G62" s="12" t="e">
        <v>#N/A</v>
      </c>
      <c r="H62" s="9" t="e">
        <v>#N/A</v>
      </c>
      <c r="I62" s="9" t="e">
        <v>#N/A</v>
      </c>
    </row>
    <row r="63" spans="1:9" x14ac:dyDescent="0.35">
      <c r="A63" t="s">
        <v>519</v>
      </c>
      <c r="B63" s="9" t="e">
        <v>#N/A</v>
      </c>
      <c r="C63" s="9" t="e">
        <v>#N/A</v>
      </c>
      <c r="D63" s="9" t="e">
        <v>#N/A</v>
      </c>
      <c r="E63" s="12">
        <v>5.4659090909090908</v>
      </c>
      <c r="F63" s="12" t="e">
        <v>#N/A</v>
      </c>
      <c r="G63" s="12" t="e">
        <v>#N/A</v>
      </c>
      <c r="H63" s="9" t="e">
        <v>#N/A</v>
      </c>
      <c r="I63" s="9" t="e">
        <v>#N/A</v>
      </c>
    </row>
    <row r="64" spans="1:9" x14ac:dyDescent="0.35">
      <c r="A64" t="s">
        <v>520</v>
      </c>
      <c r="B64" s="9" t="e">
        <v>#N/A</v>
      </c>
      <c r="C64" s="9" t="e">
        <v>#N/A</v>
      </c>
      <c r="D64" s="9" t="e">
        <v>#N/A</v>
      </c>
      <c r="E64" s="12">
        <v>5.625</v>
      </c>
      <c r="F64" s="12" t="e">
        <v>#N/A</v>
      </c>
      <c r="G64" s="12" t="e">
        <v>#N/A</v>
      </c>
      <c r="H64" s="9" t="e">
        <v>#N/A</v>
      </c>
      <c r="I64" s="9" t="e">
        <v>#N/A</v>
      </c>
    </row>
    <row r="65" spans="1:9" x14ac:dyDescent="0.35">
      <c r="A65" t="s">
        <v>521</v>
      </c>
      <c r="B65" s="9" t="e">
        <v>#N/A</v>
      </c>
      <c r="C65" s="9" t="e">
        <v>#N/A</v>
      </c>
      <c r="D65" s="9" t="e">
        <v>#N/A</v>
      </c>
      <c r="E65" s="12">
        <v>5.625</v>
      </c>
      <c r="F65" s="12" t="e">
        <v>#N/A</v>
      </c>
      <c r="G65" s="12" t="e">
        <v>#N/A</v>
      </c>
      <c r="H65" s="9" t="e">
        <v>#N/A</v>
      </c>
      <c r="I65" s="9" t="e">
        <v>#N/A</v>
      </c>
    </row>
    <row r="66" spans="1:9" x14ac:dyDescent="0.35">
      <c r="A66" t="s">
        <v>522</v>
      </c>
      <c r="B66" s="9" t="e">
        <v>#N/A</v>
      </c>
      <c r="C66" s="9" t="e">
        <v>#N/A</v>
      </c>
      <c r="D66" s="9" t="e">
        <v>#N/A</v>
      </c>
      <c r="E66" s="12">
        <v>6.0340909090909092</v>
      </c>
      <c r="F66" s="12" t="e">
        <v>#N/A</v>
      </c>
      <c r="G66" s="12" t="e">
        <v>#N/A</v>
      </c>
      <c r="H66" s="9" t="e">
        <v>#N/A</v>
      </c>
      <c r="I66" s="9" t="e">
        <v>#N/A</v>
      </c>
    </row>
    <row r="67" spans="1:9" x14ac:dyDescent="0.35">
      <c r="A67" t="s">
        <v>523</v>
      </c>
      <c r="B67" s="9">
        <v>8.2100000000000009</v>
      </c>
      <c r="C67" s="9">
        <v>8.1300000000000008</v>
      </c>
      <c r="D67" s="9">
        <v>9.44</v>
      </c>
      <c r="E67" s="12">
        <v>6.125</v>
      </c>
      <c r="F67" s="12" t="e">
        <v>#N/A</v>
      </c>
      <c r="G67" s="12" t="e">
        <v>#N/A</v>
      </c>
      <c r="H67" s="9" t="e">
        <v>#N/A</v>
      </c>
      <c r="I67" s="9" t="e">
        <v>#N/A</v>
      </c>
    </row>
    <row r="68" spans="1:9" x14ac:dyDescent="0.35">
      <c r="A68" t="s">
        <v>524</v>
      </c>
      <c r="B68" s="9">
        <v>8.33</v>
      </c>
      <c r="C68" s="9">
        <v>8.3800000000000008</v>
      </c>
      <c r="D68" s="9">
        <v>9.3800000000000008</v>
      </c>
      <c r="E68" s="12">
        <v>6.6</v>
      </c>
      <c r="F68" s="12" t="e">
        <v>#N/A</v>
      </c>
      <c r="G68" s="12" t="e">
        <v>#N/A</v>
      </c>
      <c r="H68" s="9" t="e">
        <v>#N/A</v>
      </c>
      <c r="I68" s="9" t="e">
        <v>#N/A</v>
      </c>
    </row>
    <row r="69" spans="1:9" x14ac:dyDescent="0.35">
      <c r="A69" t="s">
        <v>525</v>
      </c>
      <c r="B69" s="9">
        <v>8.36</v>
      </c>
      <c r="C69" s="9">
        <v>8.08</v>
      </c>
      <c r="D69" s="9">
        <v>9.33</v>
      </c>
      <c r="E69" s="12">
        <v>6.625</v>
      </c>
      <c r="F69" s="12" t="e">
        <v>#N/A</v>
      </c>
      <c r="G69" s="12" t="e">
        <v>#N/A</v>
      </c>
      <c r="H69" s="9" t="e">
        <v>#N/A</v>
      </c>
      <c r="I69" s="9" t="e">
        <v>#N/A</v>
      </c>
    </row>
    <row r="70" spans="1:9" x14ac:dyDescent="0.35">
      <c r="A70" t="s">
        <v>526</v>
      </c>
      <c r="B70" s="9">
        <v>8.36</v>
      </c>
      <c r="C70" s="9">
        <v>8.2899999999999991</v>
      </c>
      <c r="D70" s="9">
        <v>9.4</v>
      </c>
      <c r="E70" s="12">
        <v>6.625</v>
      </c>
      <c r="F70" s="12" t="e">
        <v>#N/A</v>
      </c>
      <c r="G70" s="12" t="e">
        <v>#N/A</v>
      </c>
      <c r="H70" s="9" t="e">
        <v>#N/A</v>
      </c>
      <c r="I70" s="9" t="e">
        <v>#N/A</v>
      </c>
    </row>
    <row r="71" spans="1:9" x14ac:dyDescent="0.35">
      <c r="A71" t="s">
        <v>527</v>
      </c>
      <c r="B71" s="9">
        <v>8.36</v>
      </c>
      <c r="C71" s="9">
        <v>8.2200000000000006</v>
      </c>
      <c r="D71" s="9">
        <v>9.4</v>
      </c>
      <c r="E71" s="12">
        <v>6.625</v>
      </c>
      <c r="F71" s="12" t="e">
        <v>#N/A</v>
      </c>
      <c r="G71" s="12" t="e">
        <v>#N/A</v>
      </c>
      <c r="H71" s="9" t="e">
        <v>#N/A</v>
      </c>
      <c r="I71" s="9" t="e">
        <v>#N/A</v>
      </c>
    </row>
    <row r="72" spans="1:9" x14ac:dyDescent="0.35">
      <c r="A72" t="s">
        <v>528</v>
      </c>
      <c r="B72" s="9">
        <v>8.35</v>
      </c>
      <c r="C72" s="9">
        <v>7.94</v>
      </c>
      <c r="D72" s="9">
        <v>9.01</v>
      </c>
      <c r="E72" s="12">
        <v>6.625</v>
      </c>
      <c r="F72" s="12" t="e">
        <v>#N/A</v>
      </c>
      <c r="G72" s="12" t="e">
        <v>#N/A</v>
      </c>
      <c r="H72" s="9" t="e">
        <v>#N/A</v>
      </c>
      <c r="I72" s="9" t="e">
        <v>#N/A</v>
      </c>
    </row>
    <row r="73" spans="1:9" x14ac:dyDescent="0.35">
      <c r="A73" t="s">
        <v>529</v>
      </c>
      <c r="B73" s="9">
        <v>8.36</v>
      </c>
      <c r="C73" s="9">
        <v>7.89</v>
      </c>
      <c r="D73" s="9">
        <v>8.93</v>
      </c>
      <c r="E73" s="12">
        <v>6.625</v>
      </c>
      <c r="F73" s="12" t="e">
        <v>#N/A</v>
      </c>
      <c r="G73" s="12" t="e">
        <v>#N/A</v>
      </c>
      <c r="H73" s="9" t="e">
        <v>#N/A</v>
      </c>
      <c r="I73" s="9" t="e">
        <v>#N/A</v>
      </c>
    </row>
    <row r="74" spans="1:9" x14ac:dyDescent="0.35">
      <c r="A74" t="s">
        <v>530</v>
      </c>
      <c r="B74" s="9">
        <v>8.36</v>
      </c>
      <c r="C74" s="9">
        <v>7.99</v>
      </c>
      <c r="D74" s="9">
        <v>8.85</v>
      </c>
      <c r="E74" s="12">
        <v>6.625</v>
      </c>
      <c r="F74" s="12" t="e">
        <v>#N/A</v>
      </c>
      <c r="G74" s="12" t="e">
        <v>#N/A</v>
      </c>
      <c r="H74" s="9" t="e">
        <v>#N/A</v>
      </c>
      <c r="I74" s="9" t="e">
        <v>#N/A</v>
      </c>
    </row>
    <row r="75" spans="1:9" x14ac:dyDescent="0.35">
      <c r="A75" t="s">
        <v>531</v>
      </c>
      <c r="B75" s="9">
        <v>8.36</v>
      </c>
      <c r="C75" s="9">
        <v>7.99</v>
      </c>
      <c r="D75" s="9">
        <v>8.57</v>
      </c>
      <c r="E75" s="12">
        <v>6.625</v>
      </c>
      <c r="F75" s="12" t="e">
        <v>#N/A</v>
      </c>
      <c r="G75" s="12" t="e">
        <v>#N/A</v>
      </c>
      <c r="H75" s="9" t="e">
        <v>#N/A</v>
      </c>
      <c r="I75" s="9" t="e">
        <v>#N/A</v>
      </c>
    </row>
    <row r="76" spans="1:9" x14ac:dyDescent="0.35">
      <c r="A76" t="s">
        <v>532</v>
      </c>
      <c r="B76" s="9">
        <v>8</v>
      </c>
      <c r="C76" s="9">
        <v>7.99</v>
      </c>
      <c r="D76" s="9">
        <v>8.19</v>
      </c>
      <c r="E76" s="12">
        <v>6.625</v>
      </c>
      <c r="F76" s="12" t="e">
        <v>#N/A</v>
      </c>
      <c r="G76" s="12" t="e">
        <v>#N/A</v>
      </c>
      <c r="H76" s="9" t="e">
        <v>#N/A</v>
      </c>
      <c r="I76" s="9" t="e">
        <v>#N/A</v>
      </c>
    </row>
    <row r="77" spans="1:9" x14ac:dyDescent="0.35">
      <c r="A77" t="s">
        <v>533</v>
      </c>
      <c r="B77" s="9">
        <v>7.96</v>
      </c>
      <c r="C77" s="9">
        <v>7.99</v>
      </c>
      <c r="D77" s="9">
        <v>8.14</v>
      </c>
      <c r="E77" s="12">
        <v>6.625</v>
      </c>
      <c r="F77" s="12" t="e">
        <v>#N/A</v>
      </c>
      <c r="G77" s="12" t="e">
        <v>#N/A</v>
      </c>
      <c r="H77" s="9" t="e">
        <v>#N/A</v>
      </c>
      <c r="I77" s="9" t="e">
        <v>#N/A</v>
      </c>
    </row>
    <row r="78" spans="1:9" x14ac:dyDescent="0.35">
      <c r="A78" t="s">
        <v>534</v>
      </c>
      <c r="B78" s="9">
        <v>7.95</v>
      </c>
      <c r="C78" s="9">
        <v>7.99</v>
      </c>
      <c r="D78" s="9">
        <v>8.1300000000000008</v>
      </c>
      <c r="E78" s="12">
        <v>6.4702380952380949</v>
      </c>
      <c r="F78" s="12" t="e">
        <v>#N/A</v>
      </c>
      <c r="G78" s="12" t="e">
        <v>#N/A</v>
      </c>
      <c r="H78" s="9" t="e">
        <v>#N/A</v>
      </c>
      <c r="I78" s="9" t="e">
        <v>#N/A</v>
      </c>
    </row>
    <row r="79" spans="1:9" x14ac:dyDescent="0.35">
      <c r="A79" t="s">
        <v>535</v>
      </c>
      <c r="B79" s="9">
        <v>7.72</v>
      </c>
      <c r="C79" s="9">
        <v>6.7</v>
      </c>
      <c r="D79" s="9">
        <v>7.87</v>
      </c>
      <c r="E79" s="12">
        <v>6.2663043478260869</v>
      </c>
      <c r="F79" s="12" t="e">
        <v>#N/A</v>
      </c>
      <c r="G79" s="12" t="e">
        <v>#N/A</v>
      </c>
      <c r="H79" s="9" t="e">
        <v>#N/A</v>
      </c>
      <c r="I79" s="9" t="e">
        <v>#N/A</v>
      </c>
    </row>
    <row r="80" spans="1:9" x14ac:dyDescent="0.35">
      <c r="A80" t="s">
        <v>536</v>
      </c>
      <c r="B80" s="9">
        <v>7.5</v>
      </c>
      <c r="C80" s="9">
        <v>6.65</v>
      </c>
      <c r="D80" s="9">
        <v>7.66</v>
      </c>
      <c r="E80" s="12">
        <v>6.125</v>
      </c>
      <c r="F80" s="12" t="e">
        <v>#N/A</v>
      </c>
      <c r="G80" s="12" t="e">
        <v>#N/A</v>
      </c>
      <c r="H80" s="9" t="e">
        <v>#N/A</v>
      </c>
      <c r="I80" s="9" t="e">
        <v>#N/A</v>
      </c>
    </row>
    <row r="81" spans="1:9" x14ac:dyDescent="0.35">
      <c r="A81" t="s">
        <v>537</v>
      </c>
      <c r="B81" s="9">
        <v>7.46</v>
      </c>
      <c r="C81" s="9">
        <v>6.49</v>
      </c>
      <c r="D81" s="9">
        <v>7.7</v>
      </c>
      <c r="E81" s="12">
        <v>5.9821428571428568</v>
      </c>
      <c r="F81" s="12" t="e">
        <v>#N/A</v>
      </c>
      <c r="G81" s="12" t="e">
        <v>#N/A</v>
      </c>
      <c r="H81" s="9" t="e">
        <v>#N/A</v>
      </c>
      <c r="I81" s="9" t="e">
        <v>#N/A</v>
      </c>
    </row>
    <row r="82" spans="1:9" x14ac:dyDescent="0.35">
      <c r="A82" t="s">
        <v>538</v>
      </c>
      <c r="B82" s="9">
        <v>7.3</v>
      </c>
      <c r="C82" s="9">
        <v>6.62</v>
      </c>
      <c r="D82" s="9">
        <v>7.82</v>
      </c>
      <c r="E82" s="12">
        <v>5.9375</v>
      </c>
      <c r="F82" s="12" t="e">
        <v>#N/A</v>
      </c>
      <c r="G82" s="12" t="e">
        <v>#N/A</v>
      </c>
      <c r="H82" s="9" t="e">
        <v>#N/A</v>
      </c>
      <c r="I82" s="9" t="e">
        <v>#N/A</v>
      </c>
    </row>
    <row r="83" spans="1:9" x14ac:dyDescent="0.35">
      <c r="A83" t="s">
        <v>539</v>
      </c>
      <c r="B83" s="9">
        <v>7.17</v>
      </c>
      <c r="C83" s="9">
        <v>7.01</v>
      </c>
      <c r="D83" s="9">
        <v>8.18</v>
      </c>
      <c r="E83" s="12">
        <v>5.9375</v>
      </c>
      <c r="F83" s="12" t="e">
        <v>#N/A</v>
      </c>
      <c r="G83" s="12" t="e">
        <v>#N/A</v>
      </c>
      <c r="H83" s="9" t="e">
        <v>#N/A</v>
      </c>
      <c r="I83" s="9" t="e">
        <v>#N/A</v>
      </c>
    </row>
    <row r="84" spans="1:9" x14ac:dyDescent="0.35">
      <c r="A84" t="s">
        <v>540</v>
      </c>
      <c r="B84" s="9">
        <v>7.15</v>
      </c>
      <c r="C84" s="9">
        <v>7.06</v>
      </c>
      <c r="D84" s="9">
        <v>8.1300000000000008</v>
      </c>
      <c r="E84" s="12">
        <v>5.7249999999999996</v>
      </c>
      <c r="F84" s="12" t="e">
        <v>#N/A</v>
      </c>
      <c r="G84" s="12" t="e">
        <v>#N/A</v>
      </c>
      <c r="H84" s="9" t="e">
        <v>#N/A</v>
      </c>
      <c r="I84" s="9" t="e">
        <v>#N/A</v>
      </c>
    </row>
    <row r="85" spans="1:9" x14ac:dyDescent="0.35">
      <c r="A85" t="s">
        <v>541</v>
      </c>
      <c r="B85" s="9">
        <v>7.15</v>
      </c>
      <c r="C85" s="9">
        <v>7.12</v>
      </c>
      <c r="D85" s="9">
        <v>8.25</v>
      </c>
      <c r="E85" s="12">
        <v>5.6875</v>
      </c>
      <c r="F85" s="12" t="e">
        <v>#N/A</v>
      </c>
      <c r="G85" s="12" t="e">
        <v>#N/A</v>
      </c>
      <c r="H85" s="9" t="e">
        <v>#N/A</v>
      </c>
      <c r="I85" s="9" t="e">
        <v>#N/A</v>
      </c>
    </row>
    <row r="86" spans="1:9" x14ac:dyDescent="0.35">
      <c r="A86" t="s">
        <v>542</v>
      </c>
      <c r="B86" s="9">
        <v>6.99</v>
      </c>
      <c r="C86" s="9">
        <v>7.09</v>
      </c>
      <c r="D86" s="9">
        <v>8.2799999999999994</v>
      </c>
      <c r="E86" s="12">
        <v>5.6875</v>
      </c>
      <c r="F86" s="12" t="e">
        <v>#N/A</v>
      </c>
      <c r="G86" s="12" t="e">
        <v>#N/A</v>
      </c>
      <c r="H86" s="9" t="e">
        <v>#N/A</v>
      </c>
      <c r="I86" s="9" t="e">
        <v>#N/A</v>
      </c>
    </row>
    <row r="87" spans="1:9" x14ac:dyDescent="0.35">
      <c r="A87" t="s">
        <v>543</v>
      </c>
      <c r="B87" s="9">
        <v>6.93</v>
      </c>
      <c r="C87" s="9">
        <v>7.06</v>
      </c>
      <c r="D87" s="9">
        <v>8.16</v>
      </c>
      <c r="E87" s="12">
        <v>5.6875</v>
      </c>
      <c r="F87" s="12" t="e">
        <v>#N/A</v>
      </c>
      <c r="G87" s="12" t="e">
        <v>#N/A</v>
      </c>
      <c r="H87" s="9" t="e">
        <v>#N/A</v>
      </c>
      <c r="I87" s="9" t="e">
        <v>#N/A</v>
      </c>
    </row>
    <row r="88" spans="1:9" x14ac:dyDescent="0.35">
      <c r="A88" t="s">
        <v>544</v>
      </c>
      <c r="B88" s="9">
        <v>6.92</v>
      </c>
      <c r="C88" s="9">
        <v>6.96</v>
      </c>
      <c r="D88" s="9">
        <v>8.17</v>
      </c>
      <c r="E88" s="12">
        <v>5.7092391304347823</v>
      </c>
      <c r="F88" s="12" t="e">
        <v>#N/A</v>
      </c>
      <c r="G88" s="12" t="e">
        <v>#N/A</v>
      </c>
      <c r="H88" s="9" t="e">
        <v>#N/A</v>
      </c>
      <c r="I88" s="9" t="e">
        <v>#N/A</v>
      </c>
    </row>
    <row r="89" spans="1:9" x14ac:dyDescent="0.35">
      <c r="A89" t="s">
        <v>545</v>
      </c>
      <c r="B89" s="9">
        <v>6.92</v>
      </c>
      <c r="C89" s="9">
        <v>6.94</v>
      </c>
      <c r="D89" s="9">
        <v>8.02</v>
      </c>
      <c r="E89" s="12">
        <v>5.9375</v>
      </c>
      <c r="F89" s="12" t="e">
        <v>#N/A</v>
      </c>
      <c r="G89" s="12" t="e">
        <v>#N/A</v>
      </c>
      <c r="H89" s="9" t="e">
        <v>#N/A</v>
      </c>
      <c r="I89" s="9" t="e">
        <v>#N/A</v>
      </c>
    </row>
    <row r="90" spans="1:9" x14ac:dyDescent="0.35">
      <c r="A90" t="s">
        <v>546</v>
      </c>
      <c r="B90" s="9">
        <v>7.01</v>
      </c>
      <c r="C90" s="9">
        <v>7.24</v>
      </c>
      <c r="D90" s="9">
        <v>8.27</v>
      </c>
      <c r="E90" s="12">
        <v>5.9375</v>
      </c>
      <c r="F90" s="12" t="e">
        <v>#N/A</v>
      </c>
      <c r="G90" s="12" t="e">
        <v>#N/A</v>
      </c>
      <c r="H90" s="9" t="e">
        <v>#N/A</v>
      </c>
      <c r="I90" s="9" t="e">
        <v>#N/A</v>
      </c>
    </row>
    <row r="91" spans="1:9" x14ac:dyDescent="0.35">
      <c r="A91" t="s">
        <v>547</v>
      </c>
      <c r="B91" s="9">
        <v>7.18</v>
      </c>
      <c r="C91" s="9">
        <v>7.29</v>
      </c>
      <c r="D91" s="9">
        <v>8.31</v>
      </c>
      <c r="E91" s="12">
        <v>5.9375</v>
      </c>
      <c r="F91" s="12" t="e">
        <v>#N/A</v>
      </c>
      <c r="G91" s="12" t="e">
        <v>#N/A</v>
      </c>
      <c r="H91" s="9" t="e">
        <v>#N/A</v>
      </c>
      <c r="I91" s="9" t="e">
        <v>#N/A</v>
      </c>
    </row>
    <row r="92" spans="1:9" x14ac:dyDescent="0.35">
      <c r="A92" t="s">
        <v>548</v>
      </c>
      <c r="B92" s="9">
        <v>7.22</v>
      </c>
      <c r="C92" s="9">
        <v>7.35</v>
      </c>
      <c r="D92" s="9">
        <v>8.2200000000000006</v>
      </c>
      <c r="E92" s="12">
        <v>5.9375</v>
      </c>
      <c r="F92" s="12" t="e">
        <v>#N/A</v>
      </c>
      <c r="G92" s="12" t="e">
        <v>#N/A</v>
      </c>
      <c r="H92" s="9" t="e">
        <v>#N/A</v>
      </c>
      <c r="I92" s="9" t="e">
        <v>#N/A</v>
      </c>
    </row>
    <row r="93" spans="1:9" x14ac:dyDescent="0.35">
      <c r="A93" t="s">
        <v>549</v>
      </c>
      <c r="B93" s="9">
        <v>7.21</v>
      </c>
      <c r="C93" s="9">
        <v>7.11</v>
      </c>
      <c r="D93" s="9">
        <v>7.98</v>
      </c>
      <c r="E93" s="12">
        <v>5.9375</v>
      </c>
      <c r="F93" s="12" t="e">
        <v>#N/A</v>
      </c>
      <c r="G93" s="12" t="e">
        <v>#N/A</v>
      </c>
      <c r="H93" s="9" t="e">
        <v>#N/A</v>
      </c>
      <c r="I93" s="9" t="e">
        <v>#N/A</v>
      </c>
    </row>
    <row r="94" spans="1:9" x14ac:dyDescent="0.35">
      <c r="A94" t="s">
        <v>550</v>
      </c>
      <c r="B94" s="9">
        <v>7.22</v>
      </c>
      <c r="C94" s="9">
        <v>7.24</v>
      </c>
      <c r="D94" s="9">
        <v>7.93</v>
      </c>
      <c r="E94" s="12">
        <v>5.9375</v>
      </c>
      <c r="F94" s="12" t="e">
        <v>#N/A</v>
      </c>
      <c r="G94" s="12" t="e">
        <v>#N/A</v>
      </c>
      <c r="H94" s="9" t="e">
        <v>#N/A</v>
      </c>
      <c r="I94" s="9" t="e">
        <v>#N/A</v>
      </c>
    </row>
    <row r="95" spans="1:9" x14ac:dyDescent="0.35">
      <c r="A95" t="s">
        <v>551</v>
      </c>
      <c r="B95" s="9">
        <v>7.27</v>
      </c>
      <c r="C95" s="9">
        <v>7.15</v>
      </c>
      <c r="D95" s="9">
        <v>8.02</v>
      </c>
      <c r="E95" s="12">
        <v>6.2073863636363633</v>
      </c>
      <c r="F95" s="12" t="e">
        <v>#N/A</v>
      </c>
      <c r="G95" s="12" t="e">
        <v>#N/A</v>
      </c>
      <c r="H95" s="9" t="e">
        <v>#N/A</v>
      </c>
      <c r="I95" s="9" t="e">
        <v>#N/A</v>
      </c>
    </row>
    <row r="96" spans="1:9" x14ac:dyDescent="0.35">
      <c r="A96" t="s">
        <v>552</v>
      </c>
      <c r="B96" s="9">
        <v>7.64</v>
      </c>
      <c r="C96" s="9">
        <v>7.14</v>
      </c>
      <c r="D96" s="9">
        <v>7.91</v>
      </c>
      <c r="E96" s="12">
        <v>6.4523809523809526</v>
      </c>
      <c r="F96" s="12" t="e">
        <v>#N/A</v>
      </c>
      <c r="G96" s="12" t="e">
        <v>#N/A</v>
      </c>
      <c r="H96" s="9" t="e">
        <v>#N/A</v>
      </c>
      <c r="I96" s="9" t="e">
        <v>#N/A</v>
      </c>
    </row>
    <row r="97" spans="1:9" x14ac:dyDescent="0.35">
      <c r="A97" t="s">
        <v>553</v>
      </c>
      <c r="B97" s="9">
        <v>7.86</v>
      </c>
      <c r="C97" s="9">
        <v>7.2</v>
      </c>
      <c r="D97" s="9">
        <v>7.91</v>
      </c>
      <c r="E97" s="12">
        <v>6.6739130434782608</v>
      </c>
      <c r="F97" s="12" t="e">
        <v>#N/A</v>
      </c>
      <c r="G97" s="12" t="e">
        <v>#N/A</v>
      </c>
      <c r="H97" s="9" t="e">
        <v>#N/A</v>
      </c>
      <c r="I97" s="9" t="e">
        <v>#N/A</v>
      </c>
    </row>
    <row r="98" spans="1:9" x14ac:dyDescent="0.35">
      <c r="A98" t="s">
        <v>554</v>
      </c>
      <c r="B98" s="9">
        <v>8.15</v>
      </c>
      <c r="C98" s="9">
        <v>7.17</v>
      </c>
      <c r="D98" s="9">
        <v>7.9</v>
      </c>
      <c r="E98" s="12">
        <v>6.9523809523809526</v>
      </c>
      <c r="F98" s="12" t="e">
        <v>#N/A</v>
      </c>
      <c r="G98" s="12" t="e">
        <v>#N/A</v>
      </c>
      <c r="H98" s="9" t="e">
        <v>#N/A</v>
      </c>
      <c r="I98" s="9" t="e">
        <v>#N/A</v>
      </c>
    </row>
    <row r="99" spans="1:9" x14ac:dyDescent="0.35">
      <c r="A99" t="s">
        <v>555</v>
      </c>
      <c r="B99" s="9">
        <v>8.33</v>
      </c>
      <c r="C99" s="9">
        <v>7.06</v>
      </c>
      <c r="D99" s="9">
        <v>7.67</v>
      </c>
      <c r="E99" s="12">
        <v>7</v>
      </c>
      <c r="F99" s="12" t="e">
        <v>#N/A</v>
      </c>
      <c r="G99" s="12" t="e">
        <v>#N/A</v>
      </c>
      <c r="H99" s="9" t="e">
        <v>#N/A</v>
      </c>
      <c r="I99" s="9" t="e">
        <v>#N/A</v>
      </c>
    </row>
    <row r="100" spans="1:9" x14ac:dyDescent="0.35">
      <c r="A100" t="s">
        <v>556</v>
      </c>
      <c r="B100" s="9">
        <v>8.36</v>
      </c>
      <c r="C100" s="9">
        <v>7.07</v>
      </c>
      <c r="D100" s="9">
        <v>7.49</v>
      </c>
      <c r="E100" s="12">
        <v>7</v>
      </c>
      <c r="F100" s="12" t="e">
        <v>#N/A</v>
      </c>
      <c r="G100" s="12" t="e">
        <v>#N/A</v>
      </c>
      <c r="H100" s="9" t="e">
        <v>#N/A</v>
      </c>
      <c r="I100" s="9" t="e">
        <v>#N/A</v>
      </c>
    </row>
    <row r="101" spans="1:9" x14ac:dyDescent="0.35">
      <c r="A101" t="s">
        <v>557</v>
      </c>
      <c r="B101" s="9">
        <v>8.3699999999999992</v>
      </c>
      <c r="C101" s="9">
        <v>7.04</v>
      </c>
      <c r="D101" s="9">
        <v>7.33</v>
      </c>
      <c r="E101" s="12">
        <v>7.2125000000000004</v>
      </c>
      <c r="F101" s="12" t="e">
        <v>#N/A</v>
      </c>
      <c r="G101" s="12" t="e">
        <v>#N/A</v>
      </c>
      <c r="H101" s="9" t="e">
        <v>#N/A</v>
      </c>
      <c r="I101" s="9" t="e">
        <v>#N/A</v>
      </c>
    </row>
    <row r="102" spans="1:9" x14ac:dyDescent="0.35">
      <c r="A102" t="s">
        <v>558</v>
      </c>
      <c r="B102" s="9">
        <v>8.5</v>
      </c>
      <c r="C102" s="9">
        <v>7.13</v>
      </c>
      <c r="D102" s="9">
        <v>7.4</v>
      </c>
      <c r="E102" s="12">
        <v>7.25</v>
      </c>
      <c r="F102" s="12" t="e">
        <v>#N/A</v>
      </c>
      <c r="G102" s="12" t="e">
        <v>#N/A</v>
      </c>
      <c r="H102" s="9" t="e">
        <v>#N/A</v>
      </c>
      <c r="I102" s="9" t="e">
        <v>#N/A</v>
      </c>
    </row>
    <row r="103" spans="1:9" x14ac:dyDescent="0.35">
      <c r="A103" t="s">
        <v>559</v>
      </c>
      <c r="B103" s="9">
        <v>8.56</v>
      </c>
      <c r="C103" s="9">
        <v>7.13</v>
      </c>
      <c r="D103" s="9">
        <v>7.31</v>
      </c>
      <c r="E103" s="12">
        <v>7.25</v>
      </c>
      <c r="F103" s="12" t="e">
        <v>#N/A</v>
      </c>
      <c r="G103" s="12" t="e">
        <v>#N/A</v>
      </c>
      <c r="H103" s="9" t="e">
        <v>#N/A</v>
      </c>
      <c r="I103" s="9" t="e">
        <v>#N/A</v>
      </c>
    </row>
    <row r="104" spans="1:9" x14ac:dyDescent="0.35">
      <c r="A104" t="s">
        <v>560</v>
      </c>
      <c r="B104" s="9">
        <v>8.59</v>
      </c>
      <c r="C104" s="9">
        <v>7.08</v>
      </c>
      <c r="D104" s="9">
        <v>7.15</v>
      </c>
      <c r="E104" s="12">
        <v>7.25</v>
      </c>
      <c r="F104" s="12" t="e">
        <v>#N/A</v>
      </c>
      <c r="G104" s="12" t="e">
        <v>#N/A</v>
      </c>
      <c r="H104" s="9" t="e">
        <v>#N/A</v>
      </c>
      <c r="I104" s="9" t="e">
        <v>#N/A</v>
      </c>
    </row>
    <row r="105" spans="1:9" x14ac:dyDescent="0.35">
      <c r="A105" t="s">
        <v>561</v>
      </c>
      <c r="B105" s="9">
        <v>8.59</v>
      </c>
      <c r="C105" s="9">
        <v>7.02</v>
      </c>
      <c r="D105" s="9">
        <v>7.06</v>
      </c>
      <c r="E105" s="12">
        <v>7.25</v>
      </c>
      <c r="F105" s="12" t="e">
        <v>#N/A</v>
      </c>
      <c r="G105" s="12" t="e">
        <v>#N/A</v>
      </c>
      <c r="H105" s="9" t="e">
        <v>#N/A</v>
      </c>
      <c r="I105" s="9" t="e">
        <v>#N/A</v>
      </c>
    </row>
    <row r="106" spans="1:9" x14ac:dyDescent="0.35">
      <c r="A106" t="s">
        <v>562</v>
      </c>
      <c r="B106" s="9">
        <v>8.59</v>
      </c>
      <c r="C106" s="9">
        <v>7.14</v>
      </c>
      <c r="D106" s="9">
        <v>6.82</v>
      </c>
      <c r="E106" s="12">
        <v>7.25</v>
      </c>
      <c r="F106" s="12" t="e">
        <v>#N/A</v>
      </c>
      <c r="G106" s="12" t="e">
        <v>#N/A</v>
      </c>
      <c r="H106" s="9" t="e">
        <v>#N/A</v>
      </c>
      <c r="I106" s="9" t="e">
        <v>#N/A</v>
      </c>
    </row>
    <row r="107" spans="1:9" x14ac:dyDescent="0.35">
      <c r="A107" t="s">
        <v>563</v>
      </c>
      <c r="B107" s="9">
        <v>8.59</v>
      </c>
      <c r="C107" s="9">
        <v>7.12</v>
      </c>
      <c r="D107" s="9">
        <v>6.83</v>
      </c>
      <c r="E107" s="12">
        <v>7.25</v>
      </c>
      <c r="F107" s="12" t="e">
        <v>#N/A</v>
      </c>
      <c r="G107" s="12" t="e">
        <v>#N/A</v>
      </c>
      <c r="H107" s="9" t="e">
        <v>#N/A</v>
      </c>
      <c r="I107" s="9" t="e">
        <v>#N/A</v>
      </c>
    </row>
    <row r="108" spans="1:9" x14ac:dyDescent="0.35">
      <c r="A108" t="s">
        <v>564</v>
      </c>
      <c r="B108" s="9">
        <v>8.59</v>
      </c>
      <c r="C108" s="9">
        <v>6.94</v>
      </c>
      <c r="D108" s="9">
        <v>6.75</v>
      </c>
      <c r="E108" s="12">
        <v>7.4659090909090908</v>
      </c>
      <c r="F108" s="12" t="e">
        <v>#N/A</v>
      </c>
      <c r="G108" s="12" t="e">
        <v>#N/A</v>
      </c>
      <c r="H108" s="9" t="e">
        <v>#N/A</v>
      </c>
      <c r="I108" s="9" t="e">
        <v>#N/A</v>
      </c>
    </row>
    <row r="109" spans="1:9" x14ac:dyDescent="0.35">
      <c r="A109" t="s">
        <v>565</v>
      </c>
      <c r="B109" s="9">
        <v>8.8000000000000007</v>
      </c>
      <c r="C109" s="9">
        <v>7.08</v>
      </c>
      <c r="D109" s="9">
        <v>6.94</v>
      </c>
      <c r="E109" s="12">
        <v>7.5</v>
      </c>
      <c r="F109" s="12" t="e">
        <v>#N/A</v>
      </c>
      <c r="G109" s="12" t="e">
        <v>#N/A</v>
      </c>
      <c r="H109" s="9" t="e">
        <v>#N/A</v>
      </c>
      <c r="I109" s="9" t="e">
        <v>#N/A</v>
      </c>
    </row>
    <row r="110" spans="1:9" x14ac:dyDescent="0.35">
      <c r="A110" t="s">
        <v>566</v>
      </c>
      <c r="B110" s="9">
        <v>8.83</v>
      </c>
      <c r="C110" s="9">
        <v>7.33</v>
      </c>
      <c r="D110" s="9">
        <v>7.04</v>
      </c>
      <c r="E110" s="12">
        <v>7.5</v>
      </c>
      <c r="F110" s="12" t="e">
        <v>#N/A</v>
      </c>
      <c r="G110" s="12" t="e">
        <v>#N/A</v>
      </c>
      <c r="H110" s="9" t="e">
        <v>#N/A</v>
      </c>
      <c r="I110" s="9" t="e">
        <v>#N/A</v>
      </c>
    </row>
    <row r="111" spans="1:9" x14ac:dyDescent="0.35">
      <c r="A111" t="s">
        <v>567</v>
      </c>
      <c r="B111" s="9">
        <v>8.8699999999999992</v>
      </c>
      <c r="C111" s="9">
        <v>7.27</v>
      </c>
      <c r="D111" s="9">
        <v>6.93</v>
      </c>
      <c r="E111" s="12">
        <v>7.5</v>
      </c>
      <c r="F111" s="12" t="e">
        <v>#N/A</v>
      </c>
      <c r="G111" s="12" t="e">
        <v>#N/A</v>
      </c>
      <c r="H111" s="9" t="e">
        <v>#N/A</v>
      </c>
      <c r="I111" s="9" t="e">
        <v>#N/A</v>
      </c>
    </row>
    <row r="112" spans="1:9" x14ac:dyDescent="0.35">
      <c r="A112" t="s">
        <v>568</v>
      </c>
      <c r="B112" s="9">
        <v>8.85</v>
      </c>
      <c r="C112" s="9">
        <v>6.91</v>
      </c>
      <c r="D112" s="9">
        <v>6.66</v>
      </c>
      <c r="E112" s="12">
        <v>7.3068181818181817</v>
      </c>
      <c r="F112" s="12" t="e">
        <v>#N/A</v>
      </c>
      <c r="G112" s="12" t="e">
        <v>#N/A</v>
      </c>
      <c r="H112" s="9" t="e">
        <v>#N/A</v>
      </c>
      <c r="I112" s="9" t="e">
        <v>#N/A</v>
      </c>
    </row>
    <row r="113" spans="1:9" x14ac:dyDescent="0.35">
      <c r="A113" t="s">
        <v>569</v>
      </c>
      <c r="B113" s="9">
        <v>8.58</v>
      </c>
      <c r="C113" s="9">
        <v>6.66</v>
      </c>
      <c r="D113" s="9">
        <v>6.51</v>
      </c>
      <c r="E113" s="12">
        <v>6.8214285714285712</v>
      </c>
      <c r="F113" s="12" t="e">
        <v>#N/A</v>
      </c>
      <c r="G113" s="12" t="e">
        <v>#N/A</v>
      </c>
      <c r="H113" s="9" t="e">
        <v>#N/A</v>
      </c>
      <c r="I113" s="9" t="e">
        <v>#N/A</v>
      </c>
    </row>
    <row r="114" spans="1:9" x14ac:dyDescent="0.35">
      <c r="A114" t="s">
        <v>570</v>
      </c>
      <c r="B114" s="9">
        <v>8</v>
      </c>
      <c r="C114" s="9">
        <v>6.42</v>
      </c>
      <c r="D114" s="9">
        <v>6.36</v>
      </c>
      <c r="E114" s="12">
        <v>6.4021739130434785</v>
      </c>
      <c r="F114" s="12" t="e">
        <v>#N/A</v>
      </c>
      <c r="G114" s="12" t="e">
        <v>#N/A</v>
      </c>
      <c r="H114" s="9" t="e">
        <v>#N/A</v>
      </c>
      <c r="I114" s="9" t="e">
        <v>#N/A</v>
      </c>
    </row>
    <row r="115" spans="1:9" x14ac:dyDescent="0.35">
      <c r="A115" t="s">
        <v>571</v>
      </c>
      <c r="B115" s="9">
        <v>7.6</v>
      </c>
      <c r="C115" s="9">
        <v>5.9</v>
      </c>
      <c r="D115" s="9">
        <v>5.9</v>
      </c>
      <c r="E115" s="12">
        <v>6.0476190476190474</v>
      </c>
      <c r="F115" s="12" t="e">
        <v>#N/A</v>
      </c>
      <c r="G115" s="12" t="e">
        <v>#N/A</v>
      </c>
      <c r="H115" s="9">
        <v>8.11</v>
      </c>
      <c r="I115" s="9">
        <v>7.41</v>
      </c>
    </row>
    <row r="116" spans="1:9" x14ac:dyDescent="0.35">
      <c r="A116" t="s">
        <v>572</v>
      </c>
      <c r="B116" s="9">
        <v>7.35</v>
      </c>
      <c r="C116" s="9">
        <v>5.78</v>
      </c>
      <c r="D116" s="9">
        <v>5.7</v>
      </c>
      <c r="E116" s="12">
        <v>5.5750000000000002</v>
      </c>
      <c r="F116" s="12" t="e">
        <v>#N/A</v>
      </c>
      <c r="G116" s="12" t="e">
        <v>#N/A</v>
      </c>
      <c r="H116" s="9">
        <v>7.69</v>
      </c>
      <c r="I116" s="9">
        <v>7.21</v>
      </c>
    </row>
    <row r="117" spans="1:9" x14ac:dyDescent="0.35">
      <c r="A117" t="s">
        <v>573</v>
      </c>
      <c r="B117" s="9">
        <v>6.85</v>
      </c>
      <c r="C117" s="9">
        <v>5.64</v>
      </c>
      <c r="D117" s="9">
        <v>5.8</v>
      </c>
      <c r="E117" s="12">
        <v>5.5</v>
      </c>
      <c r="F117" s="12" t="e">
        <v>#N/A</v>
      </c>
      <c r="G117" s="12" t="e">
        <v>#N/A</v>
      </c>
      <c r="H117" s="9">
        <v>7.38</v>
      </c>
      <c r="I117" s="9">
        <v>6.89</v>
      </c>
    </row>
    <row r="118" spans="1:9" x14ac:dyDescent="0.35">
      <c r="A118" t="s">
        <v>574</v>
      </c>
      <c r="B118" s="9">
        <v>6.83</v>
      </c>
      <c r="C118" s="9">
        <v>5.71</v>
      </c>
      <c r="D118" s="9">
        <v>5.89</v>
      </c>
      <c r="E118" s="12">
        <v>5.3068181818181817</v>
      </c>
      <c r="F118" s="12" t="e">
        <v>#N/A</v>
      </c>
      <c r="G118" s="12" t="e">
        <v>#N/A</v>
      </c>
      <c r="H118" s="9">
        <v>7.14</v>
      </c>
      <c r="I118" s="9">
        <v>6.87</v>
      </c>
    </row>
    <row r="119" spans="1:9" x14ac:dyDescent="0.35">
      <c r="A119" t="s">
        <v>575</v>
      </c>
      <c r="B119" s="9">
        <v>6.75</v>
      </c>
      <c r="C119" s="9">
        <v>5.72</v>
      </c>
      <c r="D119" s="9">
        <v>5.97</v>
      </c>
      <c r="E119" s="12">
        <v>5.25</v>
      </c>
      <c r="F119" s="12" t="e">
        <v>#N/A</v>
      </c>
      <c r="G119" s="12" t="e">
        <v>#N/A</v>
      </c>
      <c r="H119" s="9">
        <v>7.12</v>
      </c>
      <c r="I119" s="9">
        <v>6.72</v>
      </c>
    </row>
    <row r="120" spans="1:9" x14ac:dyDescent="0.35">
      <c r="A120" t="s">
        <v>576</v>
      </c>
      <c r="B120" s="9">
        <v>6.73</v>
      </c>
      <c r="C120" s="9">
        <v>5.89</v>
      </c>
      <c r="D120" s="9">
        <v>6.29</v>
      </c>
      <c r="E120" s="12">
        <v>5.0795454545454541</v>
      </c>
      <c r="F120" s="12" t="e">
        <v>#N/A</v>
      </c>
      <c r="G120" s="12" t="e">
        <v>#N/A</v>
      </c>
      <c r="H120" s="9">
        <v>7.05</v>
      </c>
      <c r="I120" s="9">
        <v>6.63</v>
      </c>
    </row>
    <row r="121" spans="1:9" x14ac:dyDescent="0.35">
      <c r="A121" t="s">
        <v>577</v>
      </c>
      <c r="B121" s="9">
        <v>6.72</v>
      </c>
      <c r="C121" s="9">
        <v>6</v>
      </c>
      <c r="D121" s="9">
        <v>6.3</v>
      </c>
      <c r="E121" s="12">
        <v>5</v>
      </c>
      <c r="F121" s="12" t="e">
        <v>#N/A</v>
      </c>
      <c r="G121" s="12" t="e">
        <v>#N/A</v>
      </c>
      <c r="H121" s="9">
        <v>7.12</v>
      </c>
      <c r="I121" s="9">
        <v>6.64</v>
      </c>
    </row>
    <row r="122" spans="1:9" x14ac:dyDescent="0.35">
      <c r="A122" t="s">
        <v>578</v>
      </c>
      <c r="B122" s="9">
        <v>6.72</v>
      </c>
      <c r="C122" s="9">
        <v>6.19</v>
      </c>
      <c r="D122" s="9">
        <v>6.64</v>
      </c>
      <c r="E122" s="12">
        <v>5</v>
      </c>
      <c r="F122" s="12" t="e">
        <v>#N/A</v>
      </c>
      <c r="G122" s="12" t="e">
        <v>#N/A</v>
      </c>
      <c r="H122" s="9">
        <v>6.98</v>
      </c>
      <c r="I122" s="9">
        <v>6.61</v>
      </c>
    </row>
    <row r="123" spans="1:9" x14ac:dyDescent="0.35">
      <c r="A123" t="s">
        <v>579</v>
      </c>
      <c r="B123" s="9">
        <v>6.72</v>
      </c>
      <c r="C123" s="9">
        <v>6.22</v>
      </c>
      <c r="D123" s="9">
        <v>6.67</v>
      </c>
      <c r="E123" s="12">
        <v>5.1931818181818183</v>
      </c>
      <c r="F123" s="12" t="e">
        <v>#N/A</v>
      </c>
      <c r="G123" s="12" t="e">
        <v>#N/A</v>
      </c>
      <c r="H123" s="9">
        <v>7.06</v>
      </c>
      <c r="I123" s="9">
        <v>6.6</v>
      </c>
    </row>
    <row r="124" spans="1:9" x14ac:dyDescent="0.35">
      <c r="A124" t="s">
        <v>580</v>
      </c>
      <c r="B124" s="9">
        <v>6.82</v>
      </c>
      <c r="C124" s="9">
        <v>6.5</v>
      </c>
      <c r="D124" s="9">
        <v>6.88</v>
      </c>
      <c r="E124" s="12">
        <v>5.25</v>
      </c>
      <c r="F124" s="12" t="e">
        <v>#N/A</v>
      </c>
      <c r="G124" s="12" t="e">
        <v>#N/A</v>
      </c>
      <c r="H124" s="9">
        <v>7.13</v>
      </c>
      <c r="I124" s="9">
        <v>6.66</v>
      </c>
    </row>
    <row r="125" spans="1:9" x14ac:dyDescent="0.35">
      <c r="A125" t="s">
        <v>581</v>
      </c>
      <c r="B125" s="9">
        <v>6.87</v>
      </c>
      <c r="C125" s="9">
        <v>6.6</v>
      </c>
      <c r="D125" s="9">
        <v>6.94</v>
      </c>
      <c r="E125" s="12">
        <v>5.4659090909090908</v>
      </c>
      <c r="F125" s="12" t="e">
        <v>#N/A</v>
      </c>
      <c r="G125" s="12" t="e">
        <v>#N/A</v>
      </c>
      <c r="H125" s="9">
        <v>7.2</v>
      </c>
      <c r="I125" s="9">
        <v>6.72</v>
      </c>
    </row>
    <row r="126" spans="1:9" x14ac:dyDescent="0.35">
      <c r="A126" t="s">
        <v>582</v>
      </c>
      <c r="B126" s="9">
        <v>7.1</v>
      </c>
      <c r="C126" s="9">
        <v>6.52</v>
      </c>
      <c r="D126" s="9">
        <v>6.92</v>
      </c>
      <c r="E126" s="12">
        <v>5.5</v>
      </c>
      <c r="F126" s="12" t="e">
        <v>#N/A</v>
      </c>
      <c r="G126" s="12" t="e">
        <v>#N/A</v>
      </c>
      <c r="H126" s="9">
        <v>7.27</v>
      </c>
      <c r="I126" s="9">
        <v>6.89</v>
      </c>
    </row>
    <row r="127" spans="1:9" x14ac:dyDescent="0.35">
      <c r="A127" t="s">
        <v>583</v>
      </c>
      <c r="B127" s="9">
        <v>7.13</v>
      </c>
      <c r="C127" s="9">
        <v>6.78</v>
      </c>
      <c r="D127" s="9">
        <v>7.09</v>
      </c>
      <c r="E127" s="12">
        <v>5.6547619047619051</v>
      </c>
      <c r="F127" s="12" t="e">
        <v>#N/A</v>
      </c>
      <c r="G127" s="12" t="e">
        <v>#N/A</v>
      </c>
      <c r="H127" s="9">
        <v>7.44</v>
      </c>
      <c r="I127" s="9">
        <v>6.99</v>
      </c>
    </row>
    <row r="128" spans="1:9" x14ac:dyDescent="0.35">
      <c r="A128" t="s">
        <v>584</v>
      </c>
      <c r="B128" s="9">
        <v>7.38</v>
      </c>
      <c r="C128" s="9">
        <v>6.79</v>
      </c>
      <c r="D128" s="9">
        <v>7.11</v>
      </c>
      <c r="E128" s="12">
        <v>5.916666666666667</v>
      </c>
      <c r="F128" s="12" t="e">
        <v>#N/A</v>
      </c>
      <c r="G128" s="12" t="e">
        <v>#N/A</v>
      </c>
      <c r="H128" s="9">
        <v>7.64</v>
      </c>
      <c r="I128" s="9">
        <v>7.06</v>
      </c>
    </row>
    <row r="129" spans="1:9" x14ac:dyDescent="0.35">
      <c r="A129" t="s">
        <v>585</v>
      </c>
      <c r="B129" s="9">
        <v>7.62</v>
      </c>
      <c r="C129" s="9">
        <v>6.45</v>
      </c>
      <c r="D129" s="9">
        <v>6.94</v>
      </c>
      <c r="E129" s="12">
        <v>6</v>
      </c>
      <c r="F129" s="12" t="e">
        <v>#N/A</v>
      </c>
      <c r="G129" s="12" t="e">
        <v>#N/A</v>
      </c>
      <c r="H129" s="9">
        <v>7.74</v>
      </c>
      <c r="I129" s="9">
        <v>7.12</v>
      </c>
    </row>
    <row r="130" spans="1:9" x14ac:dyDescent="0.35">
      <c r="A130" t="s">
        <v>586</v>
      </c>
      <c r="B130" s="9">
        <v>7.63</v>
      </c>
      <c r="C130" s="9">
        <v>6.31</v>
      </c>
      <c r="D130" s="9">
        <v>6.92</v>
      </c>
      <c r="E130" s="12">
        <v>6</v>
      </c>
      <c r="F130" s="12" t="e">
        <v>#N/A</v>
      </c>
      <c r="G130" s="12" t="e">
        <v>#N/A</v>
      </c>
      <c r="H130" s="9">
        <v>7.77</v>
      </c>
      <c r="I130" s="9">
        <v>7.16</v>
      </c>
    </row>
    <row r="131" spans="1:9" x14ac:dyDescent="0.35">
      <c r="A131" t="s">
        <v>587</v>
      </c>
      <c r="B131" s="9">
        <v>7.64</v>
      </c>
      <c r="C131" s="9">
        <v>6.39</v>
      </c>
      <c r="D131" s="9">
        <v>6.9</v>
      </c>
      <c r="E131" s="12">
        <v>6</v>
      </c>
      <c r="F131" s="12" t="e">
        <v>#N/A</v>
      </c>
      <c r="G131" s="12" t="e">
        <v>#N/A</v>
      </c>
      <c r="H131" s="9">
        <v>7.77</v>
      </c>
      <c r="I131" s="9">
        <v>7.13</v>
      </c>
    </row>
    <row r="132" spans="1:9" x14ac:dyDescent="0.35">
      <c r="A132" t="s">
        <v>588</v>
      </c>
      <c r="B132" s="9">
        <v>7.64</v>
      </c>
      <c r="C132" s="9">
        <v>6.46</v>
      </c>
      <c r="D132" s="9">
        <v>6.87</v>
      </c>
      <c r="E132" s="12">
        <v>6</v>
      </c>
      <c r="F132" s="12" t="e">
        <v>#N/A</v>
      </c>
      <c r="G132" s="12" t="e">
        <v>#N/A</v>
      </c>
      <c r="H132" s="9">
        <v>7.71</v>
      </c>
      <c r="I132" s="9">
        <v>7.14</v>
      </c>
    </row>
    <row r="133" spans="1:9" x14ac:dyDescent="0.35">
      <c r="A133" t="s">
        <v>589</v>
      </c>
      <c r="B133" s="9">
        <v>7.64</v>
      </c>
      <c r="C133" s="9">
        <v>6.37</v>
      </c>
      <c r="D133" s="9">
        <v>6.81</v>
      </c>
      <c r="E133" s="12">
        <v>6</v>
      </c>
      <c r="F133" s="12" t="e">
        <v>#N/A</v>
      </c>
      <c r="G133" s="12" t="e">
        <v>#N/A</v>
      </c>
      <c r="H133" s="9">
        <v>7.77</v>
      </c>
      <c r="I133" s="9">
        <v>7.12</v>
      </c>
    </row>
    <row r="134" spans="1:9" x14ac:dyDescent="0.35">
      <c r="A134" t="s">
        <v>590</v>
      </c>
      <c r="B134" s="9">
        <v>7.63</v>
      </c>
      <c r="C134" s="9">
        <v>6.35</v>
      </c>
      <c r="D134" s="9">
        <v>6.76</v>
      </c>
      <c r="E134" s="12">
        <v>6</v>
      </c>
      <c r="F134" s="12" t="e">
        <v>#N/A</v>
      </c>
      <c r="G134" s="12" t="e">
        <v>#N/A</v>
      </c>
      <c r="H134" s="9">
        <v>7.77</v>
      </c>
      <c r="I134" s="9">
        <v>7.11</v>
      </c>
    </row>
    <row r="135" spans="1:9" x14ac:dyDescent="0.35">
      <c r="A135" t="s">
        <v>591</v>
      </c>
      <c r="B135" s="9">
        <v>7.59</v>
      </c>
      <c r="C135" s="9">
        <v>6.31</v>
      </c>
      <c r="D135" s="9">
        <v>6.7</v>
      </c>
      <c r="E135" s="12">
        <v>6</v>
      </c>
      <c r="F135" s="12" t="e">
        <v>#N/A</v>
      </c>
      <c r="G135" s="12" t="e">
        <v>#N/A</v>
      </c>
      <c r="H135" s="9">
        <v>7.72</v>
      </c>
      <c r="I135" s="9">
        <v>7.11</v>
      </c>
    </row>
    <row r="136" spans="1:9" x14ac:dyDescent="0.35">
      <c r="A136" t="s">
        <v>592</v>
      </c>
      <c r="B136" s="9">
        <v>7.59</v>
      </c>
      <c r="C136" s="9">
        <v>6.05</v>
      </c>
      <c r="D136" s="9">
        <v>6.61</v>
      </c>
      <c r="E136" s="12">
        <v>6</v>
      </c>
      <c r="F136" s="12" t="e">
        <v>#N/A</v>
      </c>
      <c r="G136" s="12" t="e">
        <v>#N/A</v>
      </c>
      <c r="H136" s="9">
        <v>7.65</v>
      </c>
      <c r="I136" s="9">
        <v>7.07</v>
      </c>
    </row>
    <row r="137" spans="1:9" x14ac:dyDescent="0.35">
      <c r="A137" t="s">
        <v>593</v>
      </c>
      <c r="B137" s="9">
        <v>7.59</v>
      </c>
      <c r="C137" s="9">
        <v>6.06</v>
      </c>
      <c r="D137" s="9">
        <v>6.58</v>
      </c>
      <c r="E137" s="12">
        <v>6</v>
      </c>
      <c r="F137" s="12" t="e">
        <v>#N/A</v>
      </c>
      <c r="G137" s="12" t="e">
        <v>#N/A</v>
      </c>
      <c r="H137" s="9">
        <v>7.66</v>
      </c>
      <c r="I137" s="9">
        <v>7.07</v>
      </c>
    </row>
    <row r="138" spans="1:9" x14ac:dyDescent="0.35">
      <c r="A138" t="s">
        <v>594</v>
      </c>
      <c r="B138" s="9">
        <v>7.55</v>
      </c>
      <c r="C138" s="9">
        <v>6.03</v>
      </c>
      <c r="D138" s="9">
        <v>6.2</v>
      </c>
      <c r="E138" s="12">
        <v>6</v>
      </c>
      <c r="F138" s="12" t="e">
        <v>#N/A</v>
      </c>
      <c r="G138" s="12" t="e">
        <v>#N/A</v>
      </c>
      <c r="H138" s="9">
        <v>7.63</v>
      </c>
      <c r="I138" s="9">
        <v>7.03</v>
      </c>
    </row>
    <row r="139" spans="1:9" x14ac:dyDescent="0.35">
      <c r="A139" t="s">
        <v>595</v>
      </c>
      <c r="B139" s="9">
        <v>7.56</v>
      </c>
      <c r="C139" s="9">
        <v>5.78</v>
      </c>
      <c r="D139" s="9">
        <v>6.14</v>
      </c>
      <c r="E139" s="12">
        <v>6</v>
      </c>
      <c r="F139" s="12" t="e">
        <v>#N/A</v>
      </c>
      <c r="G139" s="12" t="e">
        <v>#N/A</v>
      </c>
      <c r="H139" s="9">
        <v>7.6</v>
      </c>
      <c r="I139" s="9">
        <v>7.01</v>
      </c>
    </row>
    <row r="140" spans="1:9" x14ac:dyDescent="0.35">
      <c r="A140" t="s">
        <v>596</v>
      </c>
      <c r="B140" s="9">
        <v>7.56</v>
      </c>
      <c r="C140" s="9">
        <v>5.7</v>
      </c>
      <c r="D140" s="9">
        <v>6</v>
      </c>
      <c r="E140" s="12">
        <v>5.8125</v>
      </c>
      <c r="F140" s="12" t="e">
        <v>#N/A</v>
      </c>
      <c r="G140" s="12" t="e">
        <v>#N/A</v>
      </c>
      <c r="H140" s="9">
        <v>7.47</v>
      </c>
      <c r="I140" s="9">
        <v>6.98</v>
      </c>
    </row>
    <row r="141" spans="1:9" x14ac:dyDescent="0.35">
      <c r="A141" t="s">
        <v>597</v>
      </c>
      <c r="B141" s="9">
        <v>7.27</v>
      </c>
      <c r="C141" s="9">
        <v>5.68</v>
      </c>
      <c r="D141" s="9">
        <v>5.91</v>
      </c>
      <c r="E141" s="12">
        <v>5.75</v>
      </c>
      <c r="F141" s="12" t="e">
        <v>#N/A</v>
      </c>
      <c r="G141" s="12" t="e">
        <v>#N/A</v>
      </c>
      <c r="H141" s="9">
        <v>7.36</v>
      </c>
      <c r="I141" s="9">
        <v>6.82</v>
      </c>
    </row>
    <row r="142" spans="1:9" x14ac:dyDescent="0.35">
      <c r="A142" t="s">
        <v>598</v>
      </c>
      <c r="B142" s="9">
        <v>7.3</v>
      </c>
      <c r="C142" s="9">
        <v>5.63</v>
      </c>
      <c r="D142" s="9">
        <v>5.76</v>
      </c>
      <c r="E142" s="12">
        <v>5.5357142857142856</v>
      </c>
      <c r="F142" s="12" t="e">
        <v>#N/A</v>
      </c>
      <c r="G142" s="12" t="e">
        <v>#N/A</v>
      </c>
      <c r="H142" s="9">
        <v>7.31</v>
      </c>
      <c r="I142" s="9">
        <v>6.79</v>
      </c>
    </row>
    <row r="143" spans="1:9" x14ac:dyDescent="0.35">
      <c r="A143" t="s">
        <v>599</v>
      </c>
      <c r="B143" s="9">
        <v>7.03</v>
      </c>
      <c r="C143" s="9">
        <v>5.65</v>
      </c>
      <c r="D143" s="9">
        <v>5.78</v>
      </c>
      <c r="E143" s="12">
        <v>5.3260869565217392</v>
      </c>
      <c r="F143" s="12" t="e">
        <v>#N/A</v>
      </c>
      <c r="G143" s="12" t="e">
        <v>#N/A</v>
      </c>
      <c r="H143" s="9">
        <v>7.14</v>
      </c>
      <c r="I143" s="9">
        <v>6.61</v>
      </c>
    </row>
    <row r="144" spans="1:9" x14ac:dyDescent="0.35">
      <c r="A144" t="s">
        <v>600</v>
      </c>
      <c r="B144" s="9">
        <v>6.81</v>
      </c>
      <c r="C144" s="9">
        <v>5.72</v>
      </c>
      <c r="D144" s="9">
        <v>5.93</v>
      </c>
      <c r="E144" s="12">
        <v>5.25</v>
      </c>
      <c r="F144" s="12" t="e">
        <v>#N/A</v>
      </c>
      <c r="G144" s="12" t="e">
        <v>#N/A</v>
      </c>
      <c r="H144" s="9">
        <v>7.03</v>
      </c>
      <c r="I144" s="9">
        <v>6.44</v>
      </c>
    </row>
    <row r="145" spans="1:9" x14ac:dyDescent="0.35">
      <c r="A145" t="s">
        <v>601</v>
      </c>
      <c r="B145" s="9">
        <v>6.81</v>
      </c>
      <c r="C145" s="9">
        <v>5.92</v>
      </c>
      <c r="D145" s="9">
        <v>6.07</v>
      </c>
      <c r="E145" s="12">
        <v>5.25</v>
      </c>
      <c r="F145" s="12" t="e">
        <v>#N/A</v>
      </c>
      <c r="G145" s="12" t="e">
        <v>#N/A</v>
      </c>
      <c r="H145" s="9">
        <v>7.01</v>
      </c>
      <c r="I145" s="9">
        <v>6.42</v>
      </c>
    </row>
    <row r="146" spans="1:9" x14ac:dyDescent="0.35">
      <c r="A146" t="s">
        <v>602</v>
      </c>
      <c r="B146" s="9">
        <v>6.8</v>
      </c>
      <c r="C146" s="9">
        <v>5.58</v>
      </c>
      <c r="D146" s="9">
        <v>5.91</v>
      </c>
      <c r="E146" s="12">
        <v>5.0108695652173916</v>
      </c>
      <c r="F146" s="12" t="e">
        <v>#N/A</v>
      </c>
      <c r="G146" s="12" t="e">
        <v>#N/A</v>
      </c>
      <c r="H146" s="9">
        <v>6.86</v>
      </c>
      <c r="I146" s="9">
        <v>6.4</v>
      </c>
    </row>
    <row r="147" spans="1:9" x14ac:dyDescent="0.35">
      <c r="A147" t="s">
        <v>603</v>
      </c>
      <c r="B147" s="9">
        <v>6.54</v>
      </c>
      <c r="C147" s="9">
        <v>5.39</v>
      </c>
      <c r="D147" s="9">
        <v>5.77</v>
      </c>
      <c r="E147" s="12">
        <v>4.8875000000000002</v>
      </c>
      <c r="F147" s="12" t="e">
        <v>#N/A</v>
      </c>
      <c r="G147" s="12" t="e">
        <v>#N/A</v>
      </c>
      <c r="H147" s="9">
        <v>6.7</v>
      </c>
      <c r="I147" s="9">
        <v>6.23</v>
      </c>
    </row>
    <row r="148" spans="1:9" x14ac:dyDescent="0.35">
      <c r="A148" t="s">
        <v>604</v>
      </c>
      <c r="B148" s="9">
        <v>6.32</v>
      </c>
      <c r="C148" s="9">
        <v>5.0599999999999996</v>
      </c>
      <c r="D148" s="9">
        <v>5.61</v>
      </c>
      <c r="E148" s="12">
        <v>4.5326086956521738</v>
      </c>
      <c r="F148" s="12" t="e">
        <v>#N/A</v>
      </c>
      <c r="G148" s="12" t="e">
        <v>#N/A</v>
      </c>
      <c r="H148" s="9">
        <v>6.5</v>
      </c>
      <c r="I148" s="9">
        <v>6.08</v>
      </c>
    </row>
    <row r="149" spans="1:9" x14ac:dyDescent="0.35">
      <c r="A149" t="s">
        <v>605</v>
      </c>
      <c r="B149" s="9">
        <v>6.06</v>
      </c>
      <c r="C149" s="9">
        <v>4.84</v>
      </c>
      <c r="D149" s="9">
        <v>5.49</v>
      </c>
      <c r="E149" s="12">
        <v>4.1136363636363633</v>
      </c>
      <c r="F149" s="12" t="e">
        <v>#N/A</v>
      </c>
      <c r="G149" s="12" t="e">
        <v>#N/A</v>
      </c>
      <c r="H149" s="9">
        <v>6.16</v>
      </c>
      <c r="I149" s="9">
        <v>5.87</v>
      </c>
    </row>
    <row r="150" spans="1:9" x14ac:dyDescent="0.35">
      <c r="A150" t="s">
        <v>606</v>
      </c>
      <c r="B150" s="9">
        <v>5.67</v>
      </c>
      <c r="C150" s="9">
        <v>4.9800000000000004</v>
      </c>
      <c r="D150" s="9">
        <v>5.65</v>
      </c>
      <c r="E150" s="12">
        <v>4</v>
      </c>
      <c r="F150" s="12" t="e">
        <v>#N/A</v>
      </c>
      <c r="G150" s="12" t="e">
        <v>#N/A</v>
      </c>
      <c r="H150" s="9">
        <v>6</v>
      </c>
      <c r="I150" s="9">
        <v>5.59</v>
      </c>
    </row>
    <row r="151" spans="1:9" x14ac:dyDescent="0.35">
      <c r="A151" t="s">
        <v>607</v>
      </c>
      <c r="B151" s="9">
        <v>5.66</v>
      </c>
      <c r="C151" s="9">
        <v>5.0599999999999996</v>
      </c>
      <c r="D151" s="9">
        <v>5.66</v>
      </c>
      <c r="E151" s="12">
        <v>4</v>
      </c>
      <c r="F151" s="12" t="e">
        <v>#N/A</v>
      </c>
      <c r="G151" s="12" t="e">
        <v>#N/A</v>
      </c>
      <c r="H151" s="9">
        <v>5.91</v>
      </c>
      <c r="I151" s="9">
        <v>5.54</v>
      </c>
    </row>
    <row r="152" spans="1:9" x14ac:dyDescent="0.35">
      <c r="A152" t="s">
        <v>608</v>
      </c>
      <c r="B152" s="9">
        <v>5.66</v>
      </c>
      <c r="C152" s="9">
        <v>5.14</v>
      </c>
      <c r="D152" s="9">
        <v>5.69</v>
      </c>
      <c r="E152" s="12">
        <v>4</v>
      </c>
      <c r="F152" s="12" t="e">
        <v>#N/A</v>
      </c>
      <c r="G152" s="12" t="e">
        <v>#N/A</v>
      </c>
      <c r="H152" s="9">
        <v>5.86</v>
      </c>
      <c r="I152" s="9">
        <v>5.54</v>
      </c>
    </row>
    <row r="153" spans="1:9" x14ac:dyDescent="0.35">
      <c r="A153" t="s">
        <v>609</v>
      </c>
      <c r="B153" s="9">
        <v>5.65</v>
      </c>
      <c r="C153" s="9">
        <v>5.22</v>
      </c>
      <c r="D153" s="9">
        <v>5.79</v>
      </c>
      <c r="E153" s="12">
        <v>4</v>
      </c>
      <c r="F153" s="12" t="e">
        <v>#N/A</v>
      </c>
      <c r="G153" s="12" t="e">
        <v>#N/A</v>
      </c>
      <c r="H153" s="9">
        <v>5.88</v>
      </c>
      <c r="I153" s="9">
        <v>5.46</v>
      </c>
    </row>
    <row r="154" spans="1:9" x14ac:dyDescent="0.35">
      <c r="A154" t="s">
        <v>610</v>
      </c>
      <c r="B154" s="9">
        <v>5.65</v>
      </c>
      <c r="C154" s="9">
        <v>5.35</v>
      </c>
      <c r="D154" s="9">
        <v>5.86</v>
      </c>
      <c r="E154" s="12">
        <v>4</v>
      </c>
      <c r="F154" s="12" t="e">
        <v>#N/A</v>
      </c>
      <c r="G154" s="12" t="e">
        <v>#N/A</v>
      </c>
      <c r="H154" s="9">
        <v>5.88</v>
      </c>
      <c r="I154" s="9">
        <v>5.42</v>
      </c>
    </row>
    <row r="155" spans="1:9" x14ac:dyDescent="0.35">
      <c r="A155" t="s">
        <v>611</v>
      </c>
      <c r="B155" s="9">
        <v>5.66</v>
      </c>
      <c r="C155" s="9">
        <v>5.43</v>
      </c>
      <c r="D155" s="9">
        <v>5.87</v>
      </c>
      <c r="E155" s="12">
        <v>4</v>
      </c>
      <c r="F155" s="12" t="e">
        <v>#N/A</v>
      </c>
      <c r="G155" s="12" t="e">
        <v>#N/A</v>
      </c>
      <c r="H155" s="9">
        <v>5.89</v>
      </c>
      <c r="I155" s="9">
        <v>5.44</v>
      </c>
    </row>
    <row r="156" spans="1:9" x14ac:dyDescent="0.35">
      <c r="A156" t="s">
        <v>612</v>
      </c>
      <c r="B156" s="9">
        <v>5.66</v>
      </c>
      <c r="C156" s="9">
        <v>5.41</v>
      </c>
      <c r="D156" s="9">
        <v>5.81</v>
      </c>
      <c r="E156" s="12">
        <v>4</v>
      </c>
      <c r="F156" s="12" t="e">
        <v>#N/A</v>
      </c>
      <c r="G156" s="12" t="e">
        <v>#N/A</v>
      </c>
      <c r="H156" s="9">
        <v>5.88</v>
      </c>
      <c r="I156" s="9">
        <v>5.45</v>
      </c>
    </row>
    <row r="157" spans="1:9" x14ac:dyDescent="0.35">
      <c r="A157" t="s">
        <v>613</v>
      </c>
      <c r="B157" s="9">
        <v>5.66</v>
      </c>
      <c r="C157" s="9">
        <v>5.3</v>
      </c>
      <c r="D157" s="9">
        <v>5.72</v>
      </c>
      <c r="E157" s="12">
        <v>4</v>
      </c>
      <c r="F157" s="12" t="e">
        <v>#N/A</v>
      </c>
      <c r="G157" s="12" t="e">
        <v>#N/A</v>
      </c>
      <c r="H157" s="9">
        <v>5.85</v>
      </c>
      <c r="I157" s="9">
        <v>5.32</v>
      </c>
    </row>
    <row r="158" spans="1:9" x14ac:dyDescent="0.35">
      <c r="A158" t="s">
        <v>614</v>
      </c>
      <c r="B158" s="9">
        <v>5.66</v>
      </c>
      <c r="C158" s="9">
        <v>4.59</v>
      </c>
      <c r="D158" s="9">
        <v>5.27</v>
      </c>
      <c r="E158" s="12">
        <v>4</v>
      </c>
      <c r="F158" s="12" t="e">
        <v>#N/A</v>
      </c>
      <c r="G158" s="12" t="e">
        <v>#N/A</v>
      </c>
      <c r="H158" s="9">
        <v>5.86</v>
      </c>
      <c r="I158" s="9">
        <v>5.32</v>
      </c>
    </row>
    <row r="159" spans="1:9" x14ac:dyDescent="0.35">
      <c r="A159" t="s">
        <v>615</v>
      </c>
      <c r="B159" s="9">
        <v>5.65</v>
      </c>
      <c r="C159" s="9">
        <v>4.5</v>
      </c>
      <c r="D159" s="9">
        <v>5.0599999999999996</v>
      </c>
      <c r="E159" s="12">
        <v>4</v>
      </c>
      <c r="F159" s="12" t="e">
        <v>#N/A</v>
      </c>
      <c r="G159" s="12" t="e">
        <v>#N/A</v>
      </c>
      <c r="H159" s="9">
        <v>5.86</v>
      </c>
      <c r="I159" s="9">
        <v>5.3</v>
      </c>
    </row>
    <row r="160" spans="1:9" x14ac:dyDescent="0.35">
      <c r="A160" t="s">
        <v>616</v>
      </c>
      <c r="B160" s="9">
        <v>5.66</v>
      </c>
      <c r="C160" s="9">
        <v>4.43</v>
      </c>
      <c r="D160" s="9">
        <v>4.9800000000000004</v>
      </c>
      <c r="E160" s="12">
        <v>4</v>
      </c>
      <c r="F160" s="12" t="e">
        <v>#N/A</v>
      </c>
      <c r="G160" s="12" t="e">
        <v>#N/A</v>
      </c>
      <c r="H160" s="9">
        <v>5.86</v>
      </c>
      <c r="I160" s="9">
        <v>5.31</v>
      </c>
    </row>
    <row r="161" spans="1:9" x14ac:dyDescent="0.35">
      <c r="A161" t="s">
        <v>617</v>
      </c>
      <c r="B161" s="9">
        <v>5.65</v>
      </c>
      <c r="C161" s="9">
        <v>4.45</v>
      </c>
      <c r="D161" s="9">
        <v>5.01</v>
      </c>
      <c r="E161" s="12">
        <v>4</v>
      </c>
      <c r="F161" s="12" t="e">
        <v>#N/A</v>
      </c>
      <c r="G161" s="12" t="e">
        <v>#N/A</v>
      </c>
      <c r="H161" s="9">
        <v>5.85</v>
      </c>
      <c r="I161" s="9">
        <v>5.3</v>
      </c>
    </row>
    <row r="162" spans="1:9" x14ac:dyDescent="0.35">
      <c r="A162" t="s">
        <v>618</v>
      </c>
      <c r="B162" s="9">
        <v>5.64</v>
      </c>
      <c r="C162" s="9">
        <v>4.62</v>
      </c>
      <c r="D162" s="9">
        <v>5.0999999999999996</v>
      </c>
      <c r="E162" s="12">
        <v>4</v>
      </c>
      <c r="F162" s="12" t="e">
        <v>#N/A</v>
      </c>
      <c r="G162" s="12" t="e">
        <v>#N/A</v>
      </c>
      <c r="H162" s="9">
        <v>5.87</v>
      </c>
      <c r="I162" s="9">
        <v>5.28</v>
      </c>
    </row>
    <row r="163" spans="1:9" x14ac:dyDescent="0.35">
      <c r="A163" t="s">
        <v>619</v>
      </c>
      <c r="B163" s="9">
        <v>5.64</v>
      </c>
      <c r="C163" s="9">
        <v>4.5</v>
      </c>
      <c r="D163" s="9">
        <v>4.99</v>
      </c>
      <c r="E163" s="12">
        <v>4</v>
      </c>
      <c r="F163" s="12" t="e">
        <v>#N/A</v>
      </c>
      <c r="G163" s="12" t="e">
        <v>#N/A</v>
      </c>
      <c r="H163" s="9">
        <v>5.83</v>
      </c>
      <c r="I163" s="9">
        <v>5.23</v>
      </c>
    </row>
    <row r="164" spans="1:9" x14ac:dyDescent="0.35">
      <c r="A164" t="s">
        <v>620</v>
      </c>
      <c r="B164" s="9">
        <v>5.63</v>
      </c>
      <c r="C164" s="9">
        <v>4.1399999999999997</v>
      </c>
      <c r="D164" s="9">
        <v>4.74</v>
      </c>
      <c r="E164" s="12">
        <v>3.7875000000000001</v>
      </c>
      <c r="F164" s="12" t="e">
        <v>#N/A</v>
      </c>
      <c r="G164" s="12" t="e">
        <v>#N/A</v>
      </c>
      <c r="H164" s="9">
        <v>5.7</v>
      </c>
      <c r="I164" s="9">
        <v>5.21</v>
      </c>
    </row>
    <row r="165" spans="1:9" x14ac:dyDescent="0.35">
      <c r="A165" t="s">
        <v>621</v>
      </c>
      <c r="B165" s="9">
        <v>5.49</v>
      </c>
      <c r="C165" s="9">
        <v>4.0599999999999996</v>
      </c>
      <c r="D165" s="9">
        <v>4.76</v>
      </c>
      <c r="E165" s="12">
        <v>3.75</v>
      </c>
      <c r="F165" s="12" t="e">
        <v>#N/A</v>
      </c>
      <c r="G165" s="12" t="e">
        <v>#N/A</v>
      </c>
      <c r="H165" s="9">
        <v>5.62</v>
      </c>
      <c r="I165" s="9">
        <v>5.08</v>
      </c>
    </row>
    <row r="166" spans="1:9" x14ac:dyDescent="0.35">
      <c r="A166" t="s">
        <v>622</v>
      </c>
      <c r="B166" s="9">
        <v>5.51</v>
      </c>
      <c r="C166" s="9">
        <v>4.0599999999999996</v>
      </c>
      <c r="D166" s="9">
        <v>4.75</v>
      </c>
      <c r="E166" s="12">
        <v>3.75</v>
      </c>
      <c r="F166" s="12" t="e">
        <v>#N/A</v>
      </c>
      <c r="G166" s="12" t="e">
        <v>#N/A</v>
      </c>
      <c r="H166" s="9">
        <v>5.65</v>
      </c>
      <c r="I166" s="9">
        <v>5.03</v>
      </c>
    </row>
    <row r="167" spans="1:9" x14ac:dyDescent="0.35">
      <c r="A167" t="s">
        <v>623</v>
      </c>
      <c r="B167" s="9">
        <v>5.5</v>
      </c>
      <c r="C167" s="9">
        <v>3.91</v>
      </c>
      <c r="D167" s="9">
        <v>4.6399999999999997</v>
      </c>
      <c r="E167" s="12">
        <v>3.75</v>
      </c>
      <c r="F167" s="12" t="e">
        <v>#N/A</v>
      </c>
      <c r="G167" s="12" t="e">
        <v>#N/A</v>
      </c>
      <c r="H167" s="9">
        <v>5.57</v>
      </c>
      <c r="I167" s="9">
        <v>5</v>
      </c>
    </row>
    <row r="168" spans="1:9" x14ac:dyDescent="0.35">
      <c r="A168" t="s">
        <v>624</v>
      </c>
      <c r="B168" s="9">
        <v>5.5</v>
      </c>
      <c r="C168" s="9">
        <v>3.85</v>
      </c>
      <c r="D168" s="9">
        <v>4.3600000000000003</v>
      </c>
      <c r="E168" s="12">
        <v>3.75</v>
      </c>
      <c r="F168" s="12" t="e">
        <v>#N/A</v>
      </c>
      <c r="G168" s="12" t="e">
        <v>#N/A</v>
      </c>
      <c r="H168" s="9">
        <v>5.6</v>
      </c>
      <c r="I168" s="9">
        <v>5</v>
      </c>
    </row>
    <row r="169" spans="1:9" x14ac:dyDescent="0.35">
      <c r="A169" t="s">
        <v>625</v>
      </c>
      <c r="B169" s="9">
        <v>5.5</v>
      </c>
      <c r="C169" s="9">
        <v>3.87</v>
      </c>
      <c r="D169" s="9">
        <v>4.4800000000000004</v>
      </c>
      <c r="E169" s="12">
        <v>3.5760869565217392</v>
      </c>
      <c r="F169" s="12" t="e">
        <v>#N/A</v>
      </c>
      <c r="G169" s="12" t="e">
        <v>#N/A</v>
      </c>
      <c r="H169" s="9">
        <v>5.52</v>
      </c>
      <c r="I169" s="9">
        <v>4.9400000000000004</v>
      </c>
    </row>
    <row r="170" spans="1:9" x14ac:dyDescent="0.35">
      <c r="A170" t="s">
        <v>626</v>
      </c>
      <c r="B170" s="9">
        <v>5.32</v>
      </c>
      <c r="C170" s="9">
        <v>4.32</v>
      </c>
      <c r="D170" s="9">
        <v>4.8099999999999996</v>
      </c>
      <c r="E170" s="12">
        <v>3.5</v>
      </c>
      <c r="F170" s="12" t="e">
        <v>#N/A</v>
      </c>
      <c r="G170" s="12" t="e">
        <v>#N/A</v>
      </c>
      <c r="H170" s="9">
        <v>5.43</v>
      </c>
      <c r="I170" s="9">
        <v>4.82</v>
      </c>
    </row>
    <row r="171" spans="1:9" x14ac:dyDescent="0.35">
      <c r="A171" t="s">
        <v>627</v>
      </c>
      <c r="B171" s="9">
        <v>5.31</v>
      </c>
      <c r="C171" s="9">
        <v>4.5599999999999996</v>
      </c>
      <c r="D171" s="9">
        <v>5.05</v>
      </c>
      <c r="E171" s="12">
        <v>3.5</v>
      </c>
      <c r="F171" s="12" t="e">
        <v>#N/A</v>
      </c>
      <c r="G171" s="12" t="e">
        <v>#N/A</v>
      </c>
      <c r="H171" s="9">
        <v>5.45</v>
      </c>
      <c r="I171" s="9">
        <v>4.79</v>
      </c>
    </row>
    <row r="172" spans="1:9" x14ac:dyDescent="0.35">
      <c r="A172" t="s">
        <v>628</v>
      </c>
      <c r="B172" s="9">
        <v>5.3</v>
      </c>
      <c r="C172" s="9">
        <v>4.9800000000000004</v>
      </c>
      <c r="D172" s="9">
        <v>5.41</v>
      </c>
      <c r="E172" s="12">
        <v>3.5</v>
      </c>
      <c r="F172" s="12" t="e">
        <v>#N/A</v>
      </c>
      <c r="G172" s="12" t="e">
        <v>#N/A</v>
      </c>
      <c r="H172" s="9">
        <v>5.48</v>
      </c>
      <c r="I172" s="9">
        <v>4.78</v>
      </c>
    </row>
    <row r="173" spans="1:9" x14ac:dyDescent="0.35">
      <c r="A173" t="s">
        <v>629</v>
      </c>
      <c r="B173" s="9">
        <v>5.32</v>
      </c>
      <c r="C173" s="9">
        <v>5.0999999999999996</v>
      </c>
      <c r="D173" s="9">
        <v>5.54</v>
      </c>
      <c r="E173" s="12">
        <v>3.7124999999999999</v>
      </c>
      <c r="F173" s="12" t="e">
        <v>#N/A</v>
      </c>
      <c r="G173" s="12" t="e">
        <v>#N/A</v>
      </c>
      <c r="H173" s="9">
        <v>5.58</v>
      </c>
      <c r="I173" s="9">
        <v>4.7699999999999996</v>
      </c>
    </row>
    <row r="174" spans="1:9" x14ac:dyDescent="0.35">
      <c r="A174" t="s">
        <v>630</v>
      </c>
      <c r="B174" s="9">
        <v>5.59</v>
      </c>
      <c r="C174" s="9">
        <v>5.05</v>
      </c>
      <c r="D174" s="9">
        <v>5.53</v>
      </c>
      <c r="E174" s="12">
        <v>3.75</v>
      </c>
      <c r="F174" s="12" t="e">
        <v>#N/A</v>
      </c>
      <c r="G174" s="12" t="e">
        <v>#N/A</v>
      </c>
      <c r="H174" s="9">
        <v>5.64</v>
      </c>
      <c r="I174" s="9">
        <v>4.87</v>
      </c>
    </row>
    <row r="175" spans="1:9" x14ac:dyDescent="0.35">
      <c r="A175" t="s">
        <v>631</v>
      </c>
      <c r="B175" s="9">
        <v>5.59</v>
      </c>
      <c r="C175" s="9">
        <v>4.95</v>
      </c>
      <c r="D175" s="9">
        <v>5.43</v>
      </c>
      <c r="E175" s="12">
        <v>3.75</v>
      </c>
      <c r="F175" s="12" t="e">
        <v>#N/A</v>
      </c>
      <c r="G175" s="12" t="e">
        <v>#N/A</v>
      </c>
      <c r="H175" s="9">
        <v>5.44</v>
      </c>
      <c r="I175" s="9">
        <v>4.9000000000000004</v>
      </c>
    </row>
    <row r="176" spans="1:9" x14ac:dyDescent="0.35">
      <c r="A176" t="s">
        <v>632</v>
      </c>
      <c r="B176" s="9">
        <v>5.59</v>
      </c>
      <c r="C176" s="9">
        <v>4.8899999999999997</v>
      </c>
      <c r="D176" s="9">
        <v>5.38</v>
      </c>
      <c r="E176" s="12">
        <v>3.9624999999999999</v>
      </c>
      <c r="F176" s="12" t="e">
        <v>#N/A</v>
      </c>
      <c r="G176" s="12" t="e">
        <v>#N/A</v>
      </c>
      <c r="H176" s="9">
        <v>5.61</v>
      </c>
      <c r="I176" s="9">
        <v>4.99</v>
      </c>
    </row>
    <row r="177" spans="1:9" x14ac:dyDescent="0.35">
      <c r="A177" t="s">
        <v>633</v>
      </c>
      <c r="B177" s="9">
        <v>5.81</v>
      </c>
      <c r="C177" s="9">
        <v>4.9000000000000004</v>
      </c>
      <c r="D177" s="9">
        <v>5.39</v>
      </c>
      <c r="E177" s="12">
        <v>4</v>
      </c>
      <c r="F177" s="12" t="e">
        <v>#N/A</v>
      </c>
      <c r="G177" s="12" t="e">
        <v>#N/A</v>
      </c>
      <c r="H177" s="9">
        <v>5.77</v>
      </c>
      <c r="I177" s="9">
        <v>5.0599999999999996</v>
      </c>
    </row>
    <row r="178" spans="1:9" x14ac:dyDescent="0.35">
      <c r="A178" t="s">
        <v>634</v>
      </c>
      <c r="B178" s="9">
        <v>5.81</v>
      </c>
      <c r="C178" s="9">
        <v>5.1100000000000003</v>
      </c>
      <c r="D178" s="9">
        <v>5.52</v>
      </c>
      <c r="E178" s="12">
        <v>4</v>
      </c>
      <c r="F178" s="12" t="e">
        <v>#N/A</v>
      </c>
      <c r="G178" s="12" t="e">
        <v>#N/A</v>
      </c>
      <c r="H178" s="9">
        <v>5.78</v>
      </c>
      <c r="I178" s="9">
        <v>5.03</v>
      </c>
    </row>
    <row r="179" spans="1:9" x14ac:dyDescent="0.35">
      <c r="A179" t="s">
        <v>635</v>
      </c>
      <c r="B179" s="9">
        <v>5.82</v>
      </c>
      <c r="C179" s="9">
        <v>5.18</v>
      </c>
      <c r="D179" s="9">
        <v>5.57</v>
      </c>
      <c r="E179" s="12">
        <v>4.2142857142857144</v>
      </c>
      <c r="F179" s="12" t="e">
        <v>#N/A</v>
      </c>
      <c r="G179" s="12" t="e">
        <v>#N/A</v>
      </c>
      <c r="H179" s="9">
        <v>5.92</v>
      </c>
      <c r="I179" s="9">
        <v>5.0599999999999996</v>
      </c>
    </row>
    <row r="180" spans="1:9" x14ac:dyDescent="0.35">
      <c r="A180" t="s">
        <v>636</v>
      </c>
      <c r="B180" s="9">
        <v>6.08</v>
      </c>
      <c r="C180" s="9">
        <v>5.52</v>
      </c>
      <c r="D180" s="9">
        <v>5.87</v>
      </c>
      <c r="E180" s="12">
        <v>4.4204545454545459</v>
      </c>
      <c r="F180" s="12" t="e">
        <v>#N/A</v>
      </c>
      <c r="G180" s="12" t="e">
        <v>#N/A</v>
      </c>
      <c r="H180" s="9">
        <v>5.97</v>
      </c>
      <c r="I180" s="9">
        <v>5.22</v>
      </c>
    </row>
    <row r="181" spans="1:9" x14ac:dyDescent="0.35">
      <c r="A181" t="s">
        <v>637</v>
      </c>
      <c r="B181" s="9">
        <v>6.32</v>
      </c>
      <c r="C181" s="9">
        <v>5.53</v>
      </c>
      <c r="D181" s="9">
        <v>5.88</v>
      </c>
      <c r="E181" s="12">
        <v>4.5</v>
      </c>
      <c r="F181" s="12" t="e">
        <v>#N/A</v>
      </c>
      <c r="G181" s="12" t="e">
        <v>#N/A</v>
      </c>
      <c r="H181" s="9">
        <v>6.22</v>
      </c>
      <c r="I181" s="9">
        <v>5.39</v>
      </c>
    </row>
    <row r="182" spans="1:9" x14ac:dyDescent="0.35">
      <c r="A182" t="s">
        <v>638</v>
      </c>
      <c r="B182" s="9">
        <v>6.32</v>
      </c>
      <c r="C182" s="9">
        <v>5.47</v>
      </c>
      <c r="D182" s="9">
        <v>5.84</v>
      </c>
      <c r="E182" s="12">
        <v>4.7159090909090908</v>
      </c>
      <c r="F182" s="12" t="e">
        <v>#N/A</v>
      </c>
      <c r="G182" s="12" t="e">
        <v>#N/A</v>
      </c>
      <c r="H182" s="9">
        <v>6.34</v>
      </c>
      <c r="I182" s="9">
        <v>5.43</v>
      </c>
    </row>
    <row r="183" spans="1:9" x14ac:dyDescent="0.35">
      <c r="A183" t="s">
        <v>639</v>
      </c>
      <c r="B183" s="9">
        <v>6.59</v>
      </c>
      <c r="C183" s="9">
        <v>5.33</v>
      </c>
      <c r="D183" s="9">
        <v>5.79</v>
      </c>
      <c r="E183" s="12">
        <v>4.75</v>
      </c>
      <c r="F183" s="12" t="e">
        <v>#N/A</v>
      </c>
      <c r="G183" s="12" t="e">
        <v>#N/A</v>
      </c>
      <c r="H183" s="9">
        <v>6.4</v>
      </c>
      <c r="I183" s="9">
        <v>5.57</v>
      </c>
    </row>
    <row r="184" spans="1:9" x14ac:dyDescent="0.35">
      <c r="A184" t="s">
        <v>640</v>
      </c>
      <c r="B184" s="9">
        <v>6.61</v>
      </c>
      <c r="C184" s="9">
        <v>5.29</v>
      </c>
      <c r="D184" s="9">
        <v>5.68</v>
      </c>
      <c r="E184" s="12">
        <v>4.75</v>
      </c>
      <c r="F184" s="12" t="e">
        <v>#N/A</v>
      </c>
      <c r="G184" s="12" t="e">
        <v>#N/A</v>
      </c>
      <c r="H184" s="9">
        <v>6.25</v>
      </c>
      <c r="I184" s="9">
        <v>5.57</v>
      </c>
    </row>
    <row r="185" spans="1:9" x14ac:dyDescent="0.35">
      <c r="A185" t="s">
        <v>641</v>
      </c>
      <c r="B185" s="9">
        <v>6.6</v>
      </c>
      <c r="C185" s="9">
        <v>5.0599999999999996</v>
      </c>
      <c r="D185" s="9">
        <v>5.49</v>
      </c>
      <c r="E185" s="12">
        <v>4.75</v>
      </c>
      <c r="F185" s="12" t="e">
        <v>#N/A</v>
      </c>
      <c r="G185" s="12" t="e">
        <v>#N/A</v>
      </c>
      <c r="H185" s="9">
        <v>6.24</v>
      </c>
      <c r="I185" s="9">
        <v>5.58</v>
      </c>
    </row>
    <row r="186" spans="1:9" x14ac:dyDescent="0.35">
      <c r="A186" t="s">
        <v>642</v>
      </c>
      <c r="B186" s="9">
        <v>6.6</v>
      </c>
      <c r="C186" s="9">
        <v>5.07</v>
      </c>
      <c r="D186" s="9">
        <v>5.37</v>
      </c>
      <c r="E186" s="12">
        <v>4.75</v>
      </c>
      <c r="F186" s="12" t="e">
        <v>#N/A</v>
      </c>
      <c r="G186" s="12" t="e">
        <v>#N/A</v>
      </c>
      <c r="H186" s="9">
        <v>6.28</v>
      </c>
      <c r="I186" s="9">
        <v>5.57</v>
      </c>
    </row>
    <row r="187" spans="1:9" x14ac:dyDescent="0.35">
      <c r="A187" t="s">
        <v>643</v>
      </c>
      <c r="B187" s="9">
        <v>6.61</v>
      </c>
      <c r="C187" s="9">
        <v>4.99</v>
      </c>
      <c r="D187" s="9">
        <v>5.2</v>
      </c>
      <c r="E187" s="12">
        <v>4.75</v>
      </c>
      <c r="F187" s="12" t="e">
        <v>#N/A</v>
      </c>
      <c r="G187" s="12" t="e">
        <v>#N/A</v>
      </c>
      <c r="H187" s="9">
        <v>6.26</v>
      </c>
      <c r="I187" s="9">
        <v>5.54</v>
      </c>
    </row>
    <row r="188" spans="1:9" x14ac:dyDescent="0.35">
      <c r="A188" t="s">
        <v>644</v>
      </c>
      <c r="B188" s="9">
        <v>6.61</v>
      </c>
      <c r="C188" s="9">
        <v>5.07</v>
      </c>
      <c r="D188" s="9">
        <v>5.25</v>
      </c>
      <c r="E188" s="12">
        <v>4.75</v>
      </c>
      <c r="F188" s="12" t="e">
        <v>#N/A</v>
      </c>
      <c r="G188" s="12" t="e">
        <v>#N/A</v>
      </c>
      <c r="H188" s="9">
        <v>6.2</v>
      </c>
      <c r="I188" s="9">
        <v>5.53</v>
      </c>
    </row>
    <row r="189" spans="1:9" x14ac:dyDescent="0.35">
      <c r="A189" t="s">
        <v>645</v>
      </c>
      <c r="B189" s="9">
        <v>6.61</v>
      </c>
      <c r="C189" s="9">
        <v>5.2</v>
      </c>
      <c r="D189" s="9">
        <v>5.28</v>
      </c>
      <c r="E189" s="12">
        <v>4.75</v>
      </c>
      <c r="F189" s="12" t="e">
        <v>#N/A</v>
      </c>
      <c r="G189" s="12" t="e">
        <v>#N/A</v>
      </c>
      <c r="H189" s="9">
        <v>6.27</v>
      </c>
      <c r="I189" s="9">
        <v>5.52</v>
      </c>
    </row>
    <row r="190" spans="1:9" x14ac:dyDescent="0.35">
      <c r="A190" t="s">
        <v>646</v>
      </c>
      <c r="B190" s="9">
        <v>6.62</v>
      </c>
      <c r="C190" s="9">
        <v>5.16</v>
      </c>
      <c r="D190" s="9">
        <v>5.23</v>
      </c>
      <c r="E190" s="12">
        <v>4.75</v>
      </c>
      <c r="F190" s="12" t="e">
        <v>#N/A</v>
      </c>
      <c r="G190" s="12" t="e">
        <v>#N/A</v>
      </c>
      <c r="H190" s="9">
        <v>6.29</v>
      </c>
      <c r="I190" s="9">
        <v>5.5</v>
      </c>
    </row>
    <row r="191" spans="1:9" x14ac:dyDescent="0.35">
      <c r="A191" t="s">
        <v>647</v>
      </c>
      <c r="B191" s="9">
        <v>6.62</v>
      </c>
      <c r="C191" s="9">
        <v>4.91</v>
      </c>
      <c r="D191" s="9">
        <v>5.05</v>
      </c>
      <c r="E191" s="12">
        <v>4.75</v>
      </c>
      <c r="F191" s="12" t="e">
        <v>#N/A</v>
      </c>
      <c r="G191" s="12" t="e">
        <v>#N/A</v>
      </c>
      <c r="H191" s="9">
        <v>6.28</v>
      </c>
      <c r="I191" s="9">
        <v>5.49</v>
      </c>
    </row>
    <row r="192" spans="1:9" x14ac:dyDescent="0.35">
      <c r="A192" t="s">
        <v>648</v>
      </c>
      <c r="B192" s="9">
        <v>6.62</v>
      </c>
      <c r="C192" s="9">
        <v>4.7699999999999996</v>
      </c>
      <c r="D192" s="9">
        <v>4.92</v>
      </c>
      <c r="E192" s="12">
        <v>4.75</v>
      </c>
      <c r="F192" s="12" t="e">
        <v>#N/A</v>
      </c>
      <c r="G192" s="12" t="e">
        <v>#N/A</v>
      </c>
      <c r="H192" s="9">
        <v>6.24</v>
      </c>
      <c r="I192" s="9">
        <v>5.52</v>
      </c>
    </row>
    <row r="193" spans="1:9" x14ac:dyDescent="0.35">
      <c r="A193" t="s">
        <v>649</v>
      </c>
      <c r="B193" s="9">
        <v>6.61</v>
      </c>
      <c r="C193" s="9">
        <v>4.59</v>
      </c>
      <c r="D193" s="9">
        <v>4.84</v>
      </c>
      <c r="E193" s="12">
        <v>4.75</v>
      </c>
      <c r="F193" s="12" t="e">
        <v>#N/A</v>
      </c>
      <c r="G193" s="12" t="e">
        <v>#N/A</v>
      </c>
      <c r="H193" s="9">
        <v>6.18</v>
      </c>
      <c r="I193" s="9">
        <v>5.53</v>
      </c>
    </row>
    <row r="194" spans="1:9" x14ac:dyDescent="0.35">
      <c r="A194" t="s">
        <v>650</v>
      </c>
      <c r="B194" s="9">
        <v>6.58</v>
      </c>
      <c r="C194" s="9">
        <v>4.5599999999999996</v>
      </c>
      <c r="D194" s="9">
        <v>4.8499999999999996</v>
      </c>
      <c r="E194" s="12">
        <v>4.5326086956521738</v>
      </c>
      <c r="F194" s="12" t="e">
        <v>#N/A</v>
      </c>
      <c r="G194" s="12" t="e">
        <v>#N/A</v>
      </c>
      <c r="H194" s="9">
        <v>6.07</v>
      </c>
      <c r="I194" s="9">
        <v>5.52</v>
      </c>
    </row>
    <row r="195" spans="1:9" x14ac:dyDescent="0.35">
      <c r="A195" t="s">
        <v>651</v>
      </c>
      <c r="B195" s="9">
        <v>6.4</v>
      </c>
      <c r="C195" s="9">
        <v>4.5199999999999996</v>
      </c>
      <c r="D195" s="9">
        <v>4.82</v>
      </c>
      <c r="E195" s="12">
        <v>4.5</v>
      </c>
      <c r="F195" s="12" t="e">
        <v>#N/A</v>
      </c>
      <c r="G195" s="12" t="e">
        <v>#N/A</v>
      </c>
      <c r="H195" s="9">
        <v>6.01</v>
      </c>
      <c r="I195" s="9">
        <v>5.38</v>
      </c>
    </row>
    <row r="196" spans="1:9" x14ac:dyDescent="0.35">
      <c r="A196" t="s">
        <v>652</v>
      </c>
      <c r="B196" s="9">
        <v>6.35</v>
      </c>
      <c r="C196" s="9">
        <v>4.54</v>
      </c>
      <c r="D196" s="9">
        <v>4.8499999999999996</v>
      </c>
      <c r="E196" s="12">
        <v>4.5</v>
      </c>
      <c r="F196" s="12" t="e">
        <v>#N/A</v>
      </c>
      <c r="G196" s="12" t="e">
        <v>#N/A</v>
      </c>
      <c r="H196" s="9">
        <v>5.96</v>
      </c>
      <c r="I196" s="9">
        <v>5.36</v>
      </c>
    </row>
    <row r="197" spans="1:9" x14ac:dyDescent="0.35">
      <c r="A197" t="s">
        <v>653</v>
      </c>
      <c r="B197" s="9">
        <v>6.35</v>
      </c>
      <c r="C197" s="9">
        <v>4.74</v>
      </c>
      <c r="D197" s="9">
        <v>4.9800000000000004</v>
      </c>
      <c r="E197" s="12">
        <v>4.5</v>
      </c>
      <c r="F197" s="12" t="e">
        <v>#N/A</v>
      </c>
      <c r="G197" s="12" t="e">
        <v>#N/A</v>
      </c>
      <c r="H197" s="9">
        <v>5.96</v>
      </c>
      <c r="I197" s="9">
        <v>5.36</v>
      </c>
    </row>
    <row r="198" spans="1:9" x14ac:dyDescent="0.35">
      <c r="A198" t="s">
        <v>654</v>
      </c>
      <c r="B198" s="9">
        <v>6.35</v>
      </c>
      <c r="C198" s="9">
        <v>4.74</v>
      </c>
      <c r="D198" s="9">
        <v>5</v>
      </c>
      <c r="E198" s="12">
        <v>4.5</v>
      </c>
      <c r="F198" s="12" t="e">
        <v>#N/A</v>
      </c>
      <c r="G198" s="12" t="e">
        <v>#N/A</v>
      </c>
      <c r="H198" s="9">
        <v>6.1</v>
      </c>
      <c r="I198" s="9">
        <v>5.33</v>
      </c>
    </row>
    <row r="199" spans="1:9" x14ac:dyDescent="0.35">
      <c r="A199" t="s">
        <v>655</v>
      </c>
      <c r="B199" s="9">
        <v>6.36</v>
      </c>
      <c r="C199" s="9">
        <v>4.62</v>
      </c>
      <c r="D199" s="9">
        <v>4.92</v>
      </c>
      <c r="E199" s="12">
        <v>4.5</v>
      </c>
      <c r="F199" s="12" t="e">
        <v>#N/A</v>
      </c>
      <c r="G199" s="12" t="e">
        <v>#N/A</v>
      </c>
      <c r="H199" s="9">
        <v>6.11</v>
      </c>
      <c r="I199" s="9">
        <v>5.33</v>
      </c>
    </row>
    <row r="200" spans="1:9" x14ac:dyDescent="0.35">
      <c r="A200" t="s">
        <v>656</v>
      </c>
      <c r="B200" s="9">
        <v>6.37</v>
      </c>
      <c r="C200" s="9">
        <v>4.71</v>
      </c>
      <c r="D200" s="9">
        <v>4.93</v>
      </c>
      <c r="E200" s="12">
        <v>4.5</v>
      </c>
      <c r="F200" s="12" t="e">
        <v>#N/A</v>
      </c>
      <c r="G200" s="12" t="e">
        <v>#N/A</v>
      </c>
      <c r="H200" s="9">
        <v>6.09</v>
      </c>
      <c r="I200" s="9">
        <v>5.34</v>
      </c>
    </row>
    <row r="201" spans="1:9" x14ac:dyDescent="0.35">
      <c r="A201" t="s">
        <v>657</v>
      </c>
      <c r="B201" s="9">
        <v>6.41</v>
      </c>
      <c r="C201" s="9">
        <v>4.72</v>
      </c>
      <c r="D201" s="9">
        <v>4.9800000000000004</v>
      </c>
      <c r="E201" s="12">
        <v>4.5</v>
      </c>
      <c r="F201" s="12" t="e">
        <v>#N/A</v>
      </c>
      <c r="G201" s="12" t="e">
        <v>#N/A</v>
      </c>
      <c r="H201" s="9">
        <v>6.06</v>
      </c>
      <c r="I201" s="9">
        <v>5.31</v>
      </c>
    </row>
    <row r="202" spans="1:9" x14ac:dyDescent="0.35">
      <c r="A202" t="s">
        <v>658</v>
      </c>
      <c r="B202" s="9">
        <v>6.41</v>
      </c>
      <c r="C202" s="9">
        <v>4.7699999999999996</v>
      </c>
      <c r="D202" s="9">
        <v>5.09</v>
      </c>
      <c r="E202" s="12">
        <v>4.5</v>
      </c>
      <c r="F202" s="12" t="e">
        <v>#N/A</v>
      </c>
      <c r="G202" s="12" t="e">
        <v>#N/A</v>
      </c>
      <c r="H202" s="9">
        <v>6.08</v>
      </c>
      <c r="I202" s="9">
        <v>5.32</v>
      </c>
    </row>
    <row r="203" spans="1:9" x14ac:dyDescent="0.35">
      <c r="A203" t="s">
        <v>659</v>
      </c>
      <c r="B203" s="9">
        <v>6.4</v>
      </c>
      <c r="C203" s="9">
        <v>5</v>
      </c>
      <c r="D203" s="9">
        <v>5.36</v>
      </c>
      <c r="E203" s="12">
        <v>4.5</v>
      </c>
      <c r="F203" s="12" t="e">
        <v>#N/A</v>
      </c>
      <c r="G203" s="12" t="e">
        <v>#N/A</v>
      </c>
      <c r="H203" s="9">
        <v>6.09</v>
      </c>
      <c r="I203" s="9">
        <v>5.31</v>
      </c>
    </row>
    <row r="204" spans="1:9" x14ac:dyDescent="0.35">
      <c r="A204" t="s">
        <v>660</v>
      </c>
      <c r="B204" s="9">
        <v>6.4</v>
      </c>
      <c r="C204" s="9">
        <v>5</v>
      </c>
      <c r="D204" s="9">
        <v>5.34</v>
      </c>
      <c r="E204" s="12">
        <v>4.5</v>
      </c>
      <c r="F204" s="12" t="e">
        <v>#N/A</v>
      </c>
      <c r="G204" s="12" t="e">
        <v>#N/A</v>
      </c>
      <c r="H204" s="9">
        <v>6.09</v>
      </c>
      <c r="I204" s="9">
        <v>5.3</v>
      </c>
    </row>
    <row r="205" spans="1:9" x14ac:dyDescent="0.35">
      <c r="A205" t="s">
        <v>661</v>
      </c>
      <c r="B205" s="9">
        <v>6.4</v>
      </c>
      <c r="C205" s="9">
        <v>5.01</v>
      </c>
      <c r="D205" s="9">
        <v>5.31</v>
      </c>
      <c r="E205" s="12">
        <v>4.5</v>
      </c>
      <c r="F205" s="12" t="e">
        <v>#N/A</v>
      </c>
      <c r="G205" s="12" t="e">
        <v>#N/A</v>
      </c>
      <c r="H205" s="9">
        <v>6.14</v>
      </c>
      <c r="I205" s="9">
        <v>5.29</v>
      </c>
    </row>
    <row r="206" spans="1:9" x14ac:dyDescent="0.35">
      <c r="A206" t="s">
        <v>662</v>
      </c>
      <c r="B206" s="9">
        <v>6.4</v>
      </c>
      <c r="C206" s="9">
        <v>5.0999999999999996</v>
      </c>
      <c r="D206" s="9">
        <v>5.4</v>
      </c>
      <c r="E206" s="12">
        <v>4.7282608695652177</v>
      </c>
      <c r="F206" s="12" t="e">
        <v>#N/A</v>
      </c>
      <c r="G206" s="12" t="e">
        <v>#N/A</v>
      </c>
      <c r="H206" s="9">
        <v>6.26</v>
      </c>
      <c r="I206" s="9">
        <v>5.29</v>
      </c>
    </row>
    <row r="207" spans="1:9" x14ac:dyDescent="0.35">
      <c r="A207" t="s">
        <v>663</v>
      </c>
      <c r="B207" s="9">
        <v>6.65</v>
      </c>
      <c r="C207" s="9">
        <v>5.0999999999999996</v>
      </c>
      <c r="D207" s="9">
        <v>5.39</v>
      </c>
      <c r="E207" s="12">
        <v>4.75</v>
      </c>
      <c r="F207" s="12" t="e">
        <v>#N/A</v>
      </c>
      <c r="G207" s="12" t="e">
        <v>#N/A</v>
      </c>
      <c r="H207" s="9">
        <v>6.29</v>
      </c>
      <c r="I207" s="9">
        <v>5.41</v>
      </c>
    </row>
    <row r="208" spans="1:9" x14ac:dyDescent="0.35">
      <c r="A208" t="s">
        <v>664</v>
      </c>
      <c r="B208" s="9">
        <v>6.68</v>
      </c>
      <c r="C208" s="9">
        <v>4.99</v>
      </c>
      <c r="D208" s="9">
        <v>5.36</v>
      </c>
      <c r="E208" s="12">
        <v>4.75</v>
      </c>
      <c r="F208" s="12" t="e">
        <v>#N/A</v>
      </c>
      <c r="G208" s="12" t="e">
        <v>#N/A</v>
      </c>
      <c r="H208" s="9">
        <v>6.35</v>
      </c>
      <c r="I208" s="9">
        <v>5.4</v>
      </c>
    </row>
    <row r="209" spans="1:9" x14ac:dyDescent="0.35">
      <c r="A209" t="s">
        <v>665</v>
      </c>
      <c r="B209" s="9">
        <v>6.7</v>
      </c>
      <c r="C209" s="9">
        <v>5.2</v>
      </c>
      <c r="D209" s="9">
        <v>5.48</v>
      </c>
      <c r="E209" s="12">
        <v>4.9318181818181817</v>
      </c>
      <c r="F209" s="12" t="e">
        <v>#N/A</v>
      </c>
      <c r="G209" s="12" t="e">
        <v>#N/A</v>
      </c>
      <c r="H209" s="9">
        <v>6.48</v>
      </c>
      <c r="I209" s="9">
        <v>5.42</v>
      </c>
    </row>
    <row r="210" spans="1:9" x14ac:dyDescent="0.35">
      <c r="A210" t="s">
        <v>666</v>
      </c>
      <c r="B210" s="9">
        <v>6.98</v>
      </c>
      <c r="C210" s="9">
        <v>5.15</v>
      </c>
      <c r="D210" s="9">
        <v>5.49</v>
      </c>
      <c r="E210" s="12">
        <v>5</v>
      </c>
      <c r="F210" s="12" t="e">
        <v>#N/A</v>
      </c>
      <c r="G210" s="12" t="e">
        <v>#N/A</v>
      </c>
      <c r="H210" s="9">
        <v>6.55</v>
      </c>
      <c r="I210" s="9">
        <v>5.53</v>
      </c>
    </row>
    <row r="211" spans="1:9" x14ac:dyDescent="0.35">
      <c r="A211" t="s">
        <v>667</v>
      </c>
      <c r="B211" s="9">
        <v>7.01</v>
      </c>
      <c r="C211" s="9">
        <v>5.32</v>
      </c>
      <c r="D211" s="9">
        <v>5.61</v>
      </c>
      <c r="E211" s="12">
        <v>5.1630434782608692</v>
      </c>
      <c r="F211" s="12" t="e">
        <v>#N/A</v>
      </c>
      <c r="G211" s="12" t="e">
        <v>#N/A</v>
      </c>
      <c r="H211" s="9">
        <v>6.6</v>
      </c>
      <c r="I211" s="9">
        <v>5.54</v>
      </c>
    </row>
    <row r="212" spans="1:9" x14ac:dyDescent="0.35">
      <c r="A212" t="s">
        <v>668</v>
      </c>
      <c r="B212" s="9">
        <v>7.2</v>
      </c>
      <c r="C212" s="9">
        <v>5.46</v>
      </c>
      <c r="D212" s="9">
        <v>5.73</v>
      </c>
      <c r="E212" s="12">
        <v>5.25</v>
      </c>
      <c r="F212" s="12" t="e">
        <v>#N/A</v>
      </c>
      <c r="G212" s="12" t="e">
        <v>#N/A</v>
      </c>
      <c r="H212" s="9">
        <v>6.7</v>
      </c>
      <c r="I212" s="9">
        <v>5.66</v>
      </c>
    </row>
    <row r="213" spans="1:9" x14ac:dyDescent="0.35">
      <c r="A213" t="s">
        <v>669</v>
      </c>
      <c r="B213" s="9">
        <v>7.19</v>
      </c>
      <c r="C213" s="9">
        <v>5.55</v>
      </c>
      <c r="D213" s="9">
        <v>5.73</v>
      </c>
      <c r="E213" s="12">
        <v>5.25</v>
      </c>
      <c r="F213" s="12" t="e">
        <v>#N/A</v>
      </c>
      <c r="G213" s="12" t="e">
        <v>#N/A</v>
      </c>
      <c r="H213" s="9">
        <v>6.68</v>
      </c>
      <c r="I213" s="9">
        <v>5.67</v>
      </c>
    </row>
    <row r="214" spans="1:9" x14ac:dyDescent="0.35">
      <c r="A214" t="s">
        <v>670</v>
      </c>
      <c r="B214" s="9">
        <v>7.22</v>
      </c>
      <c r="C214" s="9">
        <v>5.62</v>
      </c>
      <c r="D214" s="9">
        <v>5.9</v>
      </c>
      <c r="E214" s="12">
        <v>5.25</v>
      </c>
      <c r="F214" s="12" t="e">
        <v>#N/A</v>
      </c>
      <c r="G214" s="12" t="e">
        <v>#N/A</v>
      </c>
      <c r="H214" s="9">
        <v>6.8</v>
      </c>
      <c r="I214" s="9">
        <v>5.65</v>
      </c>
    </row>
    <row r="215" spans="1:9" x14ac:dyDescent="0.35">
      <c r="A215" t="s">
        <v>671</v>
      </c>
      <c r="B215" s="9">
        <v>7.23</v>
      </c>
      <c r="C215" s="9">
        <v>5.7</v>
      </c>
      <c r="D215" s="9">
        <v>5.82</v>
      </c>
      <c r="E215" s="12">
        <v>5.4239130434782608</v>
      </c>
      <c r="F215" s="12" t="e">
        <v>#N/A</v>
      </c>
      <c r="G215" s="12" t="e">
        <v>#N/A</v>
      </c>
      <c r="H215" s="9">
        <v>6.83</v>
      </c>
      <c r="I215" s="9">
        <v>5.66</v>
      </c>
    </row>
    <row r="216" spans="1:9" x14ac:dyDescent="0.35">
      <c r="A216" t="s">
        <v>672</v>
      </c>
      <c r="B216" s="9">
        <v>7.46</v>
      </c>
      <c r="C216" s="9">
        <v>5.98</v>
      </c>
      <c r="D216" s="9">
        <v>6.1</v>
      </c>
      <c r="E216" s="12">
        <v>5.5</v>
      </c>
      <c r="F216" s="12" t="e">
        <v>#N/A</v>
      </c>
      <c r="G216" s="12" t="e">
        <v>#N/A</v>
      </c>
      <c r="H216" s="9">
        <v>6.88</v>
      </c>
      <c r="I216" s="9">
        <v>5.8</v>
      </c>
    </row>
    <row r="217" spans="1:9" x14ac:dyDescent="0.35">
      <c r="A217" t="s">
        <v>673</v>
      </c>
      <c r="B217" s="9">
        <v>7.44</v>
      </c>
      <c r="C217" s="9">
        <v>6.07</v>
      </c>
      <c r="D217" s="9">
        <v>6.33</v>
      </c>
      <c r="E217" s="12">
        <v>5.7159090909090908</v>
      </c>
      <c r="F217" s="12" t="e">
        <v>#N/A</v>
      </c>
      <c r="G217" s="12" t="e">
        <v>#N/A</v>
      </c>
      <c r="H217" s="9">
        <v>7.08</v>
      </c>
      <c r="I217" s="9">
        <v>5.82</v>
      </c>
    </row>
    <row r="218" spans="1:9" x14ac:dyDescent="0.35">
      <c r="A218" t="s">
        <v>674</v>
      </c>
      <c r="B218" s="9">
        <v>7.69</v>
      </c>
      <c r="C218" s="9">
        <v>6.11</v>
      </c>
      <c r="D218" s="9">
        <v>6.28</v>
      </c>
      <c r="E218" s="12">
        <v>5.75</v>
      </c>
      <c r="F218" s="12" t="e">
        <v>#N/A</v>
      </c>
      <c r="G218" s="12" t="e">
        <v>#N/A</v>
      </c>
      <c r="H218" s="9">
        <v>7.15</v>
      </c>
      <c r="I218" s="9">
        <v>5.91</v>
      </c>
    </row>
    <row r="219" spans="1:9" x14ac:dyDescent="0.35">
      <c r="A219" t="s">
        <v>675</v>
      </c>
      <c r="B219" s="9">
        <v>7.74</v>
      </c>
      <c r="C219" s="9">
        <v>6.05</v>
      </c>
      <c r="D219" s="9">
        <v>6.19</v>
      </c>
      <c r="E219" s="12">
        <v>5.75</v>
      </c>
      <c r="F219" s="12" t="e">
        <v>#N/A</v>
      </c>
      <c r="G219" s="12" t="e">
        <v>#N/A</v>
      </c>
      <c r="H219" s="9">
        <v>7.31</v>
      </c>
      <c r="I219" s="9">
        <v>5.92</v>
      </c>
    </row>
    <row r="220" spans="1:9" x14ac:dyDescent="0.35">
      <c r="A220" t="s">
        <v>676</v>
      </c>
      <c r="B220" s="9">
        <v>7.74</v>
      </c>
      <c r="C220" s="9">
        <v>6.11</v>
      </c>
      <c r="D220" s="9">
        <v>6.23</v>
      </c>
      <c r="E220" s="12">
        <v>5.75</v>
      </c>
      <c r="F220" s="12" t="e">
        <v>#N/A</v>
      </c>
      <c r="G220" s="12" t="e">
        <v>#N/A</v>
      </c>
      <c r="H220" s="9">
        <v>7.29</v>
      </c>
      <c r="I220" s="9">
        <v>5.94</v>
      </c>
    </row>
    <row r="221" spans="1:9" x14ac:dyDescent="0.35">
      <c r="A221" t="s">
        <v>677</v>
      </c>
      <c r="B221" s="9">
        <v>7.72</v>
      </c>
      <c r="C221" s="9">
        <v>6.09</v>
      </c>
      <c r="D221" s="9">
        <v>6.02</v>
      </c>
      <c r="E221" s="12">
        <v>5.75</v>
      </c>
      <c r="F221" s="12" t="e">
        <v>#N/A</v>
      </c>
      <c r="G221" s="12" t="e">
        <v>#N/A</v>
      </c>
      <c r="H221" s="9">
        <v>7.29</v>
      </c>
      <c r="I221" s="9">
        <v>5.94</v>
      </c>
    </row>
    <row r="222" spans="1:9" x14ac:dyDescent="0.35">
      <c r="A222" t="s">
        <v>678</v>
      </c>
      <c r="B222" s="9">
        <v>7.68</v>
      </c>
      <c r="C222" s="9">
        <v>6.06</v>
      </c>
      <c r="D222" s="9">
        <v>5.97</v>
      </c>
      <c r="E222" s="12">
        <v>5.5357142857142856</v>
      </c>
      <c r="F222" s="12" t="e">
        <v>#N/A</v>
      </c>
      <c r="G222" s="12" t="e">
        <v>#N/A</v>
      </c>
      <c r="H222" s="9">
        <v>7.25</v>
      </c>
      <c r="I222" s="9">
        <v>5.97</v>
      </c>
    </row>
    <row r="223" spans="1:9" x14ac:dyDescent="0.35">
      <c r="A223" t="s">
        <v>679</v>
      </c>
      <c r="B223" s="9">
        <v>7.51</v>
      </c>
      <c r="C223" s="9">
        <v>5.97</v>
      </c>
      <c r="D223" s="9">
        <v>5.91</v>
      </c>
      <c r="E223" s="12">
        <v>5.5</v>
      </c>
      <c r="F223" s="12" t="e">
        <v>#N/A</v>
      </c>
      <c r="G223" s="12" t="e">
        <v>#N/A</v>
      </c>
      <c r="H223" s="9">
        <v>7.15</v>
      </c>
      <c r="I223" s="9">
        <v>5.88</v>
      </c>
    </row>
    <row r="224" spans="1:9" x14ac:dyDescent="0.35">
      <c r="A224" t="s">
        <v>680</v>
      </c>
      <c r="B224" s="9">
        <v>7.5</v>
      </c>
      <c r="C224" s="9">
        <v>5.74</v>
      </c>
      <c r="D224" s="9">
        <v>5.68</v>
      </c>
      <c r="E224" s="12">
        <v>5.2976190476190474</v>
      </c>
      <c r="F224" s="12" t="e">
        <v>#N/A</v>
      </c>
      <c r="G224" s="12" t="e">
        <v>#N/A</v>
      </c>
      <c r="H224" s="9">
        <v>6.95</v>
      </c>
      <c r="I224" s="9">
        <v>5.89</v>
      </c>
    </row>
    <row r="225" spans="1:9" x14ac:dyDescent="0.35">
      <c r="A225" t="s">
        <v>681</v>
      </c>
      <c r="B225" s="9">
        <v>7.24</v>
      </c>
      <c r="C225" s="9">
        <v>5.8</v>
      </c>
      <c r="D225" s="9">
        <v>5.7</v>
      </c>
      <c r="E225" s="12">
        <v>5.25</v>
      </c>
      <c r="F225" s="12" t="e">
        <v>#N/A</v>
      </c>
      <c r="G225" s="12" t="e">
        <v>#N/A</v>
      </c>
      <c r="H225" s="9">
        <v>6.93</v>
      </c>
      <c r="I225" s="9">
        <v>5.8</v>
      </c>
    </row>
    <row r="226" spans="1:9" x14ac:dyDescent="0.35">
      <c r="A226" t="s">
        <v>682</v>
      </c>
      <c r="B226" s="9">
        <v>7.23</v>
      </c>
      <c r="C226" s="9">
        <v>6.06</v>
      </c>
      <c r="D226" s="9">
        <v>5.85</v>
      </c>
      <c r="E226" s="12">
        <v>5.0795454545454541</v>
      </c>
      <c r="F226" s="12" t="e">
        <v>#N/A</v>
      </c>
      <c r="G226" s="12" t="e">
        <v>#N/A</v>
      </c>
      <c r="H226" s="9">
        <v>6.9</v>
      </c>
      <c r="I226" s="9">
        <v>5.8</v>
      </c>
    </row>
    <row r="227" spans="1:9" x14ac:dyDescent="0.35">
      <c r="A227" t="s">
        <v>683</v>
      </c>
      <c r="B227" s="9">
        <v>6.95</v>
      </c>
      <c r="C227" s="9">
        <v>6.26</v>
      </c>
      <c r="D227" s="9">
        <v>6.11</v>
      </c>
      <c r="E227" s="12">
        <v>5</v>
      </c>
      <c r="F227" s="12" t="e">
        <v>#N/A</v>
      </c>
      <c r="G227" s="12" t="e">
        <v>#N/A</v>
      </c>
      <c r="H227" s="9">
        <v>6.86</v>
      </c>
      <c r="I227" s="9">
        <v>5.73</v>
      </c>
    </row>
    <row r="228" spans="1:9" x14ac:dyDescent="0.35">
      <c r="A228" t="s">
        <v>684</v>
      </c>
      <c r="B228" s="9">
        <v>6.92</v>
      </c>
      <c r="C228" s="9">
        <v>6.6</v>
      </c>
      <c r="D228" s="9">
        <v>6.4</v>
      </c>
      <c r="E228" s="12">
        <v>5</v>
      </c>
      <c r="F228" s="12" t="e">
        <v>#N/A</v>
      </c>
      <c r="G228" s="12" t="e">
        <v>#N/A</v>
      </c>
      <c r="H228" s="9">
        <v>6.85</v>
      </c>
      <c r="I228" s="9">
        <v>5.76</v>
      </c>
    </row>
    <row r="229" spans="1:9" x14ac:dyDescent="0.35">
      <c r="A229" t="s">
        <v>685</v>
      </c>
      <c r="B229" s="9">
        <v>6.92</v>
      </c>
      <c r="C229" s="9">
        <v>6.35</v>
      </c>
      <c r="D229" s="9">
        <v>6.37</v>
      </c>
      <c r="E229" s="12">
        <v>5</v>
      </c>
      <c r="F229" s="12" t="e">
        <v>#N/A</v>
      </c>
      <c r="G229" s="12" t="e">
        <v>#N/A</v>
      </c>
      <c r="H229" s="9">
        <v>6.81</v>
      </c>
      <c r="I229" s="9">
        <v>5.79</v>
      </c>
    </row>
    <row r="230" spans="1:9" x14ac:dyDescent="0.35">
      <c r="A230" t="s">
        <v>686</v>
      </c>
      <c r="B230" s="9">
        <v>6.93</v>
      </c>
      <c r="C230" s="9">
        <v>6.08</v>
      </c>
      <c r="D230" s="9">
        <v>6.09</v>
      </c>
      <c r="E230" s="12">
        <v>5</v>
      </c>
      <c r="F230" s="12" t="e">
        <v>#N/A</v>
      </c>
      <c r="G230" s="12" t="e">
        <v>#N/A</v>
      </c>
      <c r="H230" s="9">
        <v>6.8</v>
      </c>
      <c r="I230" s="9">
        <v>5.79</v>
      </c>
    </row>
    <row r="231" spans="1:9" x14ac:dyDescent="0.35">
      <c r="A231" t="s">
        <v>687</v>
      </c>
      <c r="B231" s="9">
        <v>6.95</v>
      </c>
      <c r="C231" s="9">
        <v>5.96</v>
      </c>
      <c r="D231" s="9">
        <v>5.84</v>
      </c>
      <c r="E231" s="12">
        <v>5</v>
      </c>
      <c r="F231" s="12" t="e">
        <v>#N/A</v>
      </c>
      <c r="G231" s="12" t="e">
        <v>#N/A</v>
      </c>
      <c r="H231" s="9">
        <v>6.84</v>
      </c>
      <c r="I231" s="9">
        <v>5.81</v>
      </c>
    </row>
    <row r="232" spans="1:9" x14ac:dyDescent="0.35">
      <c r="A232" t="s">
        <v>688</v>
      </c>
      <c r="B232" s="9">
        <v>6.91</v>
      </c>
      <c r="C232" s="9">
        <v>5.83</v>
      </c>
      <c r="D232" s="9">
        <v>5.88</v>
      </c>
      <c r="E232" s="12">
        <v>4.6086956521739131</v>
      </c>
      <c r="F232" s="12" t="e">
        <v>#N/A</v>
      </c>
      <c r="G232" s="12" t="e">
        <v>#N/A</v>
      </c>
      <c r="H232" s="9">
        <v>6.89</v>
      </c>
      <c r="I232" s="9">
        <v>5.82</v>
      </c>
    </row>
    <row r="233" spans="1:9" x14ac:dyDescent="0.35">
      <c r="A233" t="s">
        <v>689</v>
      </c>
      <c r="B233" s="9">
        <v>6.34</v>
      </c>
      <c r="C233" s="9">
        <v>5.0999999999999996</v>
      </c>
      <c r="D233" s="9">
        <v>5.47</v>
      </c>
      <c r="E233" s="12">
        <v>3.2250000000000001</v>
      </c>
      <c r="F233" s="12" t="e">
        <v>#N/A</v>
      </c>
      <c r="G233" s="12" t="e">
        <v>#N/A</v>
      </c>
      <c r="H233" s="9">
        <v>6.14</v>
      </c>
      <c r="I233" s="9">
        <v>5.54</v>
      </c>
    </row>
    <row r="234" spans="1:9" x14ac:dyDescent="0.35">
      <c r="A234" t="s">
        <v>690</v>
      </c>
      <c r="B234" s="9">
        <v>5.38</v>
      </c>
      <c r="C234" s="9">
        <v>4.7699999999999996</v>
      </c>
      <c r="D234" s="9">
        <v>5.28</v>
      </c>
      <c r="E234" s="12">
        <v>2.1304347826086958</v>
      </c>
      <c r="F234" s="12" t="e">
        <v>#N/A</v>
      </c>
      <c r="G234" s="12" t="e">
        <v>#N/A</v>
      </c>
      <c r="H234" s="9">
        <v>5.17</v>
      </c>
      <c r="I234" s="9">
        <v>4.8</v>
      </c>
    </row>
    <row r="235" spans="1:9" x14ac:dyDescent="0.35">
      <c r="A235" t="s">
        <v>691</v>
      </c>
      <c r="B235" s="9">
        <v>4.7300000000000004</v>
      </c>
      <c r="C235" s="9">
        <v>4.3499999999999996</v>
      </c>
      <c r="D235" s="9">
        <v>4.9400000000000004</v>
      </c>
      <c r="E235" s="12">
        <v>1.6136363636363635</v>
      </c>
      <c r="F235" s="12" t="e">
        <v>#N/A</v>
      </c>
      <c r="G235" s="12" t="e">
        <v>#N/A</v>
      </c>
      <c r="H235" s="9">
        <v>4.41</v>
      </c>
      <c r="I235" s="9">
        <v>4.32</v>
      </c>
    </row>
    <row r="236" spans="1:9" x14ac:dyDescent="0.35">
      <c r="A236" t="s">
        <v>692</v>
      </c>
      <c r="B236" s="9">
        <v>4.38</v>
      </c>
      <c r="C236" s="9">
        <v>4.3499999999999996</v>
      </c>
      <c r="D236" s="9">
        <v>4.97</v>
      </c>
      <c r="E236" s="12">
        <v>1.075</v>
      </c>
      <c r="F236" s="12" t="e">
        <v>#N/A</v>
      </c>
      <c r="G236" s="12" t="e">
        <v>#N/A</v>
      </c>
      <c r="H236" s="9">
        <v>3.68</v>
      </c>
      <c r="I236" s="9">
        <v>4.0999999999999996</v>
      </c>
    </row>
    <row r="237" spans="1:9" x14ac:dyDescent="0.35">
      <c r="A237" t="s">
        <v>693</v>
      </c>
      <c r="B237" s="9">
        <v>4.0599999999999996</v>
      </c>
      <c r="C237" s="9">
        <v>3.98</v>
      </c>
      <c r="D237" s="9">
        <v>4.95</v>
      </c>
      <c r="E237" s="12">
        <v>0.56818181818181823</v>
      </c>
      <c r="F237" s="12" t="e">
        <v>#N/A</v>
      </c>
      <c r="G237" s="12" t="e">
        <v>#N/A</v>
      </c>
      <c r="H237" s="9">
        <v>3.36</v>
      </c>
      <c r="I237" s="9">
        <v>3.83</v>
      </c>
    </row>
    <row r="238" spans="1:9" x14ac:dyDescent="0.35">
      <c r="A238" t="s">
        <v>694</v>
      </c>
      <c r="B238" s="9">
        <v>3.82</v>
      </c>
      <c r="C238" s="9">
        <v>4.0199999999999996</v>
      </c>
      <c r="D238" s="9">
        <v>4.88</v>
      </c>
      <c r="E238" s="12">
        <v>0.5</v>
      </c>
      <c r="F238" s="12" t="e">
        <v>#N/A</v>
      </c>
      <c r="G238" s="12" t="e">
        <v>#N/A</v>
      </c>
      <c r="H238" s="9">
        <v>3.09</v>
      </c>
      <c r="I238" s="9">
        <v>3.62</v>
      </c>
    </row>
    <row r="239" spans="1:9" x14ac:dyDescent="0.35">
      <c r="A239" t="s">
        <v>695</v>
      </c>
      <c r="B239" s="9">
        <v>3.83</v>
      </c>
      <c r="C239" s="9">
        <v>3.98</v>
      </c>
      <c r="D239" s="9">
        <v>4.93</v>
      </c>
      <c r="E239" s="12">
        <v>0.5</v>
      </c>
      <c r="F239" s="12" t="e">
        <v>#N/A</v>
      </c>
      <c r="G239" s="12" t="e">
        <v>#N/A</v>
      </c>
      <c r="H239" s="9">
        <v>2.98</v>
      </c>
      <c r="I239" s="9">
        <v>3.59</v>
      </c>
    </row>
    <row r="240" spans="1:9" x14ac:dyDescent="0.35">
      <c r="A240" t="s">
        <v>696</v>
      </c>
      <c r="B240" s="9">
        <v>3.95</v>
      </c>
      <c r="C240" s="9">
        <v>4.45</v>
      </c>
      <c r="D240" s="9">
        <v>5.54</v>
      </c>
      <c r="E240" s="12">
        <v>0.5</v>
      </c>
      <c r="F240" s="12" t="e">
        <v>#N/A</v>
      </c>
      <c r="G240" s="12" t="e">
        <v>#N/A</v>
      </c>
      <c r="H240" s="9">
        <v>2.91</v>
      </c>
      <c r="I240" s="9">
        <v>3.59</v>
      </c>
    </row>
    <row r="241" spans="1:9" x14ac:dyDescent="0.35">
      <c r="A241" t="s">
        <v>697</v>
      </c>
      <c r="B241" s="9">
        <v>4.1100000000000003</v>
      </c>
      <c r="C241" s="9">
        <v>4.42</v>
      </c>
      <c r="D241" s="9">
        <v>5.68</v>
      </c>
      <c r="E241" s="12">
        <v>0.5</v>
      </c>
      <c r="F241" s="12" t="e">
        <v>#N/A</v>
      </c>
      <c r="G241" s="12" t="e">
        <v>#N/A</v>
      </c>
      <c r="H241" s="9">
        <v>2.8</v>
      </c>
      <c r="I241" s="9">
        <v>3.57</v>
      </c>
    </row>
    <row r="242" spans="1:9" x14ac:dyDescent="0.35">
      <c r="A242" t="s">
        <v>698</v>
      </c>
      <c r="B242" s="9">
        <v>3.93</v>
      </c>
      <c r="C242" s="9">
        <v>4.43</v>
      </c>
      <c r="D242" s="9">
        <v>5.72</v>
      </c>
      <c r="E242" s="12">
        <v>0.5</v>
      </c>
      <c r="F242" s="12" t="e">
        <v>#N/A</v>
      </c>
      <c r="G242" s="12" t="e">
        <v>#N/A</v>
      </c>
      <c r="H242" s="9">
        <v>2.78</v>
      </c>
      <c r="I242" s="9">
        <v>3.58</v>
      </c>
    </row>
    <row r="243" spans="1:9" x14ac:dyDescent="0.35">
      <c r="A243" t="s">
        <v>699</v>
      </c>
      <c r="B243" s="9">
        <v>3.91</v>
      </c>
      <c r="C243" s="9">
        <v>4.47</v>
      </c>
      <c r="D243" s="9">
        <v>5.69</v>
      </c>
      <c r="E243" s="12">
        <v>0.5</v>
      </c>
      <c r="F243" s="12" t="e">
        <v>#N/A</v>
      </c>
      <c r="G243" s="12" t="e">
        <v>#N/A</v>
      </c>
      <c r="H243" s="9">
        <v>2.75</v>
      </c>
      <c r="I243" s="9">
        <v>3.58</v>
      </c>
    </row>
    <row r="244" spans="1:9" x14ac:dyDescent="0.35">
      <c r="A244" t="s">
        <v>700</v>
      </c>
      <c r="B244" s="9">
        <v>3.91</v>
      </c>
      <c r="C244" s="9">
        <v>4.32</v>
      </c>
      <c r="D244" s="9">
        <v>5.67</v>
      </c>
      <c r="E244" s="12">
        <v>0.5</v>
      </c>
      <c r="F244" s="12" t="e">
        <v>#N/A</v>
      </c>
      <c r="G244" s="12" t="e">
        <v>#N/A</v>
      </c>
      <c r="H244" s="9">
        <v>2.68</v>
      </c>
      <c r="I244" s="9">
        <v>3.56</v>
      </c>
    </row>
    <row r="245" spans="1:9" x14ac:dyDescent="0.35">
      <c r="A245" t="s">
        <v>701</v>
      </c>
      <c r="B245" s="9">
        <v>3.98</v>
      </c>
      <c r="C245" s="9">
        <v>4.0999999999999996</v>
      </c>
      <c r="D245" s="9">
        <v>5.71</v>
      </c>
      <c r="E245" s="12">
        <v>0.5</v>
      </c>
      <c r="F245" s="12" t="e">
        <v>#N/A</v>
      </c>
      <c r="G245" s="12" t="e">
        <v>#N/A</v>
      </c>
      <c r="H245" s="9">
        <v>2.64</v>
      </c>
      <c r="I245" s="9">
        <v>3.57</v>
      </c>
    </row>
    <row r="246" spans="1:9" x14ac:dyDescent="0.35">
      <c r="A246" t="s">
        <v>702</v>
      </c>
      <c r="B246" s="9">
        <v>3.97</v>
      </c>
      <c r="C246" s="9">
        <v>4.05</v>
      </c>
      <c r="D246" s="9">
        <v>5.67</v>
      </c>
      <c r="E246" s="12">
        <v>0.5</v>
      </c>
      <c r="F246" s="12" t="e">
        <v>#N/A</v>
      </c>
      <c r="G246" s="12" t="e">
        <v>#N/A</v>
      </c>
      <c r="H246" s="9">
        <v>2.65</v>
      </c>
      <c r="I246" s="9">
        <v>3.59</v>
      </c>
    </row>
    <row r="247" spans="1:9" x14ac:dyDescent="0.35">
      <c r="A247" t="s">
        <v>703</v>
      </c>
      <c r="B247" s="9">
        <v>4.08</v>
      </c>
      <c r="C247" s="9">
        <v>3.97</v>
      </c>
      <c r="D247" s="9">
        <v>5.56</v>
      </c>
      <c r="E247" s="12">
        <v>0.5</v>
      </c>
      <c r="F247" s="12" t="e">
        <v>#N/A</v>
      </c>
      <c r="G247" s="12" t="e">
        <v>#N/A</v>
      </c>
      <c r="H247" s="9">
        <v>2.77</v>
      </c>
      <c r="I247" s="9">
        <v>3.67</v>
      </c>
    </row>
    <row r="248" spans="1:9" x14ac:dyDescent="0.35">
      <c r="A248" t="s">
        <v>704</v>
      </c>
      <c r="B248" s="9">
        <v>4.05</v>
      </c>
      <c r="C248" s="9">
        <v>3.88</v>
      </c>
      <c r="D248" s="9">
        <v>5.5</v>
      </c>
      <c r="E248" s="12">
        <v>0.5</v>
      </c>
      <c r="F248" s="12" t="e">
        <v>#N/A</v>
      </c>
      <c r="G248" s="12" t="e">
        <v>#N/A</v>
      </c>
      <c r="H248" s="9">
        <v>2.78</v>
      </c>
      <c r="I248" s="9">
        <v>3.67</v>
      </c>
    </row>
    <row r="249" spans="1:9" x14ac:dyDescent="0.35">
      <c r="A249" t="s">
        <v>705</v>
      </c>
      <c r="B249" s="9">
        <v>4.04</v>
      </c>
      <c r="C249" s="9">
        <v>3.92</v>
      </c>
      <c r="D249" s="9">
        <v>5.5</v>
      </c>
      <c r="E249" s="12">
        <v>0.5</v>
      </c>
      <c r="F249" s="12" t="e">
        <v>#N/A</v>
      </c>
      <c r="G249" s="12" t="e">
        <v>#N/A</v>
      </c>
      <c r="H249" s="9">
        <v>2.81</v>
      </c>
      <c r="I249" s="9">
        <v>3.66</v>
      </c>
    </row>
    <row r="250" spans="1:9" x14ac:dyDescent="0.35">
      <c r="A250" t="s">
        <v>706</v>
      </c>
      <c r="B250" s="9">
        <v>3.99</v>
      </c>
      <c r="C250" s="9">
        <v>3.82</v>
      </c>
      <c r="D250" s="9">
        <v>5.5</v>
      </c>
      <c r="E250" s="12">
        <v>0.5</v>
      </c>
      <c r="F250" s="12" t="e">
        <v>#N/A</v>
      </c>
      <c r="G250" s="12" t="e">
        <v>#N/A</v>
      </c>
      <c r="H250" s="9">
        <v>2.86</v>
      </c>
      <c r="I250" s="9">
        <v>3.67</v>
      </c>
    </row>
    <row r="251" spans="1:9" x14ac:dyDescent="0.35">
      <c r="A251" t="s">
        <v>707</v>
      </c>
      <c r="B251" s="9">
        <v>3.94</v>
      </c>
      <c r="C251" s="9">
        <v>3.78</v>
      </c>
      <c r="D251" s="9">
        <v>5.38</v>
      </c>
      <c r="E251" s="12">
        <v>0.5</v>
      </c>
      <c r="F251" s="12" t="e">
        <v>#N/A</v>
      </c>
      <c r="G251" s="12" t="e">
        <v>#N/A</v>
      </c>
      <c r="H251" s="9">
        <v>2.85</v>
      </c>
      <c r="I251" s="9">
        <v>3.66</v>
      </c>
    </row>
    <row r="252" spans="1:9" x14ac:dyDescent="0.35">
      <c r="A252" t="s">
        <v>708</v>
      </c>
      <c r="B252" s="9">
        <v>3.92</v>
      </c>
      <c r="C252" s="9">
        <v>3.67</v>
      </c>
      <c r="D252" s="9">
        <v>5.35</v>
      </c>
      <c r="E252" s="12">
        <v>0.5</v>
      </c>
      <c r="F252" s="12" t="e">
        <v>#N/A</v>
      </c>
      <c r="G252" s="12" t="e">
        <v>#N/A</v>
      </c>
      <c r="H252" s="9">
        <v>2.88</v>
      </c>
      <c r="I252" s="9">
        <v>3.65</v>
      </c>
    </row>
    <row r="253" spans="1:9" x14ac:dyDescent="0.35">
      <c r="A253" t="s">
        <v>709</v>
      </c>
      <c r="B253" s="9">
        <v>3.92</v>
      </c>
      <c r="C253" s="9">
        <v>3.77</v>
      </c>
      <c r="D253" s="9">
        <v>5.24</v>
      </c>
      <c r="E253" s="12">
        <v>0.5</v>
      </c>
      <c r="F253" s="12" t="e">
        <v>#N/A</v>
      </c>
      <c r="G253" s="12" t="e">
        <v>#N/A</v>
      </c>
      <c r="H253" s="9">
        <v>2.88</v>
      </c>
      <c r="I253" s="9">
        <v>3.63</v>
      </c>
    </row>
    <row r="254" spans="1:9" x14ac:dyDescent="0.35">
      <c r="A254" t="s">
        <v>710</v>
      </c>
      <c r="B254" s="9">
        <v>3.94</v>
      </c>
      <c r="C254" s="9">
        <v>3.74</v>
      </c>
      <c r="D254" s="9">
        <v>5.07</v>
      </c>
      <c r="E254" s="12">
        <v>0.5</v>
      </c>
      <c r="F254" s="12" t="e">
        <v>#N/A</v>
      </c>
      <c r="G254" s="12" t="e">
        <v>#N/A</v>
      </c>
      <c r="H254" s="9">
        <v>2.88</v>
      </c>
      <c r="I254" s="9">
        <v>3.55</v>
      </c>
    </row>
    <row r="255" spans="1:9" x14ac:dyDescent="0.35">
      <c r="A255" t="s">
        <v>711</v>
      </c>
      <c r="B255" s="9">
        <v>3.93</v>
      </c>
      <c r="C255" s="9">
        <v>3.8</v>
      </c>
      <c r="D255" s="9">
        <v>5.04</v>
      </c>
      <c r="E255" s="12">
        <v>0.5</v>
      </c>
      <c r="F255" s="12" t="e">
        <v>#N/A</v>
      </c>
      <c r="G255" s="12" t="e">
        <v>#N/A</v>
      </c>
      <c r="H255" s="9">
        <v>2.9</v>
      </c>
      <c r="I255" s="9">
        <v>3.53</v>
      </c>
    </row>
    <row r="256" spans="1:9" x14ac:dyDescent="0.35">
      <c r="A256" t="s">
        <v>712</v>
      </c>
      <c r="B256" s="9">
        <v>3.91</v>
      </c>
      <c r="C256" s="9">
        <v>3.68</v>
      </c>
      <c r="D256" s="9">
        <v>4.8600000000000003</v>
      </c>
      <c r="E256" s="12">
        <v>0.5</v>
      </c>
      <c r="F256" s="12" t="e">
        <v>#N/A</v>
      </c>
      <c r="G256" s="12" t="e">
        <v>#N/A</v>
      </c>
      <c r="H256" s="9">
        <v>2.9</v>
      </c>
      <c r="I256" s="9">
        <v>3.51</v>
      </c>
    </row>
    <row r="257" spans="1:9" x14ac:dyDescent="0.35">
      <c r="A257" t="s">
        <v>713</v>
      </c>
      <c r="B257" s="9">
        <v>3.91</v>
      </c>
      <c r="C257" s="9">
        <v>3.53</v>
      </c>
      <c r="D257" s="9">
        <v>4.7300000000000004</v>
      </c>
      <c r="E257" s="12">
        <v>0.5</v>
      </c>
      <c r="F257" s="12" t="e">
        <v>#N/A</v>
      </c>
      <c r="G257" s="12" t="e">
        <v>#N/A</v>
      </c>
      <c r="H257" s="9">
        <v>2.9</v>
      </c>
      <c r="I257" s="9">
        <v>3.51</v>
      </c>
    </row>
    <row r="258" spans="1:9" x14ac:dyDescent="0.35">
      <c r="A258" t="s">
        <v>714</v>
      </c>
      <c r="B258" s="9">
        <v>3.91</v>
      </c>
      <c r="C258" s="9">
        <v>3.5</v>
      </c>
      <c r="D258" s="9">
        <v>4.76</v>
      </c>
      <c r="E258" s="12">
        <v>0.5</v>
      </c>
      <c r="F258" s="12" t="e">
        <v>#N/A</v>
      </c>
      <c r="G258" s="12" t="e">
        <v>#N/A</v>
      </c>
      <c r="H258" s="9">
        <v>2.91</v>
      </c>
      <c r="I258" s="9">
        <v>3.5</v>
      </c>
    </row>
    <row r="259" spans="1:9" x14ac:dyDescent="0.35">
      <c r="A259" t="s">
        <v>715</v>
      </c>
      <c r="B259" s="9">
        <v>4.04</v>
      </c>
      <c r="C259" s="9">
        <v>3.7</v>
      </c>
      <c r="D259" s="9">
        <v>5.03</v>
      </c>
      <c r="E259" s="12">
        <v>0.5</v>
      </c>
      <c r="F259" s="12" t="e">
        <v>#N/A</v>
      </c>
      <c r="G259" s="12" t="e">
        <v>#N/A</v>
      </c>
      <c r="H259" s="9">
        <v>2.9</v>
      </c>
      <c r="I259" s="9">
        <v>3.5</v>
      </c>
    </row>
    <row r="260" spans="1:9" x14ac:dyDescent="0.35">
      <c r="A260" t="s">
        <v>716</v>
      </c>
      <c r="B260" s="9">
        <v>4.07</v>
      </c>
      <c r="C260" s="9">
        <v>3.7</v>
      </c>
      <c r="D260" s="9">
        <v>5.15</v>
      </c>
      <c r="E260" s="12">
        <v>0.5</v>
      </c>
      <c r="F260" s="12" t="e">
        <v>#N/A</v>
      </c>
      <c r="G260" s="12" t="e">
        <v>#N/A</v>
      </c>
      <c r="H260" s="9">
        <v>2.92</v>
      </c>
      <c r="I260" s="9">
        <v>3.5</v>
      </c>
    </row>
    <row r="261" spans="1:9" x14ac:dyDescent="0.35">
      <c r="A261" t="s">
        <v>717</v>
      </c>
      <c r="B261" s="9">
        <v>4.07</v>
      </c>
      <c r="C261" s="9">
        <v>3.68</v>
      </c>
      <c r="D261" s="9">
        <v>5.0999999999999996</v>
      </c>
      <c r="E261" s="12">
        <v>0.5</v>
      </c>
      <c r="F261" s="12" t="e">
        <v>#N/A</v>
      </c>
      <c r="G261" s="12" t="e">
        <v>#N/A</v>
      </c>
      <c r="H261" s="9">
        <v>2.93</v>
      </c>
      <c r="I261" s="9">
        <v>3.49</v>
      </c>
    </row>
    <row r="262" spans="1:9" x14ac:dyDescent="0.35">
      <c r="A262" t="s">
        <v>718</v>
      </c>
      <c r="B262" s="9">
        <v>4</v>
      </c>
      <c r="C262" s="9">
        <v>3.66</v>
      </c>
      <c r="D262" s="9">
        <v>5.0999999999999996</v>
      </c>
      <c r="E262" s="12">
        <v>0.5</v>
      </c>
      <c r="F262" s="12" t="e">
        <v>#N/A</v>
      </c>
      <c r="G262" s="12" t="e">
        <v>#N/A</v>
      </c>
      <c r="H262" s="9">
        <v>2.92</v>
      </c>
      <c r="I262" s="9">
        <v>3.49</v>
      </c>
    </row>
    <row r="263" spans="1:9" x14ac:dyDescent="0.35">
      <c r="A263" t="s">
        <v>719</v>
      </c>
      <c r="B263" s="9">
        <v>4</v>
      </c>
      <c r="C263" s="9">
        <v>3.51</v>
      </c>
      <c r="D263" s="9">
        <v>5.0199999999999996</v>
      </c>
      <c r="E263" s="12">
        <v>0.5</v>
      </c>
      <c r="F263" s="12" t="e">
        <v>#N/A</v>
      </c>
      <c r="G263" s="12" t="e">
        <v>#N/A</v>
      </c>
      <c r="H263" s="9">
        <v>2.97</v>
      </c>
      <c r="I263" s="9">
        <v>3.47</v>
      </c>
    </row>
    <row r="264" spans="1:9" x14ac:dyDescent="0.35">
      <c r="A264" t="s">
        <v>720</v>
      </c>
      <c r="B264" s="9">
        <v>4.05</v>
      </c>
      <c r="C264" s="9">
        <v>3.36</v>
      </c>
      <c r="D264" s="9">
        <v>4.9000000000000004</v>
      </c>
      <c r="E264" s="12">
        <v>0.5</v>
      </c>
      <c r="F264" s="12" t="e">
        <v>#N/A</v>
      </c>
      <c r="G264" s="12" t="e">
        <v>#N/A</v>
      </c>
      <c r="H264" s="9">
        <v>2.96</v>
      </c>
      <c r="I264" s="9">
        <v>3.45</v>
      </c>
    </row>
    <row r="265" spans="1:9" x14ac:dyDescent="0.35">
      <c r="A265" t="s">
        <v>721</v>
      </c>
      <c r="B265" s="9">
        <v>4.0999999999999996</v>
      </c>
      <c r="C265" s="9">
        <v>3.14</v>
      </c>
      <c r="D265" s="9">
        <v>4.6900000000000004</v>
      </c>
      <c r="E265" s="12">
        <v>0.5</v>
      </c>
      <c r="F265" s="12" t="e">
        <v>#N/A</v>
      </c>
      <c r="G265" s="12" t="e">
        <v>#N/A</v>
      </c>
      <c r="H265" s="9">
        <v>2.98</v>
      </c>
      <c r="I265" s="9">
        <v>3.43</v>
      </c>
    </row>
    <row r="266" spans="1:9" x14ac:dyDescent="0.35">
      <c r="A266" t="s">
        <v>722</v>
      </c>
      <c r="B266" s="9">
        <v>4.1100000000000003</v>
      </c>
      <c r="C266" s="9">
        <v>3</v>
      </c>
      <c r="D266" s="9">
        <v>4.51</v>
      </c>
      <c r="E266" s="12">
        <v>0.5</v>
      </c>
      <c r="F266" s="12" t="e">
        <v>#N/A</v>
      </c>
      <c r="G266" s="12" t="e">
        <v>#N/A</v>
      </c>
      <c r="H266" s="9">
        <v>3.01</v>
      </c>
      <c r="I266" s="9">
        <v>3.41</v>
      </c>
    </row>
    <row r="267" spans="1:9" x14ac:dyDescent="0.35">
      <c r="A267" t="s">
        <v>723</v>
      </c>
      <c r="B267" s="9">
        <v>4.12</v>
      </c>
      <c r="C267" s="9">
        <v>2.92</v>
      </c>
      <c r="D267" s="9">
        <v>3.98</v>
      </c>
      <c r="E267" s="12">
        <v>0.5</v>
      </c>
      <c r="F267" s="12" t="e">
        <v>#N/A</v>
      </c>
      <c r="G267" s="12" t="e">
        <v>#N/A</v>
      </c>
      <c r="H267" s="9">
        <v>3</v>
      </c>
      <c r="I267" s="9">
        <v>3.36</v>
      </c>
    </row>
    <row r="268" spans="1:9" x14ac:dyDescent="0.35">
      <c r="A268" t="s">
        <v>724</v>
      </c>
      <c r="B268" s="9">
        <v>4.1399999999999997</v>
      </c>
      <c r="C268" s="9">
        <v>3.04</v>
      </c>
      <c r="D268" s="9">
        <v>4</v>
      </c>
      <c r="E268" s="12">
        <v>0.5</v>
      </c>
      <c r="F268" s="12" t="e">
        <v>#N/A</v>
      </c>
      <c r="G268" s="12" t="e">
        <v>#N/A</v>
      </c>
      <c r="H268" s="9">
        <v>3.03</v>
      </c>
      <c r="I268" s="9">
        <v>3.38</v>
      </c>
    </row>
    <row r="269" spans="1:9" x14ac:dyDescent="0.35">
      <c r="A269" t="s">
        <v>725</v>
      </c>
      <c r="B269" s="9">
        <v>4.13</v>
      </c>
      <c r="C269" s="9">
        <v>3.14</v>
      </c>
      <c r="D269" s="9">
        <v>4.08</v>
      </c>
      <c r="E269" s="12">
        <v>0.5</v>
      </c>
      <c r="F269" s="12" t="e">
        <v>#N/A</v>
      </c>
      <c r="G269" s="12" t="e">
        <v>#N/A</v>
      </c>
      <c r="H269" s="9">
        <v>3.05</v>
      </c>
      <c r="I269" s="9">
        <v>3.36</v>
      </c>
    </row>
    <row r="270" spans="1:9" x14ac:dyDescent="0.35">
      <c r="A270" t="s">
        <v>726</v>
      </c>
      <c r="B270" s="9">
        <v>4.12</v>
      </c>
      <c r="C270" s="9">
        <v>3.22</v>
      </c>
      <c r="D270" s="9">
        <v>4.0599999999999996</v>
      </c>
      <c r="E270" s="12">
        <v>0.5</v>
      </c>
      <c r="F270" s="12" t="e">
        <v>#N/A</v>
      </c>
      <c r="G270" s="12" t="e">
        <v>#N/A</v>
      </c>
      <c r="H270" s="9">
        <v>3.07</v>
      </c>
      <c r="I270" s="9">
        <v>3.36</v>
      </c>
    </row>
    <row r="271" spans="1:9" x14ac:dyDescent="0.35">
      <c r="A271" t="s">
        <v>727</v>
      </c>
      <c r="B271" s="9">
        <v>4.18</v>
      </c>
      <c r="C271" s="9">
        <v>3.27</v>
      </c>
      <c r="D271" s="9">
        <v>4.18</v>
      </c>
      <c r="E271" s="12">
        <v>0.5</v>
      </c>
      <c r="F271" s="12" t="e">
        <v>#N/A</v>
      </c>
      <c r="G271" s="12" t="e">
        <v>#N/A</v>
      </c>
      <c r="H271" s="9">
        <v>3.22</v>
      </c>
      <c r="I271" s="9">
        <v>3.38</v>
      </c>
    </row>
    <row r="272" spans="1:9" x14ac:dyDescent="0.35">
      <c r="A272" t="s">
        <v>728</v>
      </c>
      <c r="B272" s="9">
        <v>4.1399999999999997</v>
      </c>
      <c r="C272" s="9">
        <v>3.37</v>
      </c>
      <c r="D272" s="9">
        <v>4.17</v>
      </c>
      <c r="E272" s="12">
        <v>0.5</v>
      </c>
      <c r="F272" s="12" t="e">
        <v>#N/A</v>
      </c>
      <c r="G272" s="12" t="e">
        <v>#N/A</v>
      </c>
      <c r="H272" s="9">
        <v>3.25</v>
      </c>
      <c r="I272" s="9">
        <v>3.36</v>
      </c>
    </row>
    <row r="273" spans="1:9" x14ac:dyDescent="0.35">
      <c r="A273" t="s">
        <v>729</v>
      </c>
      <c r="B273" s="9">
        <v>4.0999999999999996</v>
      </c>
      <c r="C273" s="9">
        <v>3.44</v>
      </c>
      <c r="D273" s="9">
        <v>4.1900000000000004</v>
      </c>
      <c r="E273" s="12">
        <v>0.5</v>
      </c>
      <c r="F273" s="12" t="e">
        <v>#N/A</v>
      </c>
      <c r="G273" s="12" t="e">
        <v>#N/A</v>
      </c>
      <c r="H273" s="9">
        <v>3.24</v>
      </c>
      <c r="I273" s="9">
        <v>3.36</v>
      </c>
    </row>
    <row r="274" spans="1:9" x14ac:dyDescent="0.35">
      <c r="A274" t="s">
        <v>730</v>
      </c>
      <c r="B274" s="9">
        <v>4.0999999999999996</v>
      </c>
      <c r="C274" s="9">
        <v>3.66</v>
      </c>
      <c r="D274" s="9">
        <v>4.29</v>
      </c>
      <c r="E274" s="12">
        <v>0.5</v>
      </c>
      <c r="F274" s="12" t="e">
        <v>#N/A</v>
      </c>
      <c r="G274" s="12" t="e">
        <v>#N/A</v>
      </c>
      <c r="H274" s="9">
        <v>3.24</v>
      </c>
      <c r="I274" s="9">
        <v>3.37</v>
      </c>
    </row>
    <row r="275" spans="1:9" x14ac:dyDescent="0.35">
      <c r="A275" t="s">
        <v>731</v>
      </c>
      <c r="B275" s="9">
        <v>4.16</v>
      </c>
      <c r="C275" s="9">
        <v>3.68</v>
      </c>
      <c r="D275" s="9">
        <v>4.28</v>
      </c>
      <c r="E275" s="12">
        <v>0.5</v>
      </c>
      <c r="F275" s="12" t="e">
        <v>#N/A</v>
      </c>
      <c r="G275" s="12" t="e">
        <v>#N/A</v>
      </c>
      <c r="H275" s="9">
        <v>3.23</v>
      </c>
      <c r="I275" s="9">
        <v>3.39</v>
      </c>
    </row>
    <row r="276" spans="1:9" x14ac:dyDescent="0.35">
      <c r="A276" t="s">
        <v>732</v>
      </c>
      <c r="B276" s="9">
        <v>4.22</v>
      </c>
      <c r="C276" s="9">
        <v>3.74</v>
      </c>
      <c r="D276" s="9">
        <v>4.3</v>
      </c>
      <c r="E276" s="12">
        <v>0.5</v>
      </c>
      <c r="F276" s="12" t="e">
        <v>#N/A</v>
      </c>
      <c r="G276" s="12" t="e">
        <v>#N/A</v>
      </c>
      <c r="H276" s="9">
        <v>3.24</v>
      </c>
      <c r="I276" s="9">
        <v>3.38</v>
      </c>
    </row>
    <row r="277" spans="1:9" x14ac:dyDescent="0.35">
      <c r="A277" t="s">
        <v>733</v>
      </c>
      <c r="B277" s="9">
        <v>4.24</v>
      </c>
      <c r="C277" s="9">
        <v>3.67</v>
      </c>
      <c r="D277" s="9">
        <v>4.18</v>
      </c>
      <c r="E277" s="12">
        <v>0.5</v>
      </c>
      <c r="F277" s="12" t="e">
        <v>#N/A</v>
      </c>
      <c r="G277" s="12" t="e">
        <v>#N/A</v>
      </c>
      <c r="H277" s="9">
        <v>3.21</v>
      </c>
      <c r="I277" s="9">
        <v>3.38</v>
      </c>
    </row>
    <row r="278" spans="1:9" x14ac:dyDescent="0.35">
      <c r="A278" t="s">
        <v>734</v>
      </c>
      <c r="B278" s="9">
        <v>4.2699999999999996</v>
      </c>
      <c r="C278" s="9">
        <v>3.69</v>
      </c>
      <c r="D278" s="9">
        <v>4.1100000000000003</v>
      </c>
      <c r="E278" s="12">
        <v>0.5</v>
      </c>
      <c r="F278" s="12" t="e">
        <v>#N/A</v>
      </c>
      <c r="G278" s="12" t="e">
        <v>#N/A</v>
      </c>
      <c r="H278" s="9">
        <v>3.18</v>
      </c>
      <c r="I278" s="9">
        <v>3.37</v>
      </c>
    </row>
    <row r="279" spans="1:9" x14ac:dyDescent="0.35">
      <c r="A279" t="s">
        <v>735</v>
      </c>
      <c r="B279" s="9">
        <v>4.29</v>
      </c>
      <c r="C279" s="9">
        <v>3.67</v>
      </c>
      <c r="D279" s="9">
        <v>4.07</v>
      </c>
      <c r="E279" s="12">
        <v>0.5</v>
      </c>
      <c r="F279" s="12" t="e">
        <v>#N/A</v>
      </c>
      <c r="G279" s="12" t="e">
        <v>#N/A</v>
      </c>
      <c r="H279" s="9">
        <v>3.15</v>
      </c>
      <c r="I279" s="9">
        <v>3.37</v>
      </c>
    </row>
    <row r="280" spans="1:9" x14ac:dyDescent="0.35">
      <c r="A280" t="s">
        <v>736</v>
      </c>
      <c r="B280" s="9">
        <v>4.32</v>
      </c>
      <c r="C280" s="9">
        <v>3.49</v>
      </c>
      <c r="D280" s="9">
        <v>3.96</v>
      </c>
      <c r="E280" s="12">
        <v>0.5</v>
      </c>
      <c r="F280" s="12" t="e">
        <v>#N/A</v>
      </c>
      <c r="G280" s="12" t="e">
        <v>#N/A</v>
      </c>
      <c r="H280" s="9">
        <v>3.09</v>
      </c>
      <c r="I280" s="9">
        <v>3.38</v>
      </c>
    </row>
    <row r="281" spans="1:9" x14ac:dyDescent="0.35">
      <c r="A281" t="s">
        <v>737</v>
      </c>
      <c r="B281" s="9">
        <v>4.32</v>
      </c>
      <c r="C281" s="9">
        <v>3.43</v>
      </c>
      <c r="D281" s="9">
        <v>3.92</v>
      </c>
      <c r="E281" s="12">
        <v>0.5</v>
      </c>
      <c r="F281" s="12" t="e">
        <v>#N/A</v>
      </c>
      <c r="G281" s="12" t="e">
        <v>#N/A</v>
      </c>
      <c r="H281" s="9">
        <v>3.09</v>
      </c>
      <c r="I281" s="9">
        <v>3.38</v>
      </c>
    </row>
    <row r="282" spans="1:9" x14ac:dyDescent="0.35">
      <c r="A282" t="s">
        <v>738</v>
      </c>
      <c r="B282" s="9">
        <v>4.3499999999999996</v>
      </c>
      <c r="C282" s="9">
        <v>3.35</v>
      </c>
      <c r="D282" s="9">
        <v>3.91</v>
      </c>
      <c r="E282" s="12">
        <v>0.5</v>
      </c>
      <c r="F282" s="12" t="e">
        <v>#N/A</v>
      </c>
      <c r="G282" s="12" t="e">
        <v>#N/A</v>
      </c>
      <c r="H282" s="9">
        <v>3.08</v>
      </c>
      <c r="I282" s="9">
        <v>3.38</v>
      </c>
    </row>
    <row r="283" spans="1:9" x14ac:dyDescent="0.35">
      <c r="A283" t="s">
        <v>739</v>
      </c>
      <c r="B283" s="9">
        <v>4.38</v>
      </c>
      <c r="C283" s="9">
        <v>3.11</v>
      </c>
      <c r="D283" s="9">
        <v>3.71</v>
      </c>
      <c r="E283" s="12">
        <v>0.5</v>
      </c>
      <c r="F283" s="12" t="e">
        <v>#N/A</v>
      </c>
      <c r="G283" s="12" t="e">
        <v>#N/A</v>
      </c>
      <c r="H283" s="9">
        <v>3.12</v>
      </c>
      <c r="I283" s="9">
        <v>3.37</v>
      </c>
    </row>
    <row r="284" spans="1:9" x14ac:dyDescent="0.35">
      <c r="A284" t="s">
        <v>740</v>
      </c>
      <c r="B284" s="9">
        <v>4.38</v>
      </c>
      <c r="C284" s="9">
        <v>2.92</v>
      </c>
      <c r="D284" s="9">
        <v>3.62</v>
      </c>
      <c r="E284" s="12">
        <v>0.5</v>
      </c>
      <c r="F284" s="12" t="e">
        <v>#N/A</v>
      </c>
      <c r="G284" s="12" t="e">
        <v>#N/A</v>
      </c>
      <c r="H284" s="9">
        <v>3.09</v>
      </c>
      <c r="I284" s="9">
        <v>3.37</v>
      </c>
    </row>
    <row r="285" spans="1:9" x14ac:dyDescent="0.35">
      <c r="A285" t="s">
        <v>741</v>
      </c>
      <c r="B285" s="9">
        <v>4.34</v>
      </c>
      <c r="C285" s="9">
        <v>2.9</v>
      </c>
      <c r="D285" s="9">
        <v>3.63</v>
      </c>
      <c r="E285" s="12">
        <v>0.5</v>
      </c>
      <c r="F285" s="12" t="e">
        <v>#N/A</v>
      </c>
      <c r="G285" s="12" t="e">
        <v>#N/A</v>
      </c>
      <c r="H285" s="9">
        <v>3.1</v>
      </c>
      <c r="I285" s="9">
        <v>3.36</v>
      </c>
    </row>
    <row r="286" spans="1:9" x14ac:dyDescent="0.35">
      <c r="A286" t="s">
        <v>742</v>
      </c>
      <c r="B286" s="9">
        <v>4.3499999999999996</v>
      </c>
      <c r="C286" s="9">
        <v>2.87</v>
      </c>
      <c r="D286" s="9">
        <v>3.61</v>
      </c>
      <c r="E286" s="12">
        <v>0.5</v>
      </c>
      <c r="F286" s="12" t="e">
        <v>#N/A</v>
      </c>
      <c r="G286" s="12" t="e">
        <v>#N/A</v>
      </c>
      <c r="H286" s="9">
        <v>3.12</v>
      </c>
      <c r="I286" s="9">
        <v>3.35</v>
      </c>
    </row>
    <row r="287" spans="1:9" x14ac:dyDescent="0.35">
      <c r="A287" t="s">
        <v>743</v>
      </c>
      <c r="B287" s="9">
        <v>4.38</v>
      </c>
      <c r="C287" s="9">
        <v>2.69</v>
      </c>
      <c r="D287" s="9">
        <v>3.44</v>
      </c>
      <c r="E287" s="12">
        <v>0.5</v>
      </c>
      <c r="F287" s="12" t="e">
        <v>#N/A</v>
      </c>
      <c r="G287" s="12" t="e">
        <v>#N/A</v>
      </c>
      <c r="H287" s="9">
        <v>3.11</v>
      </c>
      <c r="I287" s="9">
        <v>3.35</v>
      </c>
    </row>
    <row r="288" spans="1:9" x14ac:dyDescent="0.35">
      <c r="A288" t="s">
        <v>744</v>
      </c>
      <c r="B288" s="9">
        <v>4.38</v>
      </c>
      <c r="C288" s="9">
        <v>2.63</v>
      </c>
      <c r="D288" s="9">
        <v>3.41</v>
      </c>
      <c r="E288" s="12">
        <v>0.5</v>
      </c>
      <c r="F288" s="12" t="e">
        <v>#N/A</v>
      </c>
      <c r="G288" s="12" t="e">
        <v>#N/A</v>
      </c>
      <c r="H288" s="9">
        <v>3.1</v>
      </c>
      <c r="I288" s="9">
        <v>3.33</v>
      </c>
    </row>
    <row r="289" spans="1:9" x14ac:dyDescent="0.35">
      <c r="A289" t="s">
        <v>745</v>
      </c>
      <c r="B289" s="9">
        <v>4.37</v>
      </c>
      <c r="C289" s="9">
        <v>2.62</v>
      </c>
      <c r="D289" s="9">
        <v>3.39</v>
      </c>
      <c r="E289" s="12">
        <v>0.5</v>
      </c>
      <c r="F289" s="12" t="e">
        <v>#N/A</v>
      </c>
      <c r="G289" s="12" t="e">
        <v>#N/A</v>
      </c>
      <c r="H289" s="9">
        <v>3.11</v>
      </c>
      <c r="I289" s="9">
        <v>3.33</v>
      </c>
    </row>
    <row r="290" spans="1:9" x14ac:dyDescent="0.35">
      <c r="A290" t="s">
        <v>746</v>
      </c>
      <c r="B290" s="9">
        <v>4.3600000000000003</v>
      </c>
      <c r="C290" s="9">
        <v>2.58</v>
      </c>
      <c r="D290" s="9">
        <v>3.35</v>
      </c>
      <c r="E290" s="12">
        <v>0.5</v>
      </c>
      <c r="F290" s="12" t="e">
        <v>#N/A</v>
      </c>
      <c r="G290" s="12" t="e">
        <v>#N/A</v>
      </c>
      <c r="H290" s="9">
        <v>3.12</v>
      </c>
      <c r="I290" s="9">
        <v>3.32</v>
      </c>
    </row>
    <row r="291" spans="1:9" x14ac:dyDescent="0.35">
      <c r="A291" t="s">
        <v>747</v>
      </c>
      <c r="B291" s="9">
        <v>4.3499999999999996</v>
      </c>
      <c r="C291" s="9">
        <v>2.54</v>
      </c>
      <c r="D291" s="9">
        <v>3.4</v>
      </c>
      <c r="E291" s="12">
        <v>0.5</v>
      </c>
      <c r="F291" s="12" t="e">
        <v>#N/A</v>
      </c>
      <c r="G291" s="12" t="e">
        <v>#N/A</v>
      </c>
      <c r="H291" s="9">
        <v>3.13</v>
      </c>
      <c r="I291" s="9">
        <v>3.3</v>
      </c>
    </row>
    <row r="292" spans="1:9" x14ac:dyDescent="0.35">
      <c r="A292" t="s">
        <v>748</v>
      </c>
      <c r="B292" s="9">
        <v>4.37</v>
      </c>
      <c r="C292" s="9">
        <v>2.48</v>
      </c>
      <c r="D292" s="9">
        <v>3.37</v>
      </c>
      <c r="E292" s="12">
        <v>0.5</v>
      </c>
      <c r="F292" s="12" t="e">
        <v>#N/A</v>
      </c>
      <c r="G292" s="12" t="e">
        <v>#N/A</v>
      </c>
      <c r="H292" s="9">
        <v>3.12</v>
      </c>
      <c r="I292" s="9">
        <v>3.28</v>
      </c>
    </row>
    <row r="293" spans="1:9" x14ac:dyDescent="0.35">
      <c r="A293" t="s">
        <v>749</v>
      </c>
      <c r="B293" s="9">
        <v>4.41</v>
      </c>
      <c r="C293" s="9">
        <v>2.44</v>
      </c>
      <c r="D293" s="9">
        <v>3.36</v>
      </c>
      <c r="E293" s="12">
        <v>0.5</v>
      </c>
      <c r="F293" s="12" t="e">
        <v>#N/A</v>
      </c>
      <c r="G293" s="12" t="e">
        <v>#N/A</v>
      </c>
      <c r="H293" s="9">
        <v>3.12</v>
      </c>
      <c r="I293" s="9">
        <v>3.29</v>
      </c>
    </row>
    <row r="294" spans="1:9" x14ac:dyDescent="0.35">
      <c r="A294" t="s">
        <v>750</v>
      </c>
      <c r="B294" s="9">
        <v>4.3899999999999997</v>
      </c>
      <c r="C294" s="9">
        <v>2.4</v>
      </c>
      <c r="D294" s="9">
        <v>3.34</v>
      </c>
      <c r="E294" s="12">
        <v>0.5</v>
      </c>
      <c r="F294" s="12" t="e">
        <v>#N/A</v>
      </c>
      <c r="G294" s="12" t="e">
        <v>#N/A</v>
      </c>
      <c r="H294" s="9">
        <v>3.1</v>
      </c>
      <c r="I294" s="9">
        <v>3.27</v>
      </c>
    </row>
    <row r="295" spans="1:9" x14ac:dyDescent="0.35">
      <c r="A295" t="s">
        <v>751</v>
      </c>
      <c r="B295" s="9">
        <v>4.41</v>
      </c>
      <c r="C295" s="9">
        <v>2.37</v>
      </c>
      <c r="D295" s="9">
        <v>3.34</v>
      </c>
      <c r="E295" s="12">
        <v>0.5</v>
      </c>
      <c r="F295" s="12" t="e">
        <v>#N/A</v>
      </c>
      <c r="G295" s="12" t="e">
        <v>#N/A</v>
      </c>
      <c r="H295" s="9">
        <v>3.11</v>
      </c>
      <c r="I295" s="9">
        <v>3.26</v>
      </c>
    </row>
    <row r="296" spans="1:9" x14ac:dyDescent="0.35">
      <c r="A296" t="s">
        <v>752</v>
      </c>
      <c r="B296" s="9">
        <v>4.43</v>
      </c>
      <c r="C296" s="9">
        <v>2.38</v>
      </c>
      <c r="D296" s="9">
        <v>3.45</v>
      </c>
      <c r="E296" s="12">
        <v>0.5</v>
      </c>
      <c r="F296" s="12" t="e">
        <v>#N/A</v>
      </c>
      <c r="G296" s="12" t="e">
        <v>#N/A</v>
      </c>
      <c r="H296" s="9">
        <v>3.11</v>
      </c>
      <c r="I296" s="9">
        <v>3.25</v>
      </c>
    </row>
    <row r="297" spans="1:9" x14ac:dyDescent="0.35">
      <c r="A297" t="s">
        <v>753</v>
      </c>
      <c r="B297" s="9">
        <v>4.43</v>
      </c>
      <c r="C297" s="9">
        <v>2.37</v>
      </c>
      <c r="D297" s="9">
        <v>3.48</v>
      </c>
      <c r="E297" s="12">
        <v>0.5</v>
      </c>
      <c r="F297" s="12" t="e">
        <v>#N/A</v>
      </c>
      <c r="G297" s="12" t="e">
        <v>#N/A</v>
      </c>
      <c r="H297" s="9">
        <v>3.1</v>
      </c>
      <c r="I297" s="9">
        <v>3.24</v>
      </c>
    </row>
    <row r="298" spans="1:9" x14ac:dyDescent="0.35">
      <c r="A298" t="s">
        <v>754</v>
      </c>
      <c r="B298" s="9">
        <v>4.43</v>
      </c>
      <c r="C298" s="9">
        <v>2.54</v>
      </c>
      <c r="D298" s="9">
        <v>3.69</v>
      </c>
      <c r="E298" s="12">
        <v>0.5</v>
      </c>
      <c r="F298" s="12" t="e">
        <v>#N/A</v>
      </c>
      <c r="G298" s="12" t="e">
        <v>#N/A</v>
      </c>
      <c r="H298" s="9">
        <v>3.13</v>
      </c>
      <c r="I298" s="9">
        <v>3.23</v>
      </c>
    </row>
    <row r="299" spans="1:9" x14ac:dyDescent="0.35">
      <c r="A299" t="s">
        <v>755</v>
      </c>
      <c r="B299" s="9">
        <v>4.42</v>
      </c>
      <c r="C299" s="9">
        <v>2.56</v>
      </c>
      <c r="D299" s="9">
        <v>3.72</v>
      </c>
      <c r="E299" s="12">
        <v>0.5</v>
      </c>
      <c r="F299" s="12" t="e">
        <v>#N/A</v>
      </c>
      <c r="G299" s="12" t="e">
        <v>#N/A</v>
      </c>
      <c r="H299" s="9">
        <v>3.15</v>
      </c>
      <c r="I299" s="9">
        <v>3.24</v>
      </c>
    </row>
    <row r="300" spans="1:9" x14ac:dyDescent="0.35">
      <c r="A300" t="s">
        <v>756</v>
      </c>
      <c r="B300" s="9">
        <v>4.3600000000000003</v>
      </c>
      <c r="C300" s="9">
        <v>2.6</v>
      </c>
      <c r="D300" s="9">
        <v>3.69</v>
      </c>
      <c r="E300" s="12">
        <v>0.5</v>
      </c>
      <c r="F300" s="12" t="e">
        <v>#N/A</v>
      </c>
      <c r="G300" s="12" t="e">
        <v>#N/A</v>
      </c>
      <c r="H300" s="9">
        <v>3.13</v>
      </c>
      <c r="I300" s="9">
        <v>3.23</v>
      </c>
    </row>
    <row r="301" spans="1:9" x14ac:dyDescent="0.35">
      <c r="A301" t="s">
        <v>757</v>
      </c>
      <c r="B301" s="9">
        <v>4.45</v>
      </c>
      <c r="C301" s="9">
        <v>2.54</v>
      </c>
      <c r="D301" s="9">
        <v>3.78</v>
      </c>
      <c r="E301" s="12">
        <v>0.5</v>
      </c>
      <c r="F301" s="12" t="e">
        <v>#N/A</v>
      </c>
      <c r="G301" s="12" t="e">
        <v>#N/A</v>
      </c>
      <c r="H301" s="9">
        <v>3.14</v>
      </c>
      <c r="I301" s="9">
        <v>3.22</v>
      </c>
    </row>
    <row r="302" spans="1:9" x14ac:dyDescent="0.35">
      <c r="A302" t="s">
        <v>758</v>
      </c>
      <c r="B302" s="9">
        <v>4.45</v>
      </c>
      <c r="C302" s="9">
        <v>2.54</v>
      </c>
      <c r="D302" s="9">
        <v>3.76</v>
      </c>
      <c r="E302" s="12">
        <v>0.5</v>
      </c>
      <c r="F302" s="12">
        <v>0.98120000000000007</v>
      </c>
      <c r="G302" s="12">
        <v>1.61</v>
      </c>
      <c r="H302" s="9">
        <v>3.14</v>
      </c>
      <c r="I302" s="9">
        <v>3.22</v>
      </c>
    </row>
    <row r="303" spans="1:9" x14ac:dyDescent="0.35">
      <c r="A303" t="s">
        <v>759</v>
      </c>
      <c r="B303" s="9">
        <v>4.5199999999999996</v>
      </c>
      <c r="C303" s="9">
        <v>2.46</v>
      </c>
      <c r="D303" s="9">
        <v>3.61</v>
      </c>
      <c r="E303" s="12">
        <v>0.5</v>
      </c>
      <c r="F303" s="12">
        <v>0.978727272727273</v>
      </c>
      <c r="G303" s="12">
        <v>1.6724045454545453</v>
      </c>
      <c r="H303" s="9">
        <v>3.15</v>
      </c>
      <c r="I303" s="9">
        <v>3.2</v>
      </c>
    </row>
    <row r="304" spans="1:9" x14ac:dyDescent="0.35">
      <c r="A304" t="s">
        <v>760</v>
      </c>
      <c r="B304" s="9">
        <v>4.53</v>
      </c>
      <c r="C304" s="9">
        <v>2.21</v>
      </c>
      <c r="D304" s="9">
        <v>3.27</v>
      </c>
      <c r="E304" s="12">
        <v>0.5</v>
      </c>
      <c r="F304" s="12">
        <v>0.8443478260869568</v>
      </c>
      <c r="G304" s="12">
        <v>1.4358304347826085</v>
      </c>
      <c r="H304" s="9">
        <v>3.15</v>
      </c>
      <c r="I304" s="9">
        <v>3.19</v>
      </c>
    </row>
    <row r="305" spans="1:9" x14ac:dyDescent="0.35">
      <c r="A305" t="s">
        <v>761</v>
      </c>
      <c r="B305" s="9">
        <v>4.49</v>
      </c>
      <c r="C305" s="9">
        <v>2.17</v>
      </c>
      <c r="D305" s="9">
        <v>3.21</v>
      </c>
      <c r="E305" s="12">
        <v>0.5</v>
      </c>
      <c r="F305" s="12">
        <v>0.76731666666666665</v>
      </c>
      <c r="G305" s="12">
        <v>1.3312833333333334</v>
      </c>
      <c r="H305" s="9">
        <v>3.14</v>
      </c>
      <c r="I305" s="9">
        <v>3.19</v>
      </c>
    </row>
    <row r="306" spans="1:9" x14ac:dyDescent="0.35">
      <c r="A306" t="s">
        <v>762</v>
      </c>
      <c r="B306" s="9">
        <v>4.4800000000000004</v>
      </c>
      <c r="C306" s="9">
        <v>2.08</v>
      </c>
      <c r="D306" s="9">
        <v>3.21</v>
      </c>
      <c r="E306" s="12">
        <v>0.5</v>
      </c>
      <c r="F306" s="12">
        <v>0.70093636363636358</v>
      </c>
      <c r="G306" s="12">
        <v>1.2005772727272725</v>
      </c>
      <c r="H306" s="9">
        <v>3.15</v>
      </c>
      <c r="I306" s="9">
        <v>3.18</v>
      </c>
    </row>
    <row r="307" spans="1:9" x14ac:dyDescent="0.35">
      <c r="A307" t="s">
        <v>763</v>
      </c>
      <c r="B307" s="9">
        <v>4.5599999999999996</v>
      </c>
      <c r="C307" s="9">
        <v>2.0099999999999998</v>
      </c>
      <c r="D307" s="9">
        <v>3.09</v>
      </c>
      <c r="E307" s="12">
        <v>0.5</v>
      </c>
      <c r="F307" s="12">
        <v>0.59257142857142853</v>
      </c>
      <c r="G307" s="12">
        <v>0.9570047619047618</v>
      </c>
      <c r="H307" s="9">
        <v>3.16</v>
      </c>
      <c r="I307" s="9">
        <v>3.17</v>
      </c>
    </row>
    <row r="308" spans="1:9" x14ac:dyDescent="0.35">
      <c r="A308" t="s">
        <v>764</v>
      </c>
      <c r="B308" s="9">
        <v>4.51</v>
      </c>
      <c r="C308" s="9">
        <v>1.96</v>
      </c>
      <c r="D308" s="9">
        <v>3.05</v>
      </c>
      <c r="E308" s="12">
        <v>0.5</v>
      </c>
      <c r="F308" s="12">
        <v>0.6792450000000001</v>
      </c>
      <c r="G308" s="12">
        <v>1.1211799999999996</v>
      </c>
      <c r="H308" s="9">
        <v>3.15</v>
      </c>
      <c r="I308" s="9">
        <v>3.15</v>
      </c>
    </row>
    <row r="309" spans="1:9" x14ac:dyDescent="0.35">
      <c r="A309" t="s">
        <v>765</v>
      </c>
      <c r="B309" s="9">
        <v>4.51</v>
      </c>
      <c r="C309" s="9">
        <v>1.99</v>
      </c>
      <c r="D309" s="9">
        <v>2.98</v>
      </c>
      <c r="E309" s="12">
        <v>0.5</v>
      </c>
      <c r="F309" s="12">
        <v>0.68714761904761923</v>
      </c>
      <c r="G309" s="12">
        <v>1.1514047619047616</v>
      </c>
      <c r="H309" s="9">
        <v>3.15</v>
      </c>
      <c r="I309" s="9">
        <v>3.14</v>
      </c>
    </row>
    <row r="310" spans="1:9" x14ac:dyDescent="0.35">
      <c r="A310" t="s">
        <v>766</v>
      </c>
      <c r="B310" s="9">
        <v>4.53</v>
      </c>
      <c r="C310" s="9">
        <v>1.95</v>
      </c>
      <c r="D310" s="9">
        <v>2.92</v>
      </c>
      <c r="E310" s="12">
        <v>0.5</v>
      </c>
      <c r="F310" s="12">
        <v>0.64635238095238112</v>
      </c>
      <c r="G310" s="12">
        <v>1.0605666666666667</v>
      </c>
      <c r="H310" s="9">
        <v>3.13</v>
      </c>
      <c r="I310" s="9">
        <v>3.12</v>
      </c>
    </row>
    <row r="311" spans="1:9" x14ac:dyDescent="0.35">
      <c r="A311" t="s">
        <v>767</v>
      </c>
      <c r="B311" s="9">
        <v>4.55</v>
      </c>
      <c r="C311" s="9">
        <v>1.9</v>
      </c>
      <c r="D311" s="9">
        <v>2.86</v>
      </c>
      <c r="E311" s="12">
        <v>0.5</v>
      </c>
      <c r="F311" s="12">
        <v>0.73614761904761905</v>
      </c>
      <c r="G311" s="12">
        <v>1.2629523809523808</v>
      </c>
      <c r="H311" s="9">
        <v>3.14</v>
      </c>
      <c r="I311" s="9">
        <v>3.11</v>
      </c>
    </row>
    <row r="312" spans="1:9" x14ac:dyDescent="0.35">
      <c r="A312" t="s">
        <v>768</v>
      </c>
      <c r="B312" s="9">
        <v>4.49</v>
      </c>
      <c r="C312" s="9">
        <v>1.83</v>
      </c>
      <c r="D312" s="9">
        <v>2.82</v>
      </c>
      <c r="E312" s="12">
        <v>0.5</v>
      </c>
      <c r="F312" s="12">
        <v>0.78020454545454565</v>
      </c>
      <c r="G312" s="12">
        <v>1.3520363636363639</v>
      </c>
      <c r="H312" s="9">
        <v>3.14</v>
      </c>
      <c r="I312" s="9">
        <v>3.09</v>
      </c>
    </row>
    <row r="313" spans="1:9" x14ac:dyDescent="0.35">
      <c r="A313" t="s">
        <v>769</v>
      </c>
      <c r="B313" s="9">
        <v>4.5</v>
      </c>
      <c r="C313" s="9">
        <v>1.87</v>
      </c>
      <c r="D313" s="9">
        <v>2.83</v>
      </c>
      <c r="E313" s="12">
        <v>0.5</v>
      </c>
      <c r="F313" s="12">
        <v>0.84573913043478222</v>
      </c>
      <c r="G313" s="12">
        <v>1.4079869565217391</v>
      </c>
      <c r="H313" s="9">
        <v>3.13</v>
      </c>
      <c r="I313" s="9">
        <v>3.07</v>
      </c>
    </row>
    <row r="314" spans="1:9" x14ac:dyDescent="0.35">
      <c r="A314" t="s">
        <v>770</v>
      </c>
      <c r="B314" s="9">
        <v>4.4800000000000004</v>
      </c>
      <c r="C314" s="9">
        <v>1.95</v>
      </c>
      <c r="D314" s="9">
        <v>2.92</v>
      </c>
      <c r="E314" s="12">
        <v>0.5</v>
      </c>
      <c r="F314" s="12">
        <v>0.80609523809523809</v>
      </c>
      <c r="G314" s="12">
        <v>1.3221619047619049</v>
      </c>
      <c r="H314" s="9">
        <v>3.14</v>
      </c>
      <c r="I314" s="9">
        <v>3.06</v>
      </c>
    </row>
    <row r="315" spans="1:9" x14ac:dyDescent="0.35">
      <c r="A315" t="s">
        <v>771</v>
      </c>
      <c r="B315" s="9">
        <v>4.5</v>
      </c>
      <c r="C315" s="9">
        <v>1.91</v>
      </c>
      <c r="D315" s="9">
        <v>2.84</v>
      </c>
      <c r="E315" s="12">
        <v>0.5</v>
      </c>
      <c r="F315" s="12">
        <v>0.72657727272727268</v>
      </c>
      <c r="G315" s="12">
        <v>1.1891863636363635</v>
      </c>
      <c r="H315" s="9">
        <v>3.12</v>
      </c>
      <c r="I315" s="9">
        <v>3.04</v>
      </c>
    </row>
    <row r="316" spans="1:9" x14ac:dyDescent="0.35">
      <c r="A316" t="s">
        <v>772</v>
      </c>
      <c r="B316" s="9">
        <v>4.54</v>
      </c>
      <c r="C316" s="9">
        <v>1.87</v>
      </c>
      <c r="D316" s="9">
        <v>2.78</v>
      </c>
      <c r="E316" s="12">
        <v>0.5</v>
      </c>
      <c r="F316" s="12">
        <v>0.65751818181818189</v>
      </c>
      <c r="G316" s="12">
        <v>1.0936454545454544</v>
      </c>
      <c r="H316" s="9">
        <v>3.12</v>
      </c>
      <c r="I316" s="9">
        <v>3.03</v>
      </c>
    </row>
    <row r="317" spans="1:9" x14ac:dyDescent="0.35">
      <c r="A317" t="s">
        <v>773</v>
      </c>
      <c r="B317" s="9">
        <v>4.49</v>
      </c>
      <c r="C317" s="9">
        <v>1.92</v>
      </c>
      <c r="D317" s="9">
        <v>2.77</v>
      </c>
      <c r="E317" s="12">
        <v>0.5</v>
      </c>
      <c r="F317" s="12">
        <v>0.7225380952380952</v>
      </c>
      <c r="G317" s="12">
        <v>1.1710619047619046</v>
      </c>
      <c r="H317" s="9">
        <v>3.12</v>
      </c>
      <c r="I317" s="9">
        <v>3.01</v>
      </c>
    </row>
    <row r="318" spans="1:9" x14ac:dyDescent="0.35">
      <c r="A318" t="s">
        <v>774</v>
      </c>
      <c r="B318" s="9">
        <v>4.49</v>
      </c>
      <c r="C318" s="9">
        <v>1.9</v>
      </c>
      <c r="D318" s="9">
        <v>2.75</v>
      </c>
      <c r="E318" s="12">
        <v>0.5</v>
      </c>
      <c r="F318" s="12">
        <v>0.74252608695652167</v>
      </c>
      <c r="G318" s="12">
        <v>1.1581565217391308</v>
      </c>
      <c r="H318" s="9">
        <v>3.13</v>
      </c>
      <c r="I318" s="9">
        <v>2.99</v>
      </c>
    </row>
    <row r="319" spans="1:9" x14ac:dyDescent="0.35">
      <c r="A319" t="s">
        <v>775</v>
      </c>
      <c r="B319" s="9">
        <v>4.5599999999999996</v>
      </c>
      <c r="C319" s="9">
        <v>1.93</v>
      </c>
      <c r="D319" s="9">
        <v>2.68</v>
      </c>
      <c r="E319" s="12">
        <v>0.5</v>
      </c>
      <c r="F319" s="12">
        <v>0.60759999999999992</v>
      </c>
      <c r="G319" s="12">
        <v>0.98300952380952378</v>
      </c>
      <c r="H319" s="9">
        <v>3.16</v>
      </c>
      <c r="I319" s="9">
        <v>2.96</v>
      </c>
    </row>
    <row r="320" spans="1:9" x14ac:dyDescent="0.35">
      <c r="A320" t="s">
        <v>776</v>
      </c>
      <c r="B320" s="9">
        <v>4.58</v>
      </c>
      <c r="C320" s="9">
        <v>1.95</v>
      </c>
      <c r="D320" s="9">
        <v>2.73</v>
      </c>
      <c r="E320" s="12">
        <v>0.5</v>
      </c>
      <c r="F320" s="12">
        <v>0.40667619047619041</v>
      </c>
      <c r="G320" s="12">
        <v>0.61446666666666672</v>
      </c>
      <c r="H320" s="9">
        <v>3.15</v>
      </c>
      <c r="I320" s="9">
        <v>2.95</v>
      </c>
    </row>
    <row r="321" spans="1:9" x14ac:dyDescent="0.35">
      <c r="A321" t="s">
        <v>777</v>
      </c>
      <c r="B321" s="9">
        <v>4.57</v>
      </c>
      <c r="C321" s="9">
        <v>1.9</v>
      </c>
      <c r="D321" s="9">
        <v>2.7</v>
      </c>
      <c r="E321" s="12">
        <v>0.5</v>
      </c>
      <c r="F321" s="12">
        <v>0.44985652173913043</v>
      </c>
      <c r="G321" s="12">
        <v>0.64993043478260848</v>
      </c>
      <c r="H321" s="9">
        <v>3.13</v>
      </c>
      <c r="I321" s="9">
        <v>2.94</v>
      </c>
    </row>
    <row r="322" spans="1:9" x14ac:dyDescent="0.35">
      <c r="A322" t="s">
        <v>778</v>
      </c>
      <c r="B322" s="9">
        <v>4.6399999999999997</v>
      </c>
      <c r="C322" s="9">
        <v>1.84</v>
      </c>
      <c r="D322" s="9">
        <v>2.71</v>
      </c>
      <c r="E322" s="12">
        <v>0.5</v>
      </c>
      <c r="F322" s="12">
        <v>0.45203809523809518</v>
      </c>
      <c r="G322" s="12">
        <v>0.64915238095238104</v>
      </c>
      <c r="H322" s="9">
        <v>3.13</v>
      </c>
      <c r="I322" s="9">
        <v>2.92</v>
      </c>
    </row>
    <row r="323" spans="1:9" x14ac:dyDescent="0.35">
      <c r="A323" t="s">
        <v>779</v>
      </c>
      <c r="B323" s="9">
        <v>4.5599999999999996</v>
      </c>
      <c r="C323" s="9">
        <v>1.91</v>
      </c>
      <c r="D323" s="9">
        <v>2.64</v>
      </c>
      <c r="E323" s="12">
        <v>0.5</v>
      </c>
      <c r="F323" s="12">
        <v>0.46888636363636366</v>
      </c>
      <c r="G323" s="12">
        <v>0.68928181818181811</v>
      </c>
      <c r="H323" s="9">
        <v>3.13</v>
      </c>
      <c r="I323" s="9">
        <v>2.9</v>
      </c>
    </row>
    <row r="324" spans="1:9" x14ac:dyDescent="0.35">
      <c r="A324" t="s">
        <v>780</v>
      </c>
      <c r="B324" s="9">
        <v>4.5199999999999996</v>
      </c>
      <c r="C324" s="9">
        <v>1.75</v>
      </c>
      <c r="D324" s="9">
        <v>2.54</v>
      </c>
      <c r="E324" s="12">
        <v>0.5</v>
      </c>
      <c r="F324" s="12">
        <v>0.35709545454545455</v>
      </c>
      <c r="G324" s="12">
        <v>0.51212727272727276</v>
      </c>
      <c r="H324" s="9">
        <v>3.14</v>
      </c>
      <c r="I324" s="9">
        <v>2.89</v>
      </c>
    </row>
    <row r="325" spans="1:9" x14ac:dyDescent="0.35">
      <c r="A325" t="s">
        <v>781</v>
      </c>
      <c r="B325" s="9">
        <v>4.55</v>
      </c>
      <c r="C325" s="9">
        <v>1.72</v>
      </c>
      <c r="D325" s="9">
        <v>2.5099999999999998</v>
      </c>
      <c r="E325" s="12">
        <v>0.5</v>
      </c>
      <c r="F325" s="12">
        <v>0.13273809523809521</v>
      </c>
      <c r="G325" s="12">
        <v>0.22067619047619053</v>
      </c>
      <c r="H325" s="9">
        <v>3.13</v>
      </c>
      <c r="I325" s="9">
        <v>2.88</v>
      </c>
    </row>
    <row r="326" spans="1:9" x14ac:dyDescent="0.35">
      <c r="A326" t="s">
        <v>782</v>
      </c>
      <c r="B326" s="9">
        <v>4.3</v>
      </c>
      <c r="C326" s="9">
        <v>1.69</v>
      </c>
      <c r="D326" s="9">
        <v>2.39</v>
      </c>
      <c r="E326" s="12">
        <v>0.28260869565217389</v>
      </c>
      <c r="F326" s="12">
        <v>0.10760000000000003</v>
      </c>
      <c r="G326" s="12">
        <v>0.17527826086956519</v>
      </c>
      <c r="H326" s="9">
        <v>3.03</v>
      </c>
      <c r="I326" s="9">
        <v>2.84</v>
      </c>
    </row>
    <row r="327" spans="1:9" x14ac:dyDescent="0.35">
      <c r="A327" t="s">
        <v>783</v>
      </c>
      <c r="B327" s="9">
        <v>4.24</v>
      </c>
      <c r="C327" s="9">
        <v>1.59</v>
      </c>
      <c r="D327" s="9">
        <v>2.34</v>
      </c>
      <c r="E327" s="12">
        <v>0.25</v>
      </c>
      <c r="F327" s="12">
        <v>0.12336818181818181</v>
      </c>
      <c r="G327" s="12">
        <v>0.2063909090909091</v>
      </c>
      <c r="H327" s="9">
        <v>2.99</v>
      </c>
      <c r="I327" s="9">
        <v>2.74</v>
      </c>
    </row>
    <row r="328" spans="1:9" x14ac:dyDescent="0.35">
      <c r="A328" t="s">
        <v>784</v>
      </c>
      <c r="B328" s="9">
        <v>4.24</v>
      </c>
      <c r="C328" s="9">
        <v>1.52</v>
      </c>
      <c r="D328" s="9">
        <v>2.27</v>
      </c>
      <c r="E328" s="12">
        <v>0.25</v>
      </c>
      <c r="F328" s="12">
        <v>0.19596190476190478</v>
      </c>
      <c r="G328" s="12">
        <v>0.35534285714285718</v>
      </c>
      <c r="H328" s="9">
        <v>2.96</v>
      </c>
      <c r="I328" s="9">
        <v>2.71</v>
      </c>
    </row>
    <row r="329" spans="1:9" x14ac:dyDescent="0.35">
      <c r="A329" t="s">
        <v>785</v>
      </c>
      <c r="B329" s="9">
        <v>4.28</v>
      </c>
      <c r="C329" s="9">
        <v>1.43</v>
      </c>
      <c r="D329" s="9">
        <v>2.25</v>
      </c>
      <c r="E329" s="12">
        <v>0.25</v>
      </c>
      <c r="F329" s="12">
        <v>0.27735454545454546</v>
      </c>
      <c r="G329" s="12">
        <v>0.5636863636363636</v>
      </c>
      <c r="H329" s="9">
        <v>2.96</v>
      </c>
      <c r="I329" s="9">
        <v>2.68</v>
      </c>
    </row>
    <row r="330" spans="1:9" x14ac:dyDescent="0.35">
      <c r="A330" t="s">
        <v>786</v>
      </c>
      <c r="B330" s="9">
        <v>4.2300000000000004</v>
      </c>
      <c r="C330" s="9">
        <v>1.45</v>
      </c>
      <c r="D330" s="9">
        <v>2.2599999999999998</v>
      </c>
      <c r="E330" s="12">
        <v>0.25</v>
      </c>
      <c r="F330" s="12">
        <v>0.29906363636363636</v>
      </c>
      <c r="G330" s="12">
        <v>0.60861363636363641</v>
      </c>
      <c r="H330" s="9">
        <v>2.94</v>
      </c>
      <c r="I330" s="9">
        <v>2.67</v>
      </c>
    </row>
    <row r="331" spans="1:9" x14ac:dyDescent="0.35">
      <c r="A331" t="s">
        <v>787</v>
      </c>
      <c r="B331" s="9">
        <v>4.49</v>
      </c>
      <c r="C331" s="9">
        <v>1.45</v>
      </c>
      <c r="D331" s="9">
        <v>2.2200000000000002</v>
      </c>
      <c r="E331" s="12">
        <v>0.25</v>
      </c>
      <c r="F331" s="12">
        <v>0.32478181818181817</v>
      </c>
      <c r="G331" s="12">
        <v>0.60955000000000004</v>
      </c>
      <c r="H331" s="9">
        <v>2.93</v>
      </c>
      <c r="I331" s="9">
        <v>2.64</v>
      </c>
    </row>
    <row r="332" spans="1:9" x14ac:dyDescent="0.35">
      <c r="A332" t="s">
        <v>788</v>
      </c>
      <c r="B332" s="9">
        <v>4.37</v>
      </c>
      <c r="C332" s="9">
        <v>1.42</v>
      </c>
      <c r="D332" s="9">
        <v>2.2000000000000002</v>
      </c>
      <c r="E332" s="12">
        <v>0.25</v>
      </c>
      <c r="F332" s="12">
        <v>0.29753000000000002</v>
      </c>
      <c r="G332" s="12">
        <v>0.55146500000000009</v>
      </c>
      <c r="H332" s="9">
        <v>2.94</v>
      </c>
      <c r="I332" s="9">
        <v>2.63</v>
      </c>
    </row>
    <row r="333" spans="1:9" x14ac:dyDescent="0.35">
      <c r="A333" t="s">
        <v>789</v>
      </c>
      <c r="B333" s="9">
        <v>4.28</v>
      </c>
      <c r="C333" s="9">
        <v>1.37</v>
      </c>
      <c r="D333" s="9">
        <v>2.15</v>
      </c>
      <c r="E333" s="12">
        <v>0.25</v>
      </c>
      <c r="F333" s="12">
        <v>0.32266956521739126</v>
      </c>
      <c r="G333" s="12">
        <v>0.55801304347826097</v>
      </c>
      <c r="H333" s="9">
        <v>2.92</v>
      </c>
      <c r="I333" s="9">
        <v>2.61</v>
      </c>
    </row>
    <row r="334" spans="1:9" x14ac:dyDescent="0.35">
      <c r="A334" t="s">
        <v>790</v>
      </c>
      <c r="B334" s="9">
        <v>4.54</v>
      </c>
      <c r="C334" s="9">
        <v>1.35</v>
      </c>
      <c r="D334" s="9">
        <v>2.09</v>
      </c>
      <c r="E334" s="12">
        <v>0.25</v>
      </c>
      <c r="F334" s="12">
        <v>0.27659</v>
      </c>
      <c r="G334" s="12">
        <v>0.46545500000000006</v>
      </c>
      <c r="H334" s="9">
        <v>2.9</v>
      </c>
      <c r="I334" s="9">
        <v>2.61</v>
      </c>
    </row>
    <row r="335" spans="1:9" x14ac:dyDescent="0.35">
      <c r="A335" t="s">
        <v>791</v>
      </c>
      <c r="B335" s="9">
        <v>4.2300000000000004</v>
      </c>
      <c r="C335" s="9">
        <v>1.49</v>
      </c>
      <c r="D335" s="9">
        <v>2.0299999999999998</v>
      </c>
      <c r="E335" s="12">
        <v>0.25</v>
      </c>
      <c r="F335" s="12">
        <v>0.30595217391304347</v>
      </c>
      <c r="G335" s="12">
        <v>0.52802608695652176</v>
      </c>
      <c r="H335" s="9">
        <v>2.89</v>
      </c>
      <c r="I335" s="9">
        <v>2.58</v>
      </c>
    </row>
    <row r="336" spans="1:9" x14ac:dyDescent="0.35">
      <c r="A336" t="s">
        <v>792</v>
      </c>
      <c r="B336" s="9">
        <v>4.28</v>
      </c>
      <c r="C336" s="9">
        <v>1.48</v>
      </c>
      <c r="D336" s="9">
        <v>1.99</v>
      </c>
      <c r="E336" s="12">
        <v>0.25</v>
      </c>
      <c r="F336" s="12">
        <v>0.3452318181818182</v>
      </c>
      <c r="G336" s="12">
        <v>0.55432272727272724</v>
      </c>
      <c r="H336" s="9">
        <v>2.87</v>
      </c>
      <c r="I336" s="9">
        <v>2.57</v>
      </c>
    </row>
    <row r="337" spans="1:9" x14ac:dyDescent="0.35">
      <c r="A337" t="s">
        <v>793</v>
      </c>
      <c r="B337" s="9">
        <v>4.51</v>
      </c>
      <c r="C337" s="9">
        <v>1.41</v>
      </c>
      <c r="D337" s="9">
        <v>1.97</v>
      </c>
      <c r="E337" s="12">
        <v>0.25</v>
      </c>
      <c r="F337" s="12">
        <v>0.43759047619047631</v>
      </c>
      <c r="G337" s="12">
        <v>0.6917428571428571</v>
      </c>
      <c r="H337" s="9">
        <v>2.78</v>
      </c>
      <c r="I337" s="9">
        <v>2.5499999999999998</v>
      </c>
    </row>
    <row r="338" spans="1:9" x14ac:dyDescent="0.35">
      <c r="A338" t="s">
        <v>794</v>
      </c>
      <c r="B338" s="9">
        <v>4.32</v>
      </c>
      <c r="C338" s="9">
        <v>1.43</v>
      </c>
      <c r="D338" s="9">
        <v>1.96</v>
      </c>
      <c r="E338" s="12">
        <v>0.25</v>
      </c>
      <c r="F338" s="12">
        <v>0.37162608695652172</v>
      </c>
      <c r="G338" s="12">
        <v>0.58182608695652172</v>
      </c>
      <c r="H338" s="9">
        <v>2.79</v>
      </c>
      <c r="I338" s="9">
        <v>2.5299999999999998</v>
      </c>
    </row>
    <row r="339" spans="1:9" x14ac:dyDescent="0.35">
      <c r="A339" t="s">
        <v>795</v>
      </c>
      <c r="B339" s="9">
        <v>4.3099999999999996</v>
      </c>
      <c r="C339" s="9">
        <v>1.4</v>
      </c>
      <c r="D339" s="9">
        <v>1.9</v>
      </c>
      <c r="E339" s="12">
        <v>0.25</v>
      </c>
      <c r="F339" s="12">
        <v>0.53928571428571437</v>
      </c>
      <c r="G339" s="12">
        <v>0.75333809523809525</v>
      </c>
      <c r="H339" s="9">
        <v>2.81</v>
      </c>
      <c r="I339" s="9">
        <v>2.52</v>
      </c>
    </row>
    <row r="340" spans="1:9" x14ac:dyDescent="0.35">
      <c r="A340" t="s">
        <v>796</v>
      </c>
      <c r="B340" s="9">
        <v>4.3099999999999996</v>
      </c>
      <c r="C340" s="9">
        <v>1.55</v>
      </c>
      <c r="D340" s="9">
        <v>2.04</v>
      </c>
      <c r="E340" s="12">
        <v>0.25</v>
      </c>
      <c r="F340" s="12">
        <v>0.67521818181818194</v>
      </c>
      <c r="G340" s="12">
        <v>0.89604545454545459</v>
      </c>
      <c r="H340" s="9">
        <v>2.82</v>
      </c>
      <c r="I340" s="9">
        <v>2.5</v>
      </c>
    </row>
    <row r="341" spans="1:9" x14ac:dyDescent="0.35">
      <c r="A341" t="s">
        <v>797</v>
      </c>
      <c r="B341" s="9">
        <v>4.34</v>
      </c>
      <c r="C341" s="9">
        <v>1.61</v>
      </c>
      <c r="D341" s="9">
        <v>2.04</v>
      </c>
      <c r="E341" s="12">
        <v>0.48863636363636365</v>
      </c>
      <c r="F341" s="12">
        <v>0.67844761904761897</v>
      </c>
      <c r="G341" s="12">
        <v>0.88760952380952374</v>
      </c>
      <c r="H341" s="9">
        <v>2.91</v>
      </c>
      <c r="I341" s="9">
        <v>2.5</v>
      </c>
    </row>
    <row r="342" spans="1:9" x14ac:dyDescent="0.35">
      <c r="A342" t="s">
        <v>798</v>
      </c>
      <c r="B342" s="9">
        <v>4.54</v>
      </c>
      <c r="C342" s="9">
        <v>1.57</v>
      </c>
      <c r="D342" s="9">
        <v>2.0699999999999998</v>
      </c>
      <c r="E342" s="12">
        <v>0.5</v>
      </c>
      <c r="F342" s="12">
        <v>0.68652857142857149</v>
      </c>
      <c r="G342" s="12">
        <v>0.89209523809523839</v>
      </c>
      <c r="H342" s="9">
        <v>2.96</v>
      </c>
      <c r="I342" s="9">
        <v>2.5499999999999998</v>
      </c>
    </row>
    <row r="343" spans="1:9" x14ac:dyDescent="0.35">
      <c r="A343" t="s">
        <v>799</v>
      </c>
      <c r="B343" s="9">
        <v>4.21</v>
      </c>
      <c r="C343" s="9">
        <v>1.54</v>
      </c>
      <c r="D343" s="9">
        <v>1.98</v>
      </c>
      <c r="E343" s="12">
        <v>0.5</v>
      </c>
      <c r="F343" s="12">
        <v>0.74124545454545443</v>
      </c>
      <c r="G343" s="12">
        <v>0.9816136363636363</v>
      </c>
      <c r="H343" s="9">
        <v>3.05</v>
      </c>
      <c r="I343" s="9">
        <v>2.5299999999999998</v>
      </c>
    </row>
    <row r="344" spans="1:9" x14ac:dyDescent="0.35">
      <c r="A344" t="s">
        <v>800</v>
      </c>
      <c r="B344" s="9">
        <v>4.2300000000000004</v>
      </c>
      <c r="C344" s="9">
        <v>1.49</v>
      </c>
      <c r="D344" s="9">
        <v>1.99</v>
      </c>
      <c r="E344" s="12">
        <v>0.5</v>
      </c>
      <c r="F344" s="12">
        <v>0.86365000000000014</v>
      </c>
      <c r="G344" s="12">
        <v>1.1773199999999999</v>
      </c>
      <c r="H344" s="9">
        <v>3.06</v>
      </c>
      <c r="I344" s="9">
        <v>2.52</v>
      </c>
    </row>
    <row r="345" spans="1:9" x14ac:dyDescent="0.35">
      <c r="A345" t="s">
        <v>801</v>
      </c>
      <c r="B345" s="9">
        <v>4.1399999999999997</v>
      </c>
      <c r="C345" s="9">
        <v>1.53</v>
      </c>
      <c r="D345" s="9">
        <v>2.02</v>
      </c>
      <c r="E345" s="12">
        <v>0.5</v>
      </c>
      <c r="F345" s="12">
        <v>0.89698181818181844</v>
      </c>
      <c r="G345" s="12">
        <v>1.1276545454545455</v>
      </c>
      <c r="H345" s="9">
        <v>3.09</v>
      </c>
      <c r="I345" s="9">
        <v>2.5099999999999998</v>
      </c>
    </row>
    <row r="346" spans="1:9" x14ac:dyDescent="0.35">
      <c r="A346" t="s">
        <v>802</v>
      </c>
      <c r="B346" s="9">
        <v>4.17</v>
      </c>
      <c r="C346" s="9">
        <v>1.72</v>
      </c>
      <c r="D346" s="9">
        <v>2.0099999999999998</v>
      </c>
      <c r="E346" s="12">
        <v>0.5</v>
      </c>
      <c r="F346" s="12">
        <v>0.88429999999999997</v>
      </c>
      <c r="G346" s="12">
        <v>1.1022285714285713</v>
      </c>
      <c r="H346" s="9">
        <v>3.18</v>
      </c>
      <c r="I346" s="9">
        <v>2.4900000000000002</v>
      </c>
    </row>
    <row r="347" spans="1:9" x14ac:dyDescent="0.35">
      <c r="A347" t="s">
        <v>803</v>
      </c>
      <c r="B347" s="9">
        <v>4.16</v>
      </c>
      <c r="C347" s="9">
        <v>1.74</v>
      </c>
      <c r="D347" s="9">
        <v>2.06</v>
      </c>
      <c r="E347" s="12">
        <v>0.5</v>
      </c>
      <c r="F347" s="12">
        <v>0.78202173913043493</v>
      </c>
      <c r="G347" s="12">
        <v>1.0532652173913044</v>
      </c>
      <c r="H347" s="9">
        <v>3.19</v>
      </c>
      <c r="I347" s="9">
        <v>2.48</v>
      </c>
    </row>
    <row r="348" spans="1:9" x14ac:dyDescent="0.35">
      <c r="A348" t="s">
        <v>804</v>
      </c>
      <c r="B348" s="9">
        <v>4.0599999999999996</v>
      </c>
      <c r="C348" s="9">
        <v>1.74</v>
      </c>
      <c r="D348" s="9">
        <v>2.0299999999999998</v>
      </c>
      <c r="E348" s="12">
        <v>0.5</v>
      </c>
      <c r="F348" s="12">
        <v>0.79200476190476177</v>
      </c>
      <c r="G348" s="12">
        <v>1.0321809523809526</v>
      </c>
      <c r="H348" s="9">
        <v>3.22</v>
      </c>
      <c r="I348" s="9">
        <v>2.48</v>
      </c>
    </row>
    <row r="349" spans="1:9" x14ac:dyDescent="0.35">
      <c r="A349" t="s">
        <v>805</v>
      </c>
      <c r="B349" s="9">
        <v>4.0999999999999996</v>
      </c>
      <c r="C349" s="9">
        <v>1.75</v>
      </c>
      <c r="D349" s="9">
        <v>2.04</v>
      </c>
      <c r="E349" s="12">
        <v>0.5</v>
      </c>
      <c r="F349" s="12">
        <v>0.8347136363636366</v>
      </c>
      <c r="G349" s="12">
        <v>1.0303045454545454</v>
      </c>
      <c r="H349" s="9">
        <v>3.2</v>
      </c>
      <c r="I349" s="9">
        <v>2.46</v>
      </c>
    </row>
    <row r="350" spans="1:9" x14ac:dyDescent="0.35">
      <c r="A350" t="s">
        <v>806</v>
      </c>
      <c r="B350" s="9">
        <v>4.3499999999999996</v>
      </c>
      <c r="C350" s="9">
        <v>1.75</v>
      </c>
      <c r="D350" s="9">
        <v>2.0299999999999998</v>
      </c>
      <c r="E350" s="12">
        <v>0.73913043478260865</v>
      </c>
      <c r="F350" s="12">
        <v>0.86716521739130437</v>
      </c>
      <c r="G350" s="12">
        <v>1.061608695652174</v>
      </c>
      <c r="H350" s="9">
        <v>3.26</v>
      </c>
      <c r="I350" s="9">
        <v>2.4500000000000002</v>
      </c>
    </row>
    <row r="351" spans="1:9" x14ac:dyDescent="0.35">
      <c r="A351" t="s">
        <v>807</v>
      </c>
      <c r="B351" s="9">
        <v>4.3899999999999997</v>
      </c>
      <c r="C351" s="9">
        <v>1.71</v>
      </c>
      <c r="D351" s="9">
        <v>2.0099999999999998</v>
      </c>
      <c r="E351" s="12">
        <v>0.75</v>
      </c>
      <c r="F351" s="12">
        <v>0.91970500000000011</v>
      </c>
      <c r="G351" s="12">
        <v>1.15082</v>
      </c>
      <c r="H351" s="9">
        <v>3.3</v>
      </c>
      <c r="I351" s="9">
        <v>2.5299999999999998</v>
      </c>
    </row>
    <row r="352" spans="1:9" x14ac:dyDescent="0.35">
      <c r="A352" t="s">
        <v>808</v>
      </c>
      <c r="B352" s="9">
        <v>4.45</v>
      </c>
      <c r="C352" s="9">
        <v>1.8</v>
      </c>
      <c r="D352" s="9">
        <v>2.06</v>
      </c>
      <c r="E352" s="12">
        <v>0.75</v>
      </c>
      <c r="F352" s="12">
        <v>0.94954782608695654</v>
      </c>
      <c r="G352" s="12">
        <v>1.1964217391304346</v>
      </c>
      <c r="H352" s="9">
        <v>3.3</v>
      </c>
      <c r="I352" s="9">
        <v>2.5</v>
      </c>
    </row>
    <row r="353" spans="1:9" x14ac:dyDescent="0.35">
      <c r="A353" t="s">
        <v>809</v>
      </c>
      <c r="B353" s="9">
        <v>4.41</v>
      </c>
      <c r="C353" s="9">
        <v>1.75</v>
      </c>
      <c r="D353" s="9">
        <v>2.02</v>
      </c>
      <c r="E353" s="12">
        <v>0.75</v>
      </c>
      <c r="F353" s="12">
        <v>0.91476818181818187</v>
      </c>
      <c r="G353" s="12">
        <v>1.1217045454545453</v>
      </c>
      <c r="H353" s="9">
        <v>3.27</v>
      </c>
      <c r="I353" s="9">
        <v>2.5</v>
      </c>
    </row>
    <row r="354" spans="1:9" x14ac:dyDescent="0.35">
      <c r="A354" t="s">
        <v>810</v>
      </c>
      <c r="B354" s="9">
        <v>4.4000000000000004</v>
      </c>
      <c r="C354" s="9">
        <v>1.73</v>
      </c>
      <c r="D354" s="9">
        <v>2.0099999999999998</v>
      </c>
      <c r="E354" s="12">
        <v>0.75</v>
      </c>
      <c r="F354" s="12">
        <v>0.87290000000000001</v>
      </c>
      <c r="G354" s="12">
        <v>1.0263571428571427</v>
      </c>
      <c r="H354" s="9">
        <v>3.31</v>
      </c>
      <c r="I354" s="9">
        <v>2.48</v>
      </c>
    </row>
    <row r="355" spans="1:9" x14ac:dyDescent="0.35">
      <c r="A355" t="s">
        <v>811</v>
      </c>
      <c r="B355" s="9">
        <v>4.4800000000000004</v>
      </c>
      <c r="C355" s="9">
        <v>1.72</v>
      </c>
      <c r="D355" s="9">
        <v>2.0499999999999998</v>
      </c>
      <c r="E355" s="12">
        <v>0.75</v>
      </c>
      <c r="F355" s="12">
        <v>0.86973913043478246</v>
      </c>
      <c r="G355" s="12">
        <v>1.0239782608695651</v>
      </c>
      <c r="H355" s="9">
        <v>3.35</v>
      </c>
      <c r="I355" s="9">
        <v>2.48</v>
      </c>
    </row>
    <row r="356" spans="1:9" x14ac:dyDescent="0.35">
      <c r="A356" t="s">
        <v>812</v>
      </c>
      <c r="B356" s="9">
        <v>4.3099999999999996</v>
      </c>
      <c r="C356" s="9">
        <v>1.7</v>
      </c>
      <c r="D356" s="9">
        <v>2.0499999999999998</v>
      </c>
      <c r="E356" s="12">
        <v>0.75</v>
      </c>
      <c r="F356" s="12">
        <v>0.82660500000000003</v>
      </c>
      <c r="G356" s="12">
        <v>0.97106000000000015</v>
      </c>
      <c r="H356" s="9">
        <v>3.34</v>
      </c>
      <c r="I356" s="9">
        <v>2.46</v>
      </c>
    </row>
    <row r="357" spans="1:9" x14ac:dyDescent="0.35">
      <c r="A357" t="s">
        <v>813</v>
      </c>
      <c r="B357" s="9">
        <v>4.3099999999999996</v>
      </c>
      <c r="C357" s="9">
        <v>1.7</v>
      </c>
      <c r="D357" s="9">
        <v>2.0299999999999998</v>
      </c>
      <c r="E357" s="12">
        <v>0.75</v>
      </c>
      <c r="F357" s="12">
        <v>0.79832380952380955</v>
      </c>
      <c r="G357" s="12">
        <v>0.94320000000000004</v>
      </c>
      <c r="H357" s="9">
        <v>3.34</v>
      </c>
      <c r="I357" s="9">
        <v>2.4500000000000002</v>
      </c>
    </row>
    <row r="358" spans="1:9" x14ac:dyDescent="0.35">
      <c r="A358" t="s">
        <v>814</v>
      </c>
      <c r="B358" s="9">
        <v>4.3099999999999996</v>
      </c>
      <c r="C358" s="9">
        <v>1.66</v>
      </c>
      <c r="D358" s="9">
        <v>2</v>
      </c>
      <c r="E358" s="12">
        <v>0.75</v>
      </c>
      <c r="F358" s="12">
        <v>0.79212727272727268</v>
      </c>
      <c r="G358" s="12">
        <v>0.93886363636363623</v>
      </c>
      <c r="H358" s="9">
        <v>3.34</v>
      </c>
      <c r="I358" s="9">
        <v>2.4500000000000002</v>
      </c>
    </row>
    <row r="359" spans="1:9" x14ac:dyDescent="0.35">
      <c r="A359" t="s">
        <v>815</v>
      </c>
      <c r="B359" s="9">
        <v>4.29</v>
      </c>
      <c r="C359" s="9">
        <v>1.65</v>
      </c>
      <c r="D359" s="9">
        <v>1.99</v>
      </c>
      <c r="E359" s="12">
        <v>0.75</v>
      </c>
      <c r="F359" s="12">
        <v>0.76678695652173912</v>
      </c>
      <c r="G359" s="12">
        <v>0.8710478260869563</v>
      </c>
      <c r="H359" s="9">
        <v>3.32</v>
      </c>
      <c r="I359" s="9">
        <v>2.4300000000000002</v>
      </c>
    </row>
    <row r="360" spans="1:9" x14ac:dyDescent="0.35">
      <c r="A360" t="s">
        <v>816</v>
      </c>
      <c r="B360" s="9">
        <v>4.29</v>
      </c>
      <c r="C360" s="9">
        <v>1.64</v>
      </c>
      <c r="D360" s="9">
        <v>1.97</v>
      </c>
      <c r="E360" s="12">
        <v>0.75</v>
      </c>
      <c r="F360" s="12">
        <v>0.64100500000000005</v>
      </c>
      <c r="G360" s="12">
        <v>0.67961500000000008</v>
      </c>
      <c r="H360" s="9">
        <v>3.31</v>
      </c>
      <c r="I360" s="9">
        <v>2.4300000000000002</v>
      </c>
    </row>
    <row r="361" spans="1:9" x14ac:dyDescent="0.35">
      <c r="A361" t="s">
        <v>817</v>
      </c>
      <c r="B361" s="9">
        <v>4.29</v>
      </c>
      <c r="C361" s="9">
        <v>1.61</v>
      </c>
      <c r="D361" s="9">
        <v>1.93</v>
      </c>
      <c r="E361" s="12">
        <v>0.75</v>
      </c>
      <c r="F361" s="12">
        <v>0.53591304347826085</v>
      </c>
      <c r="G361" s="12">
        <v>0.57269130434782611</v>
      </c>
      <c r="H361" s="9">
        <v>3.3</v>
      </c>
      <c r="I361" s="9">
        <v>2.42</v>
      </c>
    </row>
    <row r="362" spans="1:9" x14ac:dyDescent="0.35">
      <c r="A362" t="s">
        <v>818</v>
      </c>
      <c r="B362" s="9">
        <v>4.29</v>
      </c>
      <c r="C362" s="9">
        <v>1.59</v>
      </c>
      <c r="D362" s="9">
        <v>1.89</v>
      </c>
      <c r="E362" s="12">
        <v>0.75</v>
      </c>
      <c r="F362" s="12">
        <v>0.45982272727272727</v>
      </c>
      <c r="G362" s="12">
        <v>0.39781818181818179</v>
      </c>
      <c r="H362" s="9">
        <v>3.27</v>
      </c>
      <c r="I362" s="9">
        <v>2.42</v>
      </c>
    </row>
    <row r="363" spans="1:9" x14ac:dyDescent="0.35">
      <c r="A363" t="s">
        <v>819</v>
      </c>
      <c r="B363" s="9">
        <v>4.29</v>
      </c>
      <c r="C363" s="9">
        <v>1.55</v>
      </c>
      <c r="D363" s="9">
        <v>1.79</v>
      </c>
      <c r="E363" s="12">
        <v>0.75</v>
      </c>
      <c r="F363" s="12">
        <v>0.53210476190476197</v>
      </c>
      <c r="G363" s="12">
        <v>0.46817142857142846</v>
      </c>
      <c r="H363" s="9">
        <v>3.27</v>
      </c>
      <c r="I363" s="9">
        <v>2.4</v>
      </c>
    </row>
    <row r="364" spans="1:9" x14ac:dyDescent="0.35">
      <c r="A364" t="s">
        <v>820</v>
      </c>
      <c r="B364" s="9">
        <v>4.2699999999999996</v>
      </c>
      <c r="C364" s="9">
        <v>1.47</v>
      </c>
      <c r="D364" s="9">
        <v>1.71</v>
      </c>
      <c r="E364" s="12">
        <v>0.75</v>
      </c>
      <c r="F364" s="12">
        <v>0.52489130434782605</v>
      </c>
      <c r="G364" s="12">
        <v>0.49223043478260875</v>
      </c>
      <c r="H364" s="9">
        <v>3.26</v>
      </c>
      <c r="I364" s="9">
        <v>2.39</v>
      </c>
    </row>
    <row r="365" spans="1:9" x14ac:dyDescent="0.35">
      <c r="A365" t="s">
        <v>821</v>
      </c>
      <c r="B365" s="9">
        <v>4.2699999999999996</v>
      </c>
      <c r="C365" s="9">
        <v>1.41</v>
      </c>
      <c r="D365" s="9">
        <v>1.67</v>
      </c>
      <c r="E365" s="12">
        <v>0.75</v>
      </c>
      <c r="F365" s="12">
        <v>0.58080476190476182</v>
      </c>
      <c r="G365" s="12">
        <v>0.5954857142857144</v>
      </c>
      <c r="H365" s="9">
        <v>3.24</v>
      </c>
      <c r="I365" s="9">
        <v>2.4</v>
      </c>
    </row>
    <row r="366" spans="1:9" x14ac:dyDescent="0.35">
      <c r="A366" t="s">
        <v>822</v>
      </c>
      <c r="B366" s="9">
        <v>4.2699999999999996</v>
      </c>
      <c r="C366" s="9">
        <v>1.42</v>
      </c>
      <c r="D366" s="9">
        <v>1.67</v>
      </c>
      <c r="E366" s="12">
        <v>0.75</v>
      </c>
      <c r="F366" s="12">
        <v>0.60381818181818181</v>
      </c>
      <c r="G366" s="12">
        <v>0.65080454545454536</v>
      </c>
      <c r="H366" s="9">
        <v>3.28</v>
      </c>
      <c r="I366" s="9">
        <v>2.37</v>
      </c>
    </row>
    <row r="367" spans="1:9" x14ac:dyDescent="0.35">
      <c r="A367" t="s">
        <v>823</v>
      </c>
      <c r="B367" s="9">
        <v>4.2699999999999996</v>
      </c>
      <c r="C367" s="9">
        <v>1.41</v>
      </c>
      <c r="D367" s="9">
        <v>1.68</v>
      </c>
      <c r="E367" s="12">
        <v>0.75</v>
      </c>
      <c r="F367" s="12">
        <v>0.502</v>
      </c>
      <c r="G367" s="12">
        <v>0.53917391304347828</v>
      </c>
      <c r="H367" s="9">
        <v>3.29</v>
      </c>
      <c r="I367" s="9">
        <v>2.37</v>
      </c>
    </row>
    <row r="368" spans="1:9" x14ac:dyDescent="0.35">
      <c r="A368" t="s">
        <v>824</v>
      </c>
      <c r="B368" s="9">
        <v>4.26</v>
      </c>
      <c r="C368" s="9">
        <v>1.4</v>
      </c>
      <c r="D368" s="9">
        <v>1.67</v>
      </c>
      <c r="E368" s="12">
        <v>0.75</v>
      </c>
      <c r="F368" s="12">
        <v>0.50953999999999999</v>
      </c>
      <c r="G368" s="12">
        <v>0.49424999999999991</v>
      </c>
      <c r="H368" s="9">
        <v>3.3</v>
      </c>
      <c r="I368" s="9">
        <v>2.37</v>
      </c>
    </row>
    <row r="369" spans="1:9" x14ac:dyDescent="0.35">
      <c r="A369" t="s">
        <v>825</v>
      </c>
      <c r="B369" s="9">
        <v>4.0999999999999996</v>
      </c>
      <c r="C369" s="9">
        <v>1.4</v>
      </c>
      <c r="D369" s="9">
        <v>1.66</v>
      </c>
      <c r="E369" s="12">
        <v>0.34772727272727261</v>
      </c>
      <c r="F369" s="12">
        <v>0.1956681818181818</v>
      </c>
      <c r="G369" s="12">
        <v>0.2834681818181819</v>
      </c>
      <c r="H369" s="9">
        <v>3.21</v>
      </c>
      <c r="I369" s="9">
        <v>2.33</v>
      </c>
    </row>
    <row r="370" spans="1:9" x14ac:dyDescent="0.35">
      <c r="A370" t="s">
        <v>826</v>
      </c>
      <c r="B370" s="9">
        <v>3.66</v>
      </c>
      <c r="C370" s="9">
        <v>1.38</v>
      </c>
      <c r="D370" s="9">
        <v>1.67</v>
      </c>
      <c r="E370" s="12">
        <v>0.10000000000000003</v>
      </c>
      <c r="F370" s="12">
        <v>0.11658181818181818</v>
      </c>
      <c r="G370" s="12">
        <v>0.19867272727272728</v>
      </c>
      <c r="H370" s="9">
        <v>2.98</v>
      </c>
      <c r="I370" s="9">
        <v>2.21</v>
      </c>
    </row>
    <row r="371" spans="1:9" x14ac:dyDescent="0.35">
      <c r="A371" t="s">
        <v>827</v>
      </c>
      <c r="B371" s="9">
        <v>3.65</v>
      </c>
      <c r="C371" s="9">
        <v>1.42</v>
      </c>
      <c r="D371" s="9">
        <v>1.7</v>
      </c>
      <c r="E371" s="12">
        <v>0.10000000000000002</v>
      </c>
      <c r="F371" s="12">
        <v>2.3600000000000006E-2</v>
      </c>
      <c r="G371" s="12">
        <v>8.4699999999999998E-2</v>
      </c>
      <c r="H371" s="9">
        <v>2.86</v>
      </c>
      <c r="I371" s="9">
        <v>2.17</v>
      </c>
    </row>
    <row r="372" spans="1:9" x14ac:dyDescent="0.35">
      <c r="A372" t="s">
        <v>828</v>
      </c>
      <c r="B372" s="9">
        <v>3.65</v>
      </c>
      <c r="C372" s="9">
        <v>1.41</v>
      </c>
      <c r="D372" s="9">
        <v>1.69</v>
      </c>
      <c r="E372" s="12">
        <v>0.10000000000000003</v>
      </c>
      <c r="F372" s="12">
        <v>3.1227272727272718E-3</v>
      </c>
      <c r="G372" s="12">
        <v>5.155454545454545E-2</v>
      </c>
      <c r="H372" s="9">
        <v>2.79</v>
      </c>
      <c r="I372" s="9">
        <v>2.17</v>
      </c>
    </row>
    <row r="373" spans="1:9" x14ac:dyDescent="0.35">
      <c r="A373" t="s">
        <v>829</v>
      </c>
      <c r="B373" s="9">
        <v>3.66</v>
      </c>
      <c r="C373" s="9">
        <v>1.45</v>
      </c>
      <c r="D373" s="9">
        <v>1.7</v>
      </c>
      <c r="E373" s="12">
        <v>0.10000000000000003</v>
      </c>
      <c r="F373" s="12">
        <v>-4.2673913043478257E-2</v>
      </c>
      <c r="G373" s="12">
        <v>-2.789565217391304E-2</v>
      </c>
      <c r="H373" s="9">
        <v>2.66</v>
      </c>
      <c r="I373" s="9">
        <v>2.16</v>
      </c>
    </row>
    <row r="374" spans="1:9" x14ac:dyDescent="0.35">
      <c r="A374" t="s">
        <v>830</v>
      </c>
      <c r="B374" s="9">
        <v>3.65</v>
      </c>
      <c r="C374" s="9">
        <v>1.6</v>
      </c>
      <c r="D374" s="9">
        <v>1.79</v>
      </c>
      <c r="E374" s="12">
        <v>0.10000000000000002</v>
      </c>
      <c r="F374" s="12">
        <v>-3.0723809523809525E-2</v>
      </c>
      <c r="G374" s="12">
        <v>-5.6761904761904753E-3</v>
      </c>
      <c r="H374" s="9">
        <v>2.5299999999999998</v>
      </c>
      <c r="I374" s="9">
        <v>2.14</v>
      </c>
    </row>
    <row r="375" spans="1:9" x14ac:dyDescent="0.35">
      <c r="A375" t="s">
        <v>831</v>
      </c>
      <c r="B375" s="9">
        <v>3.65</v>
      </c>
      <c r="C375" s="9">
        <v>1.75</v>
      </c>
      <c r="D375" s="9">
        <v>1.92</v>
      </c>
      <c r="E375" s="12">
        <v>0.10000000000000003</v>
      </c>
      <c r="F375" s="12">
        <v>-6.639090909090907E-2</v>
      </c>
      <c r="G375" s="12">
        <v>-3.3150000000000006E-2</v>
      </c>
      <c r="H375" s="9">
        <v>2.52</v>
      </c>
      <c r="I375" s="9">
        <v>2.13</v>
      </c>
    </row>
    <row r="376" spans="1:9" x14ac:dyDescent="0.35">
      <c r="A376" t="s">
        <v>832</v>
      </c>
      <c r="B376" s="9">
        <v>3.64</v>
      </c>
      <c r="C376" s="9">
        <v>1.94</v>
      </c>
      <c r="D376" s="9">
        <v>2.0499999999999998</v>
      </c>
      <c r="E376" s="12">
        <v>0.10000000000000003</v>
      </c>
      <c r="F376" s="12">
        <v>-4.7495454545454563E-2</v>
      </c>
      <c r="G376" s="12">
        <v>-5.2000000000000015E-3</v>
      </c>
      <c r="H376" s="9">
        <v>2.46</v>
      </c>
      <c r="I376" s="9">
        <v>2.12</v>
      </c>
    </row>
    <row r="377" spans="1:9" x14ac:dyDescent="0.35">
      <c r="A377" t="s">
        <v>833</v>
      </c>
      <c r="B377" s="9">
        <v>3.62</v>
      </c>
      <c r="C377" s="9">
        <v>1.92</v>
      </c>
      <c r="D377" s="9">
        <v>2.0499999999999998</v>
      </c>
      <c r="E377" s="12">
        <v>0.10000000000000002</v>
      </c>
      <c r="F377" s="12">
        <v>-1.9104761904761902E-2</v>
      </c>
      <c r="G377" s="12">
        <v>4.7828571428571436E-2</v>
      </c>
      <c r="H377" s="9">
        <v>2.4500000000000002</v>
      </c>
      <c r="I377" s="9">
        <v>2.12</v>
      </c>
    </row>
    <row r="378" spans="1:9" x14ac:dyDescent="0.35">
      <c r="A378" t="s">
        <v>834</v>
      </c>
      <c r="B378" s="9">
        <v>3.62</v>
      </c>
      <c r="C378" s="9">
        <v>1.86</v>
      </c>
      <c r="D378" s="9">
        <v>2</v>
      </c>
      <c r="E378" s="12">
        <v>0.10000000000000003</v>
      </c>
      <c r="F378" s="12">
        <v>-2.8086956521739127E-2</v>
      </c>
      <c r="G378" s="12">
        <v>2.8626086956521739E-2</v>
      </c>
      <c r="H378" s="9">
        <v>2.4500000000000002</v>
      </c>
      <c r="I378" s="9">
        <v>2.12</v>
      </c>
    </row>
    <row r="379" spans="1:9" x14ac:dyDescent="0.35">
      <c r="A379" t="s">
        <v>835</v>
      </c>
      <c r="B379" s="9">
        <v>3.62</v>
      </c>
      <c r="C379" s="9">
        <v>1.75</v>
      </c>
      <c r="D379" s="9">
        <v>1.92</v>
      </c>
      <c r="E379" s="12">
        <v>0.10000000000000002</v>
      </c>
      <c r="F379" s="12">
        <v>-5.21952380952381E-2</v>
      </c>
      <c r="G379" s="12">
        <v>2.8471428571428571E-2</v>
      </c>
      <c r="H379" s="9">
        <v>2.41</v>
      </c>
      <c r="I379" s="9">
        <v>2.09</v>
      </c>
    </row>
    <row r="380" spans="1:9" x14ac:dyDescent="0.35">
      <c r="A380" t="s">
        <v>836</v>
      </c>
      <c r="B380" s="9">
        <v>3.62</v>
      </c>
      <c r="C380" s="9">
        <v>1.61</v>
      </c>
      <c r="D380" s="9">
        <v>1.8</v>
      </c>
      <c r="E380" s="12">
        <v>0.10000000000000002</v>
      </c>
      <c r="F380" s="12">
        <v>3.2719999999999999E-2</v>
      </c>
      <c r="G380" s="12">
        <v>0.22059500000000001</v>
      </c>
      <c r="H380" s="9">
        <v>2.4300000000000002</v>
      </c>
      <c r="I380" s="9">
        <v>2.09</v>
      </c>
    </row>
    <row r="381" spans="1:9" x14ac:dyDescent="0.35">
      <c r="A381" t="s">
        <v>837</v>
      </c>
      <c r="B381" s="9">
        <v>3.62</v>
      </c>
      <c r="C381" s="9">
        <v>1.56</v>
      </c>
      <c r="D381" s="9">
        <v>1.74</v>
      </c>
      <c r="E381" s="12">
        <v>0.10000000000000003</v>
      </c>
      <c r="F381" s="12">
        <v>0.10110869565217391</v>
      </c>
      <c r="G381" s="12">
        <v>0.40889999999999999</v>
      </c>
      <c r="H381" s="9">
        <v>2.44</v>
      </c>
      <c r="I381" s="9">
        <v>2.09</v>
      </c>
    </row>
    <row r="382" spans="1:9" x14ac:dyDescent="0.35">
      <c r="A382" t="s">
        <v>838</v>
      </c>
      <c r="B382" s="9">
        <v>3.61</v>
      </c>
      <c r="C382" s="9">
        <v>1.49</v>
      </c>
      <c r="D382" s="9">
        <v>1.71</v>
      </c>
      <c r="E382" s="12">
        <v>0.10000000000000003</v>
      </c>
      <c r="F382" s="12">
        <v>0.11253181818181819</v>
      </c>
      <c r="G382" s="12">
        <v>0.43366363636363636</v>
      </c>
      <c r="H382" s="9">
        <v>2.42</v>
      </c>
      <c r="I382" s="9">
        <v>2.0699999999999998</v>
      </c>
    </row>
    <row r="383" spans="1:9" x14ac:dyDescent="0.35">
      <c r="A383" t="s">
        <v>839</v>
      </c>
      <c r="B383" s="9">
        <v>3.61</v>
      </c>
      <c r="C383" s="9">
        <v>1.47</v>
      </c>
      <c r="D383" s="9">
        <v>1.68</v>
      </c>
      <c r="E383" s="12">
        <v>0.10000000000000002</v>
      </c>
      <c r="F383" s="12">
        <v>0.13439999999999999</v>
      </c>
      <c r="G383" s="12">
        <v>0.46369999999999995</v>
      </c>
      <c r="H383" s="9">
        <v>2.5</v>
      </c>
      <c r="I383" s="9">
        <v>2.0699999999999998</v>
      </c>
    </row>
    <row r="384" spans="1:9" x14ac:dyDescent="0.35">
      <c r="A384" t="s">
        <v>840</v>
      </c>
      <c r="B384" s="9">
        <v>3.61</v>
      </c>
      <c r="C384" s="9">
        <v>1.39</v>
      </c>
      <c r="D384" s="9">
        <v>1.6</v>
      </c>
      <c r="E384" s="12">
        <v>0.10000000000000003</v>
      </c>
      <c r="F384" s="12">
        <v>0.17512727272727277</v>
      </c>
      <c r="G384" s="12">
        <v>0.47189545454545456</v>
      </c>
      <c r="H384" s="9">
        <v>2.5499999999999998</v>
      </c>
      <c r="I384" s="9">
        <v>2.08</v>
      </c>
    </row>
    <row r="385" spans="1:9" x14ac:dyDescent="0.35">
      <c r="A385" t="s">
        <v>841</v>
      </c>
      <c r="B385" s="9">
        <v>3.61</v>
      </c>
      <c r="C385" s="9">
        <v>1.29</v>
      </c>
      <c r="D385" s="9">
        <v>1.45</v>
      </c>
      <c r="E385" s="12">
        <v>0.10000000000000003</v>
      </c>
      <c r="F385" s="12">
        <v>0.20827272727272728</v>
      </c>
      <c r="G385" s="12">
        <v>0.43007272727272733</v>
      </c>
      <c r="H385" s="9">
        <v>2.5499999999999998</v>
      </c>
      <c r="I385" s="9">
        <v>2.0499999999999998</v>
      </c>
    </row>
    <row r="386" spans="1:9" x14ac:dyDescent="0.35">
      <c r="A386" t="s">
        <v>842</v>
      </c>
      <c r="B386" s="9">
        <v>3.61</v>
      </c>
      <c r="C386" s="9">
        <v>1.23</v>
      </c>
      <c r="D386" s="9">
        <v>1.39</v>
      </c>
      <c r="E386" s="12">
        <v>0.10000000000000003</v>
      </c>
      <c r="F386" s="12">
        <v>0.26039545454545454</v>
      </c>
      <c r="G386" s="12">
        <v>0.43660454545454552</v>
      </c>
      <c r="H386" s="9">
        <v>2.65</v>
      </c>
      <c r="I386" s="9">
        <v>2.06</v>
      </c>
    </row>
    <row r="387" spans="1:9" x14ac:dyDescent="0.35">
      <c r="A387" t="s">
        <v>843</v>
      </c>
      <c r="B387" s="9">
        <v>3.61</v>
      </c>
      <c r="C387" s="9">
        <v>1.2</v>
      </c>
      <c r="D387" s="9">
        <v>1.28</v>
      </c>
      <c r="E387" s="12">
        <v>0.10000000000000003</v>
      </c>
      <c r="F387" s="12">
        <v>0.35429545454545458</v>
      </c>
      <c r="G387" s="12">
        <v>0.57220000000000004</v>
      </c>
      <c r="H387" s="9">
        <v>2.65</v>
      </c>
      <c r="I387" s="9">
        <v>2.0499999999999998</v>
      </c>
    </row>
    <row r="388" spans="1:9" x14ac:dyDescent="0.35">
      <c r="A388" t="s">
        <v>844</v>
      </c>
      <c r="B388" s="9">
        <v>3.6</v>
      </c>
      <c r="C388" s="9">
        <v>1.29</v>
      </c>
      <c r="D388" s="9">
        <v>1.3</v>
      </c>
      <c r="E388" s="12">
        <v>0.10000000000000002</v>
      </c>
      <c r="F388" s="12">
        <v>0.77857142857142847</v>
      </c>
      <c r="G388" s="12">
        <v>0.90687142857142855</v>
      </c>
      <c r="H388" s="9">
        <v>2.66</v>
      </c>
      <c r="I388" s="9">
        <v>2.0299999999999998</v>
      </c>
    </row>
    <row r="389" spans="1:9" x14ac:dyDescent="0.35">
      <c r="A389" t="s">
        <v>845</v>
      </c>
      <c r="B389" s="9">
        <v>3.59</v>
      </c>
      <c r="C389" s="9">
        <v>1.53</v>
      </c>
      <c r="D389" s="9">
        <v>1.52</v>
      </c>
      <c r="E389" s="12">
        <v>0.10000000000000003</v>
      </c>
      <c r="F389" s="12">
        <v>0.89639090909090902</v>
      </c>
      <c r="G389" s="12">
        <v>0.98397272727272744</v>
      </c>
      <c r="H389" s="9">
        <v>2.7</v>
      </c>
      <c r="I389" s="9">
        <v>2.02</v>
      </c>
    </row>
    <row r="390" spans="1:9" x14ac:dyDescent="0.35">
      <c r="A390" t="s">
        <v>846</v>
      </c>
      <c r="B390" s="9">
        <v>3.61</v>
      </c>
      <c r="C390" s="9">
        <v>1.57</v>
      </c>
      <c r="D390" s="9">
        <v>1.59</v>
      </c>
      <c r="E390" s="12">
        <v>0.17826086956521739</v>
      </c>
      <c r="F390" s="12">
        <v>0.89962173913043486</v>
      </c>
      <c r="G390" s="12">
        <v>0.93178260869565221</v>
      </c>
      <c r="H390" s="9">
        <v>2.75</v>
      </c>
      <c r="I390" s="9">
        <v>2.0099999999999998</v>
      </c>
    </row>
    <row r="391" spans="1:9" x14ac:dyDescent="0.35">
      <c r="A391" t="s">
        <v>847</v>
      </c>
      <c r="B391" s="9">
        <v>3.67</v>
      </c>
      <c r="C391" s="9">
        <v>1.64</v>
      </c>
      <c r="D391" s="9">
        <v>1.63</v>
      </c>
      <c r="E391" s="12">
        <v>0.25</v>
      </c>
      <c r="F391" s="12">
        <v>1.1306333333333332</v>
      </c>
      <c r="G391" s="12">
        <v>1.1859285714285714</v>
      </c>
      <c r="H391" s="9">
        <v>2.81</v>
      </c>
      <c r="I391" s="9">
        <v>2.0099999999999998</v>
      </c>
    </row>
    <row r="392" spans="1:9" x14ac:dyDescent="0.35">
      <c r="A392" t="s">
        <v>848</v>
      </c>
      <c r="B392" s="9">
        <v>3.84</v>
      </c>
      <c r="C392" s="9">
        <v>1.78</v>
      </c>
      <c r="D392" s="9">
        <v>1.79</v>
      </c>
      <c r="E392" s="12">
        <v>0.47499999999999998</v>
      </c>
      <c r="F392" s="12">
        <v>1.654685</v>
      </c>
      <c r="G392" s="12">
        <v>1.585215</v>
      </c>
      <c r="H392" s="9">
        <v>2.95</v>
      </c>
      <c r="I392" s="9">
        <v>2.02</v>
      </c>
    </row>
    <row r="393" spans="1:9" x14ac:dyDescent="0.35">
      <c r="A393" t="s">
        <v>849</v>
      </c>
      <c r="B393" s="9">
        <v>3.99</v>
      </c>
      <c r="C393" s="9">
        <v>2.14</v>
      </c>
      <c r="D393" s="9">
        <v>2.11</v>
      </c>
      <c r="E393" s="12">
        <v>0.61956521739130432</v>
      </c>
      <c r="F393" s="12">
        <v>1.8776652173913042</v>
      </c>
      <c r="G393" s="12">
        <v>1.7631565217391303</v>
      </c>
      <c r="H393" s="9">
        <v>3.05</v>
      </c>
      <c r="I393" s="9">
        <v>2.0499999999999998</v>
      </c>
    </row>
    <row r="394" spans="1:9" x14ac:dyDescent="0.35">
      <c r="A394" t="s">
        <v>850</v>
      </c>
      <c r="B394" s="9">
        <v>4.1100000000000003</v>
      </c>
      <c r="C394" s="9">
        <v>2.35</v>
      </c>
      <c r="D394" s="9">
        <v>2.35</v>
      </c>
      <c r="E394" s="12">
        <v>0.75</v>
      </c>
      <c r="F394" s="12">
        <v>2.1550523809523807</v>
      </c>
      <c r="G394" s="12">
        <v>2.0562571428571434</v>
      </c>
      <c r="H394" s="9">
        <v>3.15</v>
      </c>
      <c r="I394" s="9">
        <v>2.0499999999999998</v>
      </c>
    </row>
    <row r="395" spans="1:9" x14ac:dyDescent="0.35">
      <c r="A395" t="s">
        <v>851</v>
      </c>
      <c r="B395" s="9">
        <v>4.26</v>
      </c>
      <c r="C395" s="9">
        <v>2.63</v>
      </c>
      <c r="D395" s="9">
        <v>2.62</v>
      </c>
      <c r="E395" s="12">
        <v>0.96590909090909094</v>
      </c>
      <c r="F395" s="12">
        <v>2.1848772727272734</v>
      </c>
      <c r="G395" s="12">
        <v>2.0931500000000001</v>
      </c>
      <c r="H395" s="9">
        <v>3.35</v>
      </c>
      <c r="I395" s="9">
        <v>2.08</v>
      </c>
    </row>
    <row r="396" spans="1:9" x14ac:dyDescent="0.35">
      <c r="A396" t="s">
        <v>852</v>
      </c>
      <c r="B396" s="9">
        <v>4.3899999999999997</v>
      </c>
      <c r="C396" s="9">
        <v>2.87</v>
      </c>
      <c r="D396" s="9">
        <v>2.9</v>
      </c>
      <c r="E396" s="12">
        <v>1.125</v>
      </c>
      <c r="F396" s="12">
        <v>2.7710318181818181</v>
      </c>
      <c r="G396" s="12">
        <v>2.6395681818181815</v>
      </c>
      <c r="H396" s="9">
        <v>3.48</v>
      </c>
      <c r="I396" s="9">
        <v>2.12</v>
      </c>
    </row>
    <row r="397" spans="1:9" x14ac:dyDescent="0.35">
      <c r="A397" t="s">
        <v>853</v>
      </c>
      <c r="B397" s="9">
        <v>4.55</v>
      </c>
      <c r="C397" s="9">
        <v>3.48</v>
      </c>
      <c r="D397" s="9">
        <v>3.43</v>
      </c>
      <c r="E397" s="12">
        <v>1.25</v>
      </c>
      <c r="F397" s="12">
        <v>2.6440952380952383</v>
      </c>
      <c r="G397" s="12">
        <v>2.391576190476191</v>
      </c>
      <c r="H397" s="9">
        <v>3.56</v>
      </c>
      <c r="I397" s="9">
        <v>2.13</v>
      </c>
    </row>
    <row r="398" spans="1:9" x14ac:dyDescent="0.35">
      <c r="A398" t="s">
        <v>854</v>
      </c>
      <c r="B398" s="9">
        <v>4.88</v>
      </c>
      <c r="C398" s="9">
        <v>3.6</v>
      </c>
      <c r="D398" s="9">
        <v>3.61</v>
      </c>
      <c r="E398" s="12">
        <v>1.6847826086956521</v>
      </c>
      <c r="F398" s="12">
        <v>3.1976869565217387</v>
      </c>
      <c r="G398" s="12">
        <v>2.7660913043478259</v>
      </c>
      <c r="H398" s="9">
        <v>3.87</v>
      </c>
      <c r="I398" s="9">
        <v>2.1800000000000002</v>
      </c>
    </row>
    <row r="399" spans="1:9" x14ac:dyDescent="0.35">
      <c r="A399" t="s">
        <v>855</v>
      </c>
      <c r="B399" s="9">
        <v>5.0999999999999996</v>
      </c>
      <c r="C399" s="9">
        <v>4.17</v>
      </c>
      <c r="D399" s="9">
        <v>3.97</v>
      </c>
      <c r="E399" s="12">
        <v>1.9090909090909092</v>
      </c>
      <c r="F399" s="12">
        <v>4.4644363636363638</v>
      </c>
      <c r="G399" s="12">
        <v>4.0159045454545454</v>
      </c>
      <c r="H399" s="9">
        <v>4.08</v>
      </c>
      <c r="I399" s="9">
        <v>2.25</v>
      </c>
    </row>
    <row r="400" spans="1:9" x14ac:dyDescent="0.35">
      <c r="A400" t="s">
        <v>856</v>
      </c>
      <c r="B400" s="9">
        <v>5.42</v>
      </c>
      <c r="C400" s="9">
        <v>5.99</v>
      </c>
      <c r="D400" s="9">
        <v>5.61</v>
      </c>
      <c r="E400" s="12">
        <v>2.25</v>
      </c>
      <c r="F400" s="12">
        <v>4.9618000000000011</v>
      </c>
      <c r="G400" s="12">
        <v>4.729171428571429</v>
      </c>
      <c r="H400" s="9">
        <v>4.33</v>
      </c>
      <c r="I400" s="9">
        <v>2.29</v>
      </c>
    </row>
    <row r="401" spans="1:9" x14ac:dyDescent="0.35">
      <c r="A401" t="s">
        <v>857</v>
      </c>
      <c r="B401" s="9">
        <v>5.87</v>
      </c>
      <c r="C401" s="9">
        <v>5.98</v>
      </c>
      <c r="D401" s="9">
        <v>5.5</v>
      </c>
      <c r="E401" s="12">
        <v>2.9318181818181817</v>
      </c>
      <c r="F401" s="12">
        <v>4.3443727272727273</v>
      </c>
      <c r="G401" s="12">
        <v>3.9372409090909088</v>
      </c>
      <c r="H401" s="9">
        <v>4.82</v>
      </c>
      <c r="I401" s="9">
        <v>2.39</v>
      </c>
    </row>
    <row r="402" spans="1:9" x14ac:dyDescent="0.35">
      <c r="A402" t="s">
        <v>858</v>
      </c>
      <c r="B402" s="9">
        <v>6.42</v>
      </c>
      <c r="C402" s="9">
        <v>5.43</v>
      </c>
      <c r="D402" s="9">
        <v>5.05</v>
      </c>
      <c r="E402" s="12">
        <v>3.2727272727272729</v>
      </c>
      <c r="F402" s="12">
        <v>4.3740318181818187</v>
      </c>
      <c r="G402" s="12">
        <v>3.9019318181818177</v>
      </c>
      <c r="H402" s="9">
        <v>5.14</v>
      </c>
      <c r="I402" s="9">
        <v>2.5099999999999998</v>
      </c>
    </row>
    <row r="403" spans="1:9" x14ac:dyDescent="0.35">
      <c r="A403" t="s">
        <v>859</v>
      </c>
      <c r="B403" s="9">
        <v>6.61</v>
      </c>
      <c r="C403" s="9">
        <v>5.14</v>
      </c>
      <c r="D403" s="9">
        <v>4.66</v>
      </c>
      <c r="E403" s="12">
        <v>3.5</v>
      </c>
      <c r="F403" s="12">
        <v>4.1629409090909091</v>
      </c>
      <c r="G403" s="12">
        <v>3.711327272727273</v>
      </c>
      <c r="H403" s="9">
        <v>5.3</v>
      </c>
      <c r="I403" s="9">
        <v>2.5499999999999998</v>
      </c>
    </row>
    <row r="404" spans="1:9" x14ac:dyDescent="0.35">
      <c r="A404" t="s">
        <v>860</v>
      </c>
      <c r="B404" s="9">
        <v>6.97</v>
      </c>
      <c r="C404" s="9">
        <v>4.79</v>
      </c>
      <c r="D404" s="9">
        <v>4.3600000000000003</v>
      </c>
      <c r="E404" s="12">
        <v>3.9750000000000001</v>
      </c>
      <c r="F404" s="12">
        <v>4.1792999999999996</v>
      </c>
      <c r="G404" s="12">
        <v>3.7281949999999995</v>
      </c>
      <c r="H404" s="9">
        <v>5.65</v>
      </c>
      <c r="I404" s="9">
        <v>2.65</v>
      </c>
    </row>
    <row r="405" spans="1:9" x14ac:dyDescent="0.35">
      <c r="A405" t="s">
        <v>861</v>
      </c>
      <c r="B405" s="9">
        <v>7.16</v>
      </c>
      <c r="C405" s="9">
        <v>4.74</v>
      </c>
      <c r="D405" s="9">
        <v>4.26</v>
      </c>
      <c r="E405" s="12">
        <v>4.0760869565217392</v>
      </c>
      <c r="F405" s="12">
        <v>4.2918130434782613</v>
      </c>
      <c r="G405" s="12">
        <v>3.8281869565217397</v>
      </c>
      <c r="H405" s="9">
        <v>5.79</v>
      </c>
      <c r="I405" s="9">
        <v>2.75</v>
      </c>
    </row>
    <row r="406" spans="1:9" x14ac:dyDescent="0.35">
      <c r="A406" t="s">
        <v>862</v>
      </c>
      <c r="B406" s="9">
        <v>7.3</v>
      </c>
      <c r="C406" s="9">
        <v>4.5999999999999996</v>
      </c>
      <c r="D406" s="9">
        <v>4.16</v>
      </c>
      <c r="E406" s="12">
        <v>4.25</v>
      </c>
      <c r="F406" s="12">
        <v>4.3459450000000004</v>
      </c>
      <c r="G406" s="12">
        <v>3.8564000000000007</v>
      </c>
      <c r="H406" s="9">
        <v>5.91</v>
      </c>
      <c r="I406" s="9">
        <v>2.76</v>
      </c>
    </row>
    <row r="407" spans="1:9" x14ac:dyDescent="0.35">
      <c r="A407" t="s">
        <v>863</v>
      </c>
      <c r="B407" s="9">
        <v>7.38</v>
      </c>
      <c r="C407" s="9">
        <v>4.72</v>
      </c>
      <c r="D407" s="9">
        <v>4.28</v>
      </c>
      <c r="E407" s="12">
        <v>4.4130434782608692</v>
      </c>
      <c r="F407" s="12">
        <v>4.6877086956521747</v>
      </c>
      <c r="G407" s="12">
        <v>4.1703173913043488</v>
      </c>
      <c r="H407" s="9">
        <v>6.04</v>
      </c>
      <c r="I407" s="9">
        <v>2.83</v>
      </c>
    </row>
    <row r="408" spans="1:9" x14ac:dyDescent="0.35">
      <c r="A408" t="s">
        <v>864</v>
      </c>
      <c r="B408" s="9">
        <v>7.47</v>
      </c>
      <c r="C408" s="9">
        <v>5.49</v>
      </c>
      <c r="D408" s="9">
        <v>4.95</v>
      </c>
      <c r="E408" s="12">
        <v>4.6590909090909092</v>
      </c>
      <c r="F408" s="12">
        <v>5.5270727272727278</v>
      </c>
      <c r="G408" s="12">
        <v>4.8115409090909091</v>
      </c>
      <c r="H408" s="9">
        <v>6.32</v>
      </c>
      <c r="I408" s="9">
        <v>2.93</v>
      </c>
    </row>
    <row r="409" spans="1:9" x14ac:dyDescent="0.35">
      <c r="A409" t="s">
        <v>865</v>
      </c>
      <c r="B409" s="9">
        <v>7.64</v>
      </c>
      <c r="C409" s="9">
        <v>6.22</v>
      </c>
      <c r="D409" s="9">
        <v>5.71</v>
      </c>
      <c r="E409" s="12">
        <v>5</v>
      </c>
      <c r="F409" s="12">
        <v>5.8429952380952379</v>
      </c>
      <c r="G409" s="12">
        <v>5.0154666666666667</v>
      </c>
      <c r="H409" s="9">
        <v>6.51</v>
      </c>
      <c r="I409" s="9">
        <v>2.98</v>
      </c>
    </row>
    <row r="410" spans="1:9" x14ac:dyDescent="0.35">
      <c r="A410" t="s">
        <v>866</v>
      </c>
      <c r="B410" s="9">
        <v>7.91</v>
      </c>
      <c r="C410" s="9">
        <v>6.18</v>
      </c>
      <c r="D410" s="9">
        <v>5.53</v>
      </c>
      <c r="E410" s="12">
        <v>5.2282608695652177</v>
      </c>
      <c r="F410" s="12">
        <v>5.6293956521739146</v>
      </c>
      <c r="G410" s="12">
        <v>4.9289130434782598</v>
      </c>
      <c r="H410" s="9">
        <v>6.71</v>
      </c>
      <c r="I410" s="9">
        <v>3.07</v>
      </c>
    </row>
    <row r="411" spans="1:9" x14ac:dyDescent="0.35">
      <c r="A411" t="s">
        <v>867</v>
      </c>
      <c r="B411" s="9">
        <v>7.98</v>
      </c>
      <c r="C411" s="9">
        <v>5.91</v>
      </c>
      <c r="D411" s="9">
        <v>5.24</v>
      </c>
      <c r="E411" s="12">
        <v>5.25</v>
      </c>
      <c r="F411" s="12">
        <v>5.2958142857142851</v>
      </c>
      <c r="G411" s="12">
        <v>4.6581333333333337</v>
      </c>
      <c r="H411" s="9">
        <v>6.81</v>
      </c>
      <c r="I411" s="9">
        <v>3.16</v>
      </c>
    </row>
    <row r="412" spans="1:9" x14ac:dyDescent="0.35">
      <c r="A412" t="s">
        <v>868</v>
      </c>
      <c r="B412" s="9">
        <v>8.02</v>
      </c>
      <c r="C412" s="9">
        <v>5.6</v>
      </c>
      <c r="D412" s="9">
        <v>5.0199999999999996</v>
      </c>
      <c r="E412" s="12">
        <v>5.25</v>
      </c>
      <c r="F412" s="12">
        <v>5.1097136363636366</v>
      </c>
      <c r="G412" s="12">
        <v>4.616281818181819</v>
      </c>
      <c r="H412" s="9">
        <v>6.78</v>
      </c>
      <c r="I412" s="9">
        <v>3.22</v>
      </c>
    </row>
    <row r="413" spans="1:9" x14ac:dyDescent="0.35">
      <c r="A413" t="s">
        <v>869</v>
      </c>
      <c r="B413" s="9">
        <v>8</v>
      </c>
      <c r="C413" s="9">
        <v>5.28</v>
      </c>
      <c r="D413" s="9">
        <v>4.8899999999999997</v>
      </c>
      <c r="E413" s="12">
        <v>5.25</v>
      </c>
      <c r="F413" s="12">
        <v>4.8017090909090916</v>
      </c>
      <c r="G413" s="12">
        <v>4.2518363636363645</v>
      </c>
      <c r="H413" s="9">
        <v>6.8</v>
      </c>
      <c r="I413" s="9">
        <v>3.28</v>
      </c>
    </row>
    <row r="414" spans="1:9" x14ac:dyDescent="0.35">
      <c r="A414" t="s">
        <v>870</v>
      </c>
      <c r="B414" s="9">
        <v>7.92</v>
      </c>
      <c r="C414" s="9">
        <v>5.03</v>
      </c>
      <c r="D414" s="9">
        <v>4.68</v>
      </c>
      <c r="E414" s="12">
        <v>5.25</v>
      </c>
      <c r="F414" s="12">
        <v>4.3527952380952373</v>
      </c>
      <c r="G414" s="12">
        <v>3.7143047619047618</v>
      </c>
      <c r="H414" s="9">
        <v>6.82</v>
      </c>
      <c r="I414" s="9">
        <v>3.37</v>
      </c>
    </row>
    <row r="415" spans="1:9" x14ac:dyDescent="0.35">
      <c r="A415" t="s">
        <v>871</v>
      </c>
      <c r="B415" s="9">
        <v>7.94</v>
      </c>
      <c r="C415" s="9">
        <v>4.71</v>
      </c>
      <c r="D415" s="9">
        <v>4.43</v>
      </c>
      <c r="E415" s="12">
        <v>5.25</v>
      </c>
      <c r="F415" s="12">
        <v>4.2352227272727276</v>
      </c>
      <c r="G415" s="12">
        <v>3.6586304347826086</v>
      </c>
      <c r="H415" s="9">
        <v>6.84</v>
      </c>
      <c r="I415" s="9">
        <v>3.42</v>
      </c>
    </row>
    <row r="416" spans="1:9" x14ac:dyDescent="0.35">
      <c r="A416" t="s">
        <v>872</v>
      </c>
      <c r="B416" s="9">
        <v>7.94</v>
      </c>
      <c r="C416" s="9">
        <v>4.76</v>
      </c>
      <c r="D416" s="9">
        <v>4.41</v>
      </c>
      <c r="E416" s="12">
        <v>5.25</v>
      </c>
      <c r="F416" s="12">
        <v>4.5164428571428576</v>
      </c>
      <c r="G416" s="12">
        <v>3.9558523809523813</v>
      </c>
      <c r="H416" s="9">
        <v>6.85</v>
      </c>
      <c r="I416" s="9">
        <v>3.49</v>
      </c>
    </row>
    <row r="417" spans="1:9" x14ac:dyDescent="0.35">
      <c r="A417" t="s">
        <v>873</v>
      </c>
      <c r="B417" s="9">
        <v>7.93</v>
      </c>
      <c r="C417" s="9">
        <v>4.96</v>
      </c>
      <c r="D417" s="9">
        <v>4.53</v>
      </c>
      <c r="E417" s="12">
        <v>5.25</v>
      </c>
      <c r="F417" s="12">
        <v>4.4896095238095244</v>
      </c>
      <c r="G417" s="12">
        <v>3.9032952380952386</v>
      </c>
      <c r="H417" s="9">
        <v>6.88</v>
      </c>
      <c r="I417" s="9">
        <v>3.51</v>
      </c>
    </row>
    <row r="418" spans="1:9" x14ac:dyDescent="0.35">
      <c r="A418" t="s">
        <v>874</v>
      </c>
      <c r="B418" s="9">
        <v>8</v>
      </c>
      <c r="C418" s="9">
        <v>4.9800000000000004</v>
      </c>
      <c r="D418" s="9">
        <v>4.51</v>
      </c>
      <c r="E418" s="12">
        <v>5.25</v>
      </c>
      <c r="F418" s="12">
        <v>4.5939904761904762</v>
      </c>
      <c r="G418" s="12">
        <v>4.0578142857142856</v>
      </c>
      <c r="H418" s="9">
        <v>6.87</v>
      </c>
      <c r="I418" s="9">
        <v>3.58</v>
      </c>
    </row>
    <row r="419" spans="1:9" x14ac:dyDescent="0.35">
      <c r="A419" t="s">
        <v>875</v>
      </c>
      <c r="B419" s="9">
        <v>8</v>
      </c>
      <c r="C419" s="9">
        <v>5.19</v>
      </c>
      <c r="D419" s="9">
        <v>4.66</v>
      </c>
      <c r="E419" s="12">
        <v>5.25</v>
      </c>
      <c r="F419" s="12">
        <v>4.6281869565217395</v>
      </c>
      <c r="G419" s="12">
        <v>4.0800217391304354</v>
      </c>
      <c r="H419" s="9">
        <v>6.88</v>
      </c>
      <c r="I419" s="9">
        <v>3.62</v>
      </c>
    </row>
    <row r="420" spans="1:9" x14ac:dyDescent="0.35">
      <c r="A420" t="s">
        <v>876</v>
      </c>
      <c r="B420" s="9">
        <v>8.0299999999999994</v>
      </c>
      <c r="C420" s="9">
        <v>5.16</v>
      </c>
      <c r="D420" s="9">
        <v>4.6399999999999997</v>
      </c>
      <c r="E420" s="12">
        <v>5.25</v>
      </c>
      <c r="F420" s="12">
        <v>4.5734473684210517</v>
      </c>
      <c r="G420" s="12">
        <v>4.0032368421052631</v>
      </c>
      <c r="H420" s="9">
        <v>6.92</v>
      </c>
      <c r="I420" s="9">
        <v>3.66</v>
      </c>
    </row>
    <row r="421" spans="1:9" x14ac:dyDescent="0.35">
      <c r="A421" t="s">
        <v>877</v>
      </c>
      <c r="B421" s="9">
        <v>8.07</v>
      </c>
      <c r="C421" s="9">
        <v>4.99</v>
      </c>
      <c r="D421" s="9">
        <v>4.49</v>
      </c>
      <c r="E421" s="12">
        <v>5.25</v>
      </c>
      <c r="F421" s="12">
        <v>4.4136954545454543</v>
      </c>
      <c r="G421" s="12">
        <v>3.9109909090909083</v>
      </c>
      <c r="H421" s="9">
        <v>6.88</v>
      </c>
      <c r="I421" s="9">
        <v>3.7</v>
      </c>
    </row>
    <row r="422" spans="1:9" x14ac:dyDescent="0.35">
      <c r="A422" t="s">
        <v>878</v>
      </c>
      <c r="B422" s="9">
        <v>7.86</v>
      </c>
      <c r="C422" s="9">
        <v>4.8</v>
      </c>
      <c r="D422" s="9">
        <v>4.33</v>
      </c>
      <c r="E422" s="12">
        <v>5</v>
      </c>
      <c r="F422" s="12">
        <v>4.0922590909090912</v>
      </c>
      <c r="G422" s="12">
        <v>3.6801863636363632</v>
      </c>
      <c r="H422" s="9">
        <v>6.77</v>
      </c>
      <c r="I422" s="9">
        <v>3.73</v>
      </c>
    </row>
    <row r="423" spans="1:9" x14ac:dyDescent="0.35">
      <c r="A423" t="s">
        <v>879</v>
      </c>
      <c r="B423" s="9">
        <v>7.7</v>
      </c>
      <c r="C423" s="9">
        <v>4.58</v>
      </c>
      <c r="D423" s="9">
        <v>4.09</v>
      </c>
      <c r="E423" s="12">
        <v>5</v>
      </c>
      <c r="F423" s="12">
        <v>3.8811952380952381</v>
      </c>
      <c r="G423" s="12">
        <v>3.5586857142857142</v>
      </c>
      <c r="H423" s="9">
        <v>6.77</v>
      </c>
      <c r="I423" s="9">
        <v>3.75</v>
      </c>
    </row>
    <row r="424" spans="1:9" x14ac:dyDescent="0.35">
      <c r="A424" t="s">
        <v>880</v>
      </c>
      <c r="B424" s="9">
        <v>7.68</v>
      </c>
      <c r="C424" s="9">
        <v>4.4000000000000004</v>
      </c>
      <c r="D424" s="9">
        <v>4.0599999999999996</v>
      </c>
      <c r="E424" s="12">
        <v>5</v>
      </c>
      <c r="F424" s="12">
        <v>4.0131260869565217</v>
      </c>
      <c r="G424" s="12">
        <v>3.7948565217391299</v>
      </c>
      <c r="H424" s="9">
        <v>6.75</v>
      </c>
      <c r="I424" s="9">
        <v>3.79</v>
      </c>
    </row>
    <row r="425" spans="1:9" x14ac:dyDescent="0.35">
      <c r="A425" t="s">
        <v>881</v>
      </c>
      <c r="B425" s="9">
        <v>7.56</v>
      </c>
      <c r="C425" s="9">
        <v>4.53</v>
      </c>
      <c r="D425" s="9">
        <v>4.29</v>
      </c>
      <c r="E425" s="12">
        <v>4.7976190476190474</v>
      </c>
      <c r="F425" s="12">
        <v>4.2432571428571428</v>
      </c>
      <c r="G425" s="12">
        <v>4.0133476190476198</v>
      </c>
      <c r="H425" s="9">
        <v>6.61</v>
      </c>
      <c r="I425" s="9">
        <v>3.81</v>
      </c>
    </row>
    <row r="426" spans="1:9" x14ac:dyDescent="0.35">
      <c r="A426" t="s">
        <v>882</v>
      </c>
      <c r="B426" s="9">
        <v>7.47</v>
      </c>
      <c r="C426" s="9">
        <v>4.5999999999999996</v>
      </c>
      <c r="D426" s="9">
        <v>4.37</v>
      </c>
      <c r="E426" s="12">
        <v>4.75</v>
      </c>
      <c r="F426" s="12">
        <v>4.2134863636363624</v>
      </c>
      <c r="G426" s="12">
        <v>3.9681818181818191</v>
      </c>
      <c r="H426" s="9">
        <v>6.58</v>
      </c>
      <c r="I426" s="9">
        <v>3.8</v>
      </c>
    </row>
    <row r="427" spans="1:9" x14ac:dyDescent="0.35">
      <c r="A427" t="s">
        <v>883</v>
      </c>
      <c r="B427" s="9">
        <v>7.44</v>
      </c>
      <c r="C427" s="9">
        <v>4.6500000000000004</v>
      </c>
      <c r="D427" s="9">
        <v>4.41</v>
      </c>
      <c r="E427" s="12">
        <v>4.75</v>
      </c>
      <c r="F427" s="12">
        <v>4.2573521739130431</v>
      </c>
      <c r="G427" s="12">
        <v>4.1070739130434788</v>
      </c>
      <c r="H427" s="9">
        <v>6.51</v>
      </c>
      <c r="I427" s="9">
        <v>3.82</v>
      </c>
    </row>
    <row r="428" spans="1:9" x14ac:dyDescent="0.35">
      <c r="A428" t="s">
        <v>884</v>
      </c>
      <c r="B428" s="9">
        <v>7.31</v>
      </c>
      <c r="C428" s="9">
        <v>4.6900000000000004</v>
      </c>
      <c r="D428" s="9">
        <v>4.41</v>
      </c>
      <c r="E428" s="12">
        <v>4.5374999999999996</v>
      </c>
      <c r="F428" s="12">
        <v>4.0512849999999991</v>
      </c>
      <c r="G428" s="12">
        <v>3.9444199999999996</v>
      </c>
      <c r="H428" s="9">
        <v>6.38</v>
      </c>
      <c r="I428" s="9">
        <v>3.87</v>
      </c>
    </row>
    <row r="429" spans="1:9" x14ac:dyDescent="0.35">
      <c r="A429" t="s">
        <v>885</v>
      </c>
      <c r="B429" s="9">
        <v>7.21</v>
      </c>
      <c r="C429" s="9">
        <v>4.5599999999999996</v>
      </c>
      <c r="D429" s="9">
        <v>4.34</v>
      </c>
      <c r="E429" s="12">
        <v>4.5</v>
      </c>
      <c r="F429" s="12">
        <v>4.0733000000000006</v>
      </c>
      <c r="G429" s="12">
        <v>4.0173952380952382</v>
      </c>
      <c r="H429" s="9">
        <v>6.34</v>
      </c>
      <c r="I429" s="9">
        <v>3.85</v>
      </c>
    </row>
    <row r="430" spans="1:9" x14ac:dyDescent="0.35">
      <c r="A430" t="s">
        <v>886</v>
      </c>
      <c r="B430" s="9">
        <v>7.19</v>
      </c>
      <c r="C430" s="9">
        <v>4.42</v>
      </c>
      <c r="D430" s="9">
        <v>4.32</v>
      </c>
      <c r="E430" s="12">
        <v>4.5</v>
      </c>
      <c r="F430" s="12">
        <v>3.7666409090909094</v>
      </c>
      <c r="G430" s="12">
        <v>3.7775999999999996</v>
      </c>
      <c r="H430" s="9">
        <v>6.32</v>
      </c>
      <c r="I430" s="9">
        <v>3.87</v>
      </c>
    </row>
    <row r="431" spans="1:9" x14ac:dyDescent="0.35">
      <c r="A431" t="s">
        <v>904</v>
      </c>
      <c r="B431" s="9">
        <v>7.09</v>
      </c>
      <c r="C431" s="9">
        <v>4.1900000000000004</v>
      </c>
      <c r="D431" s="9">
        <v>4.22</v>
      </c>
      <c r="E431" s="12">
        <v>4.3068181818181817</v>
      </c>
      <c r="F431" s="12">
        <v>3.783854545454544</v>
      </c>
      <c r="G431" s="12">
        <v>3.8070999999999988</v>
      </c>
      <c r="H431" s="9">
        <v>6.18</v>
      </c>
      <c r="I431" s="9">
        <v>3.87</v>
      </c>
    </row>
    <row r="432" spans="1:9" x14ac:dyDescent="0.35">
      <c r="A432" t="s">
        <v>906</v>
      </c>
      <c r="B432" s="9">
        <v>6.98</v>
      </c>
      <c r="C432" s="9">
        <v>4.32</v>
      </c>
      <c r="D432" s="9">
        <v>4.3</v>
      </c>
      <c r="E432" s="12">
        <v>4.25</v>
      </c>
      <c r="F432" s="12">
        <v>3.7301142857142855</v>
      </c>
      <c r="G432" s="12">
        <v>3.7583666666666677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3370-1EC1-4DB4-85B5-D4F2EF5E0BA8}">
  <sheetPr codeName="Sheet10"/>
  <dimension ref="A1:H358"/>
  <sheetViews>
    <sheetView workbookViewId="0">
      <pane xSplit="2" ySplit="6" topLeftCell="C189" activePane="bottomRight" state="frozen"/>
      <selection pane="topRight" activeCell="E1" sqref="E1"/>
      <selection pane="bottomLeft" activeCell="A7" sqref="A7"/>
      <selection pane="bottomRight" activeCell="G215" sqref="G215"/>
    </sheetView>
  </sheetViews>
  <sheetFormatPr defaultColWidth="9.1796875" defaultRowHeight="14.5" x14ac:dyDescent="0.35"/>
  <cols>
    <col min="1" max="1" width="5" style="4" bestFit="1" customWidth="1"/>
    <col min="2" max="2" width="9.1796875" style="4"/>
    <col min="3" max="8" width="17.54296875" style="4" bestFit="1" customWidth="1"/>
    <col min="9" max="16384" width="9.1796875" style="4"/>
  </cols>
  <sheetData>
    <row r="1" spans="1:8" x14ac:dyDescent="0.35">
      <c r="C1" s="4" t="str">
        <f>GMW!C2</f>
        <v>JUL009E</v>
      </c>
      <c r="D1" s="4" t="str">
        <f>$C$1</f>
        <v>JUL009E</v>
      </c>
      <c r="E1" s="4" t="str">
        <f t="shared" ref="E1:H1" si="0">$C$1</f>
        <v>JUL009E</v>
      </c>
      <c r="F1" s="4" t="str">
        <f t="shared" si="0"/>
        <v>JUL009E</v>
      </c>
      <c r="G1" s="4" t="str">
        <f t="shared" si="0"/>
        <v>JUL009E</v>
      </c>
      <c r="H1" s="4" t="str">
        <f t="shared" si="0"/>
        <v>JUL009E</v>
      </c>
    </row>
    <row r="2" spans="1:8" x14ac:dyDescent="0.35">
      <c r="C2" s="4" t="s">
        <v>429</v>
      </c>
      <c r="D2" s="4" t="s">
        <v>429</v>
      </c>
      <c r="E2" s="4" t="s">
        <v>429</v>
      </c>
      <c r="F2" s="4" t="s">
        <v>429</v>
      </c>
      <c r="G2" s="4" t="s">
        <v>429</v>
      </c>
      <c r="H2" s="4" t="s">
        <v>429</v>
      </c>
    </row>
    <row r="3" spans="1:8" x14ac:dyDescent="0.35">
      <c r="C3" s="4" t="s">
        <v>394</v>
      </c>
      <c r="D3" s="4" t="s">
        <v>385</v>
      </c>
      <c r="E3" s="4" t="s">
        <v>409</v>
      </c>
      <c r="F3" s="4" t="s">
        <v>414</v>
      </c>
      <c r="G3" s="4" t="s">
        <v>400</v>
      </c>
      <c r="H3" s="4" t="s">
        <v>900</v>
      </c>
    </row>
    <row r="4" spans="1:8" x14ac:dyDescent="0.35">
      <c r="C4" s="4" t="s">
        <v>379</v>
      </c>
      <c r="D4" s="4" t="s">
        <v>379</v>
      </c>
      <c r="E4" s="4" t="s">
        <v>379</v>
      </c>
      <c r="F4" s="4" t="s">
        <v>379</v>
      </c>
      <c r="G4" s="4" t="s">
        <v>379</v>
      </c>
      <c r="H4" s="4" t="s">
        <v>379</v>
      </c>
    </row>
    <row r="5" spans="1:8" x14ac:dyDescent="0.35">
      <c r="C5" s="4" t="s">
        <v>430</v>
      </c>
      <c r="D5" s="4" t="s">
        <v>430</v>
      </c>
      <c r="E5" s="4" t="s">
        <v>430</v>
      </c>
      <c r="F5" s="4" t="s">
        <v>430</v>
      </c>
      <c r="G5" s="4" t="s">
        <v>430</v>
      </c>
      <c r="H5" s="4" t="s">
        <v>430</v>
      </c>
    </row>
    <row r="6" spans="1:8" x14ac:dyDescent="0.35">
      <c r="B6" s="4">
        <f>B358+5</f>
        <v>2329</v>
      </c>
      <c r="C6" s="5" t="str" cm="1">
        <f t="array" ref="C6">_xlfn.CONCAT(INDEX(GMW!$A$2:$NE$60,MATCH(1,(GMW!$NE$2:$NE$60=C$3)*(GMW!$ND$2:$ND$60=C$4),0),$B6-1966),"0",(INDEX(GMW!$A$2:$NE$60,MATCH(1,(GMW!$NE$2:$NE$60=C$3)*(GMW!$ND$2:$ND$60=C$4),0),$B6-1965)))</f>
        <v>202501</v>
      </c>
      <c r="D6" s="5" t="str" cm="1">
        <f t="array" ref="D6">_xlfn.CONCAT(INDEX(GMW!$A$2:$NE$60,MATCH(1,(GMW!$NE$2:$NE$60=D$3)*(GMW!$ND$2:$ND$60=D$4),0),$B6-1966),"0",(INDEX(GMW!$A$2:$NE$60,MATCH(1,(GMW!$NE$2:$NE$60=D$3)*(GMW!$ND$2:$ND$60=D$4),0),$B6-1965)))</f>
        <v>202501</v>
      </c>
      <c r="E6" s="5" t="str" cm="1">
        <f t="array" ref="E6">_xlfn.CONCAT(INDEX(GMW!$A$2:$NE$60,MATCH(1,(GMW!$NE$2:$NE$60=E$3)*(GMW!$ND$2:$ND$60=E$4),0),$B6-1966),"0",(INDEX(GMW!$A$2:$NE$60,MATCH(1,(GMW!$NE$2:$NE$60=E$3)*(GMW!$ND$2:$ND$60=E$4),0),$B6-1965)))</f>
        <v>202502</v>
      </c>
      <c r="F6" s="5" t="str" cm="1">
        <f t="array" ref="F6">_xlfn.CONCAT(INDEX(GMW!$A$2:$NE$60,MATCH(1,(GMW!$NE$2:$NE$60=F$3)*(GMW!$ND$2:$ND$60=F$4),0),$B6-1966),"0",(INDEX(GMW!$A$2:$NE$60,MATCH(1,(GMW!$NE$2:$NE$60=F$3)*(GMW!$ND$2:$ND$60=F$4),0),$B6-1965)))</f>
        <v>202502</v>
      </c>
      <c r="G6" s="5" t="str" cm="1">
        <f t="array" ref="G6">_xlfn.CONCAT(INDEX(GMW!$A$2:$NE$60,MATCH(1,(GMW!$NE$2:$NE$60=G$3)*(GMW!$ND$2:$ND$60=G$4),0),$B6-1966),"0",(INDEX(GMW!$A$2:$NE$60,MATCH(1,(GMW!$NE$2:$NE$60=G$3)*(GMW!$ND$2:$ND$60=G$4),0),$B6-1965)))</f>
        <v>202501</v>
      </c>
      <c r="H6" s="5" t="str" cm="1">
        <f t="array" ref="H6">_xlfn.CONCAT(INDEX(GMW!$A$2:$NE$60,MATCH(1,(GMW!$NE$2:$NE$60=H$3)*(GMW!$ND$2:$ND$60=H$4),0),$B6-1966),"0",(INDEX(GMW!$A$2:$NE$60,MATCH(1,(GMW!$NE$2:$NE$60=H$3)*(GMW!$ND$2:$ND$60=H$4),0),$B6-1965)))</f>
        <v>202501</v>
      </c>
    </row>
    <row r="7" spans="1:8" x14ac:dyDescent="0.35">
      <c r="A7" s="4">
        <v>1973</v>
      </c>
      <c r="B7" s="4">
        <v>1973</v>
      </c>
      <c r="C7" s="4" cm="1">
        <f t="array" ref="C7">INDEX(GMW!$A$2:$NF$60,MATCH(1,(GMW!$NE$2:$NE$60=C$3)*(GMW!$ND$2:$ND$60=C$4),0),$B7-1966)</f>
        <v>1E-3</v>
      </c>
      <c r="D7" s="4" cm="1">
        <f t="array" ref="D7">INDEX(GMW!$A$2:$NF$60,MATCH(1,(GMW!$NE$2:$NE$60=D$3)*(GMW!$ND$2:$ND$60=D$4),0),$B7-1966)</f>
        <v>1E-3</v>
      </c>
      <c r="E7" s="4" cm="1">
        <f t="array" ref="E7">INDEX(GMW!$A$2:$NF$60,MATCH(1,(GMW!$NE$2:$NE$60=E$3)*(GMW!$ND$2:$ND$60=E$4),0),$B7-1966)</f>
        <v>8.5</v>
      </c>
      <c r="F7" s="4" cm="1">
        <f t="array" ref="F7">INDEX(GMW!$A$2:$NF$60,MATCH(1,(GMW!$NE$2:$NE$60=F$3)*(GMW!$ND$2:$ND$60=F$4),0),$B7-1966)</f>
        <v>1E-3</v>
      </c>
      <c r="G7" s="4" cm="1">
        <f t="array" ref="G7">INDEX(GMW!$A$2:$NF$60,MATCH(1,(GMW!$NE$2:$NE$60=G$3)*(GMW!$ND$2:$ND$60=G$4),0),$B7-1966)</f>
        <v>8.5</v>
      </c>
      <c r="H7" s="4" cm="1">
        <f t="array" ref="H7">INDEX(GMW!$A$2:$NF$60,MATCH(1,(GMW!$NE$2:$NE$60=H$3)*(GMW!$ND$2:$ND$60=H$4),0),$B7-1966)</f>
        <v>1E-3</v>
      </c>
    </row>
    <row r="8" spans="1:8" x14ac:dyDescent="0.35">
      <c r="B8" s="4">
        <f>+B7+1</f>
        <v>1974</v>
      </c>
      <c r="C8" s="4" cm="1">
        <f t="array" ref="C8">INDEX(GMW!$A$2:$NF$60,MATCH(1,(GMW!$NE$2:$NE$60=C$3)*(GMW!$ND$2:$ND$60=C$4),0),$B8-1966)</f>
        <v>1E-3</v>
      </c>
      <c r="D8" s="4" cm="1">
        <f t="array" ref="D8">INDEX(GMW!$A$2:$NF$60,MATCH(1,(GMW!$NE$2:$NE$60=D$3)*(GMW!$ND$2:$ND$60=D$4),0),$B8-1966)</f>
        <v>1E-3</v>
      </c>
      <c r="E8" s="4" cm="1">
        <f t="array" ref="E8">INDEX(GMW!$A$2:$NF$60,MATCH(1,(GMW!$NE$2:$NE$60=E$3)*(GMW!$ND$2:$ND$60=E$4),0),$B8-1966)</f>
        <v>7.5</v>
      </c>
      <c r="F8" s="4" cm="1">
        <f t="array" ref="F8">INDEX(GMW!$A$2:$NF$60,MATCH(1,(GMW!$NE$2:$NE$60=F$3)*(GMW!$ND$2:$ND$60=F$4),0),$B8-1966)</f>
        <v>1E-3</v>
      </c>
      <c r="G8" s="4" cm="1">
        <f t="array" ref="G8">INDEX(GMW!$A$2:$NF$60,MATCH(1,(GMW!$NE$2:$NE$60=G$3)*(GMW!$ND$2:$ND$60=G$4),0),$B8-1966)</f>
        <v>9.5</v>
      </c>
      <c r="H8" s="4" cm="1">
        <f t="array" ref="H8">INDEX(GMW!$A$2:$NF$60,MATCH(1,(GMW!$NE$2:$NE$60=H$3)*(GMW!$ND$2:$ND$60=H$4),0),$B8-1966)</f>
        <v>1E-3</v>
      </c>
    </row>
    <row r="9" spans="1:8" x14ac:dyDescent="0.35">
      <c r="B9" s="4">
        <f t="shared" ref="B9:B47" si="1">+B8+1</f>
        <v>1975</v>
      </c>
      <c r="C9" s="4" cm="1">
        <f t="array" ref="C9">INDEX(GMW!$A$2:$NF$60,MATCH(1,(GMW!$NE$2:$NE$60=C$3)*(GMW!$ND$2:$ND$60=C$4),0),$B9-1966)</f>
        <v>1E-3</v>
      </c>
      <c r="D9" s="4" cm="1">
        <f t="array" ref="D9">INDEX(GMW!$A$2:$NF$60,MATCH(1,(GMW!$NE$2:$NE$60=D$3)*(GMW!$ND$2:$ND$60=D$4),0),$B9-1966)</f>
        <v>1E-3</v>
      </c>
      <c r="E9" s="4" cm="1">
        <f t="array" ref="E9">INDEX(GMW!$A$2:$NF$60,MATCH(1,(GMW!$NE$2:$NE$60=E$3)*(GMW!$ND$2:$ND$60=E$4),0),$B9-1966)</f>
        <v>11.5</v>
      </c>
      <c r="F9" s="4" cm="1">
        <f t="array" ref="F9">INDEX(GMW!$A$2:$NF$60,MATCH(1,(GMW!$NE$2:$NE$60=F$3)*(GMW!$ND$2:$ND$60=F$4),0),$B9-1966)</f>
        <v>1E-3</v>
      </c>
      <c r="G9" s="4" cm="1">
        <f t="array" ref="G9">INDEX(GMW!$A$2:$NF$60,MATCH(1,(GMW!$NE$2:$NE$60=G$3)*(GMW!$ND$2:$ND$60=G$4),0),$B9-1966)</f>
        <v>10</v>
      </c>
      <c r="H9" s="4" cm="1">
        <f t="array" ref="H9">INDEX(GMW!$A$2:$NF$60,MATCH(1,(GMW!$NE$2:$NE$60=H$3)*(GMW!$ND$2:$ND$60=H$4),0),$B9-1966)</f>
        <v>1E-3</v>
      </c>
    </row>
    <row r="10" spans="1:8" x14ac:dyDescent="0.35">
      <c r="B10" s="4">
        <f t="shared" si="1"/>
        <v>1976</v>
      </c>
      <c r="C10" s="4" cm="1">
        <f t="array" ref="C10">INDEX(GMW!$A$2:$NF$60,MATCH(1,(GMW!$NE$2:$NE$60=C$3)*(GMW!$ND$2:$ND$60=C$4),0),$B10-1966)</f>
        <v>1E-3</v>
      </c>
      <c r="D10" s="4" cm="1">
        <f t="array" ref="D10">INDEX(GMW!$A$2:$NF$60,MATCH(1,(GMW!$NE$2:$NE$60=D$3)*(GMW!$ND$2:$ND$60=D$4),0),$B10-1966)</f>
        <v>1E-3</v>
      </c>
      <c r="E10" s="4" cm="1">
        <f t="array" ref="E10">INDEX(GMW!$A$2:$NF$60,MATCH(1,(GMW!$NE$2:$NE$60=E$3)*(GMW!$ND$2:$ND$60=E$4),0),$B10-1966)</f>
        <v>13</v>
      </c>
      <c r="F10" s="4" cm="1">
        <f t="array" ref="F10">INDEX(GMW!$A$2:$NF$60,MATCH(1,(GMW!$NE$2:$NE$60=F$3)*(GMW!$ND$2:$ND$60=F$4),0),$B10-1966)</f>
        <v>1E-3</v>
      </c>
      <c r="G10" s="4" cm="1">
        <f t="array" ref="G10">INDEX(GMW!$A$2:$NF$60,MATCH(1,(GMW!$NE$2:$NE$60=G$3)*(GMW!$ND$2:$ND$60=G$4),0),$B10-1966)</f>
        <v>11</v>
      </c>
      <c r="H10" s="4" cm="1">
        <f t="array" ref="H10">INDEX(GMW!$A$2:$NF$60,MATCH(1,(GMW!$NE$2:$NE$60=H$3)*(GMW!$ND$2:$ND$60=H$4),0),$B10-1966)</f>
        <v>1E-3</v>
      </c>
    </row>
    <row r="11" spans="1:8" x14ac:dyDescent="0.35">
      <c r="A11" s="4">
        <v>1974</v>
      </c>
      <c r="B11" s="4">
        <f t="shared" si="1"/>
        <v>1977</v>
      </c>
      <c r="C11" s="4" cm="1">
        <f t="array" ref="C11">INDEX(GMW!$A$2:$NF$60,MATCH(1,(GMW!$NE$2:$NE$60=C$3)*(GMW!$ND$2:$ND$60=C$4),0),$B11-1966)</f>
        <v>1E-3</v>
      </c>
      <c r="D11" s="4" cm="1">
        <f t="array" ref="D11">INDEX(GMW!$A$2:$NF$60,MATCH(1,(GMW!$NE$2:$NE$60=D$3)*(GMW!$ND$2:$ND$60=D$4),0),$B11-1966)</f>
        <v>1E-3</v>
      </c>
      <c r="E11" s="4" cm="1">
        <f t="array" ref="E11">INDEX(GMW!$A$2:$NF$60,MATCH(1,(GMW!$NE$2:$NE$60=E$3)*(GMW!$ND$2:$ND$60=E$4),0),$B11-1966)</f>
        <v>12.5</v>
      </c>
      <c r="F11" s="4" cm="1">
        <f t="array" ref="F11">INDEX(GMW!$A$2:$NF$60,MATCH(1,(GMW!$NE$2:$NE$60=F$3)*(GMW!$ND$2:$ND$60=F$4),0),$B11-1966)</f>
        <v>1E-3</v>
      </c>
      <c r="G11" s="4" cm="1">
        <f t="array" ref="G11">INDEX(GMW!$A$2:$NF$60,MATCH(1,(GMW!$NE$2:$NE$60=G$3)*(GMW!$ND$2:$ND$60=G$4),0),$B11-1966)</f>
        <v>11</v>
      </c>
      <c r="H11" s="4" cm="1">
        <f t="array" ref="H11">INDEX(GMW!$A$2:$NF$60,MATCH(1,(GMW!$NE$2:$NE$60=H$3)*(GMW!$ND$2:$ND$60=H$4),0),$B11-1966)</f>
        <v>1E-3</v>
      </c>
    </row>
    <row r="12" spans="1:8" x14ac:dyDescent="0.35">
      <c r="B12" s="4">
        <f t="shared" si="1"/>
        <v>1978</v>
      </c>
      <c r="C12" s="4" cm="1">
        <f t="array" ref="C12">INDEX(GMW!$A$2:$NF$60,MATCH(1,(GMW!$NE$2:$NE$60=C$3)*(GMW!$ND$2:$ND$60=C$4),0),$B12-1966)</f>
        <v>1E-3</v>
      </c>
      <c r="D12" s="4" cm="1">
        <f t="array" ref="D12">INDEX(GMW!$A$2:$NF$60,MATCH(1,(GMW!$NE$2:$NE$60=D$3)*(GMW!$ND$2:$ND$60=D$4),0),$B12-1966)</f>
        <v>1E-3</v>
      </c>
      <c r="E12" s="4" cm="1">
        <f t="array" ref="E12">INDEX(GMW!$A$2:$NF$60,MATCH(1,(GMW!$NE$2:$NE$60=E$3)*(GMW!$ND$2:$ND$60=E$4),0),$B12-1966)</f>
        <v>11.75</v>
      </c>
      <c r="F12" s="4" cm="1">
        <f t="array" ref="F12">INDEX(GMW!$A$2:$NF$60,MATCH(1,(GMW!$NE$2:$NE$60=F$3)*(GMW!$ND$2:$ND$60=F$4),0),$B12-1966)</f>
        <v>1E-3</v>
      </c>
      <c r="G12" s="4" cm="1">
        <f t="array" ref="G12">INDEX(GMW!$A$2:$NF$60,MATCH(1,(GMW!$NE$2:$NE$60=G$3)*(GMW!$ND$2:$ND$60=G$4),0),$B12-1966)</f>
        <v>11</v>
      </c>
      <c r="H12" s="4" cm="1">
        <f t="array" ref="H12">INDEX(GMW!$A$2:$NF$60,MATCH(1,(GMW!$NE$2:$NE$60=H$3)*(GMW!$ND$2:$ND$60=H$4),0),$B12-1966)</f>
        <v>1E-3</v>
      </c>
    </row>
    <row r="13" spans="1:8" x14ac:dyDescent="0.35">
      <c r="B13" s="4">
        <f t="shared" si="1"/>
        <v>1979</v>
      </c>
      <c r="C13" s="4" cm="1">
        <f t="array" ref="C13">INDEX(GMW!$A$2:$NF$60,MATCH(1,(GMW!$NE$2:$NE$60=C$3)*(GMW!$ND$2:$ND$60=C$4),0),$B13-1966)</f>
        <v>1E-3</v>
      </c>
      <c r="D13" s="4" cm="1">
        <f t="array" ref="D13">INDEX(GMW!$A$2:$NF$60,MATCH(1,(GMW!$NE$2:$NE$60=D$3)*(GMW!$ND$2:$ND$60=D$4),0),$B13-1966)</f>
        <v>1E-3</v>
      </c>
      <c r="E13" s="4" cm="1">
        <f t="array" ref="E13">INDEX(GMW!$A$2:$NF$60,MATCH(1,(GMW!$NE$2:$NE$60=E$3)*(GMW!$ND$2:$ND$60=E$4),0),$B13-1966)</f>
        <v>11.5</v>
      </c>
      <c r="F13" s="4" cm="1">
        <f t="array" ref="F13">INDEX(GMW!$A$2:$NF$60,MATCH(1,(GMW!$NE$2:$NE$60=F$3)*(GMW!$ND$2:$ND$60=F$4),0),$B13-1966)</f>
        <v>1E-3</v>
      </c>
      <c r="G13" s="4" cm="1">
        <f t="array" ref="G13">INDEX(GMW!$A$2:$NF$60,MATCH(1,(GMW!$NE$2:$NE$60=G$3)*(GMW!$ND$2:$ND$60=G$4),0),$B13-1966)</f>
        <v>11</v>
      </c>
      <c r="H13" s="4" cm="1">
        <f t="array" ref="H13">INDEX(GMW!$A$2:$NF$60,MATCH(1,(GMW!$NE$2:$NE$60=H$3)*(GMW!$ND$2:$ND$60=H$4),0),$B13-1966)</f>
        <v>1E-3</v>
      </c>
    </row>
    <row r="14" spans="1:8" x14ac:dyDescent="0.35">
      <c r="B14" s="4">
        <f t="shared" si="1"/>
        <v>1980</v>
      </c>
      <c r="C14" s="4" cm="1">
        <f t="array" ref="C14">INDEX(GMW!$A$2:$NF$60,MATCH(1,(GMW!$NE$2:$NE$60=C$3)*(GMW!$ND$2:$ND$60=C$4),0),$B14-1966)</f>
        <v>1E-3</v>
      </c>
      <c r="D14" s="4" cm="1">
        <f t="array" ref="D14">INDEX(GMW!$A$2:$NF$60,MATCH(1,(GMW!$NE$2:$NE$60=D$3)*(GMW!$ND$2:$ND$60=D$4),0),$B14-1966)</f>
        <v>1E-3</v>
      </c>
      <c r="E14" s="4" cm="1">
        <f t="array" ref="E14">INDEX(GMW!$A$2:$NF$60,MATCH(1,(GMW!$NE$2:$NE$60=E$3)*(GMW!$ND$2:$ND$60=E$4),0),$B14-1966)</f>
        <v>11.5</v>
      </c>
      <c r="F14" s="4" cm="1">
        <f t="array" ref="F14">INDEX(GMW!$A$2:$NF$60,MATCH(1,(GMW!$NE$2:$NE$60=F$3)*(GMW!$ND$2:$ND$60=F$4),0),$B14-1966)</f>
        <v>1E-3</v>
      </c>
      <c r="G14" s="4" cm="1">
        <f t="array" ref="G14">INDEX(GMW!$A$2:$NF$60,MATCH(1,(GMW!$NE$2:$NE$60=G$3)*(GMW!$ND$2:$ND$60=G$4),0),$B14-1966)</f>
        <v>11</v>
      </c>
      <c r="H14" s="4" cm="1">
        <f t="array" ref="H14">INDEX(GMW!$A$2:$NF$60,MATCH(1,(GMW!$NE$2:$NE$60=H$3)*(GMW!$ND$2:$ND$60=H$4),0),$B14-1966)</f>
        <v>1E-3</v>
      </c>
    </row>
    <row r="15" spans="1:8" x14ac:dyDescent="0.35">
      <c r="A15" s="4">
        <v>1975</v>
      </c>
      <c r="B15" s="4">
        <f t="shared" si="1"/>
        <v>1981</v>
      </c>
      <c r="C15" s="4" cm="1">
        <f t="array" ref="C15">INDEX(GMW!$A$2:$NF$60,MATCH(1,(GMW!$NE$2:$NE$60=C$3)*(GMW!$ND$2:$ND$60=C$4),0),$B15-1966)</f>
        <v>1E-3</v>
      </c>
      <c r="D15" s="4" cm="1">
        <f t="array" ref="D15">INDEX(GMW!$A$2:$NF$60,MATCH(1,(GMW!$NE$2:$NE$60=D$3)*(GMW!$ND$2:$ND$60=D$4),0),$B15-1966)</f>
        <v>1E-3</v>
      </c>
      <c r="E15" s="4" cm="1">
        <f t="array" ref="E15">INDEX(GMW!$A$2:$NF$60,MATCH(1,(GMW!$NE$2:$NE$60=E$3)*(GMW!$ND$2:$ND$60=E$4),0),$B15-1966)</f>
        <v>10</v>
      </c>
      <c r="F15" s="4" cm="1">
        <f t="array" ref="F15">INDEX(GMW!$A$2:$NF$60,MATCH(1,(GMW!$NE$2:$NE$60=F$3)*(GMW!$ND$2:$ND$60=F$4),0),$B15-1966)</f>
        <v>1E-3</v>
      </c>
      <c r="G15" s="4" cm="1">
        <f t="array" ref="G15">INDEX(GMW!$A$2:$NF$60,MATCH(1,(GMW!$NE$2:$NE$60=G$3)*(GMW!$ND$2:$ND$60=G$4),0),$B15-1966)</f>
        <v>11</v>
      </c>
      <c r="H15" s="4" cm="1">
        <f t="array" ref="H15">INDEX(GMW!$A$2:$NF$60,MATCH(1,(GMW!$NE$2:$NE$60=H$3)*(GMW!$ND$2:$ND$60=H$4),0),$B15-1966)</f>
        <v>1E-3</v>
      </c>
    </row>
    <row r="16" spans="1:8" x14ac:dyDescent="0.35">
      <c r="B16" s="4">
        <f t="shared" si="1"/>
        <v>1982</v>
      </c>
      <c r="C16" s="4" cm="1">
        <f t="array" ref="C16">INDEX(GMW!$A$2:$NF$60,MATCH(1,(GMW!$NE$2:$NE$60=C$3)*(GMW!$ND$2:$ND$60=C$4),0),$B16-1966)</f>
        <v>1E-3</v>
      </c>
      <c r="D16" s="4" cm="1">
        <f t="array" ref="D16">INDEX(GMW!$A$2:$NF$60,MATCH(1,(GMW!$NE$2:$NE$60=D$3)*(GMW!$ND$2:$ND$60=D$4),0),$B16-1966)</f>
        <v>1E-3</v>
      </c>
      <c r="E16" s="4" cm="1">
        <f t="array" ref="E16">INDEX(GMW!$A$2:$NF$60,MATCH(1,(GMW!$NE$2:$NE$60=E$3)*(GMW!$ND$2:$ND$60=E$4),0),$B16-1966)</f>
        <v>10</v>
      </c>
      <c r="F16" s="4" cm="1">
        <f t="array" ref="F16">INDEX(GMW!$A$2:$NF$60,MATCH(1,(GMW!$NE$2:$NE$60=F$3)*(GMW!$ND$2:$ND$60=F$4),0),$B16-1966)</f>
        <v>1E-3</v>
      </c>
      <c r="G16" s="4" cm="1">
        <f t="array" ref="G16">INDEX(GMW!$A$2:$NF$60,MATCH(1,(GMW!$NE$2:$NE$60=G$3)*(GMW!$ND$2:$ND$60=G$4),0),$B16-1966)</f>
        <v>11</v>
      </c>
      <c r="H16" s="4" cm="1">
        <f t="array" ref="H16">INDEX(GMW!$A$2:$NF$60,MATCH(1,(GMW!$NE$2:$NE$60=H$3)*(GMW!$ND$2:$ND$60=H$4),0),$B16-1966)</f>
        <v>1E-3</v>
      </c>
    </row>
    <row r="17" spans="1:8" x14ac:dyDescent="0.35">
      <c r="B17" s="4">
        <f t="shared" si="1"/>
        <v>1983</v>
      </c>
      <c r="C17" s="4" cm="1">
        <f t="array" ref="C17">INDEX(GMW!$A$2:$NF$60,MATCH(1,(GMW!$NE$2:$NE$60=C$3)*(GMW!$ND$2:$ND$60=C$4),0),$B17-1966)</f>
        <v>1E-3</v>
      </c>
      <c r="D17" s="4" cm="1">
        <f t="array" ref="D17">INDEX(GMW!$A$2:$NF$60,MATCH(1,(GMW!$NE$2:$NE$60=D$3)*(GMW!$ND$2:$ND$60=D$4),0),$B17-1966)</f>
        <v>1E-3</v>
      </c>
      <c r="E17" s="4" cm="1">
        <f t="array" ref="E17">INDEX(GMW!$A$2:$NF$60,MATCH(1,(GMW!$NE$2:$NE$60=E$3)*(GMW!$ND$2:$ND$60=E$4),0),$B17-1966)</f>
        <v>11</v>
      </c>
      <c r="F17" s="4" cm="1">
        <f t="array" ref="F17">INDEX(GMW!$A$2:$NF$60,MATCH(1,(GMW!$NE$2:$NE$60=F$3)*(GMW!$ND$2:$ND$60=F$4),0),$B17-1966)</f>
        <v>1E-3</v>
      </c>
      <c r="G17" s="4" cm="1">
        <f t="array" ref="G17">INDEX(GMW!$A$2:$NF$60,MATCH(1,(GMW!$NE$2:$NE$60=G$3)*(GMW!$ND$2:$ND$60=G$4),0),$B17-1966)</f>
        <v>11</v>
      </c>
      <c r="H17" s="4" cm="1">
        <f t="array" ref="H17">INDEX(GMW!$A$2:$NF$60,MATCH(1,(GMW!$NE$2:$NE$60=H$3)*(GMW!$ND$2:$ND$60=H$4),0),$B17-1966)</f>
        <v>1E-3</v>
      </c>
    </row>
    <row r="18" spans="1:8" x14ac:dyDescent="0.35">
      <c r="B18" s="4">
        <f t="shared" si="1"/>
        <v>1984</v>
      </c>
      <c r="C18" s="4" cm="1">
        <f t="array" ref="C18">INDEX(GMW!$A$2:$NF$60,MATCH(1,(GMW!$NE$2:$NE$60=C$3)*(GMW!$ND$2:$ND$60=C$4),0),$B18-1966)</f>
        <v>1E-3</v>
      </c>
      <c r="D18" s="4" cm="1">
        <f t="array" ref="D18">INDEX(GMW!$A$2:$NF$60,MATCH(1,(GMW!$NE$2:$NE$60=D$3)*(GMW!$ND$2:$ND$60=D$4),0),$B18-1966)</f>
        <v>1E-3</v>
      </c>
      <c r="E18" s="4" cm="1">
        <f t="array" ref="E18">INDEX(GMW!$A$2:$NF$60,MATCH(1,(GMW!$NE$2:$NE$60=E$3)*(GMW!$ND$2:$ND$60=E$4),0),$B18-1966)</f>
        <v>11.25</v>
      </c>
      <c r="F18" s="4" cm="1">
        <f t="array" ref="F18">INDEX(GMW!$A$2:$NF$60,MATCH(1,(GMW!$NE$2:$NE$60=F$3)*(GMW!$ND$2:$ND$60=F$4),0),$B18-1966)</f>
        <v>1E-3</v>
      </c>
      <c r="G18" s="4" cm="1">
        <f t="array" ref="G18">INDEX(GMW!$A$2:$NF$60,MATCH(1,(GMW!$NE$2:$NE$60=G$3)*(GMW!$ND$2:$ND$60=G$4),0),$B18-1966)</f>
        <v>11</v>
      </c>
      <c r="H18" s="4" cm="1">
        <f t="array" ref="H18">INDEX(GMW!$A$2:$NF$60,MATCH(1,(GMW!$NE$2:$NE$60=H$3)*(GMW!$ND$2:$ND$60=H$4),0),$B18-1966)</f>
        <v>1E-3</v>
      </c>
    </row>
    <row r="19" spans="1:8" x14ac:dyDescent="0.35">
      <c r="A19" s="4">
        <v>1976</v>
      </c>
      <c r="B19" s="4">
        <f t="shared" si="1"/>
        <v>1985</v>
      </c>
      <c r="C19" s="4" cm="1">
        <f t="array" ref="C19">INDEX(GMW!$A$2:$NF$60,MATCH(1,(GMW!$NE$2:$NE$60=C$3)*(GMW!$ND$2:$ND$60=C$4),0),$B19-1966)</f>
        <v>1E-3</v>
      </c>
      <c r="D19" s="4" cm="1">
        <f t="array" ref="D19">INDEX(GMW!$A$2:$NF$60,MATCH(1,(GMW!$NE$2:$NE$60=D$3)*(GMW!$ND$2:$ND$60=D$4),0),$B19-1966)</f>
        <v>1E-3</v>
      </c>
      <c r="E19" s="4" cm="1">
        <f t="array" ref="E19">INDEX(GMW!$A$2:$NF$60,MATCH(1,(GMW!$NE$2:$NE$60=E$3)*(GMW!$ND$2:$ND$60=E$4),0),$B19-1966)</f>
        <v>9</v>
      </c>
      <c r="F19" s="4" cm="1">
        <f t="array" ref="F19">INDEX(GMW!$A$2:$NF$60,MATCH(1,(GMW!$NE$2:$NE$60=F$3)*(GMW!$ND$2:$ND$60=F$4),0),$B19-1966)</f>
        <v>1E-3</v>
      </c>
      <c r="G19" s="4" cm="1">
        <f t="array" ref="G19">INDEX(GMW!$A$2:$NF$60,MATCH(1,(GMW!$NE$2:$NE$60=G$3)*(GMW!$ND$2:$ND$60=G$4),0),$B19-1966)</f>
        <v>11</v>
      </c>
      <c r="H19" s="4" cm="1">
        <f t="array" ref="H19">INDEX(GMW!$A$2:$NF$60,MATCH(1,(GMW!$NE$2:$NE$60=H$3)*(GMW!$ND$2:$ND$60=H$4),0),$B19-1966)</f>
        <v>1E-3</v>
      </c>
    </row>
    <row r="20" spans="1:8" x14ac:dyDescent="0.35">
      <c r="B20" s="4">
        <f t="shared" si="1"/>
        <v>1986</v>
      </c>
      <c r="C20" s="4" cm="1">
        <f t="array" ref="C20">INDEX(GMW!$A$2:$NF$60,MATCH(1,(GMW!$NE$2:$NE$60=C$3)*(GMW!$ND$2:$ND$60=C$4),0),$B20-1966)</f>
        <v>1E-3</v>
      </c>
      <c r="D20" s="4" cm="1">
        <f t="array" ref="D20">INDEX(GMW!$A$2:$NF$60,MATCH(1,(GMW!$NE$2:$NE$60=D$3)*(GMW!$ND$2:$ND$60=D$4),0),$B20-1966)</f>
        <v>1E-3</v>
      </c>
      <c r="E20" s="4" cm="1">
        <f t="array" ref="E20">INDEX(GMW!$A$2:$NF$60,MATCH(1,(GMW!$NE$2:$NE$60=E$3)*(GMW!$ND$2:$ND$60=E$4),0),$B20-1966)</f>
        <v>11.5</v>
      </c>
      <c r="F20" s="4" cm="1">
        <f t="array" ref="F20">INDEX(GMW!$A$2:$NF$60,MATCH(1,(GMW!$NE$2:$NE$60=F$3)*(GMW!$ND$2:$ND$60=F$4),0),$B20-1966)</f>
        <v>1E-3</v>
      </c>
      <c r="G20" s="4" cm="1">
        <f t="array" ref="G20">INDEX(GMW!$A$2:$NF$60,MATCH(1,(GMW!$NE$2:$NE$60=G$3)*(GMW!$ND$2:$ND$60=G$4),0),$B20-1966)</f>
        <v>10.5</v>
      </c>
      <c r="H20" s="4" cm="1">
        <f t="array" ref="H20">INDEX(GMW!$A$2:$NF$60,MATCH(1,(GMW!$NE$2:$NE$60=H$3)*(GMW!$ND$2:$ND$60=H$4),0),$B20-1966)</f>
        <v>1E-3</v>
      </c>
    </row>
    <row r="21" spans="1:8" x14ac:dyDescent="0.35">
      <c r="B21" s="4">
        <f t="shared" si="1"/>
        <v>1987</v>
      </c>
      <c r="C21" s="4" cm="1">
        <f t="array" ref="C21">INDEX(GMW!$A$2:$NF$60,MATCH(1,(GMW!$NE$2:$NE$60=C$3)*(GMW!$ND$2:$ND$60=C$4),0),$B21-1966)</f>
        <v>1E-3</v>
      </c>
      <c r="D21" s="4" cm="1">
        <f t="array" ref="D21">INDEX(GMW!$A$2:$NF$60,MATCH(1,(GMW!$NE$2:$NE$60=D$3)*(GMW!$ND$2:$ND$60=D$4),0),$B21-1966)</f>
        <v>1E-3</v>
      </c>
      <c r="E21" s="4" cm="1">
        <f t="array" ref="E21">INDEX(GMW!$A$2:$NF$60,MATCH(1,(GMW!$NE$2:$NE$60=E$3)*(GMW!$ND$2:$ND$60=E$4),0),$B21-1966)</f>
        <v>13</v>
      </c>
      <c r="F21" s="4" cm="1">
        <f t="array" ref="F21">INDEX(GMW!$A$2:$NF$60,MATCH(1,(GMW!$NE$2:$NE$60=F$3)*(GMW!$ND$2:$ND$60=F$4),0),$B21-1966)</f>
        <v>1E-3</v>
      </c>
      <c r="G21" s="4" cm="1">
        <f t="array" ref="G21">INDEX(GMW!$A$2:$NF$60,MATCH(1,(GMW!$NE$2:$NE$60=G$3)*(GMW!$ND$2:$ND$60=G$4),0),$B21-1966)</f>
        <v>10.5</v>
      </c>
      <c r="H21" s="4" cm="1">
        <f t="array" ref="H21">INDEX(GMW!$A$2:$NF$60,MATCH(1,(GMW!$NE$2:$NE$60=H$3)*(GMW!$ND$2:$ND$60=H$4),0),$B21-1966)</f>
        <v>1E-3</v>
      </c>
    </row>
    <row r="22" spans="1:8" x14ac:dyDescent="0.35">
      <c r="B22" s="4">
        <f t="shared" si="1"/>
        <v>1988</v>
      </c>
      <c r="C22" s="4" cm="1">
        <f t="array" ref="C22">INDEX(GMW!$A$2:$NF$60,MATCH(1,(GMW!$NE$2:$NE$60=C$3)*(GMW!$ND$2:$ND$60=C$4),0),$B22-1966)</f>
        <v>1E-3</v>
      </c>
      <c r="D22" s="4" cm="1">
        <f t="array" ref="D22">INDEX(GMW!$A$2:$NF$60,MATCH(1,(GMW!$NE$2:$NE$60=D$3)*(GMW!$ND$2:$ND$60=D$4),0),$B22-1966)</f>
        <v>1E-3</v>
      </c>
      <c r="E22" s="4" cm="1">
        <f t="array" ref="E22">INDEX(GMW!$A$2:$NF$60,MATCH(1,(GMW!$NE$2:$NE$60=E$3)*(GMW!$ND$2:$ND$60=E$4),0),$B22-1966)</f>
        <v>14.25</v>
      </c>
      <c r="F22" s="4" cm="1">
        <f t="array" ref="F22">INDEX(GMW!$A$2:$NF$60,MATCH(1,(GMW!$NE$2:$NE$60=F$3)*(GMW!$ND$2:$ND$60=F$4),0),$B22-1966)</f>
        <v>1E-3</v>
      </c>
      <c r="G22" s="4" cm="1">
        <f t="array" ref="G22">INDEX(GMW!$A$2:$NF$60,MATCH(1,(GMW!$NE$2:$NE$60=G$3)*(GMW!$ND$2:$ND$60=G$4),0),$B22-1966)</f>
        <v>12.25</v>
      </c>
      <c r="H22" s="4" cm="1">
        <f t="array" ref="H22">INDEX(GMW!$A$2:$NF$60,MATCH(1,(GMW!$NE$2:$NE$60=H$3)*(GMW!$ND$2:$ND$60=H$4),0),$B22-1966)</f>
        <v>1E-3</v>
      </c>
    </row>
    <row r="23" spans="1:8" x14ac:dyDescent="0.35">
      <c r="A23" s="4">
        <v>1977</v>
      </c>
      <c r="B23" s="4">
        <f t="shared" si="1"/>
        <v>1989</v>
      </c>
      <c r="C23" s="4" cm="1">
        <f t="array" ref="C23">INDEX(GMW!$A$2:$NF$60,MATCH(1,(GMW!$NE$2:$NE$60=C$3)*(GMW!$ND$2:$ND$60=C$4),0),$B23-1966)</f>
        <v>1E-3</v>
      </c>
      <c r="D23" s="4" cm="1">
        <f t="array" ref="D23">INDEX(GMW!$A$2:$NF$60,MATCH(1,(GMW!$NE$2:$NE$60=D$3)*(GMW!$ND$2:$ND$60=D$4),0),$B23-1966)</f>
        <v>1E-3</v>
      </c>
      <c r="E23" s="4" cm="1">
        <f t="array" ref="E23">INDEX(GMW!$A$2:$NF$60,MATCH(1,(GMW!$NE$2:$NE$60=E$3)*(GMW!$ND$2:$ND$60=E$4),0),$B23-1966)</f>
        <v>9.5</v>
      </c>
      <c r="F23" s="4" cm="1">
        <f t="array" ref="F23">INDEX(GMW!$A$2:$NF$60,MATCH(1,(GMW!$NE$2:$NE$60=F$3)*(GMW!$ND$2:$ND$60=F$4),0),$B23-1966)</f>
        <v>1E-3</v>
      </c>
      <c r="G23" s="4" cm="1">
        <f t="array" ref="G23">INDEX(GMW!$A$2:$NF$60,MATCH(1,(GMW!$NE$2:$NE$60=G$3)*(GMW!$ND$2:$ND$60=G$4),0),$B23-1966)</f>
        <v>12.25</v>
      </c>
      <c r="H23" s="4" cm="1">
        <f t="array" ref="H23">INDEX(GMW!$A$2:$NF$60,MATCH(1,(GMW!$NE$2:$NE$60=H$3)*(GMW!$ND$2:$ND$60=H$4),0),$B23-1966)</f>
        <v>1E-3</v>
      </c>
    </row>
    <row r="24" spans="1:8" x14ac:dyDescent="0.35">
      <c r="B24" s="4">
        <f t="shared" si="1"/>
        <v>1990</v>
      </c>
      <c r="C24" s="4" cm="1">
        <f t="array" ref="C24">INDEX(GMW!$A$2:$NF$60,MATCH(1,(GMW!$NE$2:$NE$60=C$3)*(GMW!$ND$2:$ND$60=C$4),0),$B24-1966)</f>
        <v>1E-3</v>
      </c>
      <c r="D24" s="4" cm="1">
        <f t="array" ref="D24">INDEX(GMW!$A$2:$NF$60,MATCH(1,(GMW!$NE$2:$NE$60=D$3)*(GMW!$ND$2:$ND$60=D$4),0),$B24-1966)</f>
        <v>1E-3</v>
      </c>
      <c r="E24" s="4" cm="1">
        <f t="array" ref="E24">INDEX(GMW!$A$2:$NF$60,MATCH(1,(GMW!$NE$2:$NE$60=E$3)*(GMW!$ND$2:$ND$60=E$4),0),$B24-1966)</f>
        <v>8</v>
      </c>
      <c r="F24" s="4" cm="1">
        <f t="array" ref="F24">INDEX(GMW!$A$2:$NF$60,MATCH(1,(GMW!$NE$2:$NE$60=F$3)*(GMW!$ND$2:$ND$60=F$4),0),$B24-1966)</f>
        <v>1E-3</v>
      </c>
      <c r="G24" s="4" cm="1">
        <f t="array" ref="G24">INDEX(GMW!$A$2:$NF$60,MATCH(1,(GMW!$NE$2:$NE$60=G$3)*(GMW!$ND$2:$ND$60=G$4),0),$B24-1966)</f>
        <v>11.25</v>
      </c>
      <c r="H24" s="4" cm="1">
        <f t="array" ref="H24">INDEX(GMW!$A$2:$NF$60,MATCH(1,(GMW!$NE$2:$NE$60=H$3)*(GMW!$ND$2:$ND$60=H$4),0),$B24-1966)</f>
        <v>1E-3</v>
      </c>
    </row>
    <row r="25" spans="1:8" x14ac:dyDescent="0.35">
      <c r="B25" s="4">
        <f t="shared" si="1"/>
        <v>1991</v>
      </c>
      <c r="C25" s="4" cm="1">
        <f t="array" ref="C25">INDEX(GMW!$A$2:$NF$60,MATCH(1,(GMW!$NE$2:$NE$60=C$3)*(GMW!$ND$2:$ND$60=C$4),0),$B25-1966)</f>
        <v>1E-3</v>
      </c>
      <c r="D25" s="4" cm="1">
        <f t="array" ref="D25">INDEX(GMW!$A$2:$NF$60,MATCH(1,(GMW!$NE$2:$NE$60=D$3)*(GMW!$ND$2:$ND$60=D$4),0),$B25-1966)</f>
        <v>1E-3</v>
      </c>
      <c r="E25" s="4" cm="1">
        <f t="array" ref="E25">INDEX(GMW!$A$2:$NF$60,MATCH(1,(GMW!$NE$2:$NE$60=E$3)*(GMW!$ND$2:$ND$60=E$4),0),$B25-1966)</f>
        <v>6</v>
      </c>
      <c r="F25" s="4" cm="1">
        <f t="array" ref="F25">INDEX(GMW!$A$2:$NF$60,MATCH(1,(GMW!$NE$2:$NE$60=F$3)*(GMW!$ND$2:$ND$60=F$4),0),$B25-1966)</f>
        <v>1E-3</v>
      </c>
      <c r="G25" s="4" cm="1">
        <f t="array" ref="G25">INDEX(GMW!$A$2:$NF$60,MATCH(1,(GMW!$NE$2:$NE$60=G$3)*(GMW!$ND$2:$ND$60=G$4),0),$B25-1966)</f>
        <v>10.5</v>
      </c>
      <c r="H25" s="4" cm="1">
        <f t="array" ref="H25">INDEX(GMW!$A$2:$NF$60,MATCH(1,(GMW!$NE$2:$NE$60=H$3)*(GMW!$ND$2:$ND$60=H$4),0),$B25-1966)</f>
        <v>1E-3</v>
      </c>
    </row>
    <row r="26" spans="1:8" x14ac:dyDescent="0.35">
      <c r="B26" s="4">
        <f t="shared" si="1"/>
        <v>1992</v>
      </c>
      <c r="C26" s="4" cm="1">
        <f t="array" ref="C26">INDEX(GMW!$A$2:$NF$60,MATCH(1,(GMW!$NE$2:$NE$60=C$3)*(GMW!$ND$2:$ND$60=C$4),0),$B26-1966)</f>
        <v>1E-3</v>
      </c>
      <c r="D26" s="4" cm="1">
        <f t="array" ref="D26">INDEX(GMW!$A$2:$NF$60,MATCH(1,(GMW!$NE$2:$NE$60=D$3)*(GMW!$ND$2:$ND$60=D$4),0),$B26-1966)</f>
        <v>1E-3</v>
      </c>
      <c r="E26" s="4" cm="1">
        <f t="array" ref="E26">INDEX(GMW!$A$2:$NF$60,MATCH(1,(GMW!$NE$2:$NE$60=E$3)*(GMW!$ND$2:$ND$60=E$4),0),$B26-1966)</f>
        <v>7</v>
      </c>
      <c r="F26" s="4" cm="1">
        <f t="array" ref="F26">INDEX(GMW!$A$2:$NF$60,MATCH(1,(GMW!$NE$2:$NE$60=F$3)*(GMW!$ND$2:$ND$60=F$4),0),$B26-1966)</f>
        <v>1E-3</v>
      </c>
      <c r="G26" s="4" cm="1">
        <f t="array" ref="G26">INDEX(GMW!$A$2:$NF$60,MATCH(1,(GMW!$NE$2:$NE$60=G$3)*(GMW!$ND$2:$ND$60=G$4),0),$B26-1966)</f>
        <v>9.5</v>
      </c>
      <c r="H26" s="4" cm="1">
        <f t="array" ref="H26">INDEX(GMW!$A$2:$NF$60,MATCH(1,(GMW!$NE$2:$NE$60=H$3)*(GMW!$ND$2:$ND$60=H$4),0),$B26-1966)</f>
        <v>1E-3</v>
      </c>
    </row>
    <row r="27" spans="1:8" x14ac:dyDescent="0.35">
      <c r="A27" s="4">
        <v>1978</v>
      </c>
      <c r="B27" s="4">
        <f t="shared" si="1"/>
        <v>1993</v>
      </c>
      <c r="C27" s="4" cm="1">
        <f t="array" ref="C27">INDEX(GMW!$A$2:$NF$60,MATCH(1,(GMW!$NE$2:$NE$60=C$3)*(GMW!$ND$2:$ND$60=C$4),0),$B27-1966)</f>
        <v>1E-3</v>
      </c>
      <c r="D27" s="4" cm="1">
        <f t="array" ref="D27">INDEX(GMW!$A$2:$NF$60,MATCH(1,(GMW!$NE$2:$NE$60=D$3)*(GMW!$ND$2:$ND$60=D$4),0),$B27-1966)</f>
        <v>1E-3</v>
      </c>
      <c r="E27" s="4" cm="1">
        <f t="array" ref="E27">INDEX(GMW!$A$2:$NF$60,MATCH(1,(GMW!$NE$2:$NE$60=E$3)*(GMW!$ND$2:$ND$60=E$4),0),$B27-1966)</f>
        <v>6.5</v>
      </c>
      <c r="F27" s="4" cm="1">
        <f t="array" ref="F27">INDEX(GMW!$A$2:$NF$60,MATCH(1,(GMW!$NE$2:$NE$60=F$3)*(GMW!$ND$2:$ND$60=F$4),0),$B27-1966)</f>
        <v>1E-3</v>
      </c>
      <c r="G27" s="4" cm="1">
        <f t="array" ref="G27">INDEX(GMW!$A$2:$NF$60,MATCH(1,(GMW!$NE$2:$NE$60=G$3)*(GMW!$ND$2:$ND$60=G$4),0),$B27-1966)</f>
        <v>8.5</v>
      </c>
      <c r="H27" s="4" cm="1">
        <f t="array" ref="H27">INDEX(GMW!$A$2:$NF$60,MATCH(1,(GMW!$NE$2:$NE$60=H$3)*(GMW!$ND$2:$ND$60=H$4),0),$B27-1966)</f>
        <v>1E-3</v>
      </c>
    </row>
    <row r="28" spans="1:8" x14ac:dyDescent="0.35">
      <c r="B28" s="4">
        <f t="shared" si="1"/>
        <v>1994</v>
      </c>
      <c r="C28" s="4" cm="1">
        <f t="array" ref="C28">INDEX(GMW!$A$2:$NF$60,MATCH(1,(GMW!$NE$2:$NE$60=C$3)*(GMW!$ND$2:$ND$60=C$4),0),$B28-1966)</f>
        <v>1E-3</v>
      </c>
      <c r="D28" s="4" cm="1">
        <f t="array" ref="D28">INDEX(GMW!$A$2:$NF$60,MATCH(1,(GMW!$NE$2:$NE$60=D$3)*(GMW!$ND$2:$ND$60=D$4),0),$B28-1966)</f>
        <v>1E-3</v>
      </c>
      <c r="E28" s="4" cm="1">
        <f t="array" ref="E28">INDEX(GMW!$A$2:$NF$60,MATCH(1,(GMW!$NE$2:$NE$60=E$3)*(GMW!$ND$2:$ND$60=E$4),0),$B28-1966)</f>
        <v>10</v>
      </c>
      <c r="F28" s="4" cm="1">
        <f t="array" ref="F28">INDEX(GMW!$A$2:$NF$60,MATCH(1,(GMW!$NE$2:$NE$60=F$3)*(GMW!$ND$2:$ND$60=F$4),0),$B28-1966)</f>
        <v>1E-3</v>
      </c>
      <c r="G28" s="4" cm="1">
        <f t="array" ref="G28">INDEX(GMW!$A$2:$NF$60,MATCH(1,(GMW!$NE$2:$NE$60=G$3)*(GMW!$ND$2:$ND$60=G$4),0),$B28-1966)</f>
        <v>8.5</v>
      </c>
      <c r="H28" s="4" cm="1">
        <f t="array" ref="H28">INDEX(GMW!$A$2:$NF$60,MATCH(1,(GMW!$NE$2:$NE$60=H$3)*(GMW!$ND$2:$ND$60=H$4),0),$B28-1966)</f>
        <v>1E-3</v>
      </c>
    </row>
    <row r="29" spans="1:8" x14ac:dyDescent="0.35">
      <c r="B29" s="4">
        <f t="shared" si="1"/>
        <v>1995</v>
      </c>
      <c r="C29" s="4" cm="1">
        <f t="array" ref="C29">INDEX(GMW!$A$2:$NF$60,MATCH(1,(GMW!$NE$2:$NE$60=C$3)*(GMW!$ND$2:$ND$60=C$4),0),$B29-1966)</f>
        <v>1E-3</v>
      </c>
      <c r="D29" s="4" cm="1">
        <f t="array" ref="D29">INDEX(GMW!$A$2:$NF$60,MATCH(1,(GMW!$NE$2:$NE$60=D$3)*(GMW!$ND$2:$ND$60=D$4),0),$B29-1966)</f>
        <v>1E-3</v>
      </c>
      <c r="E29" s="4" cm="1">
        <f t="array" ref="E29">INDEX(GMW!$A$2:$NF$60,MATCH(1,(GMW!$NE$2:$NE$60=E$3)*(GMW!$ND$2:$ND$60=E$4),0),$B29-1966)</f>
        <v>10</v>
      </c>
      <c r="F29" s="4" cm="1">
        <f t="array" ref="F29">INDEX(GMW!$A$2:$NF$60,MATCH(1,(GMW!$NE$2:$NE$60=F$3)*(GMW!$ND$2:$ND$60=F$4),0),$B29-1966)</f>
        <v>1E-3</v>
      </c>
      <c r="G29" s="4" cm="1">
        <f t="array" ref="G29">INDEX(GMW!$A$2:$NF$60,MATCH(1,(GMW!$NE$2:$NE$60=G$3)*(GMW!$ND$2:$ND$60=G$4),0),$B29-1966)</f>
        <v>9.75</v>
      </c>
      <c r="H29" s="4" cm="1">
        <f t="array" ref="H29">INDEX(GMW!$A$2:$NF$60,MATCH(1,(GMW!$NE$2:$NE$60=H$3)*(GMW!$ND$2:$ND$60=H$4),0),$B29-1966)</f>
        <v>1E-3</v>
      </c>
    </row>
    <row r="30" spans="1:8" x14ac:dyDescent="0.35">
      <c r="B30" s="4">
        <f t="shared" si="1"/>
        <v>1996</v>
      </c>
      <c r="C30" s="4" cm="1">
        <f t="array" ref="C30">INDEX(GMW!$A$2:$NF$60,MATCH(1,(GMW!$NE$2:$NE$60=C$3)*(GMW!$ND$2:$ND$60=C$4),0),$B30-1966)</f>
        <v>1E-3</v>
      </c>
      <c r="D30" s="4" cm="1">
        <f t="array" ref="D30">INDEX(GMW!$A$2:$NF$60,MATCH(1,(GMW!$NE$2:$NE$60=D$3)*(GMW!$ND$2:$ND$60=D$4),0),$B30-1966)</f>
        <v>1E-3</v>
      </c>
      <c r="E30" s="4" cm="1">
        <f t="array" ref="E30">INDEX(GMW!$A$2:$NF$60,MATCH(1,(GMW!$NE$2:$NE$60=E$3)*(GMW!$ND$2:$ND$60=E$4),0),$B30-1966)</f>
        <v>12.5</v>
      </c>
      <c r="F30" s="4" cm="1">
        <f t="array" ref="F30">INDEX(GMW!$A$2:$NF$60,MATCH(1,(GMW!$NE$2:$NE$60=F$3)*(GMW!$ND$2:$ND$60=F$4),0),$B30-1966)</f>
        <v>1E-3</v>
      </c>
      <c r="G30" s="4" cm="1">
        <f t="array" ref="G30">INDEX(GMW!$A$2:$NF$60,MATCH(1,(GMW!$NE$2:$NE$60=G$3)*(GMW!$ND$2:$ND$60=G$4),0),$B30-1966)</f>
        <v>10.42</v>
      </c>
      <c r="H30" s="4" cm="1">
        <f t="array" ref="H30">INDEX(GMW!$A$2:$NF$60,MATCH(1,(GMW!$NE$2:$NE$60=H$3)*(GMW!$ND$2:$ND$60=H$4),0),$B30-1966)</f>
        <v>1E-3</v>
      </c>
    </row>
    <row r="31" spans="1:8" x14ac:dyDescent="0.35">
      <c r="A31" s="4">
        <v>1979</v>
      </c>
      <c r="B31" s="4">
        <f t="shared" si="1"/>
        <v>1997</v>
      </c>
      <c r="C31" s="4" cm="1">
        <f t="array" ref="C31">INDEX(GMW!$A$2:$NF$60,MATCH(1,(GMW!$NE$2:$NE$60=C$3)*(GMW!$ND$2:$ND$60=C$4),0),$B31-1966)</f>
        <v>1E-3</v>
      </c>
      <c r="D31" s="4" cm="1">
        <f t="array" ref="D31">INDEX(GMW!$A$2:$NF$60,MATCH(1,(GMW!$NE$2:$NE$60=D$3)*(GMW!$ND$2:$ND$60=D$4),0),$B31-1966)</f>
        <v>1E-3</v>
      </c>
      <c r="E31" s="4" cm="1">
        <f t="array" ref="E31">INDEX(GMW!$A$2:$NF$60,MATCH(1,(GMW!$NE$2:$NE$60=E$3)*(GMW!$ND$2:$ND$60=E$4),0),$B31-1966)</f>
        <v>13</v>
      </c>
      <c r="F31" s="4" cm="1">
        <f t="array" ref="F31">INDEX(GMW!$A$2:$NF$60,MATCH(1,(GMW!$NE$2:$NE$60=F$3)*(GMW!$ND$2:$ND$60=F$4),0),$B31-1966)</f>
        <v>1E-3</v>
      </c>
      <c r="G31" s="4" cm="1">
        <f t="array" ref="G31">INDEX(GMW!$A$2:$NF$60,MATCH(1,(GMW!$NE$2:$NE$60=G$3)*(GMW!$ND$2:$ND$60=G$4),0),$B31-1966)</f>
        <v>11.75</v>
      </c>
      <c r="H31" s="4" cm="1">
        <f t="array" ref="H31">INDEX(GMW!$A$2:$NF$60,MATCH(1,(GMW!$NE$2:$NE$60=H$3)*(GMW!$ND$2:$ND$60=H$4),0),$B31-1966)</f>
        <v>1E-3</v>
      </c>
    </row>
    <row r="32" spans="1:8" x14ac:dyDescent="0.35">
      <c r="B32" s="4">
        <f t="shared" si="1"/>
        <v>1998</v>
      </c>
      <c r="C32" s="4" cm="1">
        <f t="array" ref="C32">INDEX(GMW!$A$2:$NF$60,MATCH(1,(GMW!$NE$2:$NE$60=C$3)*(GMW!$ND$2:$ND$60=C$4),0),$B32-1966)</f>
        <v>1E-3</v>
      </c>
      <c r="D32" s="4" cm="1">
        <f t="array" ref="D32">INDEX(GMW!$A$2:$NF$60,MATCH(1,(GMW!$NE$2:$NE$60=D$3)*(GMW!$ND$2:$ND$60=D$4),0),$B32-1966)</f>
        <v>1E-3</v>
      </c>
      <c r="E32" s="4" cm="1">
        <f t="array" ref="E32">INDEX(GMW!$A$2:$NF$60,MATCH(1,(GMW!$NE$2:$NE$60=E$3)*(GMW!$ND$2:$ND$60=E$4),0),$B32-1966)</f>
        <v>14</v>
      </c>
      <c r="F32" s="4" cm="1">
        <f t="array" ref="F32">INDEX(GMW!$A$2:$NF$60,MATCH(1,(GMW!$NE$2:$NE$60=F$3)*(GMW!$ND$2:$ND$60=F$4),0),$B32-1966)</f>
        <v>1E-3</v>
      </c>
      <c r="G32" s="4" cm="1">
        <f t="array" ref="G32">INDEX(GMW!$A$2:$NF$60,MATCH(1,(GMW!$NE$2:$NE$60=G$3)*(GMW!$ND$2:$ND$60=G$4),0),$B32-1966)</f>
        <v>11.246</v>
      </c>
      <c r="H32" s="4" cm="1">
        <f t="array" ref="H32">INDEX(GMW!$A$2:$NF$60,MATCH(1,(GMW!$NE$2:$NE$60=H$3)*(GMW!$ND$2:$ND$60=H$4),0),$B32-1966)</f>
        <v>1E-3</v>
      </c>
    </row>
    <row r="33" spans="1:8" x14ac:dyDescent="0.35">
      <c r="B33" s="4">
        <f t="shared" si="1"/>
        <v>1999</v>
      </c>
      <c r="C33" s="4" cm="1">
        <f t="array" ref="C33">INDEX(GMW!$A$2:$NF$60,MATCH(1,(GMW!$NE$2:$NE$60=C$3)*(GMW!$ND$2:$ND$60=C$4),0),$B33-1966)</f>
        <v>1E-3</v>
      </c>
      <c r="D33" s="4" cm="1">
        <f t="array" ref="D33">INDEX(GMW!$A$2:$NF$60,MATCH(1,(GMW!$NE$2:$NE$60=D$3)*(GMW!$ND$2:$ND$60=D$4),0),$B33-1966)</f>
        <v>1E-3</v>
      </c>
      <c r="E33" s="4" cm="1">
        <f t="array" ref="E33">INDEX(GMW!$A$2:$NF$60,MATCH(1,(GMW!$NE$2:$NE$60=E$3)*(GMW!$ND$2:$ND$60=E$4),0),$B33-1966)</f>
        <v>14</v>
      </c>
      <c r="F33" s="4" cm="1">
        <f t="array" ref="F33">INDEX(GMW!$A$2:$NF$60,MATCH(1,(GMW!$NE$2:$NE$60=F$3)*(GMW!$ND$2:$ND$60=F$4),0),$B33-1966)</f>
        <v>1E-3</v>
      </c>
      <c r="G33" s="4" cm="1">
        <f t="array" ref="G33">INDEX(GMW!$A$2:$NF$60,MATCH(1,(GMW!$NE$2:$NE$60=G$3)*(GMW!$ND$2:$ND$60=G$4),0),$B33-1966)</f>
        <v>11.75</v>
      </c>
      <c r="H33" s="4" cm="1">
        <f t="array" ref="H33">INDEX(GMW!$A$2:$NF$60,MATCH(1,(GMW!$NE$2:$NE$60=H$3)*(GMW!$ND$2:$ND$60=H$4),0),$B33-1966)</f>
        <v>1E-3</v>
      </c>
    </row>
    <row r="34" spans="1:8" x14ac:dyDescent="0.35">
      <c r="B34" s="4">
        <f t="shared" si="1"/>
        <v>2000</v>
      </c>
      <c r="C34" s="4" cm="1">
        <f t="array" ref="C34">INDEX(GMW!$A$2:$NF$60,MATCH(1,(GMW!$NE$2:$NE$60=C$3)*(GMW!$ND$2:$ND$60=C$4),0),$B34-1966)</f>
        <v>1E-3</v>
      </c>
      <c r="D34" s="4" cm="1">
        <f t="array" ref="D34">INDEX(GMW!$A$2:$NF$60,MATCH(1,(GMW!$NE$2:$NE$60=D$3)*(GMW!$ND$2:$ND$60=D$4),0),$B34-1966)</f>
        <v>1E-3</v>
      </c>
      <c r="E34" s="4" cm="1">
        <f t="array" ref="E34">INDEX(GMW!$A$2:$NF$60,MATCH(1,(GMW!$NE$2:$NE$60=E$3)*(GMW!$ND$2:$ND$60=E$4),0),$B34-1966)</f>
        <v>17</v>
      </c>
      <c r="F34" s="4" cm="1">
        <f t="array" ref="F34">INDEX(GMW!$A$2:$NF$60,MATCH(1,(GMW!$NE$2:$NE$60=F$3)*(GMW!$ND$2:$ND$60=F$4),0),$B34-1966)</f>
        <v>1E-3</v>
      </c>
      <c r="G34" s="4" cm="1">
        <f t="array" ref="G34">INDEX(GMW!$A$2:$NF$60,MATCH(1,(GMW!$NE$2:$NE$60=G$3)*(GMW!$ND$2:$ND$60=G$4),0),$B34-1966)</f>
        <v>13.38</v>
      </c>
      <c r="H34" s="4" cm="1">
        <f t="array" ref="H34">INDEX(GMW!$A$2:$NF$60,MATCH(1,(GMW!$NE$2:$NE$60=H$3)*(GMW!$ND$2:$ND$60=H$4),0),$B34-1966)</f>
        <v>1E-3</v>
      </c>
    </row>
    <row r="35" spans="1:8" x14ac:dyDescent="0.35">
      <c r="A35" s="4">
        <v>1980</v>
      </c>
      <c r="B35" s="4">
        <f t="shared" si="1"/>
        <v>2001</v>
      </c>
      <c r="C35" s="4" cm="1">
        <f t="array" ref="C35">INDEX(GMW!$A$2:$NF$60,MATCH(1,(GMW!$NE$2:$NE$60=C$3)*(GMW!$ND$2:$ND$60=C$4),0),$B35-1966)</f>
        <v>1E-3</v>
      </c>
      <c r="D35" s="4" cm="1">
        <f t="array" ref="D35">INDEX(GMW!$A$2:$NF$60,MATCH(1,(GMW!$NE$2:$NE$60=D$3)*(GMW!$ND$2:$ND$60=D$4),0),$B35-1966)</f>
        <v>1E-3</v>
      </c>
      <c r="E35" s="4" cm="1">
        <f t="array" ref="E35">INDEX(GMW!$A$2:$NF$60,MATCH(1,(GMW!$NE$2:$NE$60=E$3)*(GMW!$ND$2:$ND$60=E$4),0),$B35-1966)</f>
        <v>17</v>
      </c>
      <c r="F35" s="4" cm="1">
        <f t="array" ref="F35">INDEX(GMW!$A$2:$NF$60,MATCH(1,(GMW!$NE$2:$NE$60=F$3)*(GMW!$ND$2:$ND$60=F$4),0),$B35-1966)</f>
        <v>1E-3</v>
      </c>
      <c r="G35" s="4" cm="1">
        <f t="array" ref="G35">INDEX(GMW!$A$2:$NF$60,MATCH(1,(GMW!$NE$2:$NE$60=G$3)*(GMW!$ND$2:$ND$60=G$4),0),$B35-1966)</f>
        <v>14.7821</v>
      </c>
      <c r="H35" s="4" cm="1">
        <f t="array" ref="H35">INDEX(GMW!$A$2:$NF$60,MATCH(1,(GMW!$NE$2:$NE$60=H$3)*(GMW!$ND$2:$ND$60=H$4),0),$B35-1966)</f>
        <v>21.73742</v>
      </c>
    </row>
    <row r="36" spans="1:8" x14ac:dyDescent="0.35">
      <c r="B36" s="4">
        <f t="shared" si="1"/>
        <v>2002</v>
      </c>
      <c r="C36" s="4" cm="1">
        <f t="array" ref="C36">INDEX(GMW!$A$2:$NF$60,MATCH(1,(GMW!$NE$2:$NE$60=C$3)*(GMW!$ND$2:$ND$60=C$4),0),$B36-1966)</f>
        <v>1E-3</v>
      </c>
      <c r="D36" s="4" cm="1">
        <f t="array" ref="D36">INDEX(GMW!$A$2:$NF$60,MATCH(1,(GMW!$NE$2:$NE$60=D$3)*(GMW!$ND$2:$ND$60=D$4),0),$B36-1966)</f>
        <v>1E-3</v>
      </c>
      <c r="E36" s="4" cm="1">
        <f t="array" ref="E36">INDEX(GMW!$A$2:$NF$60,MATCH(1,(GMW!$NE$2:$NE$60=E$3)*(GMW!$ND$2:$ND$60=E$4),0),$B36-1966)</f>
        <v>17</v>
      </c>
      <c r="F36" s="4" cm="1">
        <f t="array" ref="F36">INDEX(GMW!$A$2:$NF$60,MATCH(1,(GMW!$NE$2:$NE$60=F$3)*(GMW!$ND$2:$ND$60=F$4),0),$B36-1966)</f>
        <v>1E-3</v>
      </c>
      <c r="G36" s="4" cm="1">
        <f t="array" ref="G36">INDEX(GMW!$A$2:$NF$60,MATCH(1,(GMW!$NE$2:$NE$60=G$3)*(GMW!$ND$2:$ND$60=G$4),0),$B36-1966)</f>
        <v>14.875500000000001</v>
      </c>
      <c r="H36" s="4" cm="1">
        <f t="array" ref="H36">INDEX(GMW!$A$2:$NF$60,MATCH(1,(GMW!$NE$2:$NE$60=H$3)*(GMW!$ND$2:$ND$60=H$4),0),$B36-1966)</f>
        <v>21.10538</v>
      </c>
    </row>
    <row r="37" spans="1:8" x14ac:dyDescent="0.35">
      <c r="B37" s="4">
        <f t="shared" si="1"/>
        <v>2003</v>
      </c>
      <c r="C37" s="4" cm="1">
        <f t="array" ref="C37">INDEX(GMW!$A$2:$NF$60,MATCH(1,(GMW!$NE$2:$NE$60=C$3)*(GMW!$ND$2:$ND$60=C$4),0),$B37-1966)</f>
        <v>1E-3</v>
      </c>
      <c r="D37" s="4" cm="1">
        <f t="array" ref="D37">INDEX(GMW!$A$2:$NF$60,MATCH(1,(GMW!$NE$2:$NE$60=D$3)*(GMW!$ND$2:$ND$60=D$4),0),$B37-1966)</f>
        <v>1E-3</v>
      </c>
      <c r="E37" s="4" cm="1">
        <f t="array" ref="E37">INDEX(GMW!$A$2:$NF$60,MATCH(1,(GMW!$NE$2:$NE$60=E$3)*(GMW!$ND$2:$ND$60=E$4),0),$B37-1966)</f>
        <v>16</v>
      </c>
      <c r="F37" s="4" cm="1">
        <f t="array" ref="F37">INDEX(GMW!$A$2:$NF$60,MATCH(1,(GMW!$NE$2:$NE$60=F$3)*(GMW!$ND$2:$ND$60=F$4),0),$B37-1966)</f>
        <v>1E-3</v>
      </c>
      <c r="G37" s="4" cm="1">
        <f t="array" ref="G37">INDEX(GMW!$A$2:$NF$60,MATCH(1,(GMW!$NE$2:$NE$60=G$3)*(GMW!$ND$2:$ND$60=G$4),0),$B37-1966)</f>
        <v>14.887600000000001</v>
      </c>
      <c r="H37" s="4" cm="1">
        <f t="array" ref="H37">INDEX(GMW!$A$2:$NF$60,MATCH(1,(GMW!$NE$2:$NE$60=H$3)*(GMW!$ND$2:$ND$60=H$4),0),$B37-1966)</f>
        <v>20.08708</v>
      </c>
    </row>
    <row r="38" spans="1:8" x14ac:dyDescent="0.35">
      <c r="B38" s="4">
        <f t="shared" si="1"/>
        <v>2004</v>
      </c>
      <c r="C38" s="4" cm="1">
        <f t="array" ref="C38">INDEX(GMW!$A$2:$NF$60,MATCH(1,(GMW!$NE$2:$NE$60=C$3)*(GMW!$ND$2:$ND$60=C$4),0),$B38-1966)</f>
        <v>1E-3</v>
      </c>
      <c r="D38" s="4" cm="1">
        <f t="array" ref="D38">INDEX(GMW!$A$2:$NF$60,MATCH(1,(GMW!$NE$2:$NE$60=D$3)*(GMW!$ND$2:$ND$60=D$4),0),$B38-1966)</f>
        <v>1E-3</v>
      </c>
      <c r="E38" s="4" cm="1">
        <f t="array" ref="E38">INDEX(GMW!$A$2:$NF$60,MATCH(1,(GMW!$NE$2:$NE$60=E$3)*(GMW!$ND$2:$ND$60=E$4),0),$B38-1966)</f>
        <v>14</v>
      </c>
      <c r="F38" s="4" cm="1">
        <f t="array" ref="F38">INDEX(GMW!$A$2:$NF$60,MATCH(1,(GMW!$NE$2:$NE$60=F$3)*(GMW!$ND$2:$ND$60=F$4),0),$B38-1966)</f>
        <v>1E-3</v>
      </c>
      <c r="G38" s="4" cm="1">
        <f t="array" ref="G38">INDEX(GMW!$A$2:$NF$60,MATCH(1,(GMW!$NE$2:$NE$60=G$3)*(GMW!$ND$2:$ND$60=G$4),0),$B38-1966)</f>
        <v>14.9682</v>
      </c>
      <c r="H38" s="4" cm="1">
        <f t="array" ref="H38">INDEX(GMW!$A$2:$NF$60,MATCH(1,(GMW!$NE$2:$NE$60=H$3)*(GMW!$ND$2:$ND$60=H$4),0),$B38-1966)</f>
        <v>20.07705</v>
      </c>
    </row>
    <row r="39" spans="1:8" x14ac:dyDescent="0.35">
      <c r="A39" s="4">
        <v>1981</v>
      </c>
      <c r="B39" s="4">
        <f t="shared" si="1"/>
        <v>2005</v>
      </c>
      <c r="C39" s="4" cm="1">
        <f t="array" ref="C39">INDEX(GMW!$A$2:$NF$60,MATCH(1,(GMW!$NE$2:$NE$60=C$3)*(GMW!$ND$2:$ND$60=C$4),0),$B39-1966)</f>
        <v>1E-3</v>
      </c>
      <c r="D39" s="4" cm="1">
        <f t="array" ref="D39">INDEX(GMW!$A$2:$NF$60,MATCH(1,(GMW!$NE$2:$NE$60=D$3)*(GMW!$ND$2:$ND$60=D$4),0),$B39-1966)</f>
        <v>1E-3</v>
      </c>
      <c r="E39" s="4" cm="1">
        <f t="array" ref="E39">INDEX(GMW!$A$2:$NF$60,MATCH(1,(GMW!$NE$2:$NE$60=E$3)*(GMW!$ND$2:$ND$60=E$4),0),$B39-1966)</f>
        <v>12</v>
      </c>
      <c r="F39" s="4" cm="1">
        <f t="array" ref="F39">INDEX(GMW!$A$2:$NF$60,MATCH(1,(GMW!$NE$2:$NE$60=F$3)*(GMW!$ND$2:$ND$60=F$4),0),$B39-1966)</f>
        <v>1E-3</v>
      </c>
      <c r="G39" s="4" cm="1">
        <f t="array" ref="G39">INDEX(GMW!$A$2:$NF$60,MATCH(1,(GMW!$NE$2:$NE$60=G$3)*(GMW!$ND$2:$ND$60=G$4),0),$B39-1966)</f>
        <v>13.8888</v>
      </c>
      <c r="H39" s="4" cm="1">
        <f t="array" ref="H39">INDEX(GMW!$A$2:$NF$60,MATCH(1,(GMW!$NE$2:$NE$60=H$3)*(GMW!$ND$2:$ND$60=H$4),0),$B39-1966)</f>
        <v>20.839510000000001</v>
      </c>
    </row>
    <row r="40" spans="1:8" x14ac:dyDescent="0.35">
      <c r="B40" s="4">
        <f t="shared" si="1"/>
        <v>2006</v>
      </c>
      <c r="C40" s="4" cm="1">
        <f t="array" ref="C40">INDEX(GMW!$A$2:$NF$60,MATCH(1,(GMW!$NE$2:$NE$60=C$3)*(GMW!$ND$2:$ND$60=C$4),0),$B40-1966)</f>
        <v>1E-3</v>
      </c>
      <c r="D40" s="4" cm="1">
        <f t="array" ref="D40">INDEX(GMW!$A$2:$NF$60,MATCH(1,(GMW!$NE$2:$NE$60=D$3)*(GMW!$ND$2:$ND$60=D$4),0),$B40-1966)</f>
        <v>1E-3</v>
      </c>
      <c r="E40" s="4" cm="1">
        <f t="array" ref="E40">INDEX(GMW!$A$2:$NF$60,MATCH(1,(GMW!$NE$2:$NE$60=E$3)*(GMW!$ND$2:$ND$60=E$4),0),$B40-1966)</f>
        <v>12</v>
      </c>
      <c r="F40" s="4" cm="1">
        <f t="array" ref="F40">INDEX(GMW!$A$2:$NF$60,MATCH(1,(GMW!$NE$2:$NE$60=F$3)*(GMW!$ND$2:$ND$60=F$4),0),$B40-1966)</f>
        <v>1E-3</v>
      </c>
      <c r="G40" s="4" cm="1">
        <f t="array" ref="G40">INDEX(GMW!$A$2:$NF$60,MATCH(1,(GMW!$NE$2:$NE$60=G$3)*(GMW!$ND$2:$ND$60=G$4),0),$B40-1966)</f>
        <v>13.0457</v>
      </c>
      <c r="H40" s="4" cm="1">
        <f t="array" ref="H40">INDEX(GMW!$A$2:$NF$60,MATCH(1,(GMW!$NE$2:$NE$60=H$3)*(GMW!$ND$2:$ND$60=H$4),0),$B40-1966)</f>
        <v>21.336120000000001</v>
      </c>
    </row>
    <row r="41" spans="1:8" x14ac:dyDescent="0.35">
      <c r="B41" s="4">
        <f t="shared" si="1"/>
        <v>2007</v>
      </c>
      <c r="C41" s="4" cm="1">
        <f t="array" ref="C41">INDEX(GMW!$A$2:$NF$60,MATCH(1,(GMW!$NE$2:$NE$60=C$3)*(GMW!$ND$2:$ND$60=C$4),0),$B41-1966)</f>
        <v>1E-3</v>
      </c>
      <c r="D41" s="4" cm="1">
        <f t="array" ref="D41">INDEX(GMW!$A$2:$NF$60,MATCH(1,(GMW!$NE$2:$NE$60=D$3)*(GMW!$ND$2:$ND$60=D$4),0),$B41-1966)</f>
        <v>1E-3</v>
      </c>
      <c r="E41" s="4" cm="1">
        <f t="array" ref="E41">INDEX(GMW!$A$2:$NF$60,MATCH(1,(GMW!$NE$2:$NE$60=E$3)*(GMW!$ND$2:$ND$60=E$4),0),$B41-1966)</f>
        <v>14</v>
      </c>
      <c r="F41" s="4" cm="1">
        <f t="array" ref="F41">INDEX(GMW!$A$2:$NF$60,MATCH(1,(GMW!$NE$2:$NE$60=F$3)*(GMW!$ND$2:$ND$60=F$4),0),$B41-1966)</f>
        <v>1E-3</v>
      </c>
      <c r="G41" s="4" cm="1">
        <f t="array" ref="G41">INDEX(GMW!$A$2:$NF$60,MATCH(1,(GMW!$NE$2:$NE$60=G$3)*(GMW!$ND$2:$ND$60=G$4),0),$B41-1966)</f>
        <v>12.624599999999999</v>
      </c>
      <c r="H41" s="4" cm="1">
        <f t="array" ref="H41">INDEX(GMW!$A$2:$NF$60,MATCH(1,(GMW!$NE$2:$NE$60=H$3)*(GMW!$ND$2:$ND$60=H$4),0),$B41-1966)</f>
        <v>22.99147</v>
      </c>
    </row>
    <row r="42" spans="1:8" x14ac:dyDescent="0.35">
      <c r="B42" s="4">
        <f t="shared" si="1"/>
        <v>2008</v>
      </c>
      <c r="C42" s="4" cm="1">
        <f t="array" ref="C42">INDEX(GMW!$A$2:$NF$60,MATCH(1,(GMW!$NE$2:$NE$60=C$3)*(GMW!$ND$2:$ND$60=C$4),0),$B42-1966)</f>
        <v>1E-3</v>
      </c>
      <c r="D42" s="4" cm="1">
        <f t="array" ref="D42">INDEX(GMW!$A$2:$NF$60,MATCH(1,(GMW!$NE$2:$NE$60=D$3)*(GMW!$ND$2:$ND$60=D$4),0),$B42-1966)</f>
        <v>1E-3</v>
      </c>
      <c r="E42" s="4" cm="1">
        <f t="array" ref="E42">INDEX(GMW!$A$2:$NF$60,MATCH(1,(GMW!$NE$2:$NE$60=E$3)*(GMW!$ND$2:$ND$60=E$4),0),$B42-1966)</f>
        <v>14.375</v>
      </c>
      <c r="F42" s="4" cm="1">
        <f t="array" ref="F42">INDEX(GMW!$A$2:$NF$60,MATCH(1,(GMW!$NE$2:$NE$60=F$3)*(GMW!$ND$2:$ND$60=F$4),0),$B42-1966)</f>
        <v>1E-3</v>
      </c>
      <c r="G42" s="4" cm="1">
        <f t="array" ref="G42">INDEX(GMW!$A$2:$NF$60,MATCH(1,(GMW!$NE$2:$NE$60=G$3)*(GMW!$ND$2:$ND$60=G$4),0),$B42-1966)</f>
        <v>14.7041</v>
      </c>
      <c r="H42" s="4" cm="1">
        <f t="array" ref="H42">INDEX(GMW!$A$2:$NF$60,MATCH(1,(GMW!$NE$2:$NE$60=H$3)*(GMW!$ND$2:$ND$60=H$4),0),$B42-1966)</f>
        <v>23.603459999999998</v>
      </c>
    </row>
    <row r="43" spans="1:8" x14ac:dyDescent="0.35">
      <c r="A43" s="4">
        <v>1982</v>
      </c>
      <c r="B43" s="4">
        <f t="shared" si="1"/>
        <v>2009</v>
      </c>
      <c r="C43" s="4" cm="1">
        <f t="array" ref="C43">INDEX(GMW!$A$2:$NF$60,MATCH(1,(GMW!$NE$2:$NE$60=C$3)*(GMW!$ND$2:$ND$60=C$4),0),$B43-1966)</f>
        <v>1E-3</v>
      </c>
      <c r="D43" s="4" cm="1">
        <f t="array" ref="D43">INDEX(GMW!$A$2:$NF$60,MATCH(1,(GMW!$NE$2:$NE$60=D$3)*(GMW!$ND$2:$ND$60=D$4),0),$B43-1966)</f>
        <v>1E-3</v>
      </c>
      <c r="E43" s="4" cm="1">
        <f t="array" ref="E43">INDEX(GMW!$A$2:$NF$60,MATCH(1,(GMW!$NE$2:$NE$60=E$3)*(GMW!$ND$2:$ND$60=E$4),0),$B43-1966)</f>
        <v>13.25</v>
      </c>
      <c r="F43" s="4" cm="1">
        <f t="array" ref="F43">INDEX(GMW!$A$2:$NF$60,MATCH(1,(GMW!$NE$2:$NE$60=F$3)*(GMW!$ND$2:$ND$60=F$4),0),$B43-1966)</f>
        <v>1E-3</v>
      </c>
      <c r="G43" s="4" cm="1">
        <f t="array" ref="G43">INDEX(GMW!$A$2:$NF$60,MATCH(1,(GMW!$NE$2:$NE$60=G$3)*(GMW!$ND$2:$ND$60=G$4),0),$B43-1966)</f>
        <v>14.5939</v>
      </c>
      <c r="H43" s="4" cm="1">
        <f t="array" ref="H43">INDEX(GMW!$A$2:$NF$60,MATCH(1,(GMW!$NE$2:$NE$60=H$3)*(GMW!$ND$2:$ND$60=H$4),0),$B43-1966)</f>
        <v>22.098590000000002</v>
      </c>
    </row>
    <row r="44" spans="1:8" x14ac:dyDescent="0.35">
      <c r="B44" s="4">
        <f t="shared" si="1"/>
        <v>2010</v>
      </c>
      <c r="C44" s="4" cm="1">
        <f t="array" ref="C44">INDEX(GMW!$A$2:$NF$60,MATCH(1,(GMW!$NE$2:$NE$60=C$3)*(GMW!$ND$2:$ND$60=C$4),0),$B44-1966)</f>
        <v>1E-3</v>
      </c>
      <c r="D44" s="4" cm="1">
        <f t="array" ref="D44">INDEX(GMW!$A$2:$NF$60,MATCH(1,(GMW!$NE$2:$NE$60=D$3)*(GMW!$ND$2:$ND$60=D$4),0),$B44-1966)</f>
        <v>1E-3</v>
      </c>
      <c r="E44" s="4" cm="1">
        <f t="array" ref="E44">INDEX(GMW!$A$2:$NF$60,MATCH(1,(GMW!$NE$2:$NE$60=E$3)*(GMW!$ND$2:$ND$60=E$4),0),$B44-1966)</f>
        <v>12.625</v>
      </c>
      <c r="F44" s="4" cm="1">
        <f t="array" ref="F44">INDEX(GMW!$A$2:$NF$60,MATCH(1,(GMW!$NE$2:$NE$60=F$3)*(GMW!$ND$2:$ND$60=F$4),0),$B44-1966)</f>
        <v>1E-3</v>
      </c>
      <c r="G44" s="4" cm="1">
        <f t="array" ref="G44">INDEX(GMW!$A$2:$NF$60,MATCH(1,(GMW!$NE$2:$NE$60=G$3)*(GMW!$ND$2:$ND$60=G$4),0),$B44-1966)</f>
        <v>13.457599999999999</v>
      </c>
      <c r="H44" s="4" cm="1">
        <f t="array" ref="H44">INDEX(GMW!$A$2:$NF$60,MATCH(1,(GMW!$NE$2:$NE$60=H$3)*(GMW!$ND$2:$ND$60=H$4),0),$B44-1966)</f>
        <v>20.678999999999998</v>
      </c>
    </row>
    <row r="45" spans="1:8" x14ac:dyDescent="0.35">
      <c r="B45" s="4">
        <f t="shared" si="1"/>
        <v>2011</v>
      </c>
      <c r="C45" s="4" cm="1">
        <f t="array" ref="C45">INDEX(GMW!$A$2:$NF$60,MATCH(1,(GMW!$NE$2:$NE$60=C$3)*(GMW!$ND$2:$ND$60=C$4),0),$B45-1966)</f>
        <v>1E-3</v>
      </c>
      <c r="D45" s="4" cm="1">
        <f t="array" ref="D45">INDEX(GMW!$A$2:$NF$60,MATCH(1,(GMW!$NE$2:$NE$60=D$3)*(GMW!$ND$2:$ND$60=D$4),0),$B45-1966)</f>
        <v>1E-3</v>
      </c>
      <c r="E45" s="4" cm="1">
        <f t="array" ref="E45">INDEX(GMW!$A$2:$NF$60,MATCH(1,(GMW!$NE$2:$NE$60=E$3)*(GMW!$ND$2:$ND$60=E$4),0),$B45-1966)</f>
        <v>10.125</v>
      </c>
      <c r="F45" s="4" cm="1">
        <f t="array" ref="F45">INDEX(GMW!$A$2:$NF$60,MATCH(1,(GMW!$NE$2:$NE$60=F$3)*(GMW!$ND$2:$ND$60=F$4),0),$B45-1966)</f>
        <v>1E-3</v>
      </c>
      <c r="G45" s="4" cm="1">
        <f t="array" ref="G45">INDEX(GMW!$A$2:$NF$60,MATCH(1,(GMW!$NE$2:$NE$60=G$3)*(GMW!$ND$2:$ND$60=G$4),0),$B45-1966)</f>
        <v>12.612399999999999</v>
      </c>
      <c r="H45" s="4" cm="1">
        <f t="array" ref="H45">INDEX(GMW!$A$2:$NF$60,MATCH(1,(GMW!$NE$2:$NE$60=H$3)*(GMW!$ND$2:$ND$60=H$4),0),$B45-1966)</f>
        <v>18.48189</v>
      </c>
    </row>
    <row r="46" spans="1:8" x14ac:dyDescent="0.35">
      <c r="B46" s="4">
        <f t="shared" si="1"/>
        <v>2012</v>
      </c>
      <c r="C46" s="4" cm="1">
        <f t="array" ref="C46">INDEX(GMW!$A$2:$NF$60,MATCH(1,(GMW!$NE$2:$NE$60=C$3)*(GMW!$ND$2:$ND$60=C$4),0),$B46-1966)</f>
        <v>1E-3</v>
      </c>
      <c r="D46" s="4" cm="1">
        <f t="array" ref="D46">INDEX(GMW!$A$2:$NF$60,MATCH(1,(GMW!$NE$2:$NE$60=D$3)*(GMW!$ND$2:$ND$60=D$4),0),$B46-1966)</f>
        <v>1E-3</v>
      </c>
      <c r="E46" s="4" cm="1">
        <f t="array" ref="E46">INDEX(GMW!$A$2:$NF$60,MATCH(1,(GMW!$NE$2:$NE$60=E$3)*(GMW!$ND$2:$ND$60=E$4),0),$B46-1966)</f>
        <v>10</v>
      </c>
      <c r="F46" s="4" cm="1">
        <f t="array" ref="F46">INDEX(GMW!$A$2:$NF$60,MATCH(1,(GMW!$NE$2:$NE$60=F$3)*(GMW!$ND$2:$ND$60=F$4),0),$B46-1966)</f>
        <v>1E-3</v>
      </c>
      <c r="G46" s="4" cm="1">
        <f t="array" ref="G46">INDEX(GMW!$A$2:$NF$60,MATCH(1,(GMW!$NE$2:$NE$60=G$3)*(GMW!$ND$2:$ND$60=G$4),0),$B46-1966)</f>
        <v>10.9634</v>
      </c>
      <c r="H46" s="4" cm="1">
        <f t="array" ref="H46">INDEX(GMW!$A$2:$NF$60,MATCH(1,(GMW!$NE$2:$NE$60=H$3)*(GMW!$ND$2:$ND$60=H$4),0),$B46-1966)</f>
        <v>16.29983</v>
      </c>
    </row>
    <row r="47" spans="1:8" x14ac:dyDescent="0.35">
      <c r="A47" s="4">
        <v>1983</v>
      </c>
      <c r="B47" s="4">
        <f t="shared" si="1"/>
        <v>2013</v>
      </c>
      <c r="C47" s="4" cm="1">
        <f t="array" ref="C47">INDEX(GMW!$A$2:$NF$60,MATCH(1,(GMW!$NE$2:$NE$60=C$3)*(GMW!$ND$2:$ND$60=C$4),0),$B47-1966)</f>
        <v>1E-3</v>
      </c>
      <c r="D47" s="4" cm="1">
        <f t="array" ref="D47">INDEX(GMW!$A$2:$NF$60,MATCH(1,(GMW!$NE$2:$NE$60=D$3)*(GMW!$ND$2:$ND$60=D$4),0),$B47-1966)</f>
        <v>1E-3</v>
      </c>
      <c r="E47" s="4" cm="1">
        <f t="array" ref="E47">INDEX(GMW!$A$2:$NF$60,MATCH(1,(GMW!$NE$2:$NE$60=E$3)*(GMW!$ND$2:$ND$60=E$4),0),$B47-1966)</f>
        <v>10.5625</v>
      </c>
      <c r="F47" s="4" cm="1">
        <f t="array" ref="F47">INDEX(GMW!$A$2:$NF$60,MATCH(1,(GMW!$NE$2:$NE$60=F$3)*(GMW!$ND$2:$ND$60=F$4),0),$B47-1966)</f>
        <v>1E-3</v>
      </c>
      <c r="G47" s="4" cm="1">
        <f t="array" ref="G47">INDEX(GMW!$A$2:$NF$60,MATCH(1,(GMW!$NE$2:$NE$60=G$3)*(GMW!$ND$2:$ND$60=G$4),0),$B47-1966)</f>
        <v>9.9275400000000005</v>
      </c>
      <c r="H47" s="4" cm="1">
        <f t="array" ref="H47">INDEX(GMW!$A$2:$NF$60,MATCH(1,(GMW!$NE$2:$NE$60=H$3)*(GMW!$ND$2:$ND$60=H$4),0),$B47-1966)</f>
        <v>17.09741</v>
      </c>
    </row>
    <row r="48" spans="1:8" x14ac:dyDescent="0.35">
      <c r="B48" s="4">
        <f>+B47+1</f>
        <v>2014</v>
      </c>
      <c r="C48" s="4" cm="1">
        <f t="array" ref="C48">INDEX(GMW!$A$2:$NF$60,MATCH(1,(GMW!$NE$2:$NE$60=C$3)*(GMW!$ND$2:$ND$60=C$4),0),$B48-1966)</f>
        <v>1E-3</v>
      </c>
      <c r="D48" s="4" cm="1">
        <f t="array" ref="D48">INDEX(GMW!$A$2:$NF$60,MATCH(1,(GMW!$NE$2:$NE$60=D$3)*(GMW!$ND$2:$ND$60=D$4),0),$B48-1966)</f>
        <v>1E-3</v>
      </c>
      <c r="E48" s="4" cm="1">
        <f t="array" ref="E48">INDEX(GMW!$A$2:$NF$60,MATCH(1,(GMW!$NE$2:$NE$60=E$3)*(GMW!$ND$2:$ND$60=E$4),0),$B48-1966)</f>
        <v>9.5625</v>
      </c>
      <c r="F48" s="4" cm="1">
        <f t="array" ref="F48">INDEX(GMW!$A$2:$NF$60,MATCH(1,(GMW!$NE$2:$NE$60=F$3)*(GMW!$ND$2:$ND$60=F$4),0),$B48-1966)</f>
        <v>1E-3</v>
      </c>
      <c r="G48" s="4" cm="1">
        <f t="array" ref="G48">INDEX(GMW!$A$2:$NF$60,MATCH(1,(GMW!$NE$2:$NE$60=G$3)*(GMW!$ND$2:$ND$60=G$4),0),$B48-1966)</f>
        <v>10.075900000000001</v>
      </c>
      <c r="H48" s="4" cm="1">
        <f t="array" ref="H48">INDEX(GMW!$A$2:$NF$60,MATCH(1,(GMW!$NE$2:$NE$60=H$3)*(GMW!$ND$2:$ND$60=H$4),0),$B48-1966)</f>
        <v>15.8584</v>
      </c>
    </row>
    <row r="49" spans="1:8" x14ac:dyDescent="0.35">
      <c r="B49" s="4">
        <f t="shared" ref="B49:B112" si="2">+B48+1</f>
        <v>2015</v>
      </c>
      <c r="C49" s="4" cm="1">
        <f t="array" ref="C49">INDEX(GMW!$A$2:$NF$60,MATCH(1,(GMW!$NE$2:$NE$60=C$3)*(GMW!$ND$2:$ND$60=C$4),0),$B49-1966)</f>
        <v>1E-3</v>
      </c>
      <c r="D49" s="4" cm="1">
        <f t="array" ref="D49">INDEX(GMW!$A$2:$NF$60,MATCH(1,(GMW!$NE$2:$NE$60=D$3)*(GMW!$ND$2:$ND$60=D$4),0),$B49-1966)</f>
        <v>1E-3</v>
      </c>
      <c r="E49" s="4" cm="1">
        <f t="array" ref="E49">INDEX(GMW!$A$2:$NF$60,MATCH(1,(GMW!$NE$2:$NE$60=E$3)*(GMW!$ND$2:$ND$60=E$4),0),$B49-1966)</f>
        <v>9.5625</v>
      </c>
      <c r="F49" s="4" cm="1">
        <f t="array" ref="F49">INDEX(GMW!$A$2:$NF$60,MATCH(1,(GMW!$NE$2:$NE$60=F$3)*(GMW!$ND$2:$ND$60=F$4),0),$B49-1966)</f>
        <v>1E-3</v>
      </c>
      <c r="G49" s="4" cm="1">
        <f t="array" ref="G49">INDEX(GMW!$A$2:$NF$60,MATCH(1,(GMW!$NE$2:$NE$60=G$3)*(GMW!$ND$2:$ND$60=G$4),0),$B49-1966)</f>
        <v>11.2349</v>
      </c>
      <c r="H49" s="4" cm="1">
        <f t="array" ref="H49">INDEX(GMW!$A$2:$NF$60,MATCH(1,(GMW!$NE$2:$NE$60=H$3)*(GMW!$ND$2:$ND$60=H$4),0),$B49-1966)</f>
        <v>16.405169999999998</v>
      </c>
    </row>
    <row r="50" spans="1:8" x14ac:dyDescent="0.35">
      <c r="B50" s="4">
        <f t="shared" si="2"/>
        <v>2016</v>
      </c>
      <c r="C50" s="4" cm="1">
        <f t="array" ref="C50">INDEX(GMW!$A$2:$NF$60,MATCH(1,(GMW!$NE$2:$NE$60=C$3)*(GMW!$ND$2:$ND$60=C$4),0),$B50-1966)</f>
        <v>1E-3</v>
      </c>
      <c r="D50" s="4" cm="1">
        <f t="array" ref="D50">INDEX(GMW!$A$2:$NF$60,MATCH(1,(GMW!$NE$2:$NE$60=D$3)*(GMW!$ND$2:$ND$60=D$4),0),$B50-1966)</f>
        <v>1E-3</v>
      </c>
      <c r="E50" s="4" cm="1">
        <f t="array" ref="E50">INDEX(GMW!$A$2:$NF$60,MATCH(1,(GMW!$NE$2:$NE$60=E$3)*(GMW!$ND$2:$ND$60=E$4),0),$B50-1966)</f>
        <v>9.0625</v>
      </c>
      <c r="F50" s="4" cm="1">
        <f t="array" ref="F50">INDEX(GMW!$A$2:$NF$60,MATCH(1,(GMW!$NE$2:$NE$60=F$3)*(GMW!$ND$2:$ND$60=F$4),0),$B50-1966)</f>
        <v>1E-3</v>
      </c>
      <c r="G50" s="4" cm="1">
        <f t="array" ref="G50">INDEX(GMW!$A$2:$NF$60,MATCH(1,(GMW!$NE$2:$NE$60=G$3)*(GMW!$ND$2:$ND$60=G$4),0),$B50-1966)</f>
        <v>11.254099999999999</v>
      </c>
      <c r="H50" s="4" cm="1">
        <f t="array" ref="H50">INDEX(GMW!$A$2:$NF$60,MATCH(1,(GMW!$NE$2:$NE$60=H$3)*(GMW!$ND$2:$ND$60=H$4),0),$B50-1966)</f>
        <v>15.682840000000001</v>
      </c>
    </row>
    <row r="51" spans="1:8" x14ac:dyDescent="0.35">
      <c r="A51" s="4">
        <v>1984</v>
      </c>
      <c r="B51" s="4">
        <f t="shared" si="2"/>
        <v>2017</v>
      </c>
      <c r="C51" s="4" cm="1">
        <f t="array" ref="C51">INDEX(GMW!$A$2:$NF$60,MATCH(1,(GMW!$NE$2:$NE$60=C$3)*(GMW!$ND$2:$ND$60=C$4),0),$B51-1966)</f>
        <v>1E-3</v>
      </c>
      <c r="D51" s="4" cm="1">
        <f t="array" ref="D51">INDEX(GMW!$A$2:$NF$60,MATCH(1,(GMW!$NE$2:$NE$60=D$3)*(GMW!$ND$2:$ND$60=D$4),0),$B51-1966)</f>
        <v>1E-3</v>
      </c>
      <c r="E51" s="4" cm="1">
        <f t="array" ref="E51">INDEX(GMW!$A$2:$NF$60,MATCH(1,(GMW!$NE$2:$NE$60=E$3)*(GMW!$ND$2:$ND$60=E$4),0),$B51-1966)</f>
        <v>8.5625</v>
      </c>
      <c r="F51" s="4" cm="1">
        <f t="array" ref="F51">INDEX(GMW!$A$2:$NF$60,MATCH(1,(GMW!$NE$2:$NE$60=F$3)*(GMW!$ND$2:$ND$60=F$4),0),$B51-1966)</f>
        <v>10.65</v>
      </c>
      <c r="G51" s="4" cm="1">
        <f t="array" ref="G51">INDEX(GMW!$A$2:$NF$60,MATCH(1,(GMW!$NE$2:$NE$60=G$3)*(GMW!$ND$2:$ND$60=G$4),0),$B51-1966)</f>
        <v>11.47</v>
      </c>
      <c r="H51" s="4" cm="1">
        <f t="array" ref="H51">INDEX(GMW!$A$2:$NF$60,MATCH(1,(GMW!$NE$2:$NE$60=H$3)*(GMW!$ND$2:$ND$60=H$4),0),$B51-1966)</f>
        <v>16.209540000000001</v>
      </c>
    </row>
    <row r="52" spans="1:8" x14ac:dyDescent="0.35">
      <c r="B52" s="4">
        <f t="shared" si="2"/>
        <v>2018</v>
      </c>
      <c r="C52" s="4" cm="1">
        <f t="array" ref="C52">INDEX(GMW!$A$2:$NF$60,MATCH(1,(GMW!$NE$2:$NE$60=C$3)*(GMW!$ND$2:$ND$60=C$4),0),$B52-1966)</f>
        <v>1E-3</v>
      </c>
      <c r="D52" s="4" cm="1">
        <f t="array" ref="D52">INDEX(GMW!$A$2:$NF$60,MATCH(1,(GMW!$NE$2:$NE$60=D$3)*(GMW!$ND$2:$ND$60=D$4),0),$B52-1966)</f>
        <v>1E-3</v>
      </c>
      <c r="E52" s="4" cm="1">
        <f t="array" ref="E52">INDEX(GMW!$A$2:$NF$60,MATCH(1,(GMW!$NE$2:$NE$60=E$3)*(GMW!$ND$2:$ND$60=E$4),0),$B52-1966)</f>
        <v>8.875</v>
      </c>
      <c r="F52" s="4" cm="1">
        <f t="array" ref="F52">INDEX(GMW!$A$2:$NF$60,MATCH(1,(GMW!$NE$2:$NE$60=F$3)*(GMW!$ND$2:$ND$60=F$4),0),$B52-1966)</f>
        <v>11.7</v>
      </c>
      <c r="G52" s="4" cm="1">
        <f t="array" ref="G52">INDEX(GMW!$A$2:$NF$60,MATCH(1,(GMW!$NE$2:$NE$60=G$3)*(GMW!$ND$2:$ND$60=G$4),0),$B52-1966)</f>
        <v>10.51</v>
      </c>
      <c r="H52" s="4" cm="1">
        <f t="array" ref="H52">INDEX(GMW!$A$2:$NF$60,MATCH(1,(GMW!$NE$2:$NE$60=H$3)*(GMW!$ND$2:$ND$60=H$4),0),$B52-1966)</f>
        <v>16.982040000000001</v>
      </c>
    </row>
    <row r="53" spans="1:8" x14ac:dyDescent="0.35">
      <c r="B53" s="4">
        <f t="shared" si="2"/>
        <v>2019</v>
      </c>
      <c r="C53" s="4" cm="1">
        <f t="array" ref="C53">INDEX(GMW!$A$2:$NF$60,MATCH(1,(GMW!$NE$2:$NE$60=C$3)*(GMW!$ND$2:$ND$60=C$4),0),$B53-1966)</f>
        <v>1E-3</v>
      </c>
      <c r="D53" s="4" cm="1">
        <f t="array" ref="D53">INDEX(GMW!$A$2:$NF$60,MATCH(1,(GMW!$NE$2:$NE$60=D$3)*(GMW!$ND$2:$ND$60=D$4),0),$B53-1966)</f>
        <v>1E-3</v>
      </c>
      <c r="E53" s="4" cm="1">
        <f t="array" ref="E53">INDEX(GMW!$A$2:$NF$60,MATCH(1,(GMW!$NE$2:$NE$60=E$3)*(GMW!$ND$2:$ND$60=E$4),0),$B53-1966)</f>
        <v>10.5</v>
      </c>
      <c r="F53" s="4" cm="1">
        <f t="array" ref="F53">INDEX(GMW!$A$2:$NF$60,MATCH(1,(GMW!$NE$2:$NE$60=F$3)*(GMW!$ND$2:$ND$60=F$4),0),$B53-1966)</f>
        <v>11.03</v>
      </c>
      <c r="G53" s="4" cm="1">
        <f t="array" ref="G53">INDEX(GMW!$A$2:$NF$60,MATCH(1,(GMW!$NE$2:$NE$60=G$3)*(GMW!$ND$2:$ND$60=G$4),0),$B53-1966)</f>
        <v>13.08</v>
      </c>
      <c r="H53" s="4" cm="1">
        <f t="array" ref="H53">INDEX(GMW!$A$2:$NF$60,MATCH(1,(GMW!$NE$2:$NE$60=H$3)*(GMW!$ND$2:$ND$60=H$4),0),$B53-1966)</f>
        <v>17.41845</v>
      </c>
    </row>
    <row r="54" spans="1:8" x14ac:dyDescent="0.35">
      <c r="B54" s="4">
        <f t="shared" si="2"/>
        <v>2020</v>
      </c>
      <c r="C54" s="4" cm="1">
        <f t="array" ref="C54">INDEX(GMW!$A$2:$NF$60,MATCH(1,(GMW!$NE$2:$NE$60=C$3)*(GMW!$ND$2:$ND$60=C$4),0),$B54-1966)</f>
        <v>1E-3</v>
      </c>
      <c r="D54" s="4" cm="1">
        <f t="array" ref="D54">INDEX(GMW!$A$2:$NF$60,MATCH(1,(GMW!$NE$2:$NE$60=D$3)*(GMW!$ND$2:$ND$60=D$4),0),$B54-1966)</f>
        <v>1E-3</v>
      </c>
      <c r="E54" s="4" cm="1">
        <f t="array" ref="E54">INDEX(GMW!$A$2:$NF$60,MATCH(1,(GMW!$NE$2:$NE$60=E$3)*(GMW!$ND$2:$ND$60=E$4),0),$B54-1966)</f>
        <v>9.5</v>
      </c>
      <c r="F54" s="4" cm="1">
        <f t="array" ref="F54">INDEX(GMW!$A$2:$NF$60,MATCH(1,(GMW!$NE$2:$NE$60=F$3)*(GMW!$ND$2:$ND$60=F$4),0),$B54-1966)</f>
        <v>11.07</v>
      </c>
      <c r="G54" s="4" cm="1">
        <f t="array" ref="G54">INDEX(GMW!$A$2:$NF$60,MATCH(1,(GMW!$NE$2:$NE$60=G$3)*(GMW!$ND$2:$ND$60=G$4),0),$B54-1966)</f>
        <v>12.19</v>
      </c>
      <c r="H54" s="4" cm="1">
        <f t="array" ref="H54">INDEX(GMW!$A$2:$NF$60,MATCH(1,(GMW!$NE$2:$NE$60=H$3)*(GMW!$ND$2:$ND$60=H$4),0),$B54-1966)</f>
        <v>16.415199999999999</v>
      </c>
    </row>
    <row r="55" spans="1:8" x14ac:dyDescent="0.35">
      <c r="A55" s="4">
        <v>1985</v>
      </c>
      <c r="B55" s="4">
        <f t="shared" si="2"/>
        <v>2021</v>
      </c>
      <c r="C55" s="4" cm="1">
        <f t="array" ref="C55">INDEX(GMW!$A$2:$NF$60,MATCH(1,(GMW!$NE$2:$NE$60=C$3)*(GMW!$ND$2:$ND$60=C$4),0),$B55-1966)</f>
        <v>1E-3</v>
      </c>
      <c r="D55" s="4" cm="1">
        <f t="array" ref="D55">INDEX(GMW!$A$2:$NF$60,MATCH(1,(GMW!$NE$2:$NE$60=D$3)*(GMW!$ND$2:$ND$60=D$4),0),$B55-1966)</f>
        <v>1E-3</v>
      </c>
      <c r="E55" s="4" cm="1">
        <f t="array" ref="E55">INDEX(GMW!$A$2:$NF$60,MATCH(1,(GMW!$NE$2:$NE$60=E$3)*(GMW!$ND$2:$ND$60=E$4),0),$B55-1966)</f>
        <v>12.875</v>
      </c>
      <c r="F55" s="4" cm="1">
        <f t="array" ref="F55">INDEX(GMW!$A$2:$NF$60,MATCH(1,(GMW!$NE$2:$NE$60=F$3)*(GMW!$ND$2:$ND$60=F$4),0),$B55-1966)</f>
        <v>11.09</v>
      </c>
      <c r="G55" s="4" cm="1">
        <f t="array" ref="G55">INDEX(GMW!$A$2:$NF$60,MATCH(1,(GMW!$NE$2:$NE$60=G$3)*(GMW!$ND$2:$ND$60=G$4),0),$B55-1966)</f>
        <v>13.25</v>
      </c>
      <c r="H55" s="4" cm="1">
        <f t="array" ref="H55">INDEX(GMW!$A$2:$NF$60,MATCH(1,(GMW!$NE$2:$NE$60=H$3)*(GMW!$ND$2:$ND$60=H$4),0),$B55-1966)</f>
        <v>17.15258</v>
      </c>
    </row>
    <row r="56" spans="1:8" x14ac:dyDescent="0.35">
      <c r="B56" s="4">
        <f t="shared" si="2"/>
        <v>2022</v>
      </c>
      <c r="C56" s="4" cm="1">
        <f t="array" ref="C56">INDEX(GMW!$A$2:$NF$60,MATCH(1,(GMW!$NE$2:$NE$60=C$3)*(GMW!$ND$2:$ND$60=C$4),0),$B56-1966)</f>
        <v>1E-3</v>
      </c>
      <c r="D56" s="4" cm="1">
        <f t="array" ref="D56">INDEX(GMW!$A$2:$NF$60,MATCH(1,(GMW!$NE$2:$NE$60=D$3)*(GMW!$ND$2:$ND$60=D$4),0),$B56-1966)</f>
        <v>1E-3</v>
      </c>
      <c r="E56" s="4" cm="1">
        <f t="array" ref="E56">INDEX(GMW!$A$2:$NF$60,MATCH(1,(GMW!$NE$2:$NE$60=E$3)*(GMW!$ND$2:$ND$60=E$4),0),$B56-1966)</f>
        <v>12.375</v>
      </c>
      <c r="F56" s="4" cm="1">
        <f t="array" ref="F56">INDEX(GMW!$A$2:$NF$60,MATCH(1,(GMW!$NE$2:$NE$60=F$3)*(GMW!$ND$2:$ND$60=F$4),0),$B56-1966)</f>
        <v>11.05</v>
      </c>
      <c r="G56" s="4" cm="1">
        <f t="array" ref="G56">INDEX(GMW!$A$2:$NF$60,MATCH(1,(GMW!$NE$2:$NE$60=G$3)*(GMW!$ND$2:$ND$60=G$4),0),$B56-1966)</f>
        <v>14.26</v>
      </c>
      <c r="H56" s="4" cm="1">
        <f t="array" ref="H56">INDEX(GMW!$A$2:$NF$60,MATCH(1,(GMW!$NE$2:$NE$60=H$3)*(GMW!$ND$2:$ND$60=H$4),0),$B56-1966)</f>
        <v>16.73122</v>
      </c>
    </row>
    <row r="57" spans="1:8" x14ac:dyDescent="0.35">
      <c r="B57" s="4">
        <f t="shared" si="2"/>
        <v>2023</v>
      </c>
      <c r="C57" s="4" cm="1">
        <f t="array" ref="C57">INDEX(GMW!$A$2:$NF$60,MATCH(1,(GMW!$NE$2:$NE$60=C$3)*(GMW!$ND$2:$ND$60=C$4),0),$B57-1966)</f>
        <v>1E-3</v>
      </c>
      <c r="D57" s="4" cm="1">
        <f t="array" ref="D57">INDEX(GMW!$A$2:$NF$60,MATCH(1,(GMW!$NE$2:$NE$60=D$3)*(GMW!$ND$2:$ND$60=D$4),0),$B57-1966)</f>
        <v>1E-3</v>
      </c>
      <c r="E57" s="4" cm="1">
        <f t="array" ref="E57">INDEX(GMW!$A$2:$NF$60,MATCH(1,(GMW!$NE$2:$NE$60=E$3)*(GMW!$ND$2:$ND$60=E$4),0),$B57-1966)</f>
        <v>11.375</v>
      </c>
      <c r="F57" s="4" cm="1">
        <f t="array" ref="F57">INDEX(GMW!$A$2:$NF$60,MATCH(1,(GMW!$NE$2:$NE$60=F$3)*(GMW!$ND$2:$ND$60=F$4),0),$B57-1966)</f>
        <v>10.55</v>
      </c>
      <c r="G57" s="4" cm="1">
        <f t="array" ref="G57">INDEX(GMW!$A$2:$NF$60,MATCH(1,(GMW!$NE$2:$NE$60=G$3)*(GMW!$ND$2:$ND$60=G$4),0),$B57-1966)</f>
        <v>13.06</v>
      </c>
      <c r="H57" s="4" cm="1">
        <f t="array" ref="H57">INDEX(GMW!$A$2:$NF$60,MATCH(1,(GMW!$NE$2:$NE$60=H$3)*(GMW!$ND$2:$ND$60=H$4),0),$B57-1966)</f>
        <v>16.129270000000002</v>
      </c>
    </row>
    <row r="58" spans="1:8" x14ac:dyDescent="0.35">
      <c r="B58" s="4">
        <f t="shared" si="2"/>
        <v>2024</v>
      </c>
      <c r="C58" s="4" cm="1">
        <f t="array" ref="C58">INDEX(GMW!$A$2:$NF$60,MATCH(1,(GMW!$NE$2:$NE$60=C$3)*(GMW!$ND$2:$ND$60=C$4),0),$B58-1966)</f>
        <v>1E-3</v>
      </c>
      <c r="D58" s="4" cm="1">
        <f t="array" ref="D58">INDEX(GMW!$A$2:$NF$60,MATCH(1,(GMW!$NE$2:$NE$60=D$3)*(GMW!$ND$2:$ND$60=D$4),0),$B58-1966)</f>
        <v>1E-3</v>
      </c>
      <c r="E58" s="4" cm="1">
        <f t="array" ref="E58">INDEX(GMW!$A$2:$NF$60,MATCH(1,(GMW!$NE$2:$NE$60=E$3)*(GMW!$ND$2:$ND$60=E$4),0),$B58-1966)</f>
        <v>11.375</v>
      </c>
      <c r="F58" s="4" cm="1">
        <f t="array" ref="F58">INDEX(GMW!$A$2:$NF$60,MATCH(1,(GMW!$NE$2:$NE$60=F$3)*(GMW!$ND$2:$ND$60=F$4),0),$B58-1966)</f>
        <v>10.83</v>
      </c>
      <c r="G58" s="4" cm="1">
        <f t="array" ref="G58">INDEX(GMW!$A$2:$NF$60,MATCH(1,(GMW!$NE$2:$NE$60=G$3)*(GMW!$ND$2:$ND$60=G$4),0),$B58-1966)</f>
        <v>13.01</v>
      </c>
      <c r="H58" s="4" cm="1">
        <f t="array" ref="H58">INDEX(GMW!$A$2:$NF$60,MATCH(1,(GMW!$NE$2:$NE$60=H$3)*(GMW!$ND$2:$ND$60=H$4),0),$B58-1966)</f>
        <v>16.054030000000001</v>
      </c>
    </row>
    <row r="59" spans="1:8" x14ac:dyDescent="0.35">
      <c r="A59" s="4">
        <v>1986</v>
      </c>
      <c r="B59" s="4">
        <f t="shared" si="2"/>
        <v>2025</v>
      </c>
      <c r="C59" s="4" cm="1">
        <f t="array" ref="C59">INDEX(GMW!$A$2:$NF$60,MATCH(1,(GMW!$NE$2:$NE$60=C$3)*(GMW!$ND$2:$ND$60=C$4),0),$B59-1966)</f>
        <v>1E-3</v>
      </c>
      <c r="D59" s="4" cm="1">
        <f t="array" ref="D59">INDEX(GMW!$A$2:$NF$60,MATCH(1,(GMW!$NE$2:$NE$60=D$3)*(GMW!$ND$2:$ND$60=D$4),0),$B59-1966)</f>
        <v>1E-3</v>
      </c>
      <c r="E59" s="4" cm="1">
        <f t="array" ref="E59">INDEX(GMW!$A$2:$NF$60,MATCH(1,(GMW!$NE$2:$NE$60=E$3)*(GMW!$ND$2:$ND$60=E$4),0),$B59-1966)</f>
        <v>11.375</v>
      </c>
      <c r="F59" s="4" cm="1">
        <f t="array" ref="F59">INDEX(GMW!$A$2:$NF$60,MATCH(1,(GMW!$NE$2:$NE$60=F$3)*(GMW!$ND$2:$ND$60=F$4),0),$B59-1966)</f>
        <v>9.14</v>
      </c>
      <c r="G59" s="4" cm="1">
        <f t="array" ref="G59">INDEX(GMW!$A$2:$NF$60,MATCH(1,(GMW!$NE$2:$NE$60=G$3)*(GMW!$ND$2:$ND$60=G$4),0),$B59-1966)</f>
        <v>13</v>
      </c>
      <c r="H59" s="4" cm="1">
        <f t="array" ref="H59">INDEX(GMW!$A$2:$NF$60,MATCH(1,(GMW!$NE$2:$NE$60=H$3)*(GMW!$ND$2:$ND$60=H$4),0),$B59-1966)</f>
        <v>15.7982</v>
      </c>
    </row>
    <row r="60" spans="1:8" x14ac:dyDescent="0.35">
      <c r="B60" s="4">
        <f t="shared" si="2"/>
        <v>2026</v>
      </c>
      <c r="C60" s="4" cm="1">
        <f t="array" ref="C60">INDEX(GMW!$A$2:$NF$60,MATCH(1,(GMW!$NE$2:$NE$60=C$3)*(GMW!$ND$2:$ND$60=C$4),0),$B60-1966)</f>
        <v>1E-3</v>
      </c>
      <c r="D60" s="4" cm="1">
        <f t="array" ref="D60">INDEX(GMW!$A$2:$NF$60,MATCH(1,(GMW!$NE$2:$NE$60=D$3)*(GMW!$ND$2:$ND$60=D$4),0),$B60-1966)</f>
        <v>1E-3</v>
      </c>
      <c r="E60" s="4" cm="1">
        <f t="array" ref="E60">INDEX(GMW!$A$2:$NF$60,MATCH(1,(GMW!$NE$2:$NE$60=E$3)*(GMW!$ND$2:$ND$60=E$4),0),$B60-1966)</f>
        <v>9.875</v>
      </c>
      <c r="F60" s="4" cm="1">
        <f t="array" ref="F60">INDEX(GMW!$A$2:$NF$60,MATCH(1,(GMW!$NE$2:$NE$60=F$3)*(GMW!$ND$2:$ND$60=F$4),0),$B60-1966)</f>
        <v>9.5500000000000007</v>
      </c>
      <c r="G60" s="4" cm="1">
        <f t="array" ref="G60">INDEX(GMW!$A$2:$NF$60,MATCH(1,(GMW!$NE$2:$NE$60=G$3)*(GMW!$ND$2:$ND$60=G$4),0),$B60-1966)</f>
        <v>11.06</v>
      </c>
      <c r="H60" s="4" cm="1">
        <f t="array" ref="H60">INDEX(GMW!$A$2:$NF$60,MATCH(1,(GMW!$NE$2:$NE$60=H$3)*(GMW!$ND$2:$ND$60=H$4),0),$B60-1966)</f>
        <v>13.816789999999999</v>
      </c>
    </row>
    <row r="61" spans="1:8" x14ac:dyDescent="0.35">
      <c r="B61" s="4">
        <f t="shared" si="2"/>
        <v>2027</v>
      </c>
      <c r="C61" s="4" cm="1">
        <f t="array" ref="C61">INDEX(GMW!$A$2:$NF$60,MATCH(1,(GMW!$NE$2:$NE$60=C$3)*(GMW!$ND$2:$ND$60=C$4),0),$B61-1966)</f>
        <v>1E-3</v>
      </c>
      <c r="D61" s="4" cm="1">
        <f t="array" ref="D61">INDEX(GMW!$A$2:$NF$60,MATCH(1,(GMW!$NE$2:$NE$60=D$3)*(GMW!$ND$2:$ND$60=D$4),0),$B61-1966)</f>
        <v>1E-3</v>
      </c>
      <c r="E61" s="4" cm="1">
        <f t="array" ref="E61">INDEX(GMW!$A$2:$NF$60,MATCH(1,(GMW!$NE$2:$NE$60=E$3)*(GMW!$ND$2:$ND$60=E$4),0),$B61-1966)</f>
        <v>9.875</v>
      </c>
      <c r="F61" s="4" cm="1">
        <f t="array" ref="F61">INDEX(GMW!$A$2:$NF$60,MATCH(1,(GMW!$NE$2:$NE$60=F$3)*(GMW!$ND$2:$ND$60=F$4),0),$B61-1966)</f>
        <v>10.86</v>
      </c>
      <c r="G61" s="4" cm="1">
        <f t="array" ref="G61">INDEX(GMW!$A$2:$NF$60,MATCH(1,(GMW!$NE$2:$NE$60=G$3)*(GMW!$ND$2:$ND$60=G$4),0),$B61-1966)</f>
        <v>11.04</v>
      </c>
      <c r="H61" s="4" cm="1">
        <f t="array" ref="H61">INDEX(GMW!$A$2:$NF$60,MATCH(1,(GMW!$NE$2:$NE$60=H$3)*(GMW!$ND$2:$ND$60=H$4),0),$B61-1966)</f>
        <v>14.830069999999999</v>
      </c>
    </row>
    <row r="62" spans="1:8" x14ac:dyDescent="0.35">
      <c r="B62" s="4">
        <f t="shared" si="2"/>
        <v>2028</v>
      </c>
      <c r="C62" s="4" cm="1">
        <f t="array" ref="C62">INDEX(GMW!$A$2:$NF$60,MATCH(1,(GMW!$NE$2:$NE$60=C$3)*(GMW!$ND$2:$ND$60=C$4),0),$B62-1966)</f>
        <v>1E-3</v>
      </c>
      <c r="D62" s="4" cm="1">
        <f t="array" ref="D62">INDEX(GMW!$A$2:$NF$60,MATCH(1,(GMW!$NE$2:$NE$60=D$3)*(GMW!$ND$2:$ND$60=D$4),0),$B62-1966)</f>
        <v>1E-3</v>
      </c>
      <c r="E62" s="4" cm="1">
        <f t="array" ref="E62">INDEX(GMW!$A$2:$NF$60,MATCH(1,(GMW!$NE$2:$NE$60=E$3)*(GMW!$ND$2:$ND$60=E$4),0),$B62-1966)</f>
        <v>10.875</v>
      </c>
      <c r="F62" s="4" cm="1">
        <f t="array" ref="F62">INDEX(GMW!$A$2:$NF$60,MATCH(1,(GMW!$NE$2:$NE$60=F$3)*(GMW!$ND$2:$ND$60=F$4),0),$B62-1966)</f>
        <v>10.57</v>
      </c>
      <c r="G62" s="4" cm="1">
        <f t="array" ref="G62">INDEX(GMW!$A$2:$NF$60,MATCH(1,(GMW!$NE$2:$NE$60=G$3)*(GMW!$ND$2:$ND$60=G$4),0),$B62-1966)</f>
        <v>12.32</v>
      </c>
      <c r="H62" s="4" cm="1">
        <f t="array" ref="H62">INDEX(GMW!$A$2:$NF$60,MATCH(1,(GMW!$NE$2:$NE$60=H$3)*(GMW!$ND$2:$ND$60=H$4),0),$B62-1966)</f>
        <v>16.540610000000001</v>
      </c>
    </row>
    <row r="63" spans="1:8" x14ac:dyDescent="0.35">
      <c r="A63" s="4">
        <v>1987</v>
      </c>
      <c r="B63" s="4">
        <f t="shared" si="2"/>
        <v>2029</v>
      </c>
      <c r="C63" s="4" cm="1">
        <f t="array" ref="C63">INDEX(GMW!$A$2:$NF$60,MATCH(1,(GMW!$NE$2:$NE$60=C$3)*(GMW!$ND$2:$ND$60=C$4),0),$B63-1966)</f>
        <v>5125</v>
      </c>
      <c r="D63" s="4" cm="1">
        <f t="array" ref="D63">INDEX(GMW!$A$2:$NF$60,MATCH(1,(GMW!$NE$2:$NE$60=D$3)*(GMW!$ND$2:$ND$60=D$4),0),$B63-1966)</f>
        <v>6357</v>
      </c>
      <c r="E63" s="4" cm="1">
        <f t="array" ref="E63">INDEX(GMW!$A$2:$NF$60,MATCH(1,(GMW!$NE$2:$NE$60=E$3)*(GMW!$ND$2:$ND$60=E$4),0),$B63-1966)</f>
        <v>9.875</v>
      </c>
      <c r="F63" s="4" cm="1">
        <f t="array" ref="F63">INDEX(GMW!$A$2:$NF$60,MATCH(1,(GMW!$NE$2:$NE$60=F$3)*(GMW!$ND$2:$ND$60=F$4),0),$B63-1966)</f>
        <v>9.18</v>
      </c>
      <c r="G63" s="4" cm="1">
        <f t="array" ref="G63">INDEX(GMW!$A$2:$NF$60,MATCH(1,(GMW!$NE$2:$NE$60=G$3)*(GMW!$ND$2:$ND$60=G$4),0),$B63-1966)</f>
        <v>12.32</v>
      </c>
      <c r="H63" s="4" cm="1">
        <f t="array" ref="H63">INDEX(GMW!$A$2:$NF$60,MATCH(1,(GMW!$NE$2:$NE$60=H$3)*(GMW!$ND$2:$ND$60=H$4),0),$B63-1966)</f>
        <v>14.734769999999999</v>
      </c>
    </row>
    <row r="64" spans="1:8" x14ac:dyDescent="0.35">
      <c r="B64" s="4">
        <f t="shared" si="2"/>
        <v>2030</v>
      </c>
      <c r="C64" s="4" cm="1">
        <f t="array" ref="C64">INDEX(GMW!$A$2:$NF$60,MATCH(1,(GMW!$NE$2:$NE$60=C$3)*(GMW!$ND$2:$ND$60=C$4),0),$B64-1966)</f>
        <v>5318</v>
      </c>
      <c r="D64" s="4" cm="1">
        <f t="array" ref="D64">INDEX(GMW!$A$2:$NF$60,MATCH(1,(GMW!$NE$2:$NE$60=D$3)*(GMW!$ND$2:$ND$60=D$4),0),$B64-1966)</f>
        <v>6287</v>
      </c>
      <c r="E64" s="4" cm="1">
        <f t="array" ref="E64">INDEX(GMW!$A$2:$NF$60,MATCH(1,(GMW!$NE$2:$NE$60=E$3)*(GMW!$ND$2:$ND$60=E$4),0),$B64-1966)</f>
        <v>8.875</v>
      </c>
      <c r="F64" s="4" cm="1">
        <f t="array" ref="F64">INDEX(GMW!$A$2:$NF$60,MATCH(1,(GMW!$NE$2:$NE$60=F$3)*(GMW!$ND$2:$ND$60=F$4),0),$B64-1966)</f>
        <v>9.1999999999999993</v>
      </c>
      <c r="G64" s="4" cm="1">
        <f t="array" ref="G64">INDEX(GMW!$A$2:$NF$60,MATCH(1,(GMW!$NE$2:$NE$60=G$3)*(GMW!$ND$2:$ND$60=G$4),0),$B64-1966)</f>
        <v>11.28</v>
      </c>
      <c r="H64" s="4" cm="1">
        <f t="array" ref="H64">INDEX(GMW!$A$2:$NF$60,MATCH(1,(GMW!$NE$2:$NE$60=H$3)*(GMW!$ND$2:$ND$60=H$4),0),$B64-1966)</f>
        <v>13.495760000000001</v>
      </c>
    </row>
    <row r="65" spans="1:8" x14ac:dyDescent="0.35">
      <c r="B65" s="4">
        <f t="shared" si="2"/>
        <v>2031</v>
      </c>
      <c r="C65" s="4" cm="1">
        <f t="array" ref="C65">INDEX(GMW!$A$2:$NF$60,MATCH(1,(GMW!$NE$2:$NE$60=C$3)*(GMW!$ND$2:$ND$60=C$4),0),$B65-1966)</f>
        <v>5384</v>
      </c>
      <c r="D65" s="4" cm="1">
        <f t="array" ref="D65">INDEX(GMW!$A$2:$NF$60,MATCH(1,(GMW!$NE$2:$NE$60=D$3)*(GMW!$ND$2:$ND$60=D$4),0),$B65-1966)</f>
        <v>6587</v>
      </c>
      <c r="E65" s="4" cm="1">
        <f t="array" ref="E65">INDEX(GMW!$A$2:$NF$60,MATCH(1,(GMW!$NE$2:$NE$60=E$3)*(GMW!$ND$2:$ND$60=E$4),0),$B65-1966)</f>
        <v>9.875</v>
      </c>
      <c r="F65" s="4" cm="1">
        <f t="array" ref="F65">INDEX(GMW!$A$2:$NF$60,MATCH(1,(GMW!$NE$2:$NE$60=F$3)*(GMW!$ND$2:$ND$60=F$4),0),$B65-1966)</f>
        <v>10.26</v>
      </c>
      <c r="G65" s="4" cm="1">
        <f t="array" ref="G65">INDEX(GMW!$A$2:$NF$60,MATCH(1,(GMW!$NE$2:$NE$60=G$3)*(GMW!$ND$2:$ND$60=G$4),0),$B65-1966)</f>
        <v>11.28</v>
      </c>
      <c r="H65" s="4" cm="1">
        <f t="array" ref="H65">INDEX(GMW!$A$2:$NF$60,MATCH(1,(GMW!$NE$2:$NE$60=H$3)*(GMW!$ND$2:$ND$60=H$4),0),$B65-1966)</f>
        <v>14.875220000000001</v>
      </c>
    </row>
    <row r="66" spans="1:8" x14ac:dyDescent="0.35">
      <c r="B66" s="4">
        <f t="shared" si="2"/>
        <v>2032</v>
      </c>
      <c r="C66" s="4" cm="1">
        <f t="array" ref="C66">INDEX(GMW!$A$2:$NF$60,MATCH(1,(GMW!$NE$2:$NE$60=C$3)*(GMW!$ND$2:$ND$60=C$4),0),$B66-1966)</f>
        <v>4897</v>
      </c>
      <c r="D66" s="4" cm="1">
        <f t="array" ref="D66">INDEX(GMW!$A$2:$NF$60,MATCH(1,(GMW!$NE$2:$NE$60=D$3)*(GMW!$ND$2:$ND$60=D$4),0),$B66-1966)</f>
        <v>7170</v>
      </c>
      <c r="E66" s="4" cm="1">
        <f t="array" ref="E66">INDEX(GMW!$A$2:$NF$60,MATCH(1,(GMW!$NE$2:$NE$60=E$3)*(GMW!$ND$2:$ND$60=E$4),0),$B66-1966)</f>
        <v>8.375</v>
      </c>
      <c r="F66" s="4" cm="1">
        <f t="array" ref="F66">INDEX(GMW!$A$2:$NF$60,MATCH(1,(GMW!$NE$2:$NE$60=F$3)*(GMW!$ND$2:$ND$60=F$4),0),$B66-1966)</f>
        <v>9.61</v>
      </c>
      <c r="G66" s="4" cm="1">
        <f t="array" ref="G66">INDEX(GMW!$A$2:$NF$60,MATCH(1,(GMW!$NE$2:$NE$60=G$3)*(GMW!$ND$2:$ND$60=G$4),0),$B66-1966)</f>
        <v>10.34</v>
      </c>
      <c r="H66" s="4" cm="1">
        <f t="array" ref="H66">INDEX(GMW!$A$2:$NF$60,MATCH(1,(GMW!$NE$2:$NE$60=H$3)*(GMW!$ND$2:$ND$60=H$4),0),$B66-1966)</f>
        <v>14.554180000000001</v>
      </c>
    </row>
    <row r="67" spans="1:8" x14ac:dyDescent="0.35">
      <c r="A67" s="4">
        <v>1988</v>
      </c>
      <c r="B67" s="4">
        <f t="shared" si="2"/>
        <v>2033</v>
      </c>
      <c r="C67" s="4" cm="1">
        <f t="array" ref="C67">INDEX(GMW!$A$2:$NF$60,MATCH(1,(GMW!$NE$2:$NE$60=C$3)*(GMW!$ND$2:$ND$60=C$4),0),$B67-1966)</f>
        <v>5033</v>
      </c>
      <c r="D67" s="4" cm="1">
        <f t="array" ref="D67">INDEX(GMW!$A$2:$NF$60,MATCH(1,(GMW!$NE$2:$NE$60=D$3)*(GMW!$ND$2:$ND$60=D$4),0),$B67-1966)</f>
        <v>6637</v>
      </c>
      <c r="E67" s="4" cm="1">
        <f t="array" ref="E67">INDEX(GMW!$A$2:$NF$60,MATCH(1,(GMW!$NE$2:$NE$60=E$3)*(GMW!$ND$2:$ND$60=E$4),0),$B67-1966)</f>
        <v>8.375</v>
      </c>
      <c r="F67" s="4" cm="1">
        <f t="array" ref="F67">INDEX(GMW!$A$2:$NF$60,MATCH(1,(GMW!$NE$2:$NE$60=F$3)*(GMW!$ND$2:$ND$60=F$4),0),$B67-1966)</f>
        <v>9.09</v>
      </c>
      <c r="G67" s="4" cm="1">
        <f t="array" ref="G67">INDEX(GMW!$A$2:$NF$60,MATCH(1,(GMW!$NE$2:$NE$60=G$3)*(GMW!$ND$2:$ND$60=G$4),0),$B67-1966)</f>
        <v>10.26</v>
      </c>
      <c r="H67" s="4" cm="1">
        <f t="array" ref="H67">INDEX(GMW!$A$2:$NF$60,MATCH(1,(GMW!$NE$2:$NE$60=H$3)*(GMW!$ND$2:$ND$60=H$4),0),$B67-1966)</f>
        <v>14.27829</v>
      </c>
    </row>
    <row r="68" spans="1:8" x14ac:dyDescent="0.35">
      <c r="B68" s="4">
        <f t="shared" si="2"/>
        <v>2034</v>
      </c>
      <c r="C68" s="4" cm="1">
        <f t="array" ref="C68">INDEX(GMW!$A$2:$NF$60,MATCH(1,(GMW!$NE$2:$NE$60=C$3)*(GMW!$ND$2:$ND$60=C$4),0),$B68-1966)</f>
        <v>5100</v>
      </c>
      <c r="D68" s="4" cm="1">
        <f t="array" ref="D68">INDEX(GMW!$A$2:$NF$60,MATCH(1,(GMW!$NE$2:$NE$60=D$3)*(GMW!$ND$2:$ND$60=D$4),0),$B68-1966)</f>
        <v>6806</v>
      </c>
      <c r="E68" s="4" cm="1">
        <f t="array" ref="E68">INDEX(GMW!$A$2:$NF$60,MATCH(1,(GMW!$NE$2:$NE$60=E$3)*(GMW!$ND$2:$ND$60=E$4),0),$B68-1966)</f>
        <v>8.875</v>
      </c>
      <c r="F68" s="4" cm="1">
        <f t="array" ref="F68">INDEX(GMW!$A$2:$NF$60,MATCH(1,(GMW!$NE$2:$NE$60=F$3)*(GMW!$ND$2:$ND$60=F$4),0),$B68-1966)</f>
        <v>9.8000000000000007</v>
      </c>
      <c r="G68" s="4" cm="1">
        <f t="array" ref="G68">INDEX(GMW!$A$2:$NF$60,MATCH(1,(GMW!$NE$2:$NE$60=G$3)*(GMW!$ND$2:$ND$60=G$4),0),$B68-1966)</f>
        <v>9.7799999999999994</v>
      </c>
      <c r="H68" s="4" cm="1">
        <f t="array" ref="H68">INDEX(GMW!$A$2:$NF$60,MATCH(1,(GMW!$NE$2:$NE$60=H$3)*(GMW!$ND$2:$ND$60=H$4),0),$B68-1966)</f>
        <v>14.10774</v>
      </c>
    </row>
    <row r="69" spans="1:8" x14ac:dyDescent="0.35">
      <c r="B69" s="4">
        <f t="shared" si="2"/>
        <v>2035</v>
      </c>
      <c r="C69" s="4" cm="1">
        <f t="array" ref="C69">INDEX(GMW!$A$2:$NF$60,MATCH(1,(GMW!$NE$2:$NE$60=C$3)*(GMW!$ND$2:$ND$60=C$4),0),$B69-1966)</f>
        <v>5343</v>
      </c>
      <c r="D69" s="4" cm="1">
        <f t="array" ref="D69">INDEX(GMW!$A$2:$NF$60,MATCH(1,(GMW!$NE$2:$NE$60=D$3)*(GMW!$ND$2:$ND$60=D$4),0),$B69-1966)</f>
        <v>7710</v>
      </c>
      <c r="E69" s="4" cm="1">
        <f t="array" ref="E69">INDEX(GMW!$A$2:$NF$60,MATCH(1,(GMW!$NE$2:$NE$60=E$3)*(GMW!$ND$2:$ND$60=E$4),0),$B69-1966)</f>
        <v>11.875</v>
      </c>
      <c r="F69" s="4" cm="1">
        <f t="array" ref="F69">INDEX(GMW!$A$2:$NF$60,MATCH(1,(GMW!$NE$2:$NE$60=F$3)*(GMW!$ND$2:$ND$60=F$4),0),$B69-1966)</f>
        <v>9.8800000000000008</v>
      </c>
      <c r="G69" s="4" cm="1">
        <f t="array" ref="G69">INDEX(GMW!$A$2:$NF$60,MATCH(1,(GMW!$NE$2:$NE$60=G$3)*(GMW!$ND$2:$ND$60=G$4),0),$B69-1966)</f>
        <v>11.54</v>
      </c>
      <c r="H69" s="4" cm="1">
        <f t="array" ref="H69">INDEX(GMW!$A$2:$NF$60,MATCH(1,(GMW!$NE$2:$NE$60=H$3)*(GMW!$ND$2:$ND$60=H$4),0),$B69-1966)</f>
        <v>14.985580000000001</v>
      </c>
    </row>
    <row r="70" spans="1:8" x14ac:dyDescent="0.35">
      <c r="B70" s="4">
        <f t="shared" si="2"/>
        <v>2036</v>
      </c>
      <c r="C70" s="4" cm="1">
        <f t="array" ref="C70">INDEX(GMW!$A$2:$NF$60,MATCH(1,(GMW!$NE$2:$NE$60=C$3)*(GMW!$ND$2:$ND$60=C$4),0),$B70-1966)</f>
        <v>6323</v>
      </c>
      <c r="D70" s="4" cm="1">
        <f t="array" ref="D70">INDEX(GMW!$A$2:$NF$60,MATCH(1,(GMW!$NE$2:$NE$60=D$3)*(GMW!$ND$2:$ND$60=D$4),0),$B70-1966)</f>
        <v>8784</v>
      </c>
      <c r="E70" s="4" cm="1">
        <f t="array" ref="E70">INDEX(GMW!$A$2:$NF$60,MATCH(1,(GMW!$NE$2:$NE$60=E$3)*(GMW!$ND$2:$ND$60=E$4),0),$B70-1966)</f>
        <v>12.875</v>
      </c>
      <c r="F70" s="4" cm="1">
        <f t="array" ref="F70">INDEX(GMW!$A$2:$NF$60,MATCH(1,(GMW!$NE$2:$NE$60=F$3)*(GMW!$ND$2:$ND$60=F$4),0),$B70-1966)</f>
        <v>10.11</v>
      </c>
      <c r="G70" s="4" cm="1">
        <f t="array" ref="G70">INDEX(GMW!$A$2:$NF$60,MATCH(1,(GMW!$NE$2:$NE$60=G$3)*(GMW!$ND$2:$ND$60=G$4),0),$B70-1966)</f>
        <v>12.75</v>
      </c>
      <c r="H70" s="4" cm="1">
        <f t="array" ref="H70">INDEX(GMW!$A$2:$NF$60,MATCH(1,(GMW!$NE$2:$NE$60=H$3)*(GMW!$ND$2:$ND$60=H$4),0),$B70-1966)</f>
        <v>14.89528</v>
      </c>
    </row>
    <row r="71" spans="1:8" x14ac:dyDescent="0.35">
      <c r="A71" s="4">
        <v>1989</v>
      </c>
      <c r="B71" s="4">
        <f t="shared" si="2"/>
        <v>2037</v>
      </c>
      <c r="C71" s="4" cm="1">
        <f t="array" ref="C71">INDEX(GMW!$A$2:$NF$60,MATCH(1,(GMW!$NE$2:$NE$60=C$3)*(GMW!$ND$2:$ND$60=C$4),0),$B71-1966)</f>
        <v>6880</v>
      </c>
      <c r="D71" s="4" cm="1">
        <f t="array" ref="D71">INDEX(GMW!$A$2:$NF$60,MATCH(1,(GMW!$NE$2:$NE$60=D$3)*(GMW!$ND$2:$ND$60=D$4),0),$B71-1966)</f>
        <v>9692</v>
      </c>
      <c r="E71" s="4" cm="1">
        <f t="array" ref="E71">INDEX(GMW!$A$2:$NF$60,MATCH(1,(GMW!$NE$2:$NE$60=E$3)*(GMW!$ND$2:$ND$60=E$4),0),$B71-1966)</f>
        <v>12.875</v>
      </c>
      <c r="F71" s="4" cm="1">
        <f t="array" ref="F71">INDEX(GMW!$A$2:$NF$60,MATCH(1,(GMW!$NE$2:$NE$60=F$3)*(GMW!$ND$2:$ND$60=F$4),0),$B71-1966)</f>
        <v>10</v>
      </c>
      <c r="G71" s="4" cm="1">
        <f t="array" ref="G71">INDEX(GMW!$A$2:$NF$60,MATCH(1,(GMW!$NE$2:$NE$60=G$3)*(GMW!$ND$2:$ND$60=G$4),0),$B71-1966)</f>
        <v>13.46</v>
      </c>
      <c r="H71" s="4" cm="1">
        <f t="array" ref="H71">INDEX(GMW!$A$2:$NF$60,MATCH(1,(GMW!$NE$2:$NE$60=H$3)*(GMW!$ND$2:$ND$60=H$4),0),$B71-1966)</f>
        <v>14.840109999999999</v>
      </c>
    </row>
    <row r="72" spans="1:8" x14ac:dyDescent="0.35">
      <c r="B72" s="4">
        <f t="shared" si="2"/>
        <v>2038</v>
      </c>
      <c r="C72" s="4" cm="1">
        <f t="array" ref="C72">INDEX(GMW!$A$2:$NF$60,MATCH(1,(GMW!$NE$2:$NE$60=C$3)*(GMW!$ND$2:$ND$60=C$4),0),$B72-1966)</f>
        <v>7550</v>
      </c>
      <c r="D72" s="4" cm="1">
        <f t="array" ref="D72">INDEX(GMW!$A$2:$NF$60,MATCH(1,(GMW!$NE$2:$NE$60=D$3)*(GMW!$ND$2:$ND$60=D$4),0),$B72-1966)</f>
        <v>10649</v>
      </c>
      <c r="E72" s="4" cm="1">
        <f t="array" ref="E72">INDEX(GMW!$A$2:$NF$60,MATCH(1,(GMW!$NE$2:$NE$60=E$3)*(GMW!$ND$2:$ND$60=E$4),0),$B72-1966)</f>
        <v>13.75</v>
      </c>
      <c r="F72" s="4" cm="1">
        <f t="array" ref="F72">INDEX(GMW!$A$2:$NF$60,MATCH(1,(GMW!$NE$2:$NE$60=F$3)*(GMW!$ND$2:$ND$60=F$4),0),$B72-1966)</f>
        <v>10.41</v>
      </c>
      <c r="G72" s="4" cm="1">
        <f t="array" ref="G72">INDEX(GMW!$A$2:$NF$60,MATCH(1,(GMW!$NE$2:$NE$60=G$3)*(GMW!$ND$2:$ND$60=G$4),0),$B72-1966)</f>
        <v>13.43</v>
      </c>
      <c r="H72" s="4" cm="1">
        <f t="array" ref="H72">INDEX(GMW!$A$2:$NF$60,MATCH(1,(GMW!$NE$2:$NE$60=H$3)*(GMW!$ND$2:$ND$60=H$4),0),$B72-1966)</f>
        <v>15.50726</v>
      </c>
    </row>
    <row r="73" spans="1:8" x14ac:dyDescent="0.35">
      <c r="B73" s="4">
        <f t="shared" si="2"/>
        <v>2039</v>
      </c>
      <c r="C73" s="4" cm="1">
        <f t="array" ref="C73">INDEX(GMW!$A$2:$NF$60,MATCH(1,(GMW!$NE$2:$NE$60=C$3)*(GMW!$ND$2:$ND$60=C$4),0),$B73-1966)</f>
        <v>7721</v>
      </c>
      <c r="D73" s="4" cm="1">
        <f t="array" ref="D73">INDEX(GMW!$A$2:$NF$60,MATCH(1,(GMW!$NE$2:$NE$60=D$3)*(GMW!$ND$2:$ND$60=D$4),0),$B73-1966)</f>
        <v>10881</v>
      </c>
      <c r="E73" s="4" cm="1">
        <f t="array" ref="E73">INDEX(GMW!$A$2:$NF$60,MATCH(1,(GMW!$NE$2:$NE$60=E$3)*(GMW!$ND$2:$ND$60=E$4),0),$B73-1966)</f>
        <v>13.75</v>
      </c>
      <c r="F73" s="4" cm="1">
        <f t="array" ref="F73">INDEX(GMW!$A$2:$NF$60,MATCH(1,(GMW!$NE$2:$NE$60=F$3)*(GMW!$ND$2:$ND$60=F$4),0),$B73-1966)</f>
        <v>10.46</v>
      </c>
      <c r="G73" s="4" cm="1">
        <f t="array" ref="G73">INDEX(GMW!$A$2:$NF$60,MATCH(1,(GMW!$NE$2:$NE$60=G$3)*(GMW!$ND$2:$ND$60=G$4),0),$B73-1966)</f>
        <v>13.48</v>
      </c>
      <c r="H73" s="4" cm="1">
        <f t="array" ref="H73">INDEX(GMW!$A$2:$NF$60,MATCH(1,(GMW!$NE$2:$NE$60=H$3)*(GMW!$ND$2:$ND$60=H$4),0),$B73-1966)</f>
        <v>15.191240000000001</v>
      </c>
    </row>
    <row r="74" spans="1:8" x14ac:dyDescent="0.35">
      <c r="B74" s="4">
        <f t="shared" si="2"/>
        <v>2040</v>
      </c>
      <c r="C74" s="4" cm="1">
        <f t="array" ref="C74">INDEX(GMW!$A$2:$NF$60,MATCH(1,(GMW!$NE$2:$NE$60=C$3)*(GMW!$ND$2:$ND$60=C$4),0),$B74-1966)</f>
        <v>8337</v>
      </c>
      <c r="D74" s="4" cm="1">
        <f t="array" ref="D74">INDEX(GMW!$A$2:$NF$60,MATCH(1,(GMW!$NE$2:$NE$60=D$3)*(GMW!$ND$2:$ND$60=D$4),0),$B74-1966)</f>
        <v>11595</v>
      </c>
      <c r="E74" s="4" cm="1">
        <f t="array" ref="E74">INDEX(GMW!$A$2:$NF$60,MATCH(1,(GMW!$NE$2:$NE$60=E$3)*(GMW!$ND$2:$ND$60=E$4),0),$B74-1966)</f>
        <v>14.875</v>
      </c>
      <c r="F74" s="4" cm="1">
        <f t="array" ref="F74">INDEX(GMW!$A$2:$NF$60,MATCH(1,(GMW!$NE$2:$NE$60=F$3)*(GMW!$ND$2:$ND$60=F$4),0),$B74-1966)</f>
        <v>10.41</v>
      </c>
      <c r="G74" s="4" cm="1">
        <f t="array" ref="G74">INDEX(GMW!$A$2:$NF$60,MATCH(1,(GMW!$NE$2:$NE$60=G$3)*(GMW!$ND$2:$ND$60=G$4),0),$B74-1966)</f>
        <v>14.44</v>
      </c>
      <c r="H74" s="4" cm="1">
        <f t="array" ref="H74">INDEX(GMW!$A$2:$NF$60,MATCH(1,(GMW!$NE$2:$NE$60=H$3)*(GMW!$ND$2:$ND$60=H$4),0),$B74-1966)</f>
        <v>15.8283</v>
      </c>
    </row>
    <row r="75" spans="1:8" x14ac:dyDescent="0.35">
      <c r="A75" s="4">
        <v>1990</v>
      </c>
      <c r="B75" s="4">
        <f t="shared" si="2"/>
        <v>2041</v>
      </c>
      <c r="C75" s="4" cm="1">
        <f t="array" ref="C75">INDEX(GMW!$A$2:$NF$60,MATCH(1,(GMW!$NE$2:$NE$60=C$3)*(GMW!$ND$2:$ND$60=C$4),0),$B75-1966)</f>
        <v>8663</v>
      </c>
      <c r="D75" s="4" cm="1">
        <f t="array" ref="D75">INDEX(GMW!$A$2:$NF$60,MATCH(1,(GMW!$NE$2:$NE$60=D$3)*(GMW!$ND$2:$ND$60=D$4),0),$B75-1966)</f>
        <v>12502</v>
      </c>
      <c r="E75" s="4" cm="1">
        <f t="array" ref="E75">INDEX(GMW!$A$2:$NF$60,MATCH(1,(GMW!$NE$2:$NE$60=E$3)*(GMW!$ND$2:$ND$60=E$4),0),$B75-1966)</f>
        <v>14.875</v>
      </c>
      <c r="F75" s="4" cm="1">
        <f t="array" ref="F75">INDEX(GMW!$A$2:$NF$60,MATCH(1,(GMW!$NE$2:$NE$60=F$3)*(GMW!$ND$2:$ND$60=F$4),0),$B75-1966)</f>
        <v>12.52</v>
      </c>
      <c r="G75" s="4" cm="1">
        <f t="array" ref="G75">INDEX(GMW!$A$2:$NF$60,MATCH(1,(GMW!$NE$2:$NE$60=G$3)*(GMW!$ND$2:$ND$60=G$4),0),$B75-1966)</f>
        <v>15.24</v>
      </c>
      <c r="H75" s="4" cm="1">
        <f t="array" ref="H75">INDEX(GMW!$A$2:$NF$60,MATCH(1,(GMW!$NE$2:$NE$60=H$3)*(GMW!$ND$2:$ND$60=H$4),0),$B75-1966)</f>
        <v>17.3733</v>
      </c>
    </row>
    <row r="76" spans="1:8" x14ac:dyDescent="0.35">
      <c r="B76" s="4">
        <f t="shared" si="2"/>
        <v>2042</v>
      </c>
      <c r="C76" s="4" cm="1">
        <f t="array" ref="C76">INDEX(GMW!$A$2:$NF$60,MATCH(1,(GMW!$NE$2:$NE$60=C$3)*(GMW!$ND$2:$ND$60=C$4),0),$B76-1966)</f>
        <v>9207</v>
      </c>
      <c r="D76" s="4" cm="1">
        <f t="array" ref="D76">INDEX(GMW!$A$2:$NF$60,MATCH(1,(GMW!$NE$2:$NE$60=D$3)*(GMW!$ND$2:$ND$60=D$4),0),$B76-1966)</f>
        <v>13402</v>
      </c>
      <c r="E76" s="4" cm="1">
        <f t="array" ref="E76">INDEX(GMW!$A$2:$NF$60,MATCH(1,(GMW!$NE$2:$NE$60=E$3)*(GMW!$ND$2:$ND$60=E$4),0),$B76-1966)</f>
        <v>14.875</v>
      </c>
      <c r="F76" s="4" cm="1">
        <f t="array" ref="F76">INDEX(GMW!$A$2:$NF$60,MATCH(1,(GMW!$NE$2:$NE$60=F$3)*(GMW!$ND$2:$ND$60=F$4),0),$B76-1966)</f>
        <v>11.65</v>
      </c>
      <c r="G76" s="4" cm="1">
        <f t="array" ref="G76">INDEX(GMW!$A$2:$NF$60,MATCH(1,(GMW!$NE$2:$NE$60=G$3)*(GMW!$ND$2:$ND$60=G$4),0),$B76-1966)</f>
        <v>15.25</v>
      </c>
      <c r="H76" s="4" cm="1">
        <f t="array" ref="H76">INDEX(GMW!$A$2:$NF$60,MATCH(1,(GMW!$NE$2:$NE$60=H$3)*(GMW!$ND$2:$ND$60=H$4),0),$B76-1966)</f>
        <v>18.5471</v>
      </c>
    </row>
    <row r="77" spans="1:8" x14ac:dyDescent="0.35">
      <c r="B77" s="4">
        <f t="shared" si="2"/>
        <v>2043</v>
      </c>
      <c r="C77" s="4" cm="1">
        <f t="array" ref="C77">INDEX(GMW!$A$2:$NF$60,MATCH(1,(GMW!$NE$2:$NE$60=C$3)*(GMW!$ND$2:$ND$60=C$4),0),$B77-1966)</f>
        <v>9914</v>
      </c>
      <c r="D77" s="4" cm="1">
        <f t="array" ref="D77">INDEX(GMW!$A$2:$NF$60,MATCH(1,(GMW!$NE$2:$NE$60=D$3)*(GMW!$ND$2:$ND$60=D$4),0),$B77-1966)</f>
        <v>13746</v>
      </c>
      <c r="E77" s="4" cm="1">
        <f t="array" ref="E77">INDEX(GMW!$A$2:$NF$60,MATCH(1,(GMW!$NE$2:$NE$60=E$3)*(GMW!$ND$2:$ND$60=E$4),0),$B77-1966)</f>
        <v>14.875</v>
      </c>
      <c r="F77" s="4" cm="1">
        <f t="array" ref="F77">INDEX(GMW!$A$2:$NF$60,MATCH(1,(GMW!$NE$2:$NE$60=F$3)*(GMW!$ND$2:$ND$60=F$4),0),$B77-1966)</f>
        <v>12.14</v>
      </c>
      <c r="G77" s="4" cm="1">
        <f t="array" ref="G77">INDEX(GMW!$A$2:$NF$60,MATCH(1,(GMW!$NE$2:$NE$60=G$3)*(GMW!$ND$2:$ND$60=G$4),0),$B77-1966)</f>
        <v>15.25</v>
      </c>
      <c r="H77" s="4" cm="1">
        <f t="array" ref="H77">INDEX(GMW!$A$2:$NF$60,MATCH(1,(GMW!$NE$2:$NE$60=H$3)*(GMW!$ND$2:$ND$60=H$4),0),$B77-1966)</f>
        <v>18.1157</v>
      </c>
    </row>
    <row r="78" spans="1:8" x14ac:dyDescent="0.35">
      <c r="B78" s="4">
        <f t="shared" si="2"/>
        <v>2044</v>
      </c>
      <c r="C78" s="4" cm="1">
        <f t="array" ref="C78">INDEX(GMW!$A$2:$NF$60,MATCH(1,(GMW!$NE$2:$NE$60=C$3)*(GMW!$ND$2:$ND$60=C$4),0),$B78-1966)</f>
        <v>9670</v>
      </c>
      <c r="D78" s="4" cm="1">
        <f t="array" ref="D78">INDEX(GMW!$A$2:$NF$60,MATCH(1,(GMW!$NE$2:$NE$60=D$3)*(GMW!$ND$2:$ND$60=D$4),0),$B78-1966)</f>
        <v>13298</v>
      </c>
      <c r="E78" s="4" cm="1">
        <f t="array" ref="E78">INDEX(GMW!$A$2:$NF$60,MATCH(1,(GMW!$NE$2:$NE$60=E$3)*(GMW!$ND$2:$ND$60=E$4),0),$B78-1966)</f>
        <v>13.875</v>
      </c>
      <c r="F78" s="4" cm="1">
        <f t="array" ref="F78">INDEX(GMW!$A$2:$NF$60,MATCH(1,(GMW!$NE$2:$NE$60=F$3)*(GMW!$ND$2:$ND$60=F$4),0),$B78-1966)</f>
        <v>11.04</v>
      </c>
      <c r="G78" s="4" cm="1">
        <f t="array" ref="G78">INDEX(GMW!$A$2:$NF$60,MATCH(1,(GMW!$NE$2:$NE$60=G$3)*(GMW!$ND$2:$ND$60=G$4),0),$B78-1966)</f>
        <v>14.34</v>
      </c>
      <c r="H78" s="4" cm="1">
        <f t="array" ref="H78">INDEX(GMW!$A$2:$NF$60,MATCH(1,(GMW!$NE$2:$NE$60=H$3)*(GMW!$ND$2:$ND$60=H$4),0),$B78-1966)</f>
        <v>16.83296</v>
      </c>
    </row>
    <row r="79" spans="1:8" x14ac:dyDescent="0.35">
      <c r="A79" s="4">
        <v>1991</v>
      </c>
      <c r="B79" s="4">
        <f t="shared" si="2"/>
        <v>2045</v>
      </c>
      <c r="C79" s="4" cm="1">
        <f t="array" ref="C79">INDEX(GMW!$A$2:$NF$60,MATCH(1,(GMW!$NE$2:$NE$60=C$3)*(GMW!$ND$2:$ND$60=C$4),0),$B79-1966)</f>
        <v>10252</v>
      </c>
      <c r="D79" s="4" cm="1">
        <f t="array" ref="D79">INDEX(GMW!$A$2:$NF$60,MATCH(1,(GMW!$NE$2:$NE$60=D$3)*(GMW!$ND$2:$ND$60=D$4),0),$B79-1966)</f>
        <v>13298</v>
      </c>
      <c r="E79" s="4" cm="1">
        <f t="array" ref="E79">INDEX(GMW!$A$2:$NF$60,MATCH(1,(GMW!$NE$2:$NE$60=E$3)*(GMW!$ND$2:$ND$60=E$4),0),$B79-1966)</f>
        <v>12.375</v>
      </c>
      <c r="F79" s="4" cm="1">
        <f t="array" ref="F79">INDEX(GMW!$A$2:$NF$60,MATCH(1,(GMW!$NE$2:$NE$60=F$3)*(GMW!$ND$2:$ND$60=F$4),0),$B79-1966)</f>
        <v>10.14</v>
      </c>
      <c r="G79" s="4" cm="1">
        <f t="array" ref="G79">INDEX(GMW!$A$2:$NF$60,MATCH(1,(GMW!$NE$2:$NE$60=G$3)*(GMW!$ND$2:$ND$60=G$4),0),$B79-1966)</f>
        <v>14.24</v>
      </c>
      <c r="H79" s="4" cm="1">
        <f t="array" ref="H79">INDEX(GMW!$A$2:$NF$60,MATCH(1,(GMW!$NE$2:$NE$60=H$3)*(GMW!$ND$2:$ND$60=H$4),0),$B79-1966)</f>
        <v>16.06035</v>
      </c>
    </row>
    <row r="80" spans="1:8" x14ac:dyDescent="0.35">
      <c r="B80" s="4">
        <f t="shared" si="2"/>
        <v>2046</v>
      </c>
      <c r="C80" s="4" cm="1">
        <f t="array" ref="C80">INDEX(GMW!$A$2:$NF$60,MATCH(1,(GMW!$NE$2:$NE$60=C$3)*(GMW!$ND$2:$ND$60=C$4),0),$B80-1966)</f>
        <v>8706</v>
      </c>
      <c r="D80" s="4" cm="1">
        <f t="array" ref="D80">INDEX(GMW!$A$2:$NF$60,MATCH(1,(GMW!$NE$2:$NE$60=D$3)*(GMW!$ND$2:$ND$60=D$4),0),$B80-1966)</f>
        <v>12592</v>
      </c>
      <c r="E80" s="4" cm="1">
        <f t="array" ref="E80">INDEX(GMW!$A$2:$NF$60,MATCH(1,(GMW!$NE$2:$NE$60=E$3)*(GMW!$ND$2:$ND$60=E$4),0),$B80-1966)</f>
        <v>11.375</v>
      </c>
      <c r="F80" s="4" cm="1">
        <f t="array" ref="F80">INDEX(GMW!$A$2:$NF$60,MATCH(1,(GMW!$NE$2:$NE$60=F$3)*(GMW!$ND$2:$ND$60=F$4),0),$B80-1966)</f>
        <v>10.56</v>
      </c>
      <c r="G80" s="4" cm="1">
        <f t="array" ref="G80">INDEX(GMW!$A$2:$NF$60,MATCH(1,(GMW!$NE$2:$NE$60=G$3)*(GMW!$ND$2:$ND$60=G$4),0),$B80-1966)</f>
        <v>12.75</v>
      </c>
      <c r="H80" s="4" cm="1">
        <f t="array" ref="H80">INDEX(GMW!$A$2:$NF$60,MATCH(1,(GMW!$NE$2:$NE$60=H$3)*(GMW!$ND$2:$ND$60=H$4),0),$B80-1966)</f>
        <v>15.97467</v>
      </c>
    </row>
    <row r="81" spans="1:8" x14ac:dyDescent="0.35">
      <c r="B81" s="4">
        <f t="shared" si="2"/>
        <v>2047</v>
      </c>
      <c r="C81" s="4" cm="1">
        <f t="array" ref="C81">INDEX(GMW!$A$2:$NF$60,MATCH(1,(GMW!$NE$2:$NE$60=C$3)*(GMW!$ND$2:$ND$60=C$4),0),$B81-1966)</f>
        <v>8821</v>
      </c>
      <c r="D81" s="4" cm="1">
        <f t="array" ref="D81">INDEX(GMW!$A$2:$NF$60,MATCH(1,(GMW!$NE$2:$NE$60=D$3)*(GMW!$ND$2:$ND$60=D$4),0),$B81-1966)</f>
        <v>11972</v>
      </c>
      <c r="E81" s="4" cm="1">
        <f t="array" ref="E81">INDEX(GMW!$A$2:$NF$60,MATCH(1,(GMW!$NE$2:$NE$60=E$3)*(GMW!$ND$2:$ND$60=E$4),0),$B81-1966)</f>
        <v>10.375</v>
      </c>
      <c r="F81" s="4" cm="1">
        <f t="array" ref="F81">INDEX(GMW!$A$2:$NF$60,MATCH(1,(GMW!$NE$2:$NE$60=F$3)*(GMW!$ND$2:$ND$60=F$4),0),$B81-1966)</f>
        <v>9.58</v>
      </c>
      <c r="G81" s="4" cm="1">
        <f t="array" ref="G81">INDEX(GMW!$A$2:$NF$60,MATCH(1,(GMW!$NE$2:$NE$60=G$3)*(GMW!$ND$2:$ND$60=G$4),0),$B81-1966)</f>
        <v>11.82</v>
      </c>
      <c r="H81" s="4" cm="1">
        <f t="array" ref="H81">INDEX(GMW!$A$2:$NF$60,MATCH(1,(GMW!$NE$2:$NE$60=H$3)*(GMW!$ND$2:$ND$60=H$4),0),$B81-1966)</f>
        <v>15.401059999999999</v>
      </c>
    </row>
    <row r="82" spans="1:8" x14ac:dyDescent="0.35">
      <c r="B82" s="4">
        <f t="shared" si="2"/>
        <v>2048</v>
      </c>
      <c r="C82" s="4" cm="1">
        <f t="array" ref="C82">INDEX(GMW!$A$2:$NF$60,MATCH(1,(GMW!$NE$2:$NE$60=C$3)*(GMW!$ND$2:$ND$60=C$4),0),$B82-1966)</f>
        <v>7822</v>
      </c>
      <c r="D82" s="4" cm="1">
        <f t="array" ref="D82">INDEX(GMW!$A$2:$NF$60,MATCH(1,(GMW!$NE$2:$NE$60=D$3)*(GMW!$ND$2:$ND$60=D$4),0),$B82-1966)</f>
        <v>11596</v>
      </c>
      <c r="E82" s="4" cm="1">
        <f t="array" ref="E82">INDEX(GMW!$A$2:$NF$60,MATCH(1,(GMW!$NE$2:$NE$60=E$3)*(GMW!$ND$2:$ND$60=E$4),0),$B82-1966)</f>
        <v>10.375</v>
      </c>
      <c r="F82" s="4" cm="1">
        <f t="array" ref="F82">INDEX(GMW!$A$2:$NF$60,MATCH(1,(GMW!$NE$2:$NE$60=F$3)*(GMW!$ND$2:$ND$60=F$4),0),$B82-1966)</f>
        <v>9.73</v>
      </c>
      <c r="G82" s="4" cm="1">
        <f t="array" ref="G82">INDEX(GMW!$A$2:$NF$60,MATCH(1,(GMW!$NE$2:$NE$60=G$3)*(GMW!$ND$2:$ND$60=G$4),0),$B82-1966)</f>
        <v>11.39</v>
      </c>
      <c r="H82" s="4" cm="1">
        <f t="array" ref="H82">INDEX(GMW!$A$2:$NF$60,MATCH(1,(GMW!$NE$2:$NE$60=H$3)*(GMW!$ND$2:$ND$60=H$4),0),$B82-1966)</f>
        <v>14.88809</v>
      </c>
    </row>
    <row r="83" spans="1:8" x14ac:dyDescent="0.35">
      <c r="A83" s="4">
        <v>1992</v>
      </c>
      <c r="B83" s="4">
        <f t="shared" si="2"/>
        <v>2049</v>
      </c>
      <c r="C83" s="4" cm="1">
        <f t="array" ref="C83">INDEX(GMW!$A$2:$NF$60,MATCH(1,(GMW!$NE$2:$NE$60=C$3)*(GMW!$ND$2:$ND$60=C$4),0),$B83-1966)</f>
        <v>10088</v>
      </c>
      <c r="D83" s="4" cm="1">
        <f t="array" ref="D83">INDEX(GMW!$A$2:$NF$60,MATCH(1,(GMW!$NE$2:$NE$60=D$3)*(GMW!$ND$2:$ND$60=D$4),0),$B83-1966)</f>
        <v>12466</v>
      </c>
      <c r="E83" s="4" cm="1">
        <f t="array" ref="E83">INDEX(GMW!$A$2:$NF$60,MATCH(1,(GMW!$NE$2:$NE$60=E$3)*(GMW!$ND$2:$ND$60=E$4),0),$B83-1966)</f>
        <v>10.375</v>
      </c>
      <c r="F83" s="4" cm="1">
        <f t="array" ref="F83">INDEX(GMW!$A$2:$NF$60,MATCH(1,(GMW!$NE$2:$NE$60=F$3)*(GMW!$ND$2:$ND$60=F$4),0),$B83-1966)</f>
        <v>9.9</v>
      </c>
      <c r="G83" s="4" cm="1">
        <f t="array" ref="G83">INDEX(GMW!$A$2:$NF$60,MATCH(1,(GMW!$NE$2:$NE$60=G$3)*(GMW!$ND$2:$ND$60=G$4),0),$B83-1966)</f>
        <v>10.96</v>
      </c>
      <c r="H83" s="4" cm="1">
        <f t="array" ref="H83">INDEX(GMW!$A$2:$NF$60,MATCH(1,(GMW!$NE$2:$NE$60=H$3)*(GMW!$ND$2:$ND$60=H$4),0),$B83-1966)</f>
        <v>14.374610000000001</v>
      </c>
    </row>
    <row r="84" spans="1:8" x14ac:dyDescent="0.35">
      <c r="B84" s="4">
        <f t="shared" si="2"/>
        <v>2050</v>
      </c>
      <c r="C84" s="4" cm="1">
        <f t="array" ref="C84">INDEX(GMW!$A$2:$NF$60,MATCH(1,(GMW!$NE$2:$NE$60=C$3)*(GMW!$ND$2:$ND$60=C$4),0),$B84-1966)</f>
        <v>7880</v>
      </c>
      <c r="D84" s="4" cm="1">
        <f t="array" ref="D84">INDEX(GMW!$A$2:$NF$60,MATCH(1,(GMW!$NE$2:$NE$60=D$3)*(GMW!$ND$2:$ND$60=D$4),0),$B84-1966)</f>
        <v>11383</v>
      </c>
      <c r="E84" s="4" cm="1">
        <f t="array" ref="E84">INDEX(GMW!$A$2:$NF$60,MATCH(1,(GMW!$NE$2:$NE$60=E$3)*(GMW!$ND$2:$ND$60=E$4),0),$B84-1966)</f>
        <v>9.875</v>
      </c>
      <c r="F84" s="4" cm="1">
        <f t="array" ref="F84">INDEX(GMW!$A$2:$NF$60,MATCH(1,(GMW!$NE$2:$NE$60=F$3)*(GMW!$ND$2:$ND$60=F$4),0),$B84-1966)</f>
        <v>9.11</v>
      </c>
      <c r="G84" s="4" cm="1">
        <f t="array" ref="G84">INDEX(GMW!$A$2:$NF$60,MATCH(1,(GMW!$NE$2:$NE$60=G$3)*(GMW!$ND$2:$ND$60=G$4),0),$B84-1966)</f>
        <v>10.82</v>
      </c>
      <c r="H84" s="4" cm="1">
        <f t="array" ref="H84">INDEX(GMW!$A$2:$NF$60,MATCH(1,(GMW!$NE$2:$NE$60=H$3)*(GMW!$ND$2:$ND$60=H$4),0),$B84-1966)</f>
        <v>13.85318</v>
      </c>
    </row>
    <row r="85" spans="1:8" x14ac:dyDescent="0.35">
      <c r="B85" s="4">
        <f t="shared" si="2"/>
        <v>2051</v>
      </c>
      <c r="C85" s="4" cm="1">
        <f t="array" ref="C85">INDEX(GMW!$A$2:$NF$60,MATCH(1,(GMW!$NE$2:$NE$60=C$3)*(GMW!$ND$2:$ND$60=C$4),0),$B85-1966)</f>
        <v>7774</v>
      </c>
      <c r="D85" s="4" cm="1">
        <f t="array" ref="D85">INDEX(GMW!$A$2:$NF$60,MATCH(1,(GMW!$NE$2:$NE$60=D$3)*(GMW!$ND$2:$ND$60=D$4),0),$B85-1966)</f>
        <v>11075</v>
      </c>
      <c r="E85" s="4" cm="1">
        <f t="array" ref="E85">INDEX(GMW!$A$2:$NF$60,MATCH(1,(GMW!$NE$2:$NE$60=E$3)*(GMW!$ND$2:$ND$60=E$4),0),$B85-1966)</f>
        <v>8.875</v>
      </c>
      <c r="F85" s="4" cm="1">
        <f t="array" ref="F85">INDEX(GMW!$A$2:$NF$60,MATCH(1,(GMW!$NE$2:$NE$60=F$3)*(GMW!$ND$2:$ND$60=F$4),0),$B85-1966)</f>
        <v>8.9600000000000009</v>
      </c>
      <c r="G85" s="4" cm="1">
        <f t="array" ref="G85">INDEX(GMW!$A$2:$NF$60,MATCH(1,(GMW!$NE$2:$NE$60=G$3)*(GMW!$ND$2:$ND$60=G$4),0),$B85-1966)</f>
        <v>10.6</v>
      </c>
      <c r="H85" s="4" cm="1">
        <f t="array" ref="H85">INDEX(GMW!$A$2:$NF$60,MATCH(1,(GMW!$NE$2:$NE$60=H$3)*(GMW!$ND$2:$ND$60=H$4),0),$B85-1966)</f>
        <v>13.697089999999999</v>
      </c>
    </row>
    <row r="86" spans="1:8" x14ac:dyDescent="0.35">
      <c r="B86" s="4">
        <f t="shared" si="2"/>
        <v>2052</v>
      </c>
      <c r="C86" s="4" cm="1">
        <f t="array" ref="C86">INDEX(GMW!$A$2:$NF$60,MATCH(1,(GMW!$NE$2:$NE$60=C$3)*(GMW!$ND$2:$ND$60=C$4),0),$B86-1966)</f>
        <v>6753</v>
      </c>
      <c r="D86" s="4" cm="1">
        <f t="array" ref="D86">INDEX(GMW!$A$2:$NF$60,MATCH(1,(GMW!$NE$2:$NE$60=D$3)*(GMW!$ND$2:$ND$60=D$4),0),$B86-1966)</f>
        <v>10240</v>
      </c>
      <c r="E86" s="4" cm="1">
        <f t="array" ref="E86">INDEX(GMW!$A$2:$NF$60,MATCH(1,(GMW!$NE$2:$NE$60=E$3)*(GMW!$ND$2:$ND$60=E$4),0),$B86-1966)</f>
        <v>6.875</v>
      </c>
      <c r="F86" s="4" cm="1">
        <f t="array" ref="F86">INDEX(GMW!$A$2:$NF$60,MATCH(1,(GMW!$NE$2:$NE$60=F$3)*(GMW!$ND$2:$ND$60=F$4),0),$B86-1966)</f>
        <v>8.17</v>
      </c>
      <c r="G86" s="4" cm="1">
        <f t="array" ref="G86">INDEX(GMW!$A$2:$NF$60,MATCH(1,(GMW!$NE$2:$NE$60=G$3)*(GMW!$ND$2:$ND$60=G$4),0),$B86-1966)</f>
        <v>8.98</v>
      </c>
      <c r="H86" s="4" cm="1">
        <f t="array" ref="H86">INDEX(GMW!$A$2:$NF$60,MATCH(1,(GMW!$NE$2:$NE$60=H$3)*(GMW!$ND$2:$ND$60=H$4),0),$B86-1966)</f>
        <v>12.964449999999999</v>
      </c>
    </row>
    <row r="87" spans="1:8" x14ac:dyDescent="0.35">
      <c r="A87" s="4">
        <v>1993</v>
      </c>
      <c r="B87" s="4">
        <f t="shared" si="2"/>
        <v>2053</v>
      </c>
      <c r="C87" s="4" cm="1">
        <f t="array" ref="C87">INDEX(GMW!$A$2:$NF$60,MATCH(1,(GMW!$NE$2:$NE$60=C$3)*(GMW!$ND$2:$ND$60=C$4),0),$B87-1966)</f>
        <v>5846</v>
      </c>
      <c r="D87" s="4" cm="1">
        <f t="array" ref="D87">INDEX(GMW!$A$2:$NF$60,MATCH(1,(GMW!$NE$2:$NE$60=D$3)*(GMW!$ND$2:$ND$60=D$4),0),$B87-1966)</f>
        <v>9225</v>
      </c>
      <c r="E87" s="4" cm="1">
        <f t="array" ref="E87">INDEX(GMW!$A$2:$NF$60,MATCH(1,(GMW!$NE$2:$NE$60=E$3)*(GMW!$ND$2:$ND$60=E$4),0),$B87-1966)</f>
        <v>5.875</v>
      </c>
      <c r="F87" s="4" cm="1">
        <f t="array" ref="F87">INDEX(GMW!$A$2:$NF$60,MATCH(1,(GMW!$NE$2:$NE$60=F$3)*(GMW!$ND$2:$ND$60=F$4),0),$B87-1966)</f>
        <v>7.8</v>
      </c>
      <c r="G87" s="4" cm="1">
        <f t="array" ref="G87">INDEX(GMW!$A$2:$NF$60,MATCH(1,(GMW!$NE$2:$NE$60=G$3)*(GMW!$ND$2:$ND$60=G$4),0),$B87-1966)</f>
        <v>8.0399999999999991</v>
      </c>
      <c r="H87" s="4" cm="1">
        <f t="array" ref="H87">INDEX(GMW!$A$2:$NF$60,MATCH(1,(GMW!$NE$2:$NE$60=H$3)*(GMW!$ND$2:$ND$60=H$4),0),$B87-1966)</f>
        <v>12.44909</v>
      </c>
    </row>
    <row r="88" spans="1:8" x14ac:dyDescent="0.35">
      <c r="B88" s="4">
        <f t="shared" si="2"/>
        <v>2054</v>
      </c>
      <c r="C88" s="4" cm="1">
        <f t="array" ref="C88">INDEX(GMW!$A$2:$NF$60,MATCH(1,(GMW!$NE$2:$NE$60=C$3)*(GMW!$ND$2:$ND$60=C$4),0),$B88-1966)</f>
        <v>5963</v>
      </c>
      <c r="D88" s="4" cm="1">
        <f t="array" ref="D88">INDEX(GMW!$A$2:$NF$60,MATCH(1,(GMW!$NE$2:$NE$60=D$3)*(GMW!$ND$2:$ND$60=D$4),0),$B88-1966)</f>
        <v>8905</v>
      </c>
      <c r="E88" s="4" cm="1">
        <f t="array" ref="E88">INDEX(GMW!$A$2:$NF$60,MATCH(1,(GMW!$NE$2:$NE$60=E$3)*(GMW!$ND$2:$ND$60=E$4),0),$B88-1966)</f>
        <v>5.875</v>
      </c>
      <c r="F88" s="4" cm="1">
        <f t="array" ref="F88">INDEX(GMW!$A$2:$NF$60,MATCH(1,(GMW!$NE$2:$NE$60=F$3)*(GMW!$ND$2:$ND$60=F$4),0),$B88-1966)</f>
        <v>7.7</v>
      </c>
      <c r="G88" s="4" cm="1">
        <f t="array" ref="G88">INDEX(GMW!$A$2:$NF$60,MATCH(1,(GMW!$NE$2:$NE$60=G$3)*(GMW!$ND$2:$ND$60=G$4),0),$B88-1966)</f>
        <v>8.01</v>
      </c>
      <c r="H88" s="4" cm="1">
        <f t="array" ref="H88">INDEX(GMW!$A$2:$NF$60,MATCH(1,(GMW!$NE$2:$NE$60=H$3)*(GMW!$ND$2:$ND$60=H$4),0),$B88-1966)</f>
        <v>12.377179999999999</v>
      </c>
    </row>
    <row r="89" spans="1:8" x14ac:dyDescent="0.35">
      <c r="B89" s="4">
        <f t="shared" si="2"/>
        <v>2055</v>
      </c>
      <c r="C89" s="4" cm="1">
        <f t="array" ref="C89">INDEX(GMW!$A$2:$NF$60,MATCH(1,(GMW!$NE$2:$NE$60=C$3)*(GMW!$ND$2:$ND$60=C$4),0),$B89-1966)</f>
        <v>5830</v>
      </c>
      <c r="D89" s="4" cm="1">
        <f t="array" ref="D89">INDEX(GMW!$A$2:$NF$60,MATCH(1,(GMW!$NE$2:$NE$60=D$3)*(GMW!$ND$2:$ND$60=D$4),0),$B89-1966)</f>
        <v>8860</v>
      </c>
      <c r="E89" s="4" cm="1">
        <f t="array" ref="E89">INDEX(GMW!$A$2:$NF$60,MATCH(1,(GMW!$NE$2:$NE$60=E$3)*(GMW!$ND$2:$ND$60=E$4),0),$B89-1966)</f>
        <v>5.875</v>
      </c>
      <c r="F89" s="4" cm="1">
        <f t="array" ref="F89">INDEX(GMW!$A$2:$NF$60,MATCH(1,(GMW!$NE$2:$NE$60=F$3)*(GMW!$ND$2:$ND$60=F$4),0),$B89-1966)</f>
        <v>6.96</v>
      </c>
      <c r="G89" s="4" cm="1">
        <f t="array" ref="G89">INDEX(GMW!$A$2:$NF$60,MATCH(1,(GMW!$NE$2:$NE$60=G$3)*(GMW!$ND$2:$ND$60=G$4),0),$B89-1966)</f>
        <v>8</v>
      </c>
      <c r="H89" s="4" cm="1">
        <f t="array" ref="H89">INDEX(GMW!$A$2:$NF$60,MATCH(1,(GMW!$NE$2:$NE$60=H$3)*(GMW!$ND$2:$ND$60=H$4),0),$B89-1966)</f>
        <v>11.09389</v>
      </c>
    </row>
    <row r="90" spans="1:8" x14ac:dyDescent="0.35">
      <c r="B90" s="4">
        <f t="shared" si="2"/>
        <v>2056</v>
      </c>
      <c r="C90" s="4" cm="1">
        <f t="array" ref="C90">INDEX(GMW!$A$2:$NF$60,MATCH(1,(GMW!$NE$2:$NE$60=C$3)*(GMW!$ND$2:$ND$60=C$4),0),$B90-1966)</f>
        <v>5957</v>
      </c>
      <c r="D90" s="4" cm="1">
        <f t="array" ref="D90">INDEX(GMW!$A$2:$NF$60,MATCH(1,(GMW!$NE$2:$NE$60=D$3)*(GMW!$ND$2:$ND$60=D$4),0),$B90-1966)</f>
        <v>8936</v>
      </c>
      <c r="E90" s="4" cm="1">
        <f t="array" ref="E90">INDEX(GMW!$A$2:$NF$60,MATCH(1,(GMW!$NE$2:$NE$60=E$3)*(GMW!$ND$2:$ND$60=E$4),0),$B90-1966)</f>
        <v>5.375</v>
      </c>
      <c r="F90" s="4" cm="1">
        <f t="array" ref="F90">INDEX(GMW!$A$2:$NF$60,MATCH(1,(GMW!$NE$2:$NE$60=F$3)*(GMW!$ND$2:$ND$60=F$4),0),$B90-1966)</f>
        <v>6.2390999999999996</v>
      </c>
      <c r="G90" s="4" cm="1">
        <f t="array" ref="G90">INDEX(GMW!$A$2:$NF$60,MATCH(1,(GMW!$NE$2:$NE$60=G$3)*(GMW!$ND$2:$ND$60=G$4),0),$B90-1966)</f>
        <v>7.94</v>
      </c>
      <c r="H90" s="4" cm="1">
        <f t="array" ref="H90">INDEX(GMW!$A$2:$NF$60,MATCH(1,(GMW!$NE$2:$NE$60=H$3)*(GMW!$ND$2:$ND$60=H$4),0),$B90-1966)</f>
        <v>10.37208</v>
      </c>
    </row>
    <row r="91" spans="1:8" x14ac:dyDescent="0.35">
      <c r="A91" s="4">
        <v>1994</v>
      </c>
      <c r="B91" s="4">
        <f t="shared" si="2"/>
        <v>2057</v>
      </c>
      <c r="C91" s="4" cm="1">
        <f t="array" ref="C91">INDEX(GMW!$A$2:$NF$60,MATCH(1,(GMW!$NE$2:$NE$60=C$3)*(GMW!$ND$2:$ND$60=C$4),0),$B91-1966)</f>
        <v>5390</v>
      </c>
      <c r="D91" s="4" cm="1">
        <f t="array" ref="D91">INDEX(GMW!$A$2:$NF$60,MATCH(1,(GMW!$NE$2:$NE$60=D$3)*(GMW!$ND$2:$ND$60=D$4),0),$B91-1966)</f>
        <v>8891</v>
      </c>
      <c r="E91" s="4" cm="1">
        <f t="array" ref="E91">INDEX(GMW!$A$2:$NF$60,MATCH(1,(GMW!$NE$2:$NE$60=E$3)*(GMW!$ND$2:$ND$60=E$4),0),$B91-1966)</f>
        <v>5.125</v>
      </c>
      <c r="F91" s="4" cm="1">
        <f t="array" ref="F91">INDEX(GMW!$A$2:$NF$60,MATCH(1,(GMW!$NE$2:$NE$60=F$3)*(GMW!$ND$2:$ND$60=F$4),0),$B91-1966)</f>
        <v>7.5</v>
      </c>
      <c r="G91" s="4" cm="1">
        <f t="array" ref="G91">INDEX(GMW!$A$2:$NF$60,MATCH(1,(GMW!$NE$2:$NE$60=G$3)*(GMW!$ND$2:$ND$60=G$4),0),$B91-1966)</f>
        <v>7.66</v>
      </c>
      <c r="H91" s="4" cm="1">
        <f t="array" ref="H91">INDEX(GMW!$A$2:$NF$60,MATCH(1,(GMW!$NE$2:$NE$60=H$3)*(GMW!$ND$2:$ND$60=H$4),0),$B91-1966)</f>
        <v>10.67239</v>
      </c>
    </row>
    <row r="92" spans="1:8" x14ac:dyDescent="0.35">
      <c r="B92" s="4">
        <f t="shared" si="2"/>
        <v>2058</v>
      </c>
      <c r="C92" s="4" cm="1">
        <f t="array" ref="C92">INDEX(GMW!$A$2:$NF$60,MATCH(1,(GMW!$NE$2:$NE$60=C$3)*(GMW!$ND$2:$ND$60=C$4),0),$B92-1966)</f>
        <v>5714</v>
      </c>
      <c r="D92" s="4" cm="1">
        <f t="array" ref="D92">INDEX(GMW!$A$2:$NF$60,MATCH(1,(GMW!$NE$2:$NE$60=D$3)*(GMW!$ND$2:$ND$60=D$4),0),$B92-1966)</f>
        <v>9343</v>
      </c>
      <c r="E92" s="4" cm="1">
        <f t="array" ref="E92">INDEX(GMW!$A$2:$NF$60,MATCH(1,(GMW!$NE$2:$NE$60=E$3)*(GMW!$ND$2:$ND$60=E$4),0),$B92-1966)</f>
        <v>5.125</v>
      </c>
      <c r="F92" s="4" cm="1">
        <f t="array" ref="F92">INDEX(GMW!$A$2:$NF$60,MATCH(1,(GMW!$NE$2:$NE$60=F$3)*(GMW!$ND$2:$ND$60=F$4),0),$B92-1966)</f>
        <v>8.59</v>
      </c>
      <c r="G92" s="4" cm="1">
        <f t="array" ref="G92">INDEX(GMW!$A$2:$NF$60,MATCH(1,(GMW!$NE$2:$NE$60=G$3)*(GMW!$ND$2:$ND$60=G$4),0),$B92-1966)</f>
        <v>7.61</v>
      </c>
      <c r="H92" s="4" cm="1">
        <f t="array" ref="H92">INDEX(GMW!$A$2:$NF$60,MATCH(1,(GMW!$NE$2:$NE$60=H$3)*(GMW!$ND$2:$ND$60=H$4),0),$B92-1966)</f>
        <v>13.02328</v>
      </c>
    </row>
    <row r="93" spans="1:8" x14ac:dyDescent="0.35">
      <c r="B93" s="4">
        <f t="shared" si="2"/>
        <v>2059</v>
      </c>
      <c r="C93" s="4" cm="1">
        <f t="array" ref="C93">INDEX(GMW!$A$2:$NF$60,MATCH(1,(GMW!$NE$2:$NE$60=C$3)*(GMW!$ND$2:$ND$60=C$4),0),$B93-1966)</f>
        <v>5337</v>
      </c>
      <c r="D93" s="4" cm="1">
        <f t="array" ref="D93">INDEX(GMW!$A$2:$NF$60,MATCH(1,(GMW!$NE$2:$NE$60=D$3)*(GMW!$ND$2:$ND$60=D$4),0),$B93-1966)</f>
        <v>9086</v>
      </c>
      <c r="E93" s="4" cm="1">
        <f t="array" ref="E93">INDEX(GMW!$A$2:$NF$60,MATCH(1,(GMW!$NE$2:$NE$60=E$3)*(GMW!$ND$2:$ND$60=E$4),0),$B93-1966)</f>
        <v>5.625</v>
      </c>
      <c r="F93" s="4" cm="1">
        <f t="array" ref="F93">INDEX(GMW!$A$2:$NF$60,MATCH(1,(GMW!$NE$2:$NE$60=F$3)*(GMW!$ND$2:$ND$60=F$4),0),$B93-1966)</f>
        <v>8.8000000000000007</v>
      </c>
      <c r="G93" s="4" cm="1">
        <f t="array" ref="G93">INDEX(GMW!$A$2:$NF$60,MATCH(1,(GMW!$NE$2:$NE$60=G$3)*(GMW!$ND$2:$ND$60=G$4),0),$B93-1966)</f>
        <v>7.57</v>
      </c>
      <c r="H93" s="4" cm="1">
        <f t="array" ref="H93">INDEX(GMW!$A$2:$NF$60,MATCH(1,(GMW!$NE$2:$NE$60=H$3)*(GMW!$ND$2:$ND$60=H$4),0),$B93-1966)</f>
        <v>13.479229999999999</v>
      </c>
    </row>
    <row r="94" spans="1:8" x14ac:dyDescent="0.35">
      <c r="B94" s="4">
        <f t="shared" si="2"/>
        <v>2060</v>
      </c>
      <c r="C94" s="4" cm="1">
        <f t="array" ref="C94">INDEX(GMW!$A$2:$NF$60,MATCH(1,(GMW!$NE$2:$NE$60=C$3)*(GMW!$ND$2:$ND$60=C$4),0),$B94-1966)</f>
        <v>5749</v>
      </c>
      <c r="D94" s="4" cm="1">
        <f t="array" ref="D94">INDEX(GMW!$A$2:$NF$60,MATCH(1,(GMW!$NE$2:$NE$60=D$3)*(GMW!$ND$2:$ND$60=D$4),0),$B94-1966)</f>
        <v>9357</v>
      </c>
      <c r="E94" s="4" cm="1">
        <f t="array" ref="E94">INDEX(GMW!$A$2:$NF$60,MATCH(1,(GMW!$NE$2:$NE$60=E$3)*(GMW!$ND$2:$ND$60=E$4),0),$B94-1966)</f>
        <v>6.125</v>
      </c>
      <c r="F94" s="4" cm="1">
        <f t="array" ref="F94">INDEX(GMW!$A$2:$NF$60,MATCH(1,(GMW!$NE$2:$NE$60=F$3)*(GMW!$ND$2:$ND$60=F$4),0),$B94-1966)</f>
        <v>8.6999999999999993</v>
      </c>
      <c r="G94" s="4" cm="1">
        <f t="array" ref="G94">INDEX(GMW!$A$2:$NF$60,MATCH(1,(GMW!$NE$2:$NE$60=G$3)*(GMW!$ND$2:$ND$60=G$4),0),$B94-1966)</f>
        <v>7.84</v>
      </c>
      <c r="H94" s="4" cm="1">
        <f t="array" ref="H94">INDEX(GMW!$A$2:$NF$60,MATCH(1,(GMW!$NE$2:$NE$60=H$3)*(GMW!$ND$2:$ND$60=H$4),0),$B94-1966)</f>
        <v>13.42821</v>
      </c>
    </row>
    <row r="95" spans="1:8" x14ac:dyDescent="0.35">
      <c r="A95" s="4">
        <v>1995</v>
      </c>
      <c r="B95" s="4">
        <f t="shared" si="2"/>
        <v>2061</v>
      </c>
      <c r="C95" s="4" cm="1">
        <f t="array" ref="C95">INDEX(GMW!$A$2:$NF$60,MATCH(1,(GMW!$NE$2:$NE$60=C$3)*(GMW!$ND$2:$ND$60=C$4),0),$B95-1966)</f>
        <v>6546</v>
      </c>
      <c r="D95" s="4" cm="1">
        <f t="array" ref="D95">INDEX(GMW!$A$2:$NF$60,MATCH(1,(GMW!$NE$2:$NE$60=D$3)*(GMW!$ND$2:$ND$60=D$4),0),$B95-1966)</f>
        <v>9868</v>
      </c>
      <c r="E95" s="4" cm="1">
        <f t="array" ref="E95">INDEX(GMW!$A$2:$NF$60,MATCH(1,(GMW!$NE$2:$NE$60=E$3)*(GMW!$ND$2:$ND$60=E$4),0),$B95-1966)</f>
        <v>6.625</v>
      </c>
      <c r="F95" s="4" cm="1">
        <f t="array" ref="F95">INDEX(GMW!$A$2:$NF$60,MATCH(1,(GMW!$NE$2:$NE$60=F$3)*(GMW!$ND$2:$ND$60=F$4),0),$B95-1966)</f>
        <v>8.49</v>
      </c>
      <c r="G95" s="4" cm="1">
        <f t="array" ref="G95">INDEX(GMW!$A$2:$NF$60,MATCH(1,(GMW!$NE$2:$NE$60=G$3)*(GMW!$ND$2:$ND$60=G$4),0),$B95-1966)</f>
        <v>8</v>
      </c>
      <c r="H95" s="4" cm="1">
        <f t="array" ref="H95">INDEX(GMW!$A$2:$NF$60,MATCH(1,(GMW!$NE$2:$NE$60=H$3)*(GMW!$ND$2:$ND$60=H$4),0),$B95-1966)</f>
        <v>13.264250000000001</v>
      </c>
    </row>
    <row r="96" spans="1:8" x14ac:dyDescent="0.35">
      <c r="B96" s="4">
        <f t="shared" si="2"/>
        <v>2062</v>
      </c>
      <c r="C96" s="4" cm="1">
        <f t="array" ref="C96">INDEX(GMW!$A$2:$NF$60,MATCH(1,(GMW!$NE$2:$NE$60=C$3)*(GMW!$ND$2:$ND$60=C$4),0),$B96-1966)</f>
        <v>6787</v>
      </c>
      <c r="D96" s="4" cm="1">
        <f t="array" ref="D96">INDEX(GMW!$A$2:$NF$60,MATCH(1,(GMW!$NE$2:$NE$60=D$3)*(GMW!$ND$2:$ND$60=D$4),0),$B96-1966)</f>
        <v>10163</v>
      </c>
      <c r="E96" s="4" cm="1">
        <f t="array" ref="E96">INDEX(GMW!$A$2:$NF$60,MATCH(1,(GMW!$NE$2:$NE$60=E$3)*(GMW!$ND$2:$ND$60=E$4),0),$B96-1966)</f>
        <v>6.625</v>
      </c>
      <c r="F96" s="4" cm="1">
        <f t="array" ref="F96">INDEX(GMW!$A$2:$NF$60,MATCH(1,(GMW!$NE$2:$NE$60=F$3)*(GMW!$ND$2:$ND$60=F$4),0),$B96-1966)</f>
        <v>8.48</v>
      </c>
      <c r="G96" s="4" cm="1">
        <f t="array" ref="G96">INDEX(GMW!$A$2:$NF$60,MATCH(1,(GMW!$NE$2:$NE$60=G$3)*(GMW!$ND$2:$ND$60=G$4),0),$B96-1966)</f>
        <v>7.95</v>
      </c>
      <c r="H96" s="4" cm="1">
        <f t="array" ref="H96">INDEX(GMW!$A$2:$NF$60,MATCH(1,(GMW!$NE$2:$NE$60=H$3)*(GMW!$ND$2:$ND$60=H$4),0),$B96-1966)</f>
        <v>12.6335</v>
      </c>
    </row>
    <row r="97" spans="1:8" x14ac:dyDescent="0.35">
      <c r="B97" s="4">
        <f t="shared" si="2"/>
        <v>2063</v>
      </c>
      <c r="C97" s="4" cm="1">
        <f t="array" ref="C97">INDEX(GMW!$A$2:$NF$60,MATCH(1,(GMW!$NE$2:$NE$60=C$3)*(GMW!$ND$2:$ND$60=C$4),0),$B97-1966)</f>
        <v>6608</v>
      </c>
      <c r="D97" s="4" cm="1">
        <f t="array" ref="D97">INDEX(GMW!$A$2:$NF$60,MATCH(1,(GMW!$NE$2:$NE$60=D$3)*(GMW!$ND$2:$ND$60=D$4),0),$B97-1966)</f>
        <v>10060</v>
      </c>
      <c r="E97" s="4" cm="1">
        <f t="array" ref="E97">INDEX(GMW!$A$2:$NF$60,MATCH(1,(GMW!$NE$2:$NE$60=E$3)*(GMW!$ND$2:$ND$60=E$4),0),$B97-1966)</f>
        <v>6.625</v>
      </c>
      <c r="F97" s="4" cm="1">
        <f t="array" ref="F97">INDEX(GMW!$A$2:$NF$60,MATCH(1,(GMW!$NE$2:$NE$60=F$3)*(GMW!$ND$2:$ND$60=F$4),0),$B97-1966)</f>
        <v>8.1199999999999992</v>
      </c>
      <c r="G97" s="4" cm="1">
        <f t="array" ref="G97">INDEX(GMW!$A$2:$NF$60,MATCH(1,(GMW!$NE$2:$NE$60=G$3)*(GMW!$ND$2:$ND$60=G$4),0),$B97-1966)</f>
        <v>7.9</v>
      </c>
      <c r="H97" s="4" cm="1">
        <f t="array" ref="H97">INDEX(GMW!$A$2:$NF$60,MATCH(1,(GMW!$NE$2:$NE$60=H$3)*(GMW!$ND$2:$ND$60=H$4),0),$B97-1966)</f>
        <v>12.50264</v>
      </c>
    </row>
    <row r="98" spans="1:8" x14ac:dyDescent="0.35">
      <c r="B98" s="4">
        <f t="shared" si="2"/>
        <v>2064</v>
      </c>
      <c r="C98" s="4" cm="1">
        <f t="array" ref="C98">INDEX(GMW!$A$2:$NF$60,MATCH(1,(GMW!$NE$2:$NE$60=C$3)*(GMW!$ND$2:$ND$60=C$4),0),$B98-1966)</f>
        <v>6634</v>
      </c>
      <c r="D98" s="4" cm="1">
        <f t="array" ref="D98">INDEX(GMW!$A$2:$NF$60,MATCH(1,(GMW!$NE$2:$NE$60=D$3)*(GMW!$ND$2:$ND$60=D$4),0),$B98-1966)</f>
        <v>9867</v>
      </c>
      <c r="E98" s="4" cm="1">
        <f t="array" ref="E98">INDEX(GMW!$A$2:$NF$60,MATCH(1,(GMW!$NE$2:$NE$60=E$3)*(GMW!$ND$2:$ND$60=E$4),0),$B98-1966)</f>
        <v>6.375</v>
      </c>
      <c r="F98" s="4" cm="1">
        <f t="array" ref="F98">INDEX(GMW!$A$2:$NF$60,MATCH(1,(GMW!$NE$2:$NE$60=F$3)*(GMW!$ND$2:$ND$60=F$4),0),$B98-1966)</f>
        <v>7.43</v>
      </c>
      <c r="G98" s="4" cm="1">
        <f t="array" ref="G98">INDEX(GMW!$A$2:$NF$60,MATCH(1,(GMW!$NE$2:$NE$60=G$3)*(GMW!$ND$2:$ND$60=G$4),0),$B98-1966)</f>
        <v>7.48</v>
      </c>
      <c r="H98" s="4" cm="1">
        <f t="array" ref="H98">INDEX(GMW!$A$2:$NF$60,MATCH(1,(GMW!$NE$2:$NE$60=H$3)*(GMW!$ND$2:$ND$60=H$4),0),$B98-1966)</f>
        <v>12.12017</v>
      </c>
    </row>
    <row r="99" spans="1:8" x14ac:dyDescent="0.35">
      <c r="A99" s="4">
        <v>1996</v>
      </c>
      <c r="B99" s="4">
        <f t="shared" si="2"/>
        <v>2065</v>
      </c>
      <c r="C99" s="4" cm="1">
        <f t="array" ref="C99">INDEX(GMW!$A$2:$NF$60,MATCH(1,(GMW!$NE$2:$NE$60=C$3)*(GMW!$ND$2:$ND$60=C$4),0),$B99-1966)</f>
        <v>6041</v>
      </c>
      <c r="D99" s="4" cm="1">
        <f t="array" ref="D99">INDEX(GMW!$A$2:$NF$60,MATCH(1,(GMW!$NE$2:$NE$60=D$3)*(GMW!$ND$2:$ND$60=D$4),0),$B99-1966)</f>
        <v>9831</v>
      </c>
      <c r="E99" s="4" cm="1">
        <f t="array" ref="E99">INDEX(GMW!$A$2:$NF$60,MATCH(1,(GMW!$NE$2:$NE$60=E$3)*(GMW!$ND$2:$ND$60=E$4),0),$B99-1966)</f>
        <v>5.9375</v>
      </c>
      <c r="F99" s="4" cm="1">
        <f t="array" ref="F99">INDEX(GMW!$A$2:$NF$60,MATCH(1,(GMW!$NE$2:$NE$60=F$3)*(GMW!$ND$2:$ND$60=F$4),0),$B99-1966)</f>
        <v>8.15</v>
      </c>
      <c r="G99" s="4" cm="1">
        <f t="array" ref="G99">INDEX(GMW!$A$2:$NF$60,MATCH(1,(GMW!$NE$2:$NE$60=G$3)*(GMW!$ND$2:$ND$60=G$4),0),$B99-1966)</f>
        <v>7.03</v>
      </c>
      <c r="H99" s="4" cm="1">
        <f t="array" ref="H99">INDEX(GMW!$A$2:$NF$60,MATCH(1,(GMW!$NE$2:$NE$60=H$3)*(GMW!$ND$2:$ND$60=H$4),0),$B99-1966)</f>
        <v>12.16099</v>
      </c>
    </row>
    <row r="100" spans="1:8" x14ac:dyDescent="0.35">
      <c r="B100" s="4">
        <f t="shared" si="2"/>
        <v>2066</v>
      </c>
      <c r="C100" s="4" cm="1">
        <f t="array" ref="C100">INDEX(GMW!$A$2:$NF$60,MATCH(1,(GMW!$NE$2:$NE$60=C$3)*(GMW!$ND$2:$ND$60=C$4),0),$B100-1966)</f>
        <v>6035</v>
      </c>
      <c r="D100" s="4" cm="1">
        <f t="array" ref="D100">INDEX(GMW!$A$2:$NF$60,MATCH(1,(GMW!$NE$2:$NE$60=D$3)*(GMW!$ND$2:$ND$60=D$4),0),$B100-1966)</f>
        <v>9604</v>
      </c>
      <c r="E100" s="4" cm="1">
        <f t="array" ref="E100">INDEX(GMW!$A$2:$NF$60,MATCH(1,(GMW!$NE$2:$NE$60=E$3)*(GMW!$ND$2:$ND$60=E$4),0),$B100-1966)</f>
        <v>5.6875</v>
      </c>
      <c r="F100" s="4" cm="1">
        <f t="array" ref="F100">INDEX(GMW!$A$2:$NF$60,MATCH(1,(GMW!$NE$2:$NE$60=F$3)*(GMW!$ND$2:$ND$60=F$4),0),$B100-1966)</f>
        <v>7.88</v>
      </c>
      <c r="G100" s="4" cm="1">
        <f t="array" ref="G100">INDEX(GMW!$A$2:$NF$60,MATCH(1,(GMW!$NE$2:$NE$60=G$3)*(GMW!$ND$2:$ND$60=G$4),0),$B100-1966)</f>
        <v>6.71</v>
      </c>
      <c r="H100" s="4" cm="1">
        <f t="array" ref="H100">INDEX(GMW!$A$2:$NF$60,MATCH(1,(GMW!$NE$2:$NE$60=H$3)*(GMW!$ND$2:$ND$60=H$4),0),$B100-1966)</f>
        <v>12.53063</v>
      </c>
    </row>
    <row r="101" spans="1:8" x14ac:dyDescent="0.35">
      <c r="B101" s="4">
        <f t="shared" si="2"/>
        <v>2067</v>
      </c>
      <c r="C101" s="4" cm="1">
        <f t="array" ref="C101">INDEX(GMW!$A$2:$NF$60,MATCH(1,(GMW!$NE$2:$NE$60=C$3)*(GMW!$ND$2:$ND$60=C$4),0),$B101-1966)</f>
        <v>6087</v>
      </c>
      <c r="D101" s="4" cm="1">
        <f t="array" ref="D101">INDEX(GMW!$A$2:$NF$60,MATCH(1,(GMW!$NE$2:$NE$60=D$3)*(GMW!$ND$2:$ND$60=D$4),0),$B101-1966)</f>
        <v>9382</v>
      </c>
      <c r="E101" s="4" cm="1">
        <f t="array" ref="E101">INDEX(GMW!$A$2:$NF$60,MATCH(1,(GMW!$NE$2:$NE$60=E$3)*(GMW!$ND$2:$ND$60=E$4),0),$B101-1966)</f>
        <v>5.6875</v>
      </c>
      <c r="F101" s="4" cm="1">
        <f t="array" ref="F101">INDEX(GMW!$A$2:$NF$60,MATCH(1,(GMW!$NE$2:$NE$60=F$3)*(GMW!$ND$2:$ND$60=F$4),0),$B101-1966)</f>
        <v>7.65</v>
      </c>
      <c r="G101" s="4" cm="1">
        <f t="array" ref="G101">INDEX(GMW!$A$2:$NF$60,MATCH(1,(GMW!$NE$2:$NE$60=G$3)*(GMW!$ND$2:$ND$60=G$4),0),$B101-1966)</f>
        <v>6.45</v>
      </c>
      <c r="H101" s="4" cm="1">
        <f t="array" ref="H101">INDEX(GMW!$A$2:$NF$60,MATCH(1,(GMW!$NE$2:$NE$60=H$3)*(GMW!$ND$2:$ND$60=H$4),0),$B101-1966)</f>
        <v>12.217919999999999</v>
      </c>
    </row>
    <row r="102" spans="1:8" x14ac:dyDescent="0.35">
      <c r="B102" s="4">
        <f t="shared" si="2"/>
        <v>2068</v>
      </c>
      <c r="C102" s="4" cm="1">
        <f t="array" ref="C102">INDEX(GMW!$A$2:$NF$60,MATCH(1,(GMW!$NE$2:$NE$60=C$3)*(GMW!$ND$2:$ND$60=C$4),0),$B102-1966)</f>
        <v>5828</v>
      </c>
      <c r="D102" s="4" cm="1">
        <f t="array" ref="D102">INDEX(GMW!$A$2:$NF$60,MATCH(1,(GMW!$NE$2:$NE$60=D$3)*(GMW!$ND$2:$ND$60=D$4),0),$B102-1966)</f>
        <v>9346</v>
      </c>
      <c r="E102" s="4" cm="1">
        <f t="array" ref="E102">INDEX(GMW!$A$2:$NF$60,MATCH(1,(GMW!$NE$2:$NE$60=E$3)*(GMW!$ND$2:$ND$60=E$4),0),$B102-1966)</f>
        <v>5.9375</v>
      </c>
      <c r="F102" s="4" cm="1">
        <f t="array" ref="F102">INDEX(GMW!$A$2:$NF$60,MATCH(1,(GMW!$NE$2:$NE$60=F$3)*(GMW!$ND$2:$ND$60=F$4),0),$B102-1966)</f>
        <v>7.51</v>
      </c>
      <c r="G102" s="4" cm="1">
        <f t="array" ref="G102">INDEX(GMW!$A$2:$NF$60,MATCH(1,(GMW!$NE$2:$NE$60=G$3)*(GMW!$ND$2:$ND$60=G$4),0),$B102-1966)</f>
        <v>6.51</v>
      </c>
      <c r="H102" s="4" cm="1">
        <f t="array" ref="H102">INDEX(GMW!$A$2:$NF$60,MATCH(1,(GMW!$NE$2:$NE$60=H$3)*(GMW!$ND$2:$ND$60=H$4),0),$B102-1966)</f>
        <v>11.709759999999999</v>
      </c>
    </row>
    <row r="103" spans="1:8" x14ac:dyDescent="0.35">
      <c r="A103" s="4">
        <v>1997</v>
      </c>
      <c r="B103" s="4">
        <f t="shared" si="2"/>
        <v>2069</v>
      </c>
      <c r="C103" s="4" cm="1">
        <f t="array" ref="C103">INDEX(GMW!$A$2:$NF$60,MATCH(1,(GMW!$NE$2:$NE$60=C$3)*(GMW!$ND$2:$ND$60=C$4),0),$B103-1966)</f>
        <v>6177</v>
      </c>
      <c r="D103" s="4" cm="1">
        <f t="array" ref="D103">INDEX(GMW!$A$2:$NF$60,MATCH(1,(GMW!$NE$2:$NE$60=D$3)*(GMW!$ND$2:$ND$60=D$4),0),$B103-1966)</f>
        <v>9701</v>
      </c>
      <c r="E103" s="4" cm="1">
        <f t="array" ref="E103">INDEX(GMW!$A$2:$NF$60,MATCH(1,(GMW!$NE$2:$NE$60=E$3)*(GMW!$ND$2:$ND$60=E$4),0),$B103-1966)</f>
        <v>5.9375</v>
      </c>
      <c r="F103" s="4" cm="1">
        <f t="array" ref="F103">INDEX(GMW!$A$2:$NF$60,MATCH(1,(GMW!$NE$2:$NE$60=F$3)*(GMW!$ND$2:$ND$60=F$4),0),$B103-1966)</f>
        <v>7.62</v>
      </c>
      <c r="G103" s="4" cm="1">
        <f t="array" ref="G103">INDEX(GMW!$A$2:$NF$60,MATCH(1,(GMW!$NE$2:$NE$60=G$3)*(GMW!$ND$2:$ND$60=G$4),0),$B103-1966)</f>
        <v>6.66</v>
      </c>
      <c r="H103" s="4" cm="1">
        <f t="array" ref="H103">INDEX(GMW!$A$2:$NF$60,MATCH(1,(GMW!$NE$2:$NE$60=H$3)*(GMW!$ND$2:$ND$60=H$4),0),$B103-1966)</f>
        <v>11.4412</v>
      </c>
    </row>
    <row r="104" spans="1:8" x14ac:dyDescent="0.35">
      <c r="B104" s="4">
        <f t="shared" si="2"/>
        <v>2070</v>
      </c>
      <c r="C104" s="4" cm="1">
        <f t="array" ref="C104">INDEX(GMW!$A$2:$NF$60,MATCH(1,(GMW!$NE$2:$NE$60=C$3)*(GMW!$ND$2:$ND$60=C$4),0),$B104-1966)</f>
        <v>5779</v>
      </c>
      <c r="D104" s="4" cm="1">
        <f t="array" ref="D104">INDEX(GMW!$A$2:$NF$60,MATCH(1,(GMW!$NE$2:$NE$60=D$3)*(GMW!$ND$2:$ND$60=D$4),0),$B104-1966)</f>
        <v>9854</v>
      </c>
      <c r="E104" s="4" cm="1">
        <f t="array" ref="E104">INDEX(GMW!$A$2:$NF$60,MATCH(1,(GMW!$NE$2:$NE$60=E$3)*(GMW!$ND$2:$ND$60=E$4),0),$B104-1966)</f>
        <v>6.5</v>
      </c>
      <c r="F104" s="4" cm="1">
        <f t="array" ref="F104">INDEX(GMW!$A$2:$NF$60,MATCH(1,(GMW!$NE$2:$NE$60=F$3)*(GMW!$ND$2:$ND$60=F$4),0),$B104-1966)</f>
        <v>7.09</v>
      </c>
      <c r="G104" s="4" cm="1">
        <f t="array" ref="G104">INDEX(GMW!$A$2:$NF$60,MATCH(1,(GMW!$NE$2:$NE$60=G$3)*(GMW!$ND$2:$ND$60=G$4),0),$B104-1966)</f>
        <v>6.98</v>
      </c>
      <c r="H104" s="4" cm="1">
        <f t="array" ref="H104">INDEX(GMW!$A$2:$NF$60,MATCH(1,(GMW!$NE$2:$NE$60=H$3)*(GMW!$ND$2:$ND$60=H$4),0),$B104-1966)</f>
        <v>11.31494</v>
      </c>
    </row>
    <row r="105" spans="1:8" x14ac:dyDescent="0.35">
      <c r="B105" s="4">
        <f t="shared" si="2"/>
        <v>2071</v>
      </c>
      <c r="C105" s="4" cm="1">
        <f t="array" ref="C105">INDEX(GMW!$A$2:$NF$60,MATCH(1,(GMW!$NE$2:$NE$60=C$3)*(GMW!$ND$2:$ND$60=C$4),0),$B105-1966)</f>
        <v>6453</v>
      </c>
      <c r="D105" s="4" cm="1">
        <f t="array" ref="D105">INDEX(GMW!$A$2:$NF$60,MATCH(1,(GMW!$NE$2:$NE$60=D$3)*(GMW!$ND$2:$ND$60=D$4),0),$B105-1966)</f>
        <v>10600</v>
      </c>
      <c r="E105" s="4" cm="1">
        <f t="array" ref="E105">INDEX(GMW!$A$2:$NF$60,MATCH(1,(GMW!$NE$2:$NE$60=E$3)*(GMW!$ND$2:$ND$60=E$4),0),$B105-1966)</f>
        <v>7</v>
      </c>
      <c r="F105" s="4" cm="1">
        <f t="array" ref="F105">INDEX(GMW!$A$2:$NF$60,MATCH(1,(GMW!$NE$2:$NE$60=F$3)*(GMW!$ND$2:$ND$60=F$4),0),$B105-1966)</f>
        <v>6.44</v>
      </c>
      <c r="G105" s="4" cm="1">
        <f t="array" ref="G105">INDEX(GMW!$A$2:$NF$60,MATCH(1,(GMW!$NE$2:$NE$60=G$3)*(GMW!$ND$2:$ND$60=G$4),0),$B105-1966)</f>
        <v>7.5</v>
      </c>
      <c r="H105" s="4" cm="1">
        <f t="array" ref="H105">INDEX(GMW!$A$2:$NF$60,MATCH(1,(GMW!$NE$2:$NE$60=H$3)*(GMW!$ND$2:$ND$60=H$4),0),$B105-1966)</f>
        <v>10.79616</v>
      </c>
    </row>
    <row r="106" spans="1:8" x14ac:dyDescent="0.35">
      <c r="B106" s="4">
        <f t="shared" si="2"/>
        <v>2072</v>
      </c>
      <c r="C106" s="4" cm="1">
        <f t="array" ref="C106">INDEX(GMW!$A$2:$NF$60,MATCH(1,(GMW!$NE$2:$NE$60=C$3)*(GMW!$ND$2:$ND$60=C$4),0),$B106-1966)</f>
        <v>6549</v>
      </c>
      <c r="D106" s="4" cm="1">
        <f t="array" ref="D106">INDEX(GMW!$A$2:$NF$60,MATCH(1,(GMW!$NE$2:$NE$60=D$3)*(GMW!$ND$2:$ND$60=D$4),0),$B106-1966)</f>
        <v>11308</v>
      </c>
      <c r="E106" s="4" cm="1">
        <f t="array" ref="E106">INDEX(GMW!$A$2:$NF$60,MATCH(1,(GMW!$NE$2:$NE$60=E$3)*(GMW!$ND$2:$ND$60=E$4),0),$B106-1966)</f>
        <v>7.25</v>
      </c>
      <c r="F106" s="4" cm="1">
        <f t="array" ref="F106">INDEX(GMW!$A$2:$NF$60,MATCH(1,(GMW!$NE$2:$NE$60=F$3)*(GMW!$ND$2:$ND$60=F$4),0),$B106-1966)</f>
        <v>6.29</v>
      </c>
      <c r="G106" s="4" cm="1">
        <f t="array" ref="G106">INDEX(GMW!$A$2:$NF$60,MATCH(1,(GMW!$NE$2:$NE$60=G$3)*(GMW!$ND$2:$ND$60=G$4),0),$B106-1966)</f>
        <v>7.58</v>
      </c>
      <c r="H106" s="4" cm="1">
        <f t="array" ref="H106">INDEX(GMW!$A$2:$NF$60,MATCH(1,(GMW!$NE$2:$NE$60=H$3)*(GMW!$ND$2:$ND$60=H$4),0),$B106-1966)</f>
        <v>10.06452</v>
      </c>
    </row>
    <row r="107" spans="1:8" x14ac:dyDescent="0.35">
      <c r="A107" s="4">
        <v>1998</v>
      </c>
      <c r="B107" s="4">
        <f t="shared" si="2"/>
        <v>2073</v>
      </c>
      <c r="C107" s="4" cm="1">
        <f t="array" ref="C107">INDEX(GMW!$A$2:$NF$60,MATCH(1,(GMW!$NE$2:$NE$60=C$3)*(GMW!$ND$2:$ND$60=C$4),0),$B107-1966)</f>
        <v>6585</v>
      </c>
      <c r="D107" s="4" cm="1">
        <f t="array" ref="D107">INDEX(GMW!$A$2:$NF$60,MATCH(1,(GMW!$NE$2:$NE$60=D$3)*(GMW!$ND$2:$ND$60=D$4),0),$B107-1966)</f>
        <v>10912</v>
      </c>
      <c r="E107" s="4" cm="1">
        <f t="array" ref="E107">INDEX(GMW!$A$2:$NF$60,MATCH(1,(GMW!$NE$2:$NE$60=E$3)*(GMW!$ND$2:$ND$60=E$4),0),$B107-1966)</f>
        <v>7.25</v>
      </c>
      <c r="F107" s="4" cm="1">
        <f t="array" ref="F107">INDEX(GMW!$A$2:$NF$60,MATCH(1,(GMW!$NE$2:$NE$60=F$3)*(GMW!$ND$2:$ND$60=F$4),0),$B107-1966)</f>
        <v>5.9</v>
      </c>
      <c r="G107" s="4" cm="1">
        <f t="array" ref="G107">INDEX(GMW!$A$2:$NF$60,MATCH(1,(GMW!$NE$2:$NE$60=G$3)*(GMW!$ND$2:$ND$60=G$4),0),$B107-1966)</f>
        <v>7.77</v>
      </c>
      <c r="H107" s="4" cm="1">
        <f t="array" ref="H107">INDEX(GMW!$A$2:$NF$60,MATCH(1,(GMW!$NE$2:$NE$60=H$3)*(GMW!$ND$2:$ND$60=H$4),0),$B107-1966)</f>
        <v>9.4787649999999992</v>
      </c>
    </row>
    <row r="108" spans="1:8" x14ac:dyDescent="0.35">
      <c r="B108" s="4">
        <f t="shared" si="2"/>
        <v>2074</v>
      </c>
      <c r="C108" s="4" cm="1">
        <f t="array" ref="C108">INDEX(GMW!$A$2:$NF$60,MATCH(1,(GMW!$NE$2:$NE$60=C$3)*(GMW!$ND$2:$ND$60=C$4),0),$B108-1966)</f>
        <v>6910</v>
      </c>
      <c r="D108" s="4" cm="1">
        <f t="array" ref="D108">INDEX(GMW!$A$2:$NF$60,MATCH(1,(GMW!$NE$2:$NE$60=D$3)*(GMW!$ND$2:$ND$60=D$4),0),$B108-1966)</f>
        <v>11401</v>
      </c>
      <c r="E108" s="4" cm="1">
        <f t="array" ref="E108">INDEX(GMW!$A$2:$NF$60,MATCH(1,(GMW!$NE$2:$NE$60=E$3)*(GMW!$ND$2:$ND$60=E$4),0),$B108-1966)</f>
        <v>7.5</v>
      </c>
      <c r="F108" s="4" cm="1">
        <f t="array" ref="F108">INDEX(GMW!$A$2:$NF$60,MATCH(1,(GMW!$NE$2:$NE$60=F$3)*(GMW!$ND$2:$ND$60=F$4),0),$B108-1966)</f>
        <v>5.84</v>
      </c>
      <c r="G108" s="4" cm="1">
        <f t="array" ref="G108">INDEX(GMW!$A$2:$NF$60,MATCH(1,(GMW!$NE$2:$NE$60=G$3)*(GMW!$ND$2:$ND$60=G$4),0),$B108-1966)</f>
        <v>7.78</v>
      </c>
      <c r="H108" s="4" cm="1">
        <f t="array" ref="H108">INDEX(GMW!$A$2:$NF$60,MATCH(1,(GMW!$NE$2:$NE$60=H$3)*(GMW!$ND$2:$ND$60=H$4),0),$B108-1966)</f>
        <v>9.1545380000000005</v>
      </c>
    </row>
    <row r="109" spans="1:8" x14ac:dyDescent="0.35">
      <c r="B109" s="4">
        <f t="shared" si="2"/>
        <v>2075</v>
      </c>
      <c r="C109" s="4" cm="1">
        <f t="array" ref="C109">INDEX(GMW!$A$2:$NF$60,MATCH(1,(GMW!$NE$2:$NE$60=C$3)*(GMW!$ND$2:$ND$60=C$4),0),$B109-1966)</f>
        <v>7079</v>
      </c>
      <c r="D109" s="4" cm="1">
        <f t="array" ref="D109">INDEX(GMW!$A$2:$NF$60,MATCH(1,(GMW!$NE$2:$NE$60=D$3)*(GMW!$ND$2:$ND$60=D$4),0),$B109-1966)</f>
        <v>12066</v>
      </c>
      <c r="E109" s="4" cm="1">
        <f t="array" ref="E109">INDEX(GMW!$A$2:$NF$60,MATCH(1,(GMW!$NE$2:$NE$60=E$3)*(GMW!$ND$2:$ND$60=E$4),0),$B109-1966)</f>
        <v>7.5</v>
      </c>
      <c r="F109" s="4" cm="1">
        <f t="array" ref="F109">INDEX(GMW!$A$2:$NF$60,MATCH(1,(GMW!$NE$2:$NE$60=F$3)*(GMW!$ND$2:$ND$60=F$4),0),$B109-1966)</f>
        <v>4.8899999999999997</v>
      </c>
      <c r="G109" s="4" cm="1">
        <f t="array" ref="G109">INDEX(GMW!$A$2:$NF$60,MATCH(1,(GMW!$NE$2:$NE$60=G$3)*(GMW!$ND$2:$ND$60=G$4),0),$B109-1966)</f>
        <v>7.99</v>
      </c>
      <c r="H109" s="4" cm="1">
        <f t="array" ref="H109">INDEX(GMW!$A$2:$NF$60,MATCH(1,(GMW!$NE$2:$NE$60=H$3)*(GMW!$ND$2:$ND$60=H$4),0),$B109-1966)</f>
        <v>9.0303719999999998</v>
      </c>
    </row>
    <row r="110" spans="1:8" x14ac:dyDescent="0.35">
      <c r="B110" s="4">
        <f t="shared" si="2"/>
        <v>2076</v>
      </c>
      <c r="C110" s="4" cm="1">
        <f t="array" ref="C110">INDEX(GMW!$A$2:$NF$60,MATCH(1,(GMW!$NE$2:$NE$60=C$3)*(GMW!$ND$2:$ND$60=C$4),0),$B110-1966)</f>
        <v>7164</v>
      </c>
      <c r="D110" s="4" cm="1">
        <f t="array" ref="D110">INDEX(GMW!$A$2:$NF$60,MATCH(1,(GMW!$NE$2:$NE$60=D$3)*(GMW!$ND$2:$ND$60=D$4),0),$B110-1966)</f>
        <v>11966</v>
      </c>
      <c r="E110" s="4" cm="1">
        <f t="array" ref="E110">INDEX(GMW!$A$2:$NF$60,MATCH(1,(GMW!$NE$2:$NE$60=E$3)*(GMW!$ND$2:$ND$60=E$4),0),$B110-1966)</f>
        <v>6.25</v>
      </c>
      <c r="F110" s="4" cm="1">
        <f t="array" ref="F110">INDEX(GMW!$A$2:$NF$60,MATCH(1,(GMW!$NE$2:$NE$60=F$3)*(GMW!$ND$2:$ND$60=F$4),0),$B110-1966)</f>
        <v>4.3600000000000003</v>
      </c>
      <c r="G110" s="4" cm="1">
        <f t="array" ref="G110">INDEX(GMW!$A$2:$NF$60,MATCH(1,(GMW!$NE$2:$NE$60=G$3)*(GMW!$ND$2:$ND$60=G$4),0),$B110-1966)</f>
        <v>7.29</v>
      </c>
      <c r="H110" s="4" cm="1">
        <f t="array" ref="H110">INDEX(GMW!$A$2:$NF$60,MATCH(1,(GMW!$NE$2:$NE$60=H$3)*(GMW!$ND$2:$ND$60=H$4),0),$B110-1966)</f>
        <v>8.4876970000000007</v>
      </c>
    </row>
    <row r="111" spans="1:8" x14ac:dyDescent="0.35">
      <c r="A111" s="4">
        <v>1999</v>
      </c>
      <c r="B111" s="4">
        <f t="shared" si="2"/>
        <v>2077</v>
      </c>
      <c r="C111" s="4" cm="1">
        <f t="array" ref="C111">INDEX(GMW!$A$2:$NF$60,MATCH(1,(GMW!$NE$2:$NE$60=C$3)*(GMW!$ND$2:$ND$60=C$4),0),$B111-1966)</f>
        <v>5632</v>
      </c>
      <c r="D111" s="4" cm="1">
        <f t="array" ref="D111">INDEX(GMW!$A$2:$NF$60,MATCH(1,(GMW!$NE$2:$NE$60=D$3)*(GMW!$ND$2:$ND$60=D$4),0),$B111-1966)</f>
        <v>11508</v>
      </c>
      <c r="E111" s="4" cm="1">
        <f t="array" ref="E111">INDEX(GMW!$A$2:$NF$60,MATCH(1,(GMW!$NE$2:$NE$60=E$3)*(GMW!$ND$2:$ND$60=E$4),0),$B111-1966)</f>
        <v>5.5</v>
      </c>
      <c r="F111" s="4" cm="1">
        <f t="array" ref="F111">INDEX(GMW!$A$2:$NF$60,MATCH(1,(GMW!$NE$2:$NE$60=F$3)*(GMW!$ND$2:$ND$60=F$4),0),$B111-1966)</f>
        <v>4.58</v>
      </c>
      <c r="G111" s="4" cm="1">
        <f t="array" ref="G111">INDEX(GMW!$A$2:$NF$60,MATCH(1,(GMW!$NE$2:$NE$60=G$3)*(GMW!$ND$2:$ND$60=G$4),0),$B111-1966)</f>
        <v>7.17</v>
      </c>
      <c r="H111" s="4" cm="1">
        <f t="array" ref="H111">INDEX(GMW!$A$2:$NF$60,MATCH(1,(GMW!$NE$2:$NE$60=H$3)*(GMW!$ND$2:$ND$60=H$4),0),$B111-1966)</f>
        <v>7.7266659999999998</v>
      </c>
    </row>
    <row r="112" spans="1:8" x14ac:dyDescent="0.35">
      <c r="B112" s="4">
        <f t="shared" si="2"/>
        <v>2078</v>
      </c>
      <c r="C112" s="4" cm="1">
        <f t="array" ref="C112">INDEX(GMW!$A$2:$NF$60,MATCH(1,(GMW!$NE$2:$NE$60=C$3)*(GMW!$ND$2:$ND$60=C$4),0),$B112-1966)</f>
        <v>5579</v>
      </c>
      <c r="D112" s="4" cm="1">
        <f t="array" ref="D112">INDEX(GMW!$A$2:$NF$60,MATCH(1,(GMW!$NE$2:$NE$60=D$3)*(GMW!$ND$2:$ND$60=D$4),0),$B112-1966)</f>
        <v>11374</v>
      </c>
      <c r="E112" s="4" cm="1">
        <f t="array" ref="E112">INDEX(GMW!$A$2:$NF$60,MATCH(1,(GMW!$NE$2:$NE$60=E$3)*(GMW!$ND$2:$ND$60=E$4),0),$B112-1966)</f>
        <v>5</v>
      </c>
      <c r="F112" s="4" cm="1">
        <f t="array" ref="F112">INDEX(GMW!$A$2:$NF$60,MATCH(1,(GMW!$NE$2:$NE$60=F$3)*(GMW!$ND$2:$ND$60=F$4),0),$B112-1966)</f>
        <v>5.0599999999999996</v>
      </c>
      <c r="G112" s="4" cm="1">
        <f t="array" ref="G112">INDEX(GMW!$A$2:$NF$60,MATCH(1,(GMW!$NE$2:$NE$60=G$3)*(GMW!$ND$2:$ND$60=G$4),0),$B112-1966)</f>
        <v>6.74</v>
      </c>
      <c r="H112" s="4" cm="1">
        <f t="array" ref="H112">INDEX(GMW!$A$2:$NF$60,MATCH(1,(GMW!$NE$2:$NE$60=H$3)*(GMW!$ND$2:$ND$60=H$4),0),$B112-1966)</f>
        <v>7.1033330000000001</v>
      </c>
    </row>
    <row r="113" spans="1:8" x14ac:dyDescent="0.35">
      <c r="B113" s="4">
        <f t="shared" ref="B113:B176" si="3">+B112+1</f>
        <v>2079</v>
      </c>
      <c r="C113" s="4" cm="1">
        <f t="array" ref="C113">INDEX(GMW!$A$2:$NF$60,MATCH(1,(GMW!$NE$2:$NE$60=C$3)*(GMW!$ND$2:$ND$60=C$4),0),$B113-1966)</f>
        <v>5446</v>
      </c>
      <c r="D113" s="4" cm="1">
        <f t="array" ref="D113">INDEX(GMW!$A$2:$NF$60,MATCH(1,(GMW!$NE$2:$NE$60=D$3)*(GMW!$ND$2:$ND$60=D$4),0),$B113-1966)</f>
        <v>10963</v>
      </c>
      <c r="E113" s="4" cm="1">
        <f t="array" ref="E113">INDEX(GMW!$A$2:$NF$60,MATCH(1,(GMW!$NE$2:$NE$60=E$3)*(GMW!$ND$2:$ND$60=E$4),0),$B113-1966)</f>
        <v>5.25</v>
      </c>
      <c r="F113" s="4" cm="1">
        <f t="array" ref="F113">INDEX(GMW!$A$2:$NF$60,MATCH(1,(GMW!$NE$2:$NE$60=F$3)*(GMW!$ND$2:$ND$60=F$4),0),$B113-1966)</f>
        <v>5.62</v>
      </c>
      <c r="G113" s="4" cm="1">
        <f t="array" ref="G113">INDEX(GMW!$A$2:$NF$60,MATCH(1,(GMW!$NE$2:$NE$60=G$3)*(GMW!$ND$2:$ND$60=G$4),0),$B113-1966)</f>
        <v>6.6166669999999996</v>
      </c>
      <c r="H113" s="4" cm="1">
        <f t="array" ref="H113">INDEX(GMW!$A$2:$NF$60,MATCH(1,(GMW!$NE$2:$NE$60=H$3)*(GMW!$ND$2:$ND$60=H$4),0),$B113-1966)</f>
        <v>7.0533330000000003</v>
      </c>
    </row>
    <row r="114" spans="1:8" x14ac:dyDescent="0.35">
      <c r="B114" s="4">
        <f t="shared" si="3"/>
        <v>2080</v>
      </c>
      <c r="C114" s="4" cm="1">
        <f t="array" ref="C114">INDEX(GMW!$A$2:$NF$60,MATCH(1,(GMW!$NE$2:$NE$60=C$3)*(GMW!$ND$2:$ND$60=C$4),0),$B114-1966)</f>
        <v>5819</v>
      </c>
      <c r="D114" s="4" cm="1">
        <f t="array" ref="D114">INDEX(GMW!$A$2:$NF$60,MATCH(1,(GMW!$NE$2:$NE$60=D$3)*(GMW!$ND$2:$ND$60=D$4),0),$B114-1966)</f>
        <v>11851</v>
      </c>
      <c r="E114" s="4" cm="1">
        <f t="array" ref="E114">INDEX(GMW!$A$2:$NF$60,MATCH(1,(GMW!$NE$2:$NE$60=E$3)*(GMW!$ND$2:$ND$60=E$4),0),$B114-1966)</f>
        <v>5.5</v>
      </c>
      <c r="F114" s="4" cm="1">
        <f t="array" ref="F114">INDEX(GMW!$A$2:$NF$60,MATCH(1,(GMW!$NE$2:$NE$60=F$3)*(GMW!$ND$2:$ND$60=F$4),0),$B114-1966)</f>
        <v>5.48</v>
      </c>
      <c r="G114" s="4" cm="1">
        <f t="array" ref="G114">INDEX(GMW!$A$2:$NF$60,MATCH(1,(GMW!$NE$2:$NE$60=G$3)*(GMW!$ND$2:$ND$60=G$4),0),$B114-1966)</f>
        <v>6.7566670000000002</v>
      </c>
      <c r="H114" s="4" cm="1">
        <f t="array" ref="H114">INDEX(GMW!$A$2:$NF$60,MATCH(1,(GMW!$NE$2:$NE$60=H$3)*(GMW!$ND$2:$ND$60=H$4),0),$B114-1966)</f>
        <v>7.2</v>
      </c>
    </row>
    <row r="115" spans="1:8" x14ac:dyDescent="0.35">
      <c r="A115" s="4">
        <v>2000</v>
      </c>
      <c r="B115" s="4">
        <f t="shared" si="3"/>
        <v>2081</v>
      </c>
      <c r="C115" s="4" cm="1">
        <f t="array" ref="C115">INDEX(GMW!$A$2:$NF$60,MATCH(1,(GMW!$NE$2:$NE$60=C$3)*(GMW!$ND$2:$ND$60=C$4),0),$B115-1966)</f>
        <v>6266</v>
      </c>
      <c r="D115" s="4" cm="1">
        <f t="array" ref="D115">INDEX(GMW!$A$2:$NF$60,MATCH(1,(GMW!$NE$2:$NE$60=D$3)*(GMW!$ND$2:$ND$60=D$4),0),$B115-1966)</f>
        <v>12576</v>
      </c>
      <c r="E115" s="4" cm="1">
        <f t="array" ref="E115">INDEX(GMW!$A$2:$NF$60,MATCH(1,(GMW!$NE$2:$NE$60=E$3)*(GMW!$ND$2:$ND$60=E$4),0),$B115-1966)</f>
        <v>6</v>
      </c>
      <c r="F115" s="4" cm="1">
        <f t="array" ref="F115">INDEX(GMW!$A$2:$NF$60,MATCH(1,(GMW!$NE$2:$NE$60=F$3)*(GMW!$ND$2:$ND$60=F$4),0),$B115-1966)</f>
        <v>5.25</v>
      </c>
      <c r="G115" s="4" cm="1">
        <f t="array" ref="G115">INDEX(GMW!$A$2:$NF$60,MATCH(1,(GMW!$NE$2:$NE$60=G$3)*(GMW!$ND$2:$ND$60=G$4),0),$B115-1966)</f>
        <v>7.056667</v>
      </c>
      <c r="H115" s="4" cm="1">
        <f t="array" ref="H115">INDEX(GMW!$A$2:$NF$60,MATCH(1,(GMW!$NE$2:$NE$60=H$3)*(GMW!$ND$2:$ND$60=H$4),0),$B115-1966)</f>
        <v>7.6066669999999998</v>
      </c>
    </row>
    <row r="116" spans="1:8" x14ac:dyDescent="0.35">
      <c r="B116" s="4">
        <f t="shared" si="3"/>
        <v>2082</v>
      </c>
      <c r="C116" s="4" cm="1">
        <f t="array" ref="C116">INDEX(GMW!$A$2:$NF$60,MATCH(1,(GMW!$NE$2:$NE$60=C$3)*(GMW!$ND$2:$ND$60=C$4),0),$B116-1966)</f>
        <v>6547</v>
      </c>
      <c r="D116" s="4" cm="1">
        <f t="array" ref="D116">INDEX(GMW!$A$2:$NF$60,MATCH(1,(GMW!$NE$2:$NE$60=D$3)*(GMW!$ND$2:$ND$60=D$4),0),$B116-1966)</f>
        <v>13036</v>
      </c>
      <c r="E116" s="4" cm="1">
        <f t="array" ref="E116">INDEX(GMW!$A$2:$NF$60,MATCH(1,(GMW!$NE$2:$NE$60=E$3)*(GMW!$ND$2:$ND$60=E$4),0),$B116-1966)</f>
        <v>6</v>
      </c>
      <c r="F116" s="4" cm="1">
        <f t="array" ref="F116">INDEX(GMW!$A$2:$NF$60,MATCH(1,(GMW!$NE$2:$NE$60=F$3)*(GMW!$ND$2:$ND$60=F$4),0),$B116-1966)</f>
        <v>5.17</v>
      </c>
      <c r="G116" s="4" cm="1">
        <f t="array" ref="G116">INDEX(GMW!$A$2:$NF$60,MATCH(1,(GMW!$NE$2:$NE$60=G$3)*(GMW!$ND$2:$ND$60=G$4),0),$B116-1966)</f>
        <v>7.1433330000000002</v>
      </c>
      <c r="H116" s="4" cm="1">
        <f t="array" ref="H116">INDEX(GMW!$A$2:$NF$60,MATCH(1,(GMW!$NE$2:$NE$60=H$3)*(GMW!$ND$2:$ND$60=H$4),0),$B116-1966)</f>
        <v>7.75</v>
      </c>
    </row>
    <row r="117" spans="1:8" x14ac:dyDescent="0.35">
      <c r="B117" s="4">
        <f t="shared" si="3"/>
        <v>2083</v>
      </c>
      <c r="C117" s="4" cm="1">
        <f t="array" ref="C117">INDEX(GMW!$A$2:$NF$60,MATCH(1,(GMW!$NE$2:$NE$60=C$3)*(GMW!$ND$2:$ND$60=C$4),0),$B117-1966)</f>
        <v>6808</v>
      </c>
      <c r="D117" s="4" cm="1">
        <f t="array" ref="D117">INDEX(GMW!$A$2:$NF$60,MATCH(1,(GMW!$NE$2:$NE$60=D$3)*(GMW!$ND$2:$ND$60=D$4),0),$B117-1966)</f>
        <v>13014</v>
      </c>
      <c r="E117" s="4" cm="1">
        <f t="array" ref="E117">INDEX(GMW!$A$2:$NF$60,MATCH(1,(GMW!$NE$2:$NE$60=E$3)*(GMW!$ND$2:$ND$60=E$4),0),$B117-1966)</f>
        <v>6</v>
      </c>
      <c r="F117" s="4" cm="1">
        <f t="array" ref="F117">INDEX(GMW!$A$2:$NF$60,MATCH(1,(GMW!$NE$2:$NE$60=F$3)*(GMW!$ND$2:$ND$60=F$4),0),$B117-1966)</f>
        <v>5.2</v>
      </c>
      <c r="G117" s="4" cm="1">
        <f t="array" ref="G117">INDEX(GMW!$A$2:$NF$60,MATCH(1,(GMW!$NE$2:$NE$60=G$3)*(GMW!$ND$2:$ND$60=G$4),0),$B117-1966)</f>
        <v>7.1133329999999999</v>
      </c>
      <c r="H117" s="4" cm="1">
        <f t="array" ref="H117">INDEX(GMW!$A$2:$NF$60,MATCH(1,(GMW!$NE$2:$NE$60=H$3)*(GMW!$ND$2:$ND$60=H$4),0),$B117-1966)</f>
        <v>7.7533329999999996</v>
      </c>
    </row>
    <row r="118" spans="1:8" x14ac:dyDescent="0.35">
      <c r="B118" s="4">
        <f t="shared" si="3"/>
        <v>2084</v>
      </c>
      <c r="C118" s="4" cm="1">
        <f t="array" ref="C118">INDEX(GMW!$A$2:$NF$60,MATCH(1,(GMW!$NE$2:$NE$60=C$3)*(GMW!$ND$2:$ND$60=C$4),0),$B118-1966)</f>
        <v>6800</v>
      </c>
      <c r="D118" s="4" cm="1">
        <f t="array" ref="D118">INDEX(GMW!$A$2:$NF$60,MATCH(1,(GMW!$NE$2:$NE$60=D$3)*(GMW!$ND$2:$ND$60=D$4),0),$B118-1966)</f>
        <v>13200</v>
      </c>
      <c r="E118" s="4" cm="1">
        <f t="array" ref="E118">INDEX(GMW!$A$2:$NF$60,MATCH(1,(GMW!$NE$2:$NE$60=E$3)*(GMW!$ND$2:$ND$60=E$4),0),$B118-1966)</f>
        <v>6</v>
      </c>
      <c r="F118" s="4" cm="1">
        <f t="array" ref="F118">INDEX(GMW!$A$2:$NF$60,MATCH(1,(GMW!$NE$2:$NE$60=F$3)*(GMW!$ND$2:$ND$60=F$4),0),$B118-1966)</f>
        <v>4.8899999999999997</v>
      </c>
      <c r="G118" s="4" cm="1">
        <f t="array" ref="G118">INDEX(GMW!$A$2:$NF$60,MATCH(1,(GMW!$NE$2:$NE$60=G$3)*(GMW!$ND$2:$ND$60=G$4),0),$B118-1966)</f>
        <v>7.056667</v>
      </c>
      <c r="H118" s="4" cm="1">
        <f t="array" ref="H118">INDEX(GMW!$A$2:$NF$60,MATCH(1,(GMW!$NE$2:$NE$60=H$3)*(GMW!$ND$2:$ND$60=H$4),0),$B118-1966)</f>
        <v>7.6466669999999999</v>
      </c>
    </row>
    <row r="119" spans="1:8" x14ac:dyDescent="0.35">
      <c r="A119" s="4">
        <v>2001</v>
      </c>
      <c r="B119" s="4">
        <f t="shared" si="3"/>
        <v>2085</v>
      </c>
      <c r="C119" s="4" cm="1">
        <f t="array" ref="C119">INDEX(GMW!$A$2:$NF$60,MATCH(1,(GMW!$NE$2:$NE$60=C$3)*(GMW!$ND$2:$ND$60=C$4),0),$B119-1966)</f>
        <v>6950</v>
      </c>
      <c r="D119" s="4" cm="1">
        <f t="array" ref="D119">INDEX(GMW!$A$2:$NF$60,MATCH(1,(GMW!$NE$2:$NE$60=D$3)*(GMW!$ND$2:$ND$60=D$4),0),$B119-1966)</f>
        <v>13292</v>
      </c>
      <c r="E119" s="4" cm="1">
        <f t="array" ref="E119">INDEX(GMW!$A$2:$NF$60,MATCH(1,(GMW!$NE$2:$NE$60=E$3)*(GMW!$ND$2:$ND$60=E$4),0),$B119-1966)</f>
        <v>5.75</v>
      </c>
      <c r="F119" s="4" cm="1">
        <f t="array" ref="F119">INDEX(GMW!$A$2:$NF$60,MATCH(1,(GMW!$NE$2:$NE$60=F$3)*(GMW!$ND$2:$ND$60=F$4),0),$B119-1966)</f>
        <v>4.87</v>
      </c>
      <c r="G119" s="4" cm="1">
        <f t="array" ref="G119">INDEX(GMW!$A$2:$NF$60,MATCH(1,(GMW!$NE$2:$NE$60=G$3)*(GMW!$ND$2:$ND$60=G$4),0),$B119-1966)</f>
        <v>6.9366659999999998</v>
      </c>
      <c r="H119" s="4" cm="1">
        <f t="array" ref="H119">INDEX(GMW!$A$2:$NF$60,MATCH(1,(GMW!$NE$2:$NE$60=H$3)*(GMW!$ND$2:$ND$60=H$4),0),$B119-1966)</f>
        <v>7.4766659999999998</v>
      </c>
    </row>
    <row r="120" spans="1:8" x14ac:dyDescent="0.35">
      <c r="B120" s="4">
        <f t="shared" si="3"/>
        <v>2086</v>
      </c>
      <c r="C120" s="4" cm="1">
        <f t="array" ref="C120">INDEX(GMW!$A$2:$NF$60,MATCH(1,(GMW!$NE$2:$NE$60=C$3)*(GMW!$ND$2:$ND$60=C$4),0),$B120-1966)</f>
        <v>6496</v>
      </c>
      <c r="D120" s="4" cm="1">
        <f t="array" ref="D120">INDEX(GMW!$A$2:$NF$60,MATCH(1,(GMW!$NE$2:$NE$60=D$3)*(GMW!$ND$2:$ND$60=D$4),0),$B120-1966)</f>
        <v>13032</v>
      </c>
      <c r="E120" s="4" cm="1">
        <f t="array" ref="E120">INDEX(GMW!$A$2:$NF$60,MATCH(1,(GMW!$NE$2:$NE$60=E$3)*(GMW!$ND$2:$ND$60=E$4),0),$B120-1966)</f>
        <v>5.25</v>
      </c>
      <c r="F120" s="4" cm="1">
        <f t="array" ref="F120">INDEX(GMW!$A$2:$NF$60,MATCH(1,(GMW!$NE$2:$NE$60=F$3)*(GMW!$ND$2:$ND$60=F$4),0),$B120-1966)</f>
        <v>5.29</v>
      </c>
      <c r="G120" s="4" cm="1">
        <f t="array" ref="G120">INDEX(GMW!$A$2:$NF$60,MATCH(1,(GMW!$NE$2:$NE$60=G$3)*(GMW!$ND$2:$ND$60=G$4),0),$B120-1966)</f>
        <v>6.6133329999999999</v>
      </c>
      <c r="H120" s="4" cm="1">
        <f t="array" ref="H120">INDEX(GMW!$A$2:$NF$60,MATCH(1,(GMW!$NE$2:$NE$60=H$3)*(GMW!$ND$2:$ND$60=H$4),0),$B120-1966)</f>
        <v>7.16</v>
      </c>
    </row>
    <row r="121" spans="1:8" x14ac:dyDescent="0.35">
      <c r="B121" s="4">
        <f t="shared" si="3"/>
        <v>2087</v>
      </c>
      <c r="C121" s="4" cm="1">
        <f t="array" ref="C121">INDEX(GMW!$A$2:$NF$60,MATCH(1,(GMW!$NE$2:$NE$60=C$3)*(GMW!$ND$2:$ND$60=C$4),0),$B121-1966)</f>
        <v>6074</v>
      </c>
      <c r="D121" s="4" cm="1">
        <f t="array" ref="D121">INDEX(GMW!$A$2:$NF$60,MATCH(1,(GMW!$NE$2:$NE$60=D$3)*(GMW!$ND$2:$ND$60=D$4),0),$B121-1966)</f>
        <v>12681</v>
      </c>
      <c r="E121" s="4" cm="1">
        <f t="array" ref="E121">INDEX(GMW!$A$2:$NF$60,MATCH(1,(GMW!$NE$2:$NE$60=E$3)*(GMW!$ND$2:$ND$60=E$4),0),$B121-1966)</f>
        <v>4.75</v>
      </c>
      <c r="F121" s="4" cm="1">
        <f t="array" ref="F121">INDEX(GMW!$A$2:$NF$60,MATCH(1,(GMW!$NE$2:$NE$60=F$3)*(GMW!$ND$2:$ND$60=F$4),0),$B121-1966)</f>
        <v>4.88</v>
      </c>
      <c r="G121" s="4" cm="1">
        <f t="array" ref="G121">INDEX(GMW!$A$2:$NF$60,MATCH(1,(GMW!$NE$2:$NE$60=G$3)*(GMW!$ND$2:$ND$60=G$4),0),$B121-1966)</f>
        <v>6.35</v>
      </c>
      <c r="H121" s="4" cm="1">
        <f t="array" ref="H121">INDEX(GMW!$A$2:$NF$60,MATCH(1,(GMW!$NE$2:$NE$60=H$3)*(GMW!$ND$2:$ND$60=H$4),0),$B121-1966)</f>
        <v>6.8566669999999998</v>
      </c>
    </row>
    <row r="122" spans="1:8" x14ac:dyDescent="0.35">
      <c r="B122" s="4">
        <f t="shared" si="3"/>
        <v>2088</v>
      </c>
      <c r="C122" s="4" cm="1">
        <f t="array" ref="C122">INDEX(GMW!$A$2:$NF$60,MATCH(1,(GMW!$NE$2:$NE$60=C$3)*(GMW!$ND$2:$ND$60=C$4),0),$B122-1966)</f>
        <v>5580</v>
      </c>
      <c r="D122" s="4" cm="1">
        <f t="array" ref="D122">INDEX(GMW!$A$2:$NF$60,MATCH(1,(GMW!$NE$2:$NE$60=D$3)*(GMW!$ND$2:$ND$60=D$4),0),$B122-1966)</f>
        <v>12358</v>
      </c>
      <c r="E122" s="4" cm="1">
        <f t="array" ref="E122">INDEX(GMW!$A$2:$NF$60,MATCH(1,(GMW!$NE$2:$NE$60=E$3)*(GMW!$ND$2:$ND$60=E$4),0),$B122-1966)</f>
        <v>4</v>
      </c>
      <c r="F122" s="4" cm="1">
        <f t="array" ref="F122">INDEX(GMW!$A$2:$NF$60,MATCH(1,(GMW!$NE$2:$NE$60=F$3)*(GMW!$ND$2:$ND$60=F$4),0),$B122-1966)</f>
        <v>5.07</v>
      </c>
      <c r="G122" s="4" cm="1">
        <f t="array" ref="G122">INDEX(GMW!$A$2:$NF$60,MATCH(1,(GMW!$NE$2:$NE$60=G$3)*(GMW!$ND$2:$ND$60=G$4),0),$B122-1966)</f>
        <v>5.8466670000000001</v>
      </c>
      <c r="H122" s="4" cm="1">
        <f t="array" ref="H122">INDEX(GMW!$A$2:$NF$60,MATCH(1,(GMW!$NE$2:$NE$60=H$3)*(GMW!$ND$2:$ND$60=H$4),0),$B122-1966)</f>
        <v>6.22</v>
      </c>
    </row>
    <row r="123" spans="1:8" x14ac:dyDescent="0.35">
      <c r="A123" s="4">
        <v>2002</v>
      </c>
      <c r="B123" s="4">
        <f t="shared" si="3"/>
        <v>2089</v>
      </c>
      <c r="C123" s="4" cm="1">
        <f t="array" ref="C123">INDEX(GMW!$A$2:$NF$60,MATCH(1,(GMW!$NE$2:$NE$60=C$3)*(GMW!$ND$2:$ND$60=C$4),0),$B123-1966)</f>
        <v>4720</v>
      </c>
      <c r="D123" s="4" cm="1">
        <f t="array" ref="D123">INDEX(GMW!$A$2:$NF$60,MATCH(1,(GMW!$NE$2:$NE$60=D$3)*(GMW!$ND$2:$ND$60=D$4),0),$B123-1966)</f>
        <v>12166</v>
      </c>
      <c r="E123" s="4" cm="1">
        <f t="array" ref="E123">INDEX(GMW!$A$2:$NF$60,MATCH(1,(GMW!$NE$2:$NE$60=E$3)*(GMW!$ND$2:$ND$60=E$4),0),$B123-1966)</f>
        <v>4</v>
      </c>
      <c r="F123" s="4" cm="1">
        <f t="array" ref="F123">INDEX(GMW!$A$2:$NF$60,MATCH(1,(GMW!$NE$2:$NE$60=F$3)*(GMW!$ND$2:$ND$60=F$4),0),$B123-1966)</f>
        <v>5.3</v>
      </c>
      <c r="G123" s="4" cm="1">
        <f t="array" ref="G123">INDEX(GMW!$A$2:$NF$60,MATCH(1,(GMW!$NE$2:$NE$60=G$3)*(GMW!$ND$2:$ND$60=G$4),0),$B123-1966)</f>
        <v>5.5133330000000003</v>
      </c>
      <c r="H123" s="4" cm="1">
        <f t="array" ref="H123">INDEX(GMW!$A$2:$NF$60,MATCH(1,(GMW!$NE$2:$NE$60=H$3)*(GMW!$ND$2:$ND$60=H$4),0),$B123-1966)</f>
        <v>5.8833330000000004</v>
      </c>
    </row>
    <row r="124" spans="1:8" x14ac:dyDescent="0.35">
      <c r="B124" s="4">
        <f t="shared" si="3"/>
        <v>2090</v>
      </c>
      <c r="C124" s="4" cm="1">
        <f t="array" ref="C124">INDEX(GMW!$A$2:$NF$60,MATCH(1,(GMW!$NE$2:$NE$60=C$3)*(GMW!$ND$2:$ND$60=C$4),0),$B124-1966)</f>
        <v>5048</v>
      </c>
      <c r="D124" s="4" cm="1">
        <f t="array" ref="D124">INDEX(GMW!$A$2:$NF$60,MATCH(1,(GMW!$NE$2:$NE$60=D$3)*(GMW!$ND$2:$ND$60=D$4),0),$B124-1966)</f>
        <v>12278</v>
      </c>
      <c r="E124" s="4" cm="1">
        <f t="array" ref="E124">INDEX(GMW!$A$2:$NF$60,MATCH(1,(GMW!$NE$2:$NE$60=E$3)*(GMW!$ND$2:$ND$60=E$4),0),$B124-1966)</f>
        <v>4</v>
      </c>
      <c r="F124" s="4" cm="1">
        <f t="array" ref="F124">INDEX(GMW!$A$2:$NF$60,MATCH(1,(GMW!$NE$2:$NE$60=F$3)*(GMW!$ND$2:$ND$60=F$4),0),$B124-1966)</f>
        <v>5.0199999999999996</v>
      </c>
      <c r="G124" s="4" cm="1">
        <f t="array" ref="G124">INDEX(GMW!$A$2:$NF$60,MATCH(1,(GMW!$NE$2:$NE$60=G$3)*(GMW!$ND$2:$ND$60=G$4),0),$B124-1966)</f>
        <v>5.4366659999999998</v>
      </c>
      <c r="H124" s="4" cm="1">
        <f t="array" ref="H124">INDEX(GMW!$A$2:$NF$60,MATCH(1,(GMW!$NE$2:$NE$60=H$3)*(GMW!$ND$2:$ND$60=H$4),0),$B124-1966)</f>
        <v>5.8833330000000004</v>
      </c>
    </row>
    <row r="125" spans="1:8" x14ac:dyDescent="0.35">
      <c r="B125" s="4">
        <f t="shared" si="3"/>
        <v>2091</v>
      </c>
      <c r="C125" s="4" cm="1">
        <f t="array" ref="C125">INDEX(GMW!$A$2:$NF$60,MATCH(1,(GMW!$NE$2:$NE$60=C$3)*(GMW!$ND$2:$ND$60=C$4),0),$B125-1966)</f>
        <v>4882</v>
      </c>
      <c r="D125" s="4" cm="1">
        <f t="array" ref="D125">INDEX(GMW!$A$2:$NF$60,MATCH(1,(GMW!$NE$2:$NE$60=D$3)*(GMW!$ND$2:$ND$60=D$4),0),$B125-1966)</f>
        <v>12463</v>
      </c>
      <c r="E125" s="4" cm="1">
        <f t="array" ref="E125">INDEX(GMW!$A$2:$NF$60,MATCH(1,(GMW!$NE$2:$NE$60=E$3)*(GMW!$ND$2:$ND$60=E$4),0),$B125-1966)</f>
        <v>4</v>
      </c>
      <c r="F125" s="4" cm="1">
        <f t="array" ref="F125">INDEX(GMW!$A$2:$NF$60,MATCH(1,(GMW!$NE$2:$NE$60=F$3)*(GMW!$ND$2:$ND$60=F$4),0),$B125-1966)</f>
        <v>4.3899999999999997</v>
      </c>
      <c r="G125" s="4" cm="1">
        <f t="array" ref="G125">INDEX(GMW!$A$2:$NF$60,MATCH(1,(GMW!$NE$2:$NE$60=G$3)*(GMW!$ND$2:$ND$60=G$4),0),$B125-1966)</f>
        <v>5.3133340000000002</v>
      </c>
      <c r="H125" s="4" cm="1">
        <f t="array" ref="H125">INDEX(GMW!$A$2:$NF$60,MATCH(1,(GMW!$NE$2:$NE$60=H$3)*(GMW!$ND$2:$ND$60=H$4),0),$B125-1966)</f>
        <v>5.8566669999999998</v>
      </c>
    </row>
    <row r="126" spans="1:8" x14ac:dyDescent="0.35">
      <c r="B126" s="4">
        <f t="shared" si="3"/>
        <v>2092</v>
      </c>
      <c r="C126" s="4" cm="1">
        <f t="array" ref="C126">INDEX(GMW!$A$2:$NF$60,MATCH(1,(GMW!$NE$2:$NE$60=C$3)*(GMW!$ND$2:$ND$60=C$4),0),$B126-1966)</f>
        <v>4791</v>
      </c>
      <c r="D126" s="4" cm="1">
        <f t="array" ref="D126">INDEX(GMW!$A$2:$NF$60,MATCH(1,(GMW!$NE$2:$NE$60=D$3)*(GMW!$ND$2:$ND$60=D$4),0),$B126-1966)</f>
        <v>12837</v>
      </c>
      <c r="E126" s="4" cm="1">
        <f t="array" ref="E126">INDEX(GMW!$A$2:$NF$60,MATCH(1,(GMW!$NE$2:$NE$60=E$3)*(GMW!$ND$2:$ND$60=E$4),0),$B126-1966)</f>
        <v>4</v>
      </c>
      <c r="F126" s="4" cm="1">
        <f t="array" ref="F126">INDEX(GMW!$A$2:$NF$60,MATCH(1,(GMW!$NE$2:$NE$60=F$3)*(GMW!$ND$2:$ND$60=F$4),0),$B126-1966)</f>
        <v>4.38</v>
      </c>
      <c r="G126" s="4" cm="1">
        <f t="array" ref="G126">INDEX(GMW!$A$2:$NF$60,MATCH(1,(GMW!$NE$2:$NE$60=G$3)*(GMW!$ND$2:$ND$60=G$4),0),$B126-1966)</f>
        <v>5.2966670000000002</v>
      </c>
      <c r="H126" s="4" cm="1">
        <f t="array" ref="H126">INDEX(GMW!$A$2:$NF$60,MATCH(1,(GMW!$NE$2:$NE$60=H$3)*(GMW!$ND$2:$ND$60=H$4),0),$B126-1966)</f>
        <v>5.86</v>
      </c>
    </row>
    <row r="127" spans="1:8" x14ac:dyDescent="0.35">
      <c r="A127" s="4">
        <v>2003</v>
      </c>
      <c r="B127" s="4">
        <f t="shared" si="3"/>
        <v>2093</v>
      </c>
      <c r="C127" s="4" cm="1">
        <f t="array" ref="C127">INDEX(GMW!$A$2:$NF$60,MATCH(1,(GMW!$NE$2:$NE$60=C$3)*(GMW!$ND$2:$ND$60=C$4),0),$B127-1966)</f>
        <v>4824</v>
      </c>
      <c r="D127" s="4" cm="1">
        <f t="array" ref="D127">INDEX(GMW!$A$2:$NF$60,MATCH(1,(GMW!$NE$2:$NE$60=D$3)*(GMW!$ND$2:$ND$60=D$4),0),$B127-1966)</f>
        <v>12803</v>
      </c>
      <c r="E127" s="4" cm="1">
        <f t="array" ref="E127">INDEX(GMW!$A$2:$NF$60,MATCH(1,(GMW!$NE$2:$NE$60=E$3)*(GMW!$ND$2:$ND$60=E$4),0),$B127-1966)</f>
        <v>3.75</v>
      </c>
      <c r="F127" s="4" cm="1">
        <f t="array" ref="F127">INDEX(GMW!$A$2:$NF$60,MATCH(1,(GMW!$NE$2:$NE$60=F$3)*(GMW!$ND$2:$ND$60=F$4),0),$B127-1966)</f>
        <v>4.29</v>
      </c>
      <c r="G127" s="4" cm="1">
        <f t="array" ref="G127">INDEX(GMW!$A$2:$NF$60,MATCH(1,(GMW!$NE$2:$NE$60=G$3)*(GMW!$ND$2:$ND$60=G$4),0),$B127-1966)</f>
        <v>5.1733330000000004</v>
      </c>
      <c r="H127" s="4" cm="1">
        <f t="array" ref="H127">INDEX(GMW!$A$2:$NF$60,MATCH(1,(GMW!$NE$2:$NE$60=H$3)*(GMW!$ND$2:$ND$60=H$4),0),$B127-1966)</f>
        <v>5.7166670000000002</v>
      </c>
    </row>
    <row r="128" spans="1:8" x14ac:dyDescent="0.35">
      <c r="B128" s="4">
        <f t="shared" si="3"/>
        <v>2094</v>
      </c>
      <c r="C128" s="4" cm="1">
        <f t="array" ref="C128">INDEX(GMW!$A$2:$NF$60,MATCH(1,(GMW!$NE$2:$NE$60=C$3)*(GMW!$ND$2:$ND$60=C$4),0),$B128-1966)</f>
        <v>4971</v>
      </c>
      <c r="D128" s="4" cm="1">
        <f t="array" ref="D128">INDEX(GMW!$A$2:$NF$60,MATCH(1,(GMW!$NE$2:$NE$60=D$3)*(GMW!$ND$2:$ND$60=D$4),0),$B128-1966)</f>
        <v>12837</v>
      </c>
      <c r="E128" s="4" cm="1">
        <f t="array" ref="E128">INDEX(GMW!$A$2:$NF$60,MATCH(1,(GMW!$NE$2:$NE$60=E$3)*(GMW!$ND$2:$ND$60=E$4),0),$B128-1966)</f>
        <v>3.75</v>
      </c>
      <c r="F128" s="4" cm="1">
        <f t="array" ref="F128">INDEX(GMW!$A$2:$NF$60,MATCH(1,(GMW!$NE$2:$NE$60=F$3)*(GMW!$ND$2:$ND$60=F$4),0),$B128-1966)</f>
        <v>4.17</v>
      </c>
      <c r="G128" s="4" cm="1">
        <f t="array" ref="G128">INDEX(GMW!$A$2:$NF$60,MATCH(1,(GMW!$NE$2:$NE$60=G$3)*(GMW!$ND$2:$ND$60=G$4),0),$B128-1966)</f>
        <v>5.01</v>
      </c>
      <c r="H128" s="4" cm="1">
        <f t="array" ref="H128">INDEX(GMW!$A$2:$NF$60,MATCH(1,(GMW!$NE$2:$NE$60=H$3)*(GMW!$ND$2:$ND$60=H$4),0),$B128-1966)</f>
        <v>5.6066669999999998</v>
      </c>
    </row>
    <row r="129" spans="1:8" x14ac:dyDescent="0.35">
      <c r="B129" s="4">
        <f t="shared" si="3"/>
        <v>2095</v>
      </c>
      <c r="C129" s="4" cm="1">
        <f t="array" ref="C129">INDEX(GMW!$A$2:$NF$60,MATCH(1,(GMW!$NE$2:$NE$60=C$3)*(GMW!$ND$2:$ND$60=C$4),0),$B129-1966)</f>
        <v>4646</v>
      </c>
      <c r="D129" s="4" cm="1">
        <f t="array" ref="D129">INDEX(GMW!$A$2:$NF$60,MATCH(1,(GMW!$NE$2:$NE$60=D$3)*(GMW!$ND$2:$ND$60=D$4),0),$B129-1966)</f>
        <v>12786</v>
      </c>
      <c r="E129" s="4" cm="1">
        <f t="array" ref="E129">INDEX(GMW!$A$2:$NF$60,MATCH(1,(GMW!$NE$2:$NE$60=E$3)*(GMW!$ND$2:$ND$60=E$4),0),$B129-1966)</f>
        <v>3.5</v>
      </c>
      <c r="F129" s="4" cm="1">
        <f t="array" ref="F129">INDEX(GMW!$A$2:$NF$60,MATCH(1,(GMW!$NE$2:$NE$60=F$3)*(GMW!$ND$2:$ND$60=F$4),0),$B129-1966)</f>
        <v>4.54</v>
      </c>
      <c r="G129" s="4" cm="1">
        <f t="array" ref="G129">INDEX(GMW!$A$2:$NF$60,MATCH(1,(GMW!$NE$2:$NE$60=G$3)*(GMW!$ND$2:$ND$60=G$4),0),$B129-1966)</f>
        <v>4.8499999999999996</v>
      </c>
      <c r="H129" s="4" cm="1">
        <f t="array" ref="H129">INDEX(GMW!$A$2:$NF$60,MATCH(1,(GMW!$NE$2:$NE$60=H$3)*(GMW!$ND$2:$ND$60=H$4),0),$B129-1966)</f>
        <v>5.4666670000000002</v>
      </c>
    </row>
    <row r="130" spans="1:8" x14ac:dyDescent="0.35">
      <c r="B130" s="4">
        <f t="shared" si="3"/>
        <v>2096</v>
      </c>
      <c r="C130" s="4" cm="1">
        <f t="array" ref="C130">INDEX(GMW!$A$2:$NF$60,MATCH(1,(GMW!$NE$2:$NE$60=C$3)*(GMW!$ND$2:$ND$60=C$4),0),$B130-1966)</f>
        <v>4870</v>
      </c>
      <c r="D130" s="4" cm="1">
        <f t="array" ref="D130">INDEX(GMW!$A$2:$NF$60,MATCH(1,(GMW!$NE$2:$NE$60=D$3)*(GMW!$ND$2:$ND$60=D$4),0),$B130-1966)</f>
        <v>13144</v>
      </c>
      <c r="E130" s="4" cm="1">
        <f t="array" ref="E130">INDEX(GMW!$A$2:$NF$60,MATCH(1,(GMW!$NE$2:$NE$60=E$3)*(GMW!$ND$2:$ND$60=E$4),0),$B130-1966)</f>
        <v>3.75</v>
      </c>
      <c r="F130" s="4" cm="1">
        <f t="array" ref="F130">INDEX(GMW!$A$2:$NF$60,MATCH(1,(GMW!$NE$2:$NE$60=F$3)*(GMW!$ND$2:$ND$60=F$4),0),$B130-1966)</f>
        <v>4.7699999999999996</v>
      </c>
      <c r="G130" s="4" cm="1">
        <f t="array" ref="G130">INDEX(GMW!$A$2:$NF$60,MATCH(1,(GMW!$NE$2:$NE$60=G$3)*(GMW!$ND$2:$ND$60=G$4),0),$B130-1966)</f>
        <v>4.806667</v>
      </c>
      <c r="H130" s="4" cm="1">
        <f t="array" ref="H130">INDEX(GMW!$A$2:$NF$60,MATCH(1,(GMW!$NE$2:$NE$60=H$3)*(GMW!$ND$2:$ND$60=H$4),0),$B130-1966)</f>
        <v>5.5666669999999998</v>
      </c>
    </row>
    <row r="131" spans="1:8" x14ac:dyDescent="0.35">
      <c r="A131" s="4">
        <v>2004</v>
      </c>
      <c r="B131" s="4">
        <f t="shared" si="3"/>
        <v>2097</v>
      </c>
      <c r="C131" s="4" cm="1">
        <f t="array" ref="C131">INDEX(GMW!$A$2:$NF$60,MATCH(1,(GMW!$NE$2:$NE$60=C$3)*(GMW!$ND$2:$ND$60=C$4),0),$B131-1966)</f>
        <v>5373</v>
      </c>
      <c r="D131" s="4" cm="1">
        <f t="array" ref="D131">INDEX(GMW!$A$2:$NF$60,MATCH(1,(GMW!$NE$2:$NE$60=D$3)*(GMW!$ND$2:$ND$60=D$4),0),$B131-1966)</f>
        <v>14142</v>
      </c>
      <c r="E131" s="4" cm="1">
        <f t="array" ref="E131">INDEX(GMW!$A$2:$NF$60,MATCH(1,(GMW!$NE$2:$NE$60=E$3)*(GMW!$ND$2:$ND$60=E$4),0),$B131-1966)</f>
        <v>4</v>
      </c>
      <c r="F131" s="4" cm="1">
        <f t="array" ref="F131">INDEX(GMW!$A$2:$NF$60,MATCH(1,(GMW!$NE$2:$NE$60=F$3)*(GMW!$ND$2:$ND$60=F$4),0),$B131-1966)</f>
        <v>4.75</v>
      </c>
      <c r="G131" s="4" cm="1">
        <f t="array" ref="G131">INDEX(GMW!$A$2:$NF$60,MATCH(1,(GMW!$NE$2:$NE$60=G$3)*(GMW!$ND$2:$ND$60=G$4),0),$B131-1966)</f>
        <v>4.983333</v>
      </c>
      <c r="H131" s="4" cm="1">
        <f t="array" ref="H131">INDEX(GMW!$A$2:$NF$60,MATCH(1,(GMW!$NE$2:$NE$60=H$3)*(GMW!$ND$2:$ND$60=H$4),0),$B131-1966)</f>
        <v>5.6066669999999998</v>
      </c>
    </row>
    <row r="132" spans="1:8" x14ac:dyDescent="0.35">
      <c r="B132" s="4">
        <f t="shared" si="3"/>
        <v>2098</v>
      </c>
      <c r="C132" s="4" cm="1">
        <f t="array" ref="C132">INDEX(GMW!$A$2:$NF$60,MATCH(1,(GMW!$NE$2:$NE$60=C$3)*(GMW!$ND$2:$ND$60=C$4),0),$B132-1966)</f>
        <v>5936</v>
      </c>
      <c r="D132" s="4" cm="1">
        <f t="array" ref="D132">INDEX(GMW!$A$2:$NF$60,MATCH(1,(GMW!$NE$2:$NE$60=D$3)*(GMW!$ND$2:$ND$60=D$4),0),$B132-1966)</f>
        <v>15019</v>
      </c>
      <c r="E132" s="4" cm="1">
        <f t="array" ref="E132">INDEX(GMW!$A$2:$NF$60,MATCH(1,(GMW!$NE$2:$NE$60=E$3)*(GMW!$ND$2:$ND$60=E$4),0),$B132-1966)</f>
        <v>4.5</v>
      </c>
      <c r="F132" s="4" cm="1">
        <f t="array" ref="F132">INDEX(GMW!$A$2:$NF$60,MATCH(1,(GMW!$NE$2:$NE$60=F$3)*(GMW!$ND$2:$ND$60=F$4),0),$B132-1966)</f>
        <v>5.0999999999999996</v>
      </c>
      <c r="G132" s="4" cm="1">
        <f t="array" ref="G132">INDEX(GMW!$A$2:$NF$60,MATCH(1,(GMW!$NE$2:$NE$60=G$3)*(GMW!$ND$2:$ND$60=G$4),0),$B132-1966)</f>
        <v>5.1033330000000001</v>
      </c>
      <c r="H132" s="4" cm="1">
        <f t="array" ref="H132">INDEX(GMW!$A$2:$NF$60,MATCH(1,(GMW!$NE$2:$NE$60=H$3)*(GMW!$ND$2:$ND$60=H$4),0),$B132-1966)</f>
        <v>5.89</v>
      </c>
    </row>
    <row r="133" spans="1:8" x14ac:dyDescent="0.35">
      <c r="B133" s="4">
        <f t="shared" si="3"/>
        <v>2099</v>
      </c>
      <c r="C133" s="4" cm="1">
        <f t="array" ref="C133">INDEX(GMW!$A$2:$NF$60,MATCH(1,(GMW!$NE$2:$NE$60=C$3)*(GMW!$ND$2:$ND$60=C$4),0),$B133-1966)</f>
        <v>6800</v>
      </c>
      <c r="D133" s="4" cm="1">
        <f t="array" ref="D133">INDEX(GMW!$A$2:$NF$60,MATCH(1,(GMW!$NE$2:$NE$60=D$3)*(GMW!$ND$2:$ND$60=D$4),0),$B133-1966)</f>
        <v>16209</v>
      </c>
      <c r="E133" s="4" cm="1">
        <f t="array" ref="E133">INDEX(GMW!$A$2:$NF$60,MATCH(1,(GMW!$NE$2:$NE$60=E$3)*(GMW!$ND$2:$ND$60=E$4),0),$B133-1966)</f>
        <v>4.75</v>
      </c>
      <c r="F133" s="4" cm="1">
        <f t="array" ref="F133">INDEX(GMW!$A$2:$NF$60,MATCH(1,(GMW!$NE$2:$NE$60=F$3)*(GMW!$ND$2:$ND$60=F$4),0),$B133-1966)</f>
        <v>4.83</v>
      </c>
      <c r="G133" s="4" cm="1">
        <f t="array" ref="G133">INDEX(GMW!$A$2:$NF$60,MATCH(1,(GMW!$NE$2:$NE$60=G$3)*(GMW!$ND$2:$ND$60=G$4),0),$B133-1966)</f>
        <v>5.4633330000000004</v>
      </c>
      <c r="H133" s="4" cm="1">
        <f t="array" ref="H133">INDEX(GMW!$A$2:$NF$60,MATCH(1,(GMW!$NE$2:$NE$60=H$3)*(GMW!$ND$2:$ND$60=H$4),0),$B133-1966)</f>
        <v>6.32</v>
      </c>
    </row>
    <row r="134" spans="1:8" x14ac:dyDescent="0.35">
      <c r="B134" s="4">
        <f t="shared" si="3"/>
        <v>2100</v>
      </c>
      <c r="C134" s="4" cm="1">
        <f t="array" ref="C134">INDEX(GMW!$A$2:$NF$60,MATCH(1,(GMW!$NE$2:$NE$60=C$3)*(GMW!$ND$2:$ND$60=C$4),0),$B134-1966)</f>
        <v>7392</v>
      </c>
      <c r="D134" s="4" cm="1">
        <f t="array" ref="D134">INDEX(GMW!$A$2:$NF$60,MATCH(1,(GMW!$NE$2:$NE$60=D$3)*(GMW!$ND$2:$ND$60=D$4),0),$B134-1966)</f>
        <v>17013</v>
      </c>
      <c r="E134" s="4" cm="1">
        <f t="array" ref="E134">INDEX(GMW!$A$2:$NF$60,MATCH(1,(GMW!$NE$2:$NE$60=E$3)*(GMW!$ND$2:$ND$60=E$4),0),$B134-1966)</f>
        <v>4.75</v>
      </c>
      <c r="F134" s="4" cm="1">
        <f t="array" ref="F134">INDEX(GMW!$A$2:$NF$60,MATCH(1,(GMW!$NE$2:$NE$60=F$3)*(GMW!$ND$2:$ND$60=F$4),0),$B134-1966)</f>
        <v>4.54</v>
      </c>
      <c r="G134" s="4" cm="1">
        <f t="array" ref="G134">INDEX(GMW!$A$2:$NF$60,MATCH(1,(GMW!$NE$2:$NE$60=G$3)*(GMW!$ND$2:$ND$60=G$4),0),$B134-1966)</f>
        <v>5.5733329999999999</v>
      </c>
      <c r="H134" s="4" cm="1">
        <f t="array" ref="H134">INDEX(GMW!$A$2:$NF$60,MATCH(1,(GMW!$NE$2:$NE$60=H$3)*(GMW!$ND$2:$ND$60=H$4),0),$B134-1966)</f>
        <v>6.2566670000000002</v>
      </c>
    </row>
    <row r="135" spans="1:8" x14ac:dyDescent="0.35">
      <c r="A135" s="4">
        <v>2005</v>
      </c>
      <c r="B135" s="4">
        <f t="shared" si="3"/>
        <v>2101</v>
      </c>
      <c r="C135" s="4" cm="1">
        <f t="array" ref="C135">INDEX(GMW!$A$2:$NF$60,MATCH(1,(GMW!$NE$2:$NE$60=C$3)*(GMW!$ND$2:$ND$60=C$4),0),$B135-1966)</f>
        <v>7527</v>
      </c>
      <c r="D135" s="4" cm="1">
        <f t="array" ref="D135">INDEX(GMW!$A$2:$NF$60,MATCH(1,(GMW!$NE$2:$NE$60=D$3)*(GMW!$ND$2:$ND$60=D$4),0),$B135-1966)</f>
        <v>17757</v>
      </c>
      <c r="E135" s="4" cm="1">
        <f t="array" ref="E135">INDEX(GMW!$A$2:$NF$60,MATCH(1,(GMW!$NE$2:$NE$60=E$3)*(GMW!$ND$2:$ND$60=E$4),0),$B135-1966)</f>
        <v>4.75</v>
      </c>
      <c r="F135" s="4" cm="1">
        <f t="array" ref="F135">INDEX(GMW!$A$2:$NF$60,MATCH(1,(GMW!$NE$2:$NE$60=F$3)*(GMW!$ND$2:$ND$60=F$4),0),$B135-1966)</f>
        <v>4.6900000000000004</v>
      </c>
      <c r="G135" s="4" cm="1">
        <f t="array" ref="G135">INDEX(GMW!$A$2:$NF$60,MATCH(1,(GMW!$NE$2:$NE$60=G$3)*(GMW!$ND$2:$ND$60=G$4),0),$B135-1966)</f>
        <v>5.53</v>
      </c>
      <c r="H135" s="4" cm="1">
        <f t="array" ref="H135">INDEX(GMW!$A$2:$NF$60,MATCH(1,(GMW!$NE$2:$NE$60=H$3)*(GMW!$ND$2:$ND$60=H$4),0),$B135-1966)</f>
        <v>6.2433329999999998</v>
      </c>
    </row>
    <row r="136" spans="1:8" x14ac:dyDescent="0.35">
      <c r="B136" s="4">
        <f t="shared" si="3"/>
        <v>2102</v>
      </c>
      <c r="C136" s="4" cm="1">
        <f t="array" ref="C136">INDEX(GMW!$A$2:$NF$60,MATCH(1,(GMW!$NE$2:$NE$60=C$3)*(GMW!$ND$2:$ND$60=C$4),0),$B136-1966)</f>
        <v>7726</v>
      </c>
      <c r="D136" s="4" cm="1">
        <f t="array" ref="D136">INDEX(GMW!$A$2:$NF$60,MATCH(1,(GMW!$NE$2:$NE$60=D$3)*(GMW!$ND$2:$ND$60=D$4),0),$B136-1966)</f>
        <v>18326</v>
      </c>
      <c r="E136" s="4" cm="1">
        <f t="array" ref="E136">INDEX(GMW!$A$2:$NF$60,MATCH(1,(GMW!$NE$2:$NE$60=E$3)*(GMW!$ND$2:$ND$60=E$4),0),$B136-1966)</f>
        <v>4.75</v>
      </c>
      <c r="F136" s="4" cm="1">
        <f t="array" ref="F136">INDEX(GMW!$A$2:$NF$60,MATCH(1,(GMW!$NE$2:$NE$60=F$3)*(GMW!$ND$2:$ND$60=F$4),0),$B136-1966)</f>
        <v>4.17</v>
      </c>
      <c r="G136" s="4" cm="1">
        <f t="array" ref="G136">INDEX(GMW!$A$2:$NF$60,MATCH(1,(GMW!$NE$2:$NE$60=G$3)*(GMW!$ND$2:$ND$60=G$4),0),$B136-1966)</f>
        <v>5.5033339999999997</v>
      </c>
      <c r="H136" s="4" cm="1">
        <f t="array" ref="H136">INDEX(GMW!$A$2:$NF$60,MATCH(1,(GMW!$NE$2:$NE$60=H$3)*(GMW!$ND$2:$ND$60=H$4),0),$B136-1966)</f>
        <v>6.27</v>
      </c>
    </row>
    <row r="137" spans="1:8" x14ac:dyDescent="0.35">
      <c r="B137" s="4">
        <f t="shared" si="3"/>
        <v>2103</v>
      </c>
      <c r="C137" s="4" cm="1">
        <f t="array" ref="C137">INDEX(GMW!$A$2:$NF$60,MATCH(1,(GMW!$NE$2:$NE$60=C$3)*(GMW!$ND$2:$ND$60=C$4),0),$B137-1966)</f>
        <v>8180</v>
      </c>
      <c r="D137" s="4" cm="1">
        <f t="array" ref="D137">INDEX(GMW!$A$2:$NF$60,MATCH(1,(GMW!$NE$2:$NE$60=D$3)*(GMW!$ND$2:$ND$60=D$4),0),$B137-1966)</f>
        <v>18490</v>
      </c>
      <c r="E137" s="4" cm="1">
        <f t="array" ref="E137">INDEX(GMW!$A$2:$NF$60,MATCH(1,(GMW!$NE$2:$NE$60=E$3)*(GMW!$ND$2:$ND$60=E$4),0),$B137-1966)</f>
        <v>4.5</v>
      </c>
      <c r="F137" s="4" cm="1">
        <f t="array" ref="F137">INDEX(GMW!$A$2:$NF$60,MATCH(1,(GMW!$NE$2:$NE$60=F$3)*(GMW!$ND$2:$ND$60=F$4),0),$B137-1966)</f>
        <v>4.29</v>
      </c>
      <c r="G137" s="4" cm="1">
        <f t="array" ref="G137">INDEX(GMW!$A$2:$NF$60,MATCH(1,(GMW!$NE$2:$NE$60=G$3)*(GMW!$ND$2:$ND$60=G$4),0),$B137-1966)</f>
        <v>5.4766659999999998</v>
      </c>
      <c r="H137" s="4" cm="1">
        <f t="array" ref="H137">INDEX(GMW!$A$2:$NF$60,MATCH(1,(GMW!$NE$2:$NE$60=H$3)*(GMW!$ND$2:$ND$60=H$4),0),$B137-1966)</f>
        <v>6.0866670000000003</v>
      </c>
    </row>
    <row r="138" spans="1:8" x14ac:dyDescent="0.35">
      <c r="B138" s="4">
        <f t="shared" si="3"/>
        <v>2104</v>
      </c>
      <c r="C138" s="4" cm="1">
        <f t="array" ref="C138">INDEX(GMW!$A$2:$NF$60,MATCH(1,(GMW!$NE$2:$NE$60=C$3)*(GMW!$ND$2:$ND$60=C$4),0),$B138-1966)</f>
        <v>7574</v>
      </c>
      <c r="D138" s="4" cm="1">
        <f t="array" ref="D138">INDEX(GMW!$A$2:$NF$60,MATCH(1,(GMW!$NE$2:$NE$60=D$3)*(GMW!$ND$2:$ND$60=D$4),0),$B138-1966)</f>
        <v>18710</v>
      </c>
      <c r="E138" s="4" cm="1">
        <f t="array" ref="E138">INDEX(GMW!$A$2:$NF$60,MATCH(1,(GMW!$NE$2:$NE$60=E$3)*(GMW!$ND$2:$ND$60=E$4),0),$B138-1966)</f>
        <v>4.5</v>
      </c>
      <c r="F138" s="4" cm="1">
        <f t="array" ref="F138">INDEX(GMW!$A$2:$NF$60,MATCH(1,(GMW!$NE$2:$NE$60=F$3)*(GMW!$ND$2:$ND$60=F$4),0),$B138-1966)</f>
        <v>4.09</v>
      </c>
      <c r="G138" s="4" cm="1">
        <f t="array" ref="G138">INDEX(GMW!$A$2:$NF$60,MATCH(1,(GMW!$NE$2:$NE$60=G$3)*(GMW!$ND$2:$ND$60=G$4),0),$B138-1966)</f>
        <v>5.35</v>
      </c>
      <c r="H138" s="4" cm="1">
        <f t="array" ref="H138">INDEX(GMW!$A$2:$NF$60,MATCH(1,(GMW!$NE$2:$NE$60=H$3)*(GMW!$ND$2:$ND$60=H$4),0),$B138-1966)</f>
        <v>6.0066670000000002</v>
      </c>
    </row>
    <row r="139" spans="1:8" x14ac:dyDescent="0.35">
      <c r="A139" s="4">
        <v>2006</v>
      </c>
      <c r="B139" s="4">
        <f t="shared" si="3"/>
        <v>2105</v>
      </c>
      <c r="C139" s="4" cm="1">
        <f t="array" ref="C139">INDEX(GMW!$A$2:$NF$60,MATCH(1,(GMW!$NE$2:$NE$60=C$3)*(GMW!$ND$2:$ND$60=C$4),0),$B139-1966)</f>
        <v>8006</v>
      </c>
      <c r="D139" s="4" cm="1">
        <f t="array" ref="D139">INDEX(GMW!$A$2:$NF$60,MATCH(1,(GMW!$NE$2:$NE$60=D$3)*(GMW!$ND$2:$ND$60=D$4),0),$B139-1966)</f>
        <v>19010</v>
      </c>
      <c r="E139" s="4" cm="1">
        <f t="array" ref="E139">INDEX(GMW!$A$2:$NF$60,MATCH(1,(GMW!$NE$2:$NE$60=E$3)*(GMW!$ND$2:$ND$60=E$4),0),$B139-1966)</f>
        <v>4.5</v>
      </c>
      <c r="F139" s="4" cm="1">
        <f t="array" ref="F139">INDEX(GMW!$A$2:$NF$60,MATCH(1,(GMW!$NE$2:$NE$60=F$3)*(GMW!$ND$2:$ND$60=F$4),0),$B139-1966)</f>
        <v>4.4000000000000004</v>
      </c>
      <c r="G139" s="4" cm="1">
        <f t="array" ref="G139">INDEX(GMW!$A$2:$NF$60,MATCH(1,(GMW!$NE$2:$NE$60=G$3)*(GMW!$ND$2:$ND$60=G$4),0),$B139-1966)</f>
        <v>5.3266669999999996</v>
      </c>
      <c r="H139" s="4" cm="1">
        <f t="array" ref="H139">INDEX(GMW!$A$2:$NF$60,MATCH(1,(GMW!$NE$2:$NE$60=H$3)*(GMW!$ND$2:$ND$60=H$4),0),$B139-1966)</f>
        <v>6.0866670000000003</v>
      </c>
    </row>
    <row r="140" spans="1:8" x14ac:dyDescent="0.35">
      <c r="B140" s="4">
        <f t="shared" si="3"/>
        <v>2106</v>
      </c>
      <c r="C140" s="4" cm="1">
        <f t="array" ref="C140">INDEX(GMW!$A$2:$NF$60,MATCH(1,(GMW!$NE$2:$NE$60=C$3)*(GMW!$ND$2:$ND$60=C$4),0),$B140-1966)</f>
        <v>8152</v>
      </c>
      <c r="D140" s="4" cm="1">
        <f t="array" ref="D140">INDEX(GMW!$A$2:$NF$60,MATCH(1,(GMW!$NE$2:$NE$60=D$3)*(GMW!$ND$2:$ND$60=D$4),0),$B140-1966)</f>
        <v>19457</v>
      </c>
      <c r="E140" s="4" cm="1">
        <f t="array" ref="E140">INDEX(GMW!$A$2:$NF$60,MATCH(1,(GMW!$NE$2:$NE$60=E$3)*(GMW!$ND$2:$ND$60=E$4),0),$B140-1966)</f>
        <v>4.5</v>
      </c>
      <c r="F140" s="4" cm="1">
        <f t="array" ref="F140">INDEX(GMW!$A$2:$NF$60,MATCH(1,(GMW!$NE$2:$NE$60=F$3)*(GMW!$ND$2:$ND$60=F$4),0),$B140-1966)</f>
        <v>4.7</v>
      </c>
      <c r="G140" s="4" cm="1">
        <f t="array" ref="G140">INDEX(GMW!$A$2:$NF$60,MATCH(1,(GMW!$NE$2:$NE$60=G$3)*(GMW!$ND$2:$ND$60=G$4),0),$B140-1966)</f>
        <v>5.31</v>
      </c>
      <c r="H140" s="4" cm="1">
        <f t="array" ref="H140">INDEX(GMW!$A$2:$NF$60,MATCH(1,(GMW!$NE$2:$NE$60=H$3)*(GMW!$ND$2:$ND$60=H$4),0),$B140-1966)</f>
        <v>6.0866670000000003</v>
      </c>
    </row>
    <row r="141" spans="1:8" x14ac:dyDescent="0.35">
      <c r="B141" s="4">
        <f t="shared" si="3"/>
        <v>2107</v>
      </c>
      <c r="C141" s="4" cm="1">
        <f t="array" ref="C141">INDEX(GMW!$A$2:$NF$60,MATCH(1,(GMW!$NE$2:$NE$60=C$3)*(GMW!$ND$2:$ND$60=C$4),0),$B141-1966)</f>
        <v>8784</v>
      </c>
      <c r="D141" s="4" cm="1">
        <f t="array" ref="D141">INDEX(GMW!$A$2:$NF$60,MATCH(1,(GMW!$NE$2:$NE$60=D$3)*(GMW!$ND$2:$ND$60=D$4),0),$B141-1966)</f>
        <v>20199</v>
      </c>
      <c r="E141" s="4" cm="1">
        <f t="array" ref="E141">INDEX(GMW!$A$2:$NF$60,MATCH(1,(GMW!$NE$2:$NE$60=E$3)*(GMW!$ND$2:$ND$60=E$4),0),$B141-1966)</f>
        <v>4.75</v>
      </c>
      <c r="F141" s="4" cm="1">
        <f t="array" ref="F141">INDEX(GMW!$A$2:$NF$60,MATCH(1,(GMW!$NE$2:$NE$60=F$3)*(GMW!$ND$2:$ND$60=F$4),0),$B141-1966)</f>
        <v>4.5199999999999996</v>
      </c>
      <c r="G141" s="4" cm="1">
        <f t="array" ref="G141">INDEX(GMW!$A$2:$NF$60,MATCH(1,(GMW!$NE$2:$NE$60=G$3)*(GMW!$ND$2:$ND$60=G$4),0),$B141-1966)</f>
        <v>5.33</v>
      </c>
      <c r="H141" s="4" cm="1">
        <f t="array" ref="H141">INDEX(GMW!$A$2:$NF$60,MATCH(1,(GMW!$NE$2:$NE$60=H$3)*(GMW!$ND$2:$ND$60=H$4),0),$B141-1966)</f>
        <v>6.23</v>
      </c>
    </row>
    <row r="142" spans="1:8" x14ac:dyDescent="0.35">
      <c r="B142" s="4">
        <f t="shared" si="3"/>
        <v>2108</v>
      </c>
      <c r="C142" s="4" cm="1">
        <f t="array" ref="C142">INDEX(GMW!$A$2:$NF$60,MATCH(1,(GMW!$NE$2:$NE$60=C$3)*(GMW!$ND$2:$ND$60=C$4),0),$B142-1966)</f>
        <v>9265</v>
      </c>
      <c r="D142" s="4" cm="1">
        <f t="array" ref="D142">INDEX(GMW!$A$2:$NF$60,MATCH(1,(GMW!$NE$2:$NE$60=D$3)*(GMW!$ND$2:$ND$60=D$4),0),$B142-1966)</f>
        <v>21189</v>
      </c>
      <c r="E142" s="4" cm="1">
        <f t="array" ref="E142">INDEX(GMW!$A$2:$NF$60,MATCH(1,(GMW!$NE$2:$NE$60=E$3)*(GMW!$ND$2:$ND$60=E$4),0),$B142-1966)</f>
        <v>5</v>
      </c>
      <c r="F142" s="4" cm="1">
        <f t="array" ref="F142">INDEX(GMW!$A$2:$NF$60,MATCH(1,(GMW!$NE$2:$NE$60=F$3)*(GMW!$ND$2:$ND$60=F$4),0),$B142-1966)</f>
        <v>4.74</v>
      </c>
      <c r="G142" s="4" cm="1">
        <f t="array" ref="G142">INDEX(GMW!$A$2:$NF$60,MATCH(1,(GMW!$NE$2:$NE$60=G$3)*(GMW!$ND$2:$ND$60=G$4),0),$B142-1966)</f>
        <v>5.45</v>
      </c>
      <c r="H142" s="4" cm="1">
        <f t="array" ref="H142">INDEX(GMW!$A$2:$NF$60,MATCH(1,(GMW!$NE$2:$NE$60=H$3)*(GMW!$ND$2:$ND$60=H$4),0),$B142-1966)</f>
        <v>6.46</v>
      </c>
    </row>
    <row r="143" spans="1:8" x14ac:dyDescent="0.35">
      <c r="A143" s="4">
        <v>2007</v>
      </c>
      <c r="B143" s="4">
        <f t="shared" si="3"/>
        <v>2109</v>
      </c>
      <c r="C143" s="4" cm="1">
        <f t="array" ref="C143">INDEX(GMW!$A$2:$NF$60,MATCH(1,(GMW!$NE$2:$NE$60=C$3)*(GMW!$ND$2:$ND$60=C$4),0),$B143-1966)</f>
        <v>9971</v>
      </c>
      <c r="D143" s="4" cm="1">
        <f t="array" ref="D143">INDEX(GMW!$A$2:$NF$60,MATCH(1,(GMW!$NE$2:$NE$60=D$3)*(GMW!$ND$2:$ND$60=D$4),0),$B143-1966)</f>
        <v>22405</v>
      </c>
      <c r="E143" s="4" cm="1">
        <f t="array" ref="E143">INDEX(GMW!$A$2:$NF$60,MATCH(1,(GMW!$NE$2:$NE$60=E$3)*(GMW!$ND$2:$ND$60=E$4),0),$B143-1966)</f>
        <v>5.25</v>
      </c>
      <c r="F143" s="4" cm="1">
        <f t="array" ref="F143">INDEX(GMW!$A$2:$NF$60,MATCH(1,(GMW!$NE$2:$NE$60=F$3)*(GMW!$ND$2:$ND$60=F$4),0),$B143-1966)</f>
        <v>4.9400000000000004</v>
      </c>
      <c r="G143" s="4" cm="1">
        <f t="array" ref="G143">INDEX(GMW!$A$2:$NF$60,MATCH(1,(GMW!$NE$2:$NE$60=G$3)*(GMW!$ND$2:$ND$60=G$4),0),$B143-1966)</f>
        <v>5.6233329999999997</v>
      </c>
      <c r="H143" s="4" cm="1">
        <f t="array" ref="H143">INDEX(GMW!$A$2:$NF$60,MATCH(1,(GMW!$NE$2:$NE$60=H$3)*(GMW!$ND$2:$ND$60=H$4),0),$B143-1966)</f>
        <v>6.66</v>
      </c>
    </row>
    <row r="144" spans="1:8" x14ac:dyDescent="0.35">
      <c r="B144" s="4">
        <f t="shared" si="3"/>
        <v>2110</v>
      </c>
      <c r="C144" s="4" cm="1">
        <f t="array" ref="C144">INDEX(GMW!$A$2:$NF$60,MATCH(1,(GMW!$NE$2:$NE$60=C$3)*(GMW!$ND$2:$ND$60=C$4),0),$B144-1966)</f>
        <v>10702</v>
      </c>
      <c r="D144" s="4" cm="1">
        <f t="array" ref="D144">INDEX(GMW!$A$2:$NF$60,MATCH(1,(GMW!$NE$2:$NE$60=D$3)*(GMW!$ND$2:$ND$60=D$4),0),$B144-1966)</f>
        <v>23235</v>
      </c>
      <c r="E144" s="4" cm="1">
        <f t="array" ref="E144">INDEX(GMW!$A$2:$NF$60,MATCH(1,(GMW!$NE$2:$NE$60=E$3)*(GMW!$ND$2:$ND$60=E$4),0),$B144-1966)</f>
        <v>5.5</v>
      </c>
      <c r="F144" s="4" cm="1">
        <f t="array" ref="F144">INDEX(GMW!$A$2:$NF$60,MATCH(1,(GMW!$NE$2:$NE$60=F$3)*(GMW!$ND$2:$ND$60=F$4),0),$B144-1966)</f>
        <v>5.46</v>
      </c>
      <c r="G144" s="4" cm="1">
        <f t="array" ref="G144">INDEX(GMW!$A$2:$NF$60,MATCH(1,(GMW!$NE$2:$NE$60=G$3)*(GMW!$ND$2:$ND$60=G$4),0),$B144-1966)</f>
        <v>5.7033329999999998</v>
      </c>
      <c r="H144" s="4" cm="1">
        <f t="array" ref="H144">INDEX(GMW!$A$2:$NF$60,MATCH(1,(GMW!$NE$2:$NE$60=H$3)*(GMW!$ND$2:$ND$60=H$4),0),$B144-1966)</f>
        <v>6.8366670000000003</v>
      </c>
    </row>
    <row r="145" spans="1:8" x14ac:dyDescent="0.35">
      <c r="B145" s="4">
        <f t="shared" si="3"/>
        <v>2111</v>
      </c>
      <c r="C145" s="4" cm="1">
        <f t="array" ref="C145">INDEX(GMW!$A$2:$NF$60,MATCH(1,(GMW!$NE$2:$NE$60=C$3)*(GMW!$ND$2:$ND$60=C$4),0),$B145-1966)</f>
        <v>11166</v>
      </c>
      <c r="D145" s="4" cm="1">
        <f t="array" ref="D145">INDEX(GMW!$A$2:$NF$60,MATCH(1,(GMW!$NE$2:$NE$60=D$3)*(GMW!$ND$2:$ND$60=D$4),0),$B145-1966)</f>
        <v>24167</v>
      </c>
      <c r="E145" s="4" cm="1">
        <f t="array" ref="E145">INDEX(GMW!$A$2:$NF$60,MATCH(1,(GMW!$NE$2:$NE$60=E$3)*(GMW!$ND$2:$ND$60=E$4),0),$B145-1966)</f>
        <v>5.75</v>
      </c>
      <c r="F145" s="4" cm="1">
        <f t="array" ref="F145">INDEX(GMW!$A$2:$NF$60,MATCH(1,(GMW!$NE$2:$NE$60=F$3)*(GMW!$ND$2:$ND$60=F$4),0),$B145-1966)</f>
        <v>5.04</v>
      </c>
      <c r="G145" s="4" cm="1">
        <f t="array" ref="G145">INDEX(GMW!$A$2:$NF$60,MATCH(1,(GMW!$NE$2:$NE$60=G$3)*(GMW!$ND$2:$ND$60=G$4),0),$B145-1966)</f>
        <v>5.8833330000000004</v>
      </c>
      <c r="H145" s="4" cm="1">
        <f t="array" ref="H145">INDEX(GMW!$A$2:$NF$60,MATCH(1,(GMW!$NE$2:$NE$60=H$3)*(GMW!$ND$2:$ND$60=H$4),0),$B145-1966)</f>
        <v>7.18</v>
      </c>
    </row>
    <row r="146" spans="1:8" x14ac:dyDescent="0.35">
      <c r="B146" s="4">
        <f t="shared" si="3"/>
        <v>2112</v>
      </c>
      <c r="C146" s="4" cm="1">
        <f t="array" ref="C146">INDEX(GMW!$A$2:$NF$60,MATCH(1,(GMW!$NE$2:$NE$60=C$3)*(GMW!$ND$2:$ND$60=C$4),0),$B146-1966)</f>
        <v>11601</v>
      </c>
      <c r="D146" s="4" cm="1">
        <f t="array" ref="D146">INDEX(GMW!$A$2:$NF$60,MATCH(1,(GMW!$NE$2:$NE$60=D$3)*(GMW!$ND$2:$ND$60=D$4),0),$B146-1966)</f>
        <v>24599</v>
      </c>
      <c r="E146" s="4" cm="1">
        <f t="array" ref="E146">INDEX(GMW!$A$2:$NF$60,MATCH(1,(GMW!$NE$2:$NE$60=E$3)*(GMW!$ND$2:$ND$60=E$4),0),$B146-1966)</f>
        <v>5.5</v>
      </c>
      <c r="F146" s="4" cm="1">
        <f t="array" ref="F146">INDEX(GMW!$A$2:$NF$60,MATCH(1,(GMW!$NE$2:$NE$60=F$3)*(GMW!$ND$2:$ND$60=F$4),0),$B146-1966)</f>
        <v>4.57</v>
      </c>
      <c r="G146" s="4" cm="1">
        <f t="array" ref="G146">INDEX(GMW!$A$2:$NF$60,MATCH(1,(GMW!$NE$2:$NE$60=G$3)*(GMW!$ND$2:$ND$60=G$4),0),$B146-1966)</f>
        <v>5.95</v>
      </c>
      <c r="H146" s="4" cm="1">
        <f t="array" ref="H146">INDEX(GMW!$A$2:$NF$60,MATCH(1,(GMW!$NE$2:$NE$60=H$3)*(GMW!$ND$2:$ND$60=H$4),0),$B146-1966)</f>
        <v>7.2766669999999998</v>
      </c>
    </row>
    <row r="147" spans="1:8" x14ac:dyDescent="0.35">
      <c r="A147" s="4">
        <v>2008</v>
      </c>
      <c r="B147" s="4">
        <f t="shared" si="3"/>
        <v>2113</v>
      </c>
      <c r="C147" s="4" cm="1">
        <f t="array" ref="C147">INDEX(GMW!$A$2:$NF$60,MATCH(1,(GMW!$NE$2:$NE$60=C$3)*(GMW!$ND$2:$ND$60=C$4),0),$B147-1966)</f>
        <v>11005</v>
      </c>
      <c r="D147" s="4" cm="1">
        <f t="array" ref="D147">INDEX(GMW!$A$2:$NF$60,MATCH(1,(GMW!$NE$2:$NE$60=D$3)*(GMW!$ND$2:$ND$60=D$4),0),$B147-1966)</f>
        <v>24853</v>
      </c>
      <c r="E147" s="4" cm="1">
        <f t="array" ref="E147">INDEX(GMW!$A$2:$NF$60,MATCH(1,(GMW!$NE$2:$NE$60=E$3)*(GMW!$ND$2:$ND$60=E$4),0),$B147-1966)</f>
        <v>5.25</v>
      </c>
      <c r="F147" s="4" cm="1">
        <f t="array" ref="F147">INDEX(GMW!$A$2:$NF$60,MATCH(1,(GMW!$NE$2:$NE$60=F$3)*(GMW!$ND$2:$ND$60=F$4),0),$B147-1966)</f>
        <v>4.3499999999999996</v>
      </c>
      <c r="G147" s="4" cm="1">
        <f t="array" ref="G147">INDEX(GMW!$A$2:$NF$60,MATCH(1,(GMW!$NE$2:$NE$60=G$3)*(GMW!$ND$2:$ND$60=G$4),0),$B147-1966)</f>
        <v>5.8566669999999998</v>
      </c>
      <c r="H147" s="4" cm="1">
        <f t="array" ref="H147">INDEX(GMW!$A$2:$NF$60,MATCH(1,(GMW!$NE$2:$NE$60=H$3)*(GMW!$ND$2:$ND$60=H$4),0),$B147-1966)</f>
        <v>7.01</v>
      </c>
    </row>
    <row r="148" spans="1:8" x14ac:dyDescent="0.35">
      <c r="B148" s="4">
        <f t="shared" si="3"/>
        <v>2114</v>
      </c>
      <c r="C148" s="4" cm="1">
        <f t="array" ref="C148">INDEX(GMW!$A$2:$NF$60,MATCH(1,(GMW!$NE$2:$NE$60=C$3)*(GMW!$ND$2:$ND$60=C$4),0),$B148-1966)</f>
        <v>10959</v>
      </c>
      <c r="D148" s="4" cm="1">
        <f t="array" ref="D148">INDEX(GMW!$A$2:$NF$60,MATCH(1,(GMW!$NE$2:$NE$60=D$3)*(GMW!$ND$2:$ND$60=D$4),0),$B148-1966)</f>
        <v>24469</v>
      </c>
      <c r="E148" s="4" cm="1">
        <f t="array" ref="E148">INDEX(GMW!$A$2:$NF$60,MATCH(1,(GMW!$NE$2:$NE$60=E$3)*(GMW!$ND$2:$ND$60=E$4),0),$B148-1966)</f>
        <v>5</v>
      </c>
      <c r="F148" s="4" cm="1">
        <f t="array" ref="F148">INDEX(GMW!$A$2:$NF$60,MATCH(1,(GMW!$NE$2:$NE$60=F$3)*(GMW!$ND$2:$ND$60=F$4),0),$B148-1966)</f>
        <v>5.13</v>
      </c>
      <c r="G148" s="4" cm="1">
        <f t="array" ref="G148">INDEX(GMW!$A$2:$NF$60,MATCH(1,(GMW!$NE$2:$NE$60=G$3)*(GMW!$ND$2:$ND$60=G$4),0),$B148-1966)</f>
        <v>5.7633330000000003</v>
      </c>
      <c r="H148" s="4" cm="1">
        <f t="array" ref="H148">INDEX(GMW!$A$2:$NF$60,MATCH(1,(GMW!$NE$2:$NE$60=H$3)*(GMW!$ND$2:$ND$60=H$4),0),$B148-1966)</f>
        <v>6.87</v>
      </c>
    </row>
    <row r="149" spans="1:8" x14ac:dyDescent="0.35">
      <c r="B149" s="4">
        <f t="shared" si="3"/>
        <v>2115</v>
      </c>
      <c r="C149" s="4" cm="1">
        <f t="array" ref="C149">INDEX(GMW!$A$2:$NF$60,MATCH(1,(GMW!$NE$2:$NE$60=C$3)*(GMW!$ND$2:$ND$60=C$4),0),$B149-1966)</f>
        <v>11290</v>
      </c>
      <c r="D149" s="4" cm="1">
        <f t="array" ref="D149">INDEX(GMW!$A$2:$NF$60,MATCH(1,(GMW!$NE$2:$NE$60=D$3)*(GMW!$ND$2:$ND$60=D$4),0),$B149-1966)</f>
        <v>24892</v>
      </c>
      <c r="E149" s="4" cm="1">
        <f t="array" ref="E149">INDEX(GMW!$A$2:$NF$60,MATCH(1,(GMW!$NE$2:$NE$60=E$3)*(GMW!$ND$2:$ND$60=E$4),0),$B149-1966)</f>
        <v>5</v>
      </c>
      <c r="F149" s="4" cm="1">
        <f t="array" ref="F149">INDEX(GMW!$A$2:$NF$60,MATCH(1,(GMW!$NE$2:$NE$60=F$3)*(GMW!$ND$2:$ND$60=F$4),0),$B149-1966)</f>
        <v>4.45</v>
      </c>
      <c r="G149" s="4" cm="1">
        <f t="array" ref="G149">INDEX(GMW!$A$2:$NF$60,MATCH(1,(GMW!$NE$2:$NE$60=G$3)*(GMW!$ND$2:$ND$60=G$4),0),$B149-1966)</f>
        <v>5.7966670000000002</v>
      </c>
      <c r="H149" s="4" cm="1">
        <f t="array" ref="H149">INDEX(GMW!$A$2:$NF$60,MATCH(1,(GMW!$NE$2:$NE$60=H$3)*(GMW!$ND$2:$ND$60=H$4),0),$B149-1966)</f>
        <v>6.8166669999999998</v>
      </c>
    </row>
    <row r="150" spans="1:8" x14ac:dyDescent="0.35">
      <c r="B150" s="4">
        <f t="shared" si="3"/>
        <v>2116</v>
      </c>
      <c r="C150" s="4" cm="1">
        <f t="array" ref="C150">INDEX(GMW!$A$2:$NF$60,MATCH(1,(GMW!$NE$2:$NE$60=C$3)*(GMW!$ND$2:$ND$60=C$4),0),$B150-1966)</f>
        <v>9604</v>
      </c>
      <c r="D150" s="4" cm="1">
        <f t="array" ref="D150">INDEX(GMW!$A$2:$NF$60,MATCH(1,(GMW!$NE$2:$NE$60=D$3)*(GMW!$ND$2:$ND$60=D$4),0),$B150-1966)</f>
        <v>24063</v>
      </c>
      <c r="E150" s="4" cm="1">
        <f t="array" ref="E150">INDEX(GMW!$A$2:$NF$60,MATCH(1,(GMW!$NE$2:$NE$60=E$3)*(GMW!$ND$2:$ND$60=E$4),0),$B150-1966)</f>
        <v>2</v>
      </c>
      <c r="F150" s="4" cm="1">
        <f t="array" ref="F150">INDEX(GMW!$A$2:$NF$60,MATCH(1,(GMW!$NE$2:$NE$60=F$3)*(GMW!$ND$2:$ND$60=F$4),0),$B150-1966)</f>
        <v>3.02</v>
      </c>
      <c r="G150" s="4" cm="1">
        <f t="array" ref="G150">INDEX(GMW!$A$2:$NF$60,MATCH(1,(GMW!$NE$2:$NE$60=G$3)*(GMW!$ND$2:$ND$60=G$4),0),$B150-1966)</f>
        <v>5.3866670000000001</v>
      </c>
      <c r="H150" s="4" cm="1">
        <f t="array" ref="H150">INDEX(GMW!$A$2:$NF$60,MATCH(1,(GMW!$NE$2:$NE$60=H$3)*(GMW!$ND$2:$ND$60=H$4),0),$B150-1966)</f>
        <v>6.0666669999999998</v>
      </c>
    </row>
    <row r="151" spans="1:8" x14ac:dyDescent="0.35">
      <c r="A151" s="4">
        <v>2009</v>
      </c>
      <c r="B151" s="4">
        <f t="shared" si="3"/>
        <v>2117</v>
      </c>
      <c r="C151" s="4" cm="1">
        <f t="array" ref="C151">INDEX(GMW!$A$2:$NF$60,MATCH(1,(GMW!$NE$2:$NE$60=C$3)*(GMW!$ND$2:$ND$60=C$4),0),$B151-1966)</f>
        <v>5672</v>
      </c>
      <c r="D151" s="4" cm="1">
        <f t="array" ref="D151">INDEX(GMW!$A$2:$NF$60,MATCH(1,(GMW!$NE$2:$NE$60=D$3)*(GMW!$ND$2:$ND$60=D$4),0),$B151-1966)</f>
        <v>19293</v>
      </c>
      <c r="E151" s="4" cm="1">
        <f t="array" ref="E151">INDEX(GMW!$A$2:$NF$60,MATCH(1,(GMW!$NE$2:$NE$60=E$3)*(GMW!$ND$2:$ND$60=E$4),0),$B151-1966)</f>
        <v>0.5</v>
      </c>
      <c r="F151" s="4" cm="1">
        <f t="array" ref="F151">INDEX(GMW!$A$2:$NF$60,MATCH(1,(GMW!$NE$2:$NE$60=F$3)*(GMW!$ND$2:$ND$60=F$4),0),$B151-1966)</f>
        <v>3.16</v>
      </c>
      <c r="G151" s="4" cm="1">
        <f t="array" ref="G151">INDEX(GMW!$A$2:$NF$60,MATCH(1,(GMW!$NE$2:$NE$60=G$3)*(GMW!$ND$2:$ND$60=G$4),0),$B151-1966)</f>
        <v>4.0833329999999997</v>
      </c>
      <c r="H151" s="4" cm="1">
        <f t="array" ref="H151">INDEX(GMW!$A$2:$NF$60,MATCH(1,(GMW!$NE$2:$NE$60=H$3)*(GMW!$ND$2:$ND$60=H$4),0),$B151-1966)</f>
        <v>3.8166669999999998</v>
      </c>
    </row>
    <row r="152" spans="1:8" x14ac:dyDescent="0.35">
      <c r="B152" s="4">
        <f t="shared" si="3"/>
        <v>2118</v>
      </c>
      <c r="C152" s="4" cm="1">
        <f t="array" ref="C152">INDEX(GMW!$A$2:$NF$60,MATCH(1,(GMW!$NE$2:$NE$60=C$3)*(GMW!$ND$2:$ND$60=C$4),0),$B152-1966)</f>
        <v>4933</v>
      </c>
      <c r="D152" s="4" cm="1">
        <f t="array" ref="D152">INDEX(GMW!$A$2:$NF$60,MATCH(1,(GMW!$NE$2:$NE$60=D$3)*(GMW!$ND$2:$ND$60=D$4),0),$B152-1966)</f>
        <v>17688</v>
      </c>
      <c r="E152" s="4" cm="1">
        <f t="array" ref="E152">INDEX(GMW!$A$2:$NF$60,MATCH(1,(GMW!$NE$2:$NE$60=E$3)*(GMW!$ND$2:$ND$60=E$4),0),$B152-1966)</f>
        <v>0.5</v>
      </c>
      <c r="F152" s="4" cm="1">
        <f t="array" ref="F152">INDEX(GMW!$A$2:$NF$60,MATCH(1,(GMW!$NE$2:$NE$60=F$3)*(GMW!$ND$2:$ND$60=F$4),0),$B152-1966)</f>
        <v>3.69</v>
      </c>
      <c r="G152" s="4" cm="1">
        <f t="array" ref="G152">INDEX(GMW!$A$2:$NF$60,MATCH(1,(GMW!$NE$2:$NE$60=G$3)*(GMW!$ND$2:$ND$60=G$4),0),$B152-1966)</f>
        <v>3.6</v>
      </c>
      <c r="H152" s="4" cm="1">
        <f t="array" ref="H152">INDEX(GMW!$A$2:$NF$60,MATCH(1,(GMW!$NE$2:$NE$60=H$3)*(GMW!$ND$2:$ND$60=H$4),0),$B152-1966)</f>
        <v>2.9933329999999998</v>
      </c>
    </row>
    <row r="153" spans="1:8" x14ac:dyDescent="0.35">
      <c r="B153" s="4">
        <f t="shared" si="3"/>
        <v>2119</v>
      </c>
      <c r="C153" s="4" cm="1">
        <f t="array" ref="C153">INDEX(GMW!$A$2:$NF$60,MATCH(1,(GMW!$NE$2:$NE$60=C$3)*(GMW!$ND$2:$ND$60=C$4),0),$B153-1966)</f>
        <v>4770</v>
      </c>
      <c r="D153" s="4" cm="1">
        <f t="array" ref="D153">INDEX(GMW!$A$2:$NF$60,MATCH(1,(GMW!$NE$2:$NE$60=D$3)*(GMW!$ND$2:$ND$60=D$4),0),$B153-1966)</f>
        <v>17528</v>
      </c>
      <c r="E153" s="4" cm="1">
        <f t="array" ref="E153">INDEX(GMW!$A$2:$NF$60,MATCH(1,(GMW!$NE$2:$NE$60=E$3)*(GMW!$ND$2:$ND$60=E$4),0),$B153-1966)</f>
        <v>0.5</v>
      </c>
      <c r="F153" s="4" cm="1">
        <f t="array" ref="F153">INDEX(GMW!$A$2:$NF$60,MATCH(1,(GMW!$NE$2:$NE$60=F$3)*(GMW!$ND$2:$ND$60=F$4),0),$B153-1966)</f>
        <v>3.59</v>
      </c>
      <c r="G153" s="4" cm="1">
        <f t="array" ref="G153">INDEX(GMW!$A$2:$NF$60,MATCH(1,(GMW!$NE$2:$NE$60=G$3)*(GMW!$ND$2:$ND$60=G$4),0),$B153-1966)</f>
        <v>3.576667</v>
      </c>
      <c r="H153" s="4" cm="1">
        <f t="array" ref="H153">INDEX(GMW!$A$2:$NF$60,MATCH(1,(GMW!$NE$2:$NE$60=H$3)*(GMW!$ND$2:$ND$60=H$4),0),$B153-1966)</f>
        <v>2.7766670000000002</v>
      </c>
    </row>
    <row r="154" spans="1:8" x14ac:dyDescent="0.35">
      <c r="B154" s="4">
        <f t="shared" si="3"/>
        <v>2120</v>
      </c>
      <c r="C154" s="4" cm="1">
        <f t="array" ref="C154">INDEX(GMW!$A$2:$NF$60,MATCH(1,(GMW!$NE$2:$NE$60=C$3)*(GMW!$ND$2:$ND$60=C$4),0),$B154-1966)</f>
        <v>4712</v>
      </c>
      <c r="D154" s="4" cm="1">
        <f t="array" ref="D154">INDEX(GMW!$A$2:$NF$60,MATCH(1,(GMW!$NE$2:$NE$60=D$3)*(GMW!$ND$2:$ND$60=D$4),0),$B154-1966)</f>
        <v>17230</v>
      </c>
      <c r="E154" s="4" cm="1">
        <f t="array" ref="E154">INDEX(GMW!$A$2:$NF$60,MATCH(1,(GMW!$NE$2:$NE$60=E$3)*(GMW!$ND$2:$ND$60=E$4),0),$B154-1966)</f>
        <v>0.5</v>
      </c>
      <c r="F154" s="4" cm="1">
        <f t="array" ref="F154">INDEX(GMW!$A$2:$NF$60,MATCH(1,(GMW!$NE$2:$NE$60=F$3)*(GMW!$ND$2:$ND$60=F$4),0),$B154-1966)</f>
        <v>4.01</v>
      </c>
      <c r="G154" s="4" cm="1">
        <f t="array" ref="G154">INDEX(GMW!$A$2:$NF$60,MATCH(1,(GMW!$NE$2:$NE$60=G$3)*(GMW!$ND$2:$ND$60=G$4),0),$B154-1966)</f>
        <v>3.5733329999999999</v>
      </c>
      <c r="H154" s="4" cm="1">
        <f t="array" ref="H154">INDEX(GMW!$A$2:$NF$60,MATCH(1,(GMW!$NE$2:$NE$60=H$3)*(GMW!$ND$2:$ND$60=H$4),0),$B154-1966)</f>
        <v>2.6566670000000001</v>
      </c>
    </row>
    <row r="155" spans="1:8" x14ac:dyDescent="0.35">
      <c r="A155" s="4">
        <v>2010</v>
      </c>
      <c r="B155" s="4">
        <f t="shared" si="3"/>
        <v>2121</v>
      </c>
      <c r="C155" s="4" cm="1">
        <f t="array" ref="C155">INDEX(GMW!$A$2:$NF$60,MATCH(1,(GMW!$NE$2:$NE$60=C$3)*(GMW!$ND$2:$ND$60=C$4),0),$B155-1966)</f>
        <v>4755</v>
      </c>
      <c r="D155" s="4" cm="1">
        <f t="array" ref="D155">INDEX(GMW!$A$2:$NF$60,MATCH(1,(GMW!$NE$2:$NE$60=D$3)*(GMW!$ND$2:$ND$60=D$4),0),$B155-1966)</f>
        <v>16457</v>
      </c>
      <c r="E155" s="4" cm="1">
        <f t="array" ref="E155">INDEX(GMW!$A$2:$NF$60,MATCH(1,(GMW!$NE$2:$NE$60=E$3)*(GMW!$ND$2:$ND$60=E$4),0),$B155-1966)</f>
        <v>0.5</v>
      </c>
      <c r="F155" s="4" cm="1">
        <f t="array" ref="F155">INDEX(GMW!$A$2:$NF$60,MATCH(1,(GMW!$NE$2:$NE$60=F$3)*(GMW!$ND$2:$ND$60=F$4),0),$B155-1966)</f>
        <v>3.95</v>
      </c>
      <c r="G155" s="4" cm="1">
        <f t="array" ref="G155">INDEX(GMW!$A$2:$NF$60,MATCH(1,(GMW!$NE$2:$NE$60=G$3)*(GMW!$ND$2:$ND$60=G$4),0),$B155-1966)</f>
        <v>3.6666669999999999</v>
      </c>
      <c r="H155" s="4" cm="1">
        <f t="array" ref="H155">INDEX(GMW!$A$2:$NF$60,MATCH(1,(GMW!$NE$2:$NE$60=H$3)*(GMW!$ND$2:$ND$60=H$4),0),$B155-1966)</f>
        <v>2.786667</v>
      </c>
    </row>
    <row r="156" spans="1:8" x14ac:dyDescent="0.35">
      <c r="B156" s="4">
        <f t="shared" si="3"/>
        <v>2122</v>
      </c>
      <c r="C156" s="4" cm="1">
        <f t="array" ref="C156">INDEX(GMW!$A$2:$NF$60,MATCH(1,(GMW!$NE$2:$NE$60=C$3)*(GMW!$ND$2:$ND$60=C$4),0),$B156-1966)</f>
        <v>4851</v>
      </c>
      <c r="D156" s="4" cm="1">
        <f t="array" ref="D156">INDEX(GMW!$A$2:$NF$60,MATCH(1,(GMW!$NE$2:$NE$60=D$3)*(GMW!$ND$2:$ND$60=D$4),0),$B156-1966)</f>
        <v>16329</v>
      </c>
      <c r="E156" s="4" cm="1">
        <f t="array" ref="E156">INDEX(GMW!$A$2:$NF$60,MATCH(1,(GMW!$NE$2:$NE$60=E$3)*(GMW!$ND$2:$ND$60=E$4),0),$B156-1966)</f>
        <v>0.5</v>
      </c>
      <c r="F156" s="4" cm="1">
        <f t="array" ref="F156">INDEX(GMW!$A$2:$NF$60,MATCH(1,(GMW!$NE$2:$NE$60=F$3)*(GMW!$ND$2:$ND$60=F$4),0),$B156-1966)</f>
        <v>3.36</v>
      </c>
      <c r="G156" s="4" cm="1">
        <f t="array" ref="G156">INDEX(GMW!$A$2:$NF$60,MATCH(1,(GMW!$NE$2:$NE$60=G$3)*(GMW!$ND$2:$ND$60=G$4),0),$B156-1966)</f>
        <v>3.66</v>
      </c>
      <c r="H156" s="4" cm="1">
        <f t="array" ref="H156">INDEX(GMW!$A$2:$NF$60,MATCH(1,(GMW!$NE$2:$NE$60=H$3)*(GMW!$ND$2:$ND$60=H$4),0),$B156-1966)</f>
        <v>2.8633329999999999</v>
      </c>
    </row>
    <row r="157" spans="1:8" x14ac:dyDescent="0.35">
      <c r="B157" s="4">
        <f t="shared" si="3"/>
        <v>2123</v>
      </c>
      <c r="C157" s="4" cm="1">
        <f t="array" ref="C157">INDEX(GMW!$A$2:$NF$60,MATCH(1,(GMW!$NE$2:$NE$60=C$3)*(GMW!$ND$2:$ND$60=C$4),0),$B157-1966)</f>
        <v>4778</v>
      </c>
      <c r="D157" s="4" cm="1">
        <f t="array" ref="D157">INDEX(GMW!$A$2:$NF$60,MATCH(1,(GMW!$NE$2:$NE$60=D$3)*(GMW!$ND$2:$ND$60=D$4),0),$B157-1966)</f>
        <v>16005</v>
      </c>
      <c r="E157" s="4" cm="1">
        <f t="array" ref="E157">INDEX(GMW!$A$2:$NF$60,MATCH(1,(GMW!$NE$2:$NE$60=E$3)*(GMW!$ND$2:$ND$60=E$4),0),$B157-1966)</f>
        <v>0.5</v>
      </c>
      <c r="F157" s="4" cm="1">
        <f t="array" ref="F157">INDEX(GMW!$A$2:$NF$60,MATCH(1,(GMW!$NE$2:$NE$60=F$3)*(GMW!$ND$2:$ND$60=F$4),0),$B157-1966)</f>
        <v>2.95</v>
      </c>
      <c r="G157" s="4" cm="1">
        <f t="array" ref="G157">INDEX(GMW!$A$2:$NF$60,MATCH(1,(GMW!$NE$2:$NE$60=G$3)*(GMW!$ND$2:$ND$60=G$4),0),$B157-1966)</f>
        <v>3.57</v>
      </c>
      <c r="H157" s="4" cm="1">
        <f t="array" ref="H157">INDEX(GMW!$A$2:$NF$60,MATCH(1,(GMW!$NE$2:$NE$60=H$3)*(GMW!$ND$2:$ND$60=H$4),0),$B157-1966)</f>
        <v>2.8866670000000001</v>
      </c>
    </row>
    <row r="158" spans="1:8" x14ac:dyDescent="0.35">
      <c r="B158" s="4">
        <f t="shared" si="3"/>
        <v>2124</v>
      </c>
      <c r="C158" s="4" cm="1">
        <f t="array" ref="C158">INDEX(GMW!$A$2:$NF$60,MATCH(1,(GMW!$NE$2:$NE$60=C$3)*(GMW!$ND$2:$ND$60=C$4),0),$B158-1966)</f>
        <v>4714</v>
      </c>
      <c r="D158" s="4" cm="1">
        <f t="array" ref="D158">INDEX(GMW!$A$2:$NF$60,MATCH(1,(GMW!$NE$2:$NE$60=D$3)*(GMW!$ND$2:$ND$60=D$4),0),$B158-1966)</f>
        <v>15827</v>
      </c>
      <c r="E158" s="4" cm="1">
        <f t="array" ref="E158">INDEX(GMW!$A$2:$NF$60,MATCH(1,(GMW!$NE$2:$NE$60=E$3)*(GMW!$ND$2:$ND$60=E$4),0),$B158-1966)</f>
        <v>0.5</v>
      </c>
      <c r="F158" s="4" cm="1">
        <f t="array" ref="F158">INDEX(GMW!$A$2:$NF$60,MATCH(1,(GMW!$NE$2:$NE$60=F$3)*(GMW!$ND$2:$ND$60=F$4),0),$B158-1966)</f>
        <v>3.4</v>
      </c>
      <c r="G158" s="4" cm="1">
        <f t="array" ref="G158">INDEX(GMW!$A$2:$NF$60,MATCH(1,(GMW!$NE$2:$NE$60=G$3)*(GMW!$ND$2:$ND$60=G$4),0),$B158-1966)</f>
        <v>3.5066670000000002</v>
      </c>
      <c r="H158" s="4" cm="1">
        <f t="array" ref="H158">INDEX(GMW!$A$2:$NF$60,MATCH(1,(GMW!$NE$2:$NE$60=H$3)*(GMW!$ND$2:$ND$60=H$4),0),$B158-1966)</f>
        <v>2.9033329999999999</v>
      </c>
    </row>
    <row r="159" spans="1:8" x14ac:dyDescent="0.35">
      <c r="A159" s="4">
        <v>2011</v>
      </c>
      <c r="B159" s="4">
        <f t="shared" si="3"/>
        <v>2125</v>
      </c>
      <c r="C159" s="4" cm="1">
        <f t="array" ref="C159">INDEX(GMW!$A$2:$NF$60,MATCH(1,(GMW!$NE$2:$NE$60=C$3)*(GMW!$ND$2:$ND$60=C$4),0),$B159-1966)</f>
        <v>5041</v>
      </c>
      <c r="D159" s="4" cm="1">
        <f t="array" ref="D159">INDEX(GMW!$A$2:$NF$60,MATCH(1,(GMW!$NE$2:$NE$60=D$3)*(GMW!$ND$2:$ND$60=D$4),0),$B159-1966)</f>
        <v>15816</v>
      </c>
      <c r="E159" s="4" cm="1">
        <f t="array" ref="E159">INDEX(GMW!$A$2:$NF$60,MATCH(1,(GMW!$NE$2:$NE$60=E$3)*(GMW!$ND$2:$ND$60=E$4),0),$B159-1966)</f>
        <v>0.5</v>
      </c>
      <c r="F159" s="4" cm="1">
        <f t="array" ref="F159">INDEX(GMW!$A$2:$NF$60,MATCH(1,(GMW!$NE$2:$NE$60=F$3)*(GMW!$ND$2:$ND$60=F$4),0),$B159-1966)</f>
        <v>3.69</v>
      </c>
      <c r="G159" s="4" cm="1">
        <f t="array" ref="G159">INDEX(GMW!$A$2:$NF$60,MATCH(1,(GMW!$NE$2:$NE$60=G$3)*(GMW!$ND$2:$ND$60=G$4),0),$B159-1966)</f>
        <v>3.496667</v>
      </c>
      <c r="H159" s="4" cm="1">
        <f t="array" ref="H159">INDEX(GMW!$A$2:$NF$60,MATCH(1,(GMW!$NE$2:$NE$60=H$3)*(GMW!$ND$2:$ND$60=H$4),0),$B159-1966)</f>
        <v>2.9166669999999999</v>
      </c>
    </row>
    <row r="160" spans="1:8" x14ac:dyDescent="0.35">
      <c r="B160" s="4">
        <f t="shared" si="3"/>
        <v>2126</v>
      </c>
      <c r="C160" s="4" cm="1">
        <f t="array" ref="C160">INDEX(GMW!$A$2:$NF$60,MATCH(1,(GMW!$NE$2:$NE$60=C$3)*(GMW!$ND$2:$ND$60=C$4),0),$B160-1966)</f>
        <v>5172</v>
      </c>
      <c r="D160" s="4" cm="1">
        <f t="array" ref="D160">INDEX(GMW!$A$2:$NF$60,MATCH(1,(GMW!$NE$2:$NE$60=D$3)*(GMW!$ND$2:$ND$60=D$4),0),$B160-1966)</f>
        <v>15576</v>
      </c>
      <c r="E160" s="4" cm="1">
        <f t="array" ref="E160">INDEX(GMW!$A$2:$NF$60,MATCH(1,(GMW!$NE$2:$NE$60=E$3)*(GMW!$ND$2:$ND$60=E$4),0),$B160-1966)</f>
        <v>0.5</v>
      </c>
      <c r="F160" s="4" cm="1">
        <f t="array" ref="F160">INDEX(GMW!$A$2:$NF$60,MATCH(1,(GMW!$NE$2:$NE$60=F$3)*(GMW!$ND$2:$ND$60=F$4),0),$B160-1966)</f>
        <v>3.39</v>
      </c>
      <c r="G160" s="4" cm="1">
        <f t="array" ref="G160">INDEX(GMW!$A$2:$NF$60,MATCH(1,(GMW!$NE$2:$NE$60=G$3)*(GMW!$ND$2:$ND$60=G$4),0),$B160-1966)</f>
        <v>3.47</v>
      </c>
      <c r="H160" s="4" cm="1">
        <f t="array" ref="H160">INDEX(GMW!$A$2:$NF$60,MATCH(1,(GMW!$NE$2:$NE$60=H$3)*(GMW!$ND$2:$ND$60=H$4),0),$B160-1966)</f>
        <v>2.95</v>
      </c>
    </row>
    <row r="161" spans="1:8" x14ac:dyDescent="0.35">
      <c r="B161" s="4">
        <f t="shared" si="3"/>
        <v>2127</v>
      </c>
      <c r="C161" s="4" cm="1">
        <f t="array" ref="C161">INDEX(GMW!$A$2:$NF$60,MATCH(1,(GMW!$NE$2:$NE$60=C$3)*(GMW!$ND$2:$ND$60=C$4),0),$B161-1966)</f>
        <v>5177</v>
      </c>
      <c r="D161" s="4" cm="1">
        <f t="array" ref="D161">INDEX(GMW!$A$2:$NF$60,MATCH(1,(GMW!$NE$2:$NE$60=D$3)*(GMW!$ND$2:$ND$60=D$4),0),$B161-1966)</f>
        <v>15289</v>
      </c>
      <c r="E161" s="4" cm="1">
        <f t="array" ref="E161">INDEX(GMW!$A$2:$NF$60,MATCH(1,(GMW!$NE$2:$NE$60=E$3)*(GMW!$ND$2:$ND$60=E$4),0),$B161-1966)</f>
        <v>0.5</v>
      </c>
      <c r="F161" s="4" cm="1">
        <f t="array" ref="F161">INDEX(GMW!$A$2:$NF$60,MATCH(1,(GMW!$NE$2:$NE$60=F$3)*(GMW!$ND$2:$ND$60=F$4),0),$B161-1966)</f>
        <v>2.42</v>
      </c>
      <c r="G161" s="4" cm="1">
        <f t="array" ref="G161">INDEX(GMW!$A$2:$NF$60,MATCH(1,(GMW!$NE$2:$NE$60=G$3)*(GMW!$ND$2:$ND$60=G$4),0),$B161-1966)</f>
        <v>3.4</v>
      </c>
      <c r="H161" s="4" cm="1">
        <f t="array" ref="H161">INDEX(GMW!$A$2:$NF$60,MATCH(1,(GMW!$NE$2:$NE$60=H$3)*(GMW!$ND$2:$ND$60=H$4),0),$B161-1966)</f>
        <v>2.996667</v>
      </c>
    </row>
    <row r="162" spans="1:8" x14ac:dyDescent="0.35">
      <c r="B162" s="4">
        <f t="shared" si="3"/>
        <v>2128</v>
      </c>
      <c r="C162" s="4" cm="1">
        <f t="array" ref="C162">INDEX(GMW!$A$2:$NF$60,MATCH(1,(GMW!$NE$2:$NE$60=C$3)*(GMW!$ND$2:$ND$60=C$4),0),$B162-1966)</f>
        <v>5409</v>
      </c>
      <c r="D162" s="4" cm="1">
        <f t="array" ref="D162">INDEX(GMW!$A$2:$NF$60,MATCH(1,(GMW!$NE$2:$NE$60=D$3)*(GMW!$ND$2:$ND$60=D$4),0),$B162-1966)</f>
        <v>15311</v>
      </c>
      <c r="E162" s="4" cm="1">
        <f t="array" ref="E162">INDEX(GMW!$A$2:$NF$60,MATCH(1,(GMW!$NE$2:$NE$60=E$3)*(GMW!$ND$2:$ND$60=E$4),0),$B162-1966)</f>
        <v>0.5</v>
      </c>
      <c r="F162" s="4" cm="1">
        <f t="array" ref="F162">INDEX(GMW!$A$2:$NF$60,MATCH(1,(GMW!$NE$2:$NE$60=F$3)*(GMW!$ND$2:$ND$60=F$4),0),$B162-1966)</f>
        <v>1.98</v>
      </c>
      <c r="G162" s="4" cm="1">
        <f t="array" ref="G162">INDEX(GMW!$A$2:$NF$60,MATCH(1,(GMW!$NE$2:$NE$60=G$3)*(GMW!$ND$2:$ND$60=G$4),0),$B162-1966)</f>
        <v>3.3666670000000001</v>
      </c>
      <c r="H162" s="4" cm="1">
        <f t="array" ref="H162">INDEX(GMW!$A$2:$NF$60,MATCH(1,(GMW!$NE$2:$NE$60=H$3)*(GMW!$ND$2:$ND$60=H$4),0),$B162-1966)</f>
        <v>3.05</v>
      </c>
    </row>
    <row r="163" spans="1:8" x14ac:dyDescent="0.35">
      <c r="A163" s="4">
        <v>2012</v>
      </c>
      <c r="B163" s="4">
        <f t="shared" si="3"/>
        <v>2129</v>
      </c>
      <c r="C163" s="4" cm="1">
        <f t="array" ref="C163">INDEX(GMW!$A$2:$NF$60,MATCH(1,(GMW!$NE$2:$NE$60=C$3)*(GMW!$ND$2:$ND$60=C$4),0),$B163-1966)</f>
        <v>5389</v>
      </c>
      <c r="D163" s="4" cm="1">
        <f t="array" ref="D163">INDEX(GMW!$A$2:$NF$60,MATCH(1,(GMW!$NE$2:$NE$60=D$3)*(GMW!$ND$2:$ND$60=D$4),0),$B163-1966)</f>
        <v>15463</v>
      </c>
      <c r="E163" s="4" cm="1">
        <f t="array" ref="E163">INDEX(GMW!$A$2:$NF$60,MATCH(1,(GMW!$NE$2:$NE$60=E$3)*(GMW!$ND$2:$ND$60=E$4),0),$B163-1966)</f>
        <v>0.5</v>
      </c>
      <c r="F163" s="4" cm="1">
        <f t="array" ref="F163">INDEX(GMW!$A$2:$NF$60,MATCH(1,(GMW!$NE$2:$NE$60=F$3)*(GMW!$ND$2:$ND$60=F$4),0),$B163-1966)</f>
        <v>2.2000000000000002</v>
      </c>
      <c r="G163" s="4" cm="1">
        <f t="array" ref="G163">INDEX(GMW!$A$2:$NF$60,MATCH(1,(GMW!$NE$2:$NE$60=G$3)*(GMW!$ND$2:$ND$60=G$4),0),$B163-1966)</f>
        <v>3.3666670000000001</v>
      </c>
      <c r="H163" s="4" cm="1">
        <f t="array" ref="H163">INDEX(GMW!$A$2:$NF$60,MATCH(1,(GMW!$NE$2:$NE$60=H$3)*(GMW!$ND$2:$ND$60=H$4),0),$B163-1966)</f>
        <v>3.2366670000000002</v>
      </c>
    </row>
    <row r="164" spans="1:8" x14ac:dyDescent="0.35">
      <c r="B164" s="4">
        <f t="shared" si="3"/>
        <v>2130</v>
      </c>
      <c r="C164" s="4" cm="1">
        <f t="array" ref="C164">INDEX(GMW!$A$2:$NF$60,MATCH(1,(GMW!$NE$2:$NE$60=C$3)*(GMW!$ND$2:$ND$60=C$4),0),$B164-1966)</f>
        <v>5617</v>
      </c>
      <c r="D164" s="4" cm="1">
        <f t="array" ref="D164">INDEX(GMW!$A$2:$NF$60,MATCH(1,(GMW!$NE$2:$NE$60=D$3)*(GMW!$ND$2:$ND$60=D$4),0),$B164-1966)</f>
        <v>15351</v>
      </c>
      <c r="E164" s="4" cm="1">
        <f t="array" ref="E164">INDEX(GMW!$A$2:$NF$60,MATCH(1,(GMW!$NE$2:$NE$60=E$3)*(GMW!$ND$2:$ND$60=E$4),0),$B164-1966)</f>
        <v>0.5</v>
      </c>
      <c r="F164" s="4" cm="1">
        <f t="array" ref="F164">INDEX(GMW!$A$2:$NF$60,MATCH(1,(GMW!$NE$2:$NE$60=F$3)*(GMW!$ND$2:$ND$60=F$4),0),$B164-1966)</f>
        <v>1.73</v>
      </c>
      <c r="G164" s="4" cm="1">
        <f t="array" ref="G164">INDEX(GMW!$A$2:$NF$60,MATCH(1,(GMW!$NE$2:$NE$60=G$3)*(GMW!$ND$2:$ND$60=G$4),0),$B164-1966)</f>
        <v>3.38</v>
      </c>
      <c r="H164" s="4" cm="1">
        <f t="array" ref="H164">INDEX(GMW!$A$2:$NF$60,MATCH(1,(GMW!$NE$2:$NE$60=H$3)*(GMW!$ND$2:$ND$60=H$4),0),$B164-1966)</f>
        <v>3.2366670000000002</v>
      </c>
    </row>
    <row r="165" spans="1:8" x14ac:dyDescent="0.35">
      <c r="B165" s="4">
        <f t="shared" si="3"/>
        <v>2131</v>
      </c>
      <c r="C165" s="4" cm="1">
        <f t="array" ref="C165">INDEX(GMW!$A$2:$NF$60,MATCH(1,(GMW!$NE$2:$NE$60=C$3)*(GMW!$ND$2:$ND$60=C$4),0),$B165-1966)</f>
        <v>5560</v>
      </c>
      <c r="D165" s="4" cm="1">
        <f t="array" ref="D165">INDEX(GMW!$A$2:$NF$60,MATCH(1,(GMW!$NE$2:$NE$60=D$3)*(GMW!$ND$2:$ND$60=D$4),0),$B165-1966)</f>
        <v>15308</v>
      </c>
      <c r="E165" s="4" cm="1">
        <f t="array" ref="E165">INDEX(GMW!$A$2:$NF$60,MATCH(1,(GMW!$NE$2:$NE$60=E$3)*(GMW!$ND$2:$ND$60=E$4),0),$B165-1966)</f>
        <v>0.5</v>
      </c>
      <c r="F165" s="4" cm="1">
        <f t="array" ref="F165">INDEX(GMW!$A$2:$NF$60,MATCH(1,(GMW!$NE$2:$NE$60=F$3)*(GMW!$ND$2:$ND$60=F$4),0),$B165-1966)</f>
        <v>1.72</v>
      </c>
      <c r="G165" s="4" cm="1">
        <f t="array" ref="G165">INDEX(GMW!$A$2:$NF$60,MATCH(1,(GMW!$NE$2:$NE$60=G$3)*(GMW!$ND$2:$ND$60=G$4),0),$B165-1966)</f>
        <v>3.3733330000000001</v>
      </c>
      <c r="H165" s="4" cm="1">
        <f t="array" ref="H165">INDEX(GMW!$A$2:$NF$60,MATCH(1,(GMW!$NE$2:$NE$60=H$3)*(GMW!$ND$2:$ND$60=H$4),0),$B165-1966)</f>
        <v>3.18</v>
      </c>
    </row>
    <row r="166" spans="1:8" x14ac:dyDescent="0.35">
      <c r="B166" s="4">
        <f t="shared" si="3"/>
        <v>2132</v>
      </c>
      <c r="C166" s="4" cm="1">
        <f t="array" ref="C166">INDEX(GMW!$A$2:$NF$60,MATCH(1,(GMW!$NE$2:$NE$60=C$3)*(GMW!$ND$2:$ND$60=C$4),0),$B166-1966)</f>
        <v>5693</v>
      </c>
      <c r="D166" s="4" cm="1">
        <f t="array" ref="D166">INDEX(GMW!$A$2:$NF$60,MATCH(1,(GMW!$NE$2:$NE$60=D$3)*(GMW!$ND$2:$ND$60=D$4),0),$B166-1966)</f>
        <v>15384</v>
      </c>
      <c r="E166" s="4" cm="1">
        <f t="array" ref="E166">INDEX(GMW!$A$2:$NF$60,MATCH(1,(GMW!$NE$2:$NE$60=E$3)*(GMW!$ND$2:$ND$60=E$4),0),$B166-1966)</f>
        <v>0.5</v>
      </c>
      <c r="F166" s="4" cm="1">
        <f t="array" ref="F166">INDEX(GMW!$A$2:$NF$60,MATCH(1,(GMW!$NE$2:$NE$60=F$3)*(GMW!$ND$2:$ND$60=F$4),0),$B166-1966)</f>
        <v>1.85</v>
      </c>
      <c r="G166" s="4" cm="1">
        <f t="array" ref="G166">INDEX(GMW!$A$2:$NF$60,MATCH(1,(GMW!$NE$2:$NE$60=G$3)*(GMW!$ND$2:$ND$60=G$4),0),$B166-1966)</f>
        <v>3.38</v>
      </c>
      <c r="H166" s="4" cm="1">
        <f t="array" ref="H166">INDEX(GMW!$A$2:$NF$60,MATCH(1,(GMW!$NE$2:$NE$60=H$3)*(GMW!$ND$2:$ND$60=H$4),0),$B166-1966)</f>
        <v>3.0866669999999998</v>
      </c>
    </row>
    <row r="167" spans="1:8" x14ac:dyDescent="0.35">
      <c r="A167" s="4">
        <v>2013</v>
      </c>
      <c r="B167" s="4">
        <f t="shared" si="3"/>
        <v>2133</v>
      </c>
      <c r="C167" s="4" cm="1">
        <f t="array" ref="C167">INDEX(GMW!$A$2:$NF$60,MATCH(1,(GMW!$NE$2:$NE$60=C$3)*(GMW!$ND$2:$ND$60=C$4),0),$B167-1966)</f>
        <v>5478</v>
      </c>
      <c r="D167" s="4" cm="1">
        <f t="array" ref="D167">INDEX(GMW!$A$2:$NF$60,MATCH(1,(GMW!$NE$2:$NE$60=D$3)*(GMW!$ND$2:$ND$60=D$4),0),$B167-1966)</f>
        <v>15257</v>
      </c>
      <c r="E167" s="4" cm="1">
        <f t="array" ref="E167">INDEX(GMW!$A$2:$NF$60,MATCH(1,(GMW!$NE$2:$NE$60=E$3)*(GMW!$ND$2:$ND$60=E$4),0),$B167-1966)</f>
        <v>0.5</v>
      </c>
      <c r="F167" s="4" cm="1">
        <f t="array" ref="F167">INDEX(GMW!$A$2:$NF$60,MATCH(1,(GMW!$NE$2:$NE$60=F$3)*(GMW!$ND$2:$ND$60=F$4),0),$B167-1966)</f>
        <v>1.78</v>
      </c>
      <c r="G167" s="4" cm="1">
        <f t="array" ref="G167">INDEX(GMW!$A$2:$NF$60,MATCH(1,(GMW!$NE$2:$NE$60=G$3)*(GMW!$ND$2:$ND$60=G$4),0),$B167-1966)</f>
        <v>3.3666670000000001</v>
      </c>
      <c r="H167" s="4" cm="1">
        <f t="array" ref="H167">INDEX(GMW!$A$2:$NF$60,MATCH(1,(GMW!$NE$2:$NE$60=H$3)*(GMW!$ND$2:$ND$60=H$4),0),$B167-1966)</f>
        <v>3.1033330000000001</v>
      </c>
    </row>
    <row r="168" spans="1:8" x14ac:dyDescent="0.35">
      <c r="B168" s="4">
        <f t="shared" si="3"/>
        <v>2134</v>
      </c>
      <c r="C168" s="4" cm="1">
        <f t="array" ref="C168">INDEX(GMW!$A$2:$NF$60,MATCH(1,(GMW!$NE$2:$NE$60=C$3)*(GMW!$ND$2:$ND$60=C$4),0),$B168-1966)</f>
        <v>5173</v>
      </c>
      <c r="D168" s="4" cm="1">
        <f t="array" ref="D168">INDEX(GMW!$A$2:$NF$60,MATCH(1,(GMW!$NE$2:$NE$60=D$3)*(GMW!$ND$2:$ND$60=D$4),0),$B168-1966)</f>
        <v>15377</v>
      </c>
      <c r="E168" s="4" cm="1">
        <f t="array" ref="E168">INDEX(GMW!$A$2:$NF$60,MATCH(1,(GMW!$NE$2:$NE$60=E$3)*(GMW!$ND$2:$ND$60=E$4),0),$B168-1966)</f>
        <v>0.5</v>
      </c>
      <c r="F168" s="4" cm="1">
        <f t="array" ref="F168">INDEX(GMW!$A$2:$NF$60,MATCH(1,(GMW!$NE$2:$NE$60=F$3)*(GMW!$ND$2:$ND$60=F$4),0),$B168-1966)</f>
        <v>2.44</v>
      </c>
      <c r="G168" s="4" cm="1">
        <f t="array" ref="G168">INDEX(GMW!$A$2:$NF$60,MATCH(1,(GMW!$NE$2:$NE$60=G$3)*(GMW!$ND$2:$ND$60=G$4),0),$B168-1966)</f>
        <v>3.3433329999999999</v>
      </c>
      <c r="H168" s="4" cm="1">
        <f t="array" ref="H168">INDEX(GMW!$A$2:$NF$60,MATCH(1,(GMW!$NE$2:$NE$60=H$3)*(GMW!$ND$2:$ND$60=H$4),0),$B168-1966)</f>
        <v>3.11</v>
      </c>
    </row>
    <row r="169" spans="1:8" x14ac:dyDescent="0.35">
      <c r="B169" s="4">
        <f t="shared" si="3"/>
        <v>2135</v>
      </c>
      <c r="C169" s="4" cm="1">
        <f t="array" ref="C169">INDEX(GMW!$A$2:$NF$60,MATCH(1,(GMW!$NE$2:$NE$60=C$3)*(GMW!$ND$2:$ND$60=C$4),0),$B169-1966)</f>
        <v>4796</v>
      </c>
      <c r="D169" s="4" cm="1">
        <f t="array" ref="D169">INDEX(GMW!$A$2:$NF$60,MATCH(1,(GMW!$NE$2:$NE$60=D$3)*(GMW!$ND$2:$ND$60=D$4),0),$B169-1966)</f>
        <v>15294</v>
      </c>
      <c r="E169" s="4" cm="1">
        <f t="array" ref="E169">INDEX(GMW!$A$2:$NF$60,MATCH(1,(GMW!$NE$2:$NE$60=E$3)*(GMW!$ND$2:$ND$60=E$4),0),$B169-1966)</f>
        <v>0.5</v>
      </c>
      <c r="F169" s="4" cm="1">
        <f t="array" ref="F169">INDEX(GMW!$A$2:$NF$60,MATCH(1,(GMW!$NE$2:$NE$60=F$3)*(GMW!$ND$2:$ND$60=F$4),0),$B169-1966)</f>
        <v>2.73</v>
      </c>
      <c r="G169" s="4" cm="1">
        <f t="array" ref="G169">INDEX(GMW!$A$2:$NF$60,MATCH(1,(GMW!$NE$2:$NE$60=G$3)*(GMW!$ND$2:$ND$60=G$4),0),$B169-1966)</f>
        <v>3.3166669999999998</v>
      </c>
      <c r="H169" s="4" cm="1">
        <f t="array" ref="H169">INDEX(GMW!$A$2:$NF$60,MATCH(1,(GMW!$NE$2:$NE$60=H$3)*(GMW!$ND$2:$ND$60=H$4),0),$B169-1966)</f>
        <v>3.12</v>
      </c>
    </row>
    <row r="170" spans="1:8" x14ac:dyDescent="0.35">
      <c r="B170" s="4">
        <f t="shared" si="3"/>
        <v>2136</v>
      </c>
      <c r="C170" s="4" cm="1">
        <f t="array" ref="C170">INDEX(GMW!$A$2:$NF$60,MATCH(1,(GMW!$NE$2:$NE$60=C$3)*(GMW!$ND$2:$ND$60=C$4),0),$B170-1966)</f>
        <v>4584</v>
      </c>
      <c r="D170" s="4" cm="1">
        <f t="array" ref="D170">INDEX(GMW!$A$2:$NF$60,MATCH(1,(GMW!$NE$2:$NE$60=D$3)*(GMW!$ND$2:$ND$60=D$4),0),$B170-1966)</f>
        <v>15190</v>
      </c>
      <c r="E170" s="4" cm="1">
        <f t="array" ref="E170">INDEX(GMW!$A$2:$NF$60,MATCH(1,(GMW!$NE$2:$NE$60=E$3)*(GMW!$ND$2:$ND$60=E$4),0),$B170-1966)</f>
        <v>0.5</v>
      </c>
      <c r="F170" s="4" cm="1">
        <f t="array" ref="F170">INDEX(GMW!$A$2:$NF$60,MATCH(1,(GMW!$NE$2:$NE$60=F$3)*(GMW!$ND$2:$ND$60=F$4),0),$B170-1966)</f>
        <v>3.04</v>
      </c>
      <c r="G170" s="4" cm="1">
        <f t="array" ref="G170">INDEX(GMW!$A$2:$NF$60,MATCH(1,(GMW!$NE$2:$NE$60=G$3)*(GMW!$ND$2:$ND$60=G$4),0),$B170-1966)</f>
        <v>3.28</v>
      </c>
      <c r="H170" s="4" cm="1">
        <f t="array" ref="H170">INDEX(GMW!$A$2:$NF$60,MATCH(1,(GMW!$NE$2:$NE$60=H$3)*(GMW!$ND$2:$ND$60=H$4),0),$B170-1966)</f>
        <v>3.1133329999999999</v>
      </c>
    </row>
    <row r="171" spans="1:8" x14ac:dyDescent="0.35">
      <c r="A171" s="4">
        <v>2014</v>
      </c>
      <c r="B171" s="4">
        <f t="shared" si="3"/>
        <v>2137</v>
      </c>
      <c r="C171" s="4" cm="1">
        <f t="array" ref="C171">INDEX(GMW!$A$2:$NF$60,MATCH(1,(GMW!$NE$2:$NE$60=C$3)*(GMW!$ND$2:$ND$60=C$4),0),$B171-1966)</f>
        <v>4321</v>
      </c>
      <c r="D171" s="4" cm="1">
        <f t="array" ref="D171">INDEX(GMW!$A$2:$NF$60,MATCH(1,(GMW!$NE$2:$NE$60=D$3)*(GMW!$ND$2:$ND$60=D$4),0),$B171-1966)</f>
        <v>15119</v>
      </c>
      <c r="E171" s="4" cm="1">
        <f t="array" ref="E171">INDEX(GMW!$A$2:$NF$60,MATCH(1,(GMW!$NE$2:$NE$60=E$3)*(GMW!$ND$2:$ND$60=E$4),0),$B171-1966)</f>
        <v>0.5</v>
      </c>
      <c r="F171" s="4" cm="1">
        <f t="array" ref="F171">INDEX(GMW!$A$2:$NF$60,MATCH(1,(GMW!$NE$2:$NE$60=F$3)*(GMW!$ND$2:$ND$60=F$4),0),$B171-1966)</f>
        <v>2.73</v>
      </c>
      <c r="G171" s="4" cm="1">
        <f t="array" ref="G171">INDEX(GMW!$A$2:$NF$60,MATCH(1,(GMW!$NE$2:$NE$60=G$3)*(GMW!$ND$2:$ND$60=G$4),0),$B171-1966)</f>
        <v>3.25</v>
      </c>
      <c r="H171" s="4" cm="1">
        <f t="array" ref="H171">INDEX(GMW!$A$2:$NF$60,MATCH(1,(GMW!$NE$2:$NE$60=H$3)*(GMW!$ND$2:$ND$60=H$4),0),$B171-1966)</f>
        <v>3.1066669999999998</v>
      </c>
    </row>
    <row r="172" spans="1:8" x14ac:dyDescent="0.35">
      <c r="B172" s="4">
        <f t="shared" si="3"/>
        <v>2138</v>
      </c>
      <c r="C172" s="4" cm="1">
        <f t="array" ref="C172">INDEX(GMW!$A$2:$NF$60,MATCH(1,(GMW!$NE$2:$NE$60=C$3)*(GMW!$ND$2:$ND$60=C$4),0),$B172-1966)</f>
        <v>4138</v>
      </c>
      <c r="D172" s="4" cm="1">
        <f t="array" ref="D172">INDEX(GMW!$A$2:$NF$60,MATCH(1,(GMW!$NE$2:$NE$60=D$3)*(GMW!$ND$2:$ND$60=D$4),0),$B172-1966)</f>
        <v>14992</v>
      </c>
      <c r="E172" s="4" cm="1">
        <f t="array" ref="E172">INDEX(GMW!$A$2:$NF$60,MATCH(1,(GMW!$NE$2:$NE$60=E$3)*(GMW!$ND$2:$ND$60=E$4),0),$B172-1966)</f>
        <v>0.5</v>
      </c>
      <c r="F172" s="4" cm="1">
        <f t="array" ref="F172">INDEX(GMW!$A$2:$NF$60,MATCH(1,(GMW!$NE$2:$NE$60=F$3)*(GMW!$ND$2:$ND$60=F$4),0),$B172-1966)</f>
        <v>2.68</v>
      </c>
      <c r="G172" s="4" cm="1">
        <f t="array" ref="G172">INDEX(GMW!$A$2:$NF$60,MATCH(1,(GMW!$NE$2:$NE$60=G$3)*(GMW!$ND$2:$ND$60=G$4),0),$B172-1966)</f>
        <v>3.233333</v>
      </c>
      <c r="H172" s="4" cm="1">
        <f t="array" ref="H172">INDEX(GMW!$A$2:$NF$60,MATCH(1,(GMW!$NE$2:$NE$60=H$3)*(GMW!$ND$2:$ND$60=H$4),0),$B172-1966)</f>
        <v>3.1366670000000001</v>
      </c>
    </row>
    <row r="173" spans="1:8" x14ac:dyDescent="0.35">
      <c r="B173" s="4">
        <f t="shared" si="3"/>
        <v>2139</v>
      </c>
      <c r="C173" s="4" cm="1">
        <f t="array" ref="C173">INDEX(GMW!$A$2:$NF$60,MATCH(1,(GMW!$NE$2:$NE$60=C$3)*(GMW!$ND$2:$ND$60=C$4),0),$B173-1966)</f>
        <v>3945</v>
      </c>
      <c r="D173" s="4" cm="1">
        <f t="array" ref="D173">INDEX(GMW!$A$2:$NF$60,MATCH(1,(GMW!$NE$2:$NE$60=D$3)*(GMW!$ND$2:$ND$60=D$4),0),$B173-1966)</f>
        <v>14958</v>
      </c>
      <c r="E173" s="4" cm="1">
        <f t="array" ref="E173">INDEX(GMW!$A$2:$NF$60,MATCH(1,(GMW!$NE$2:$NE$60=E$3)*(GMW!$ND$2:$ND$60=E$4),0),$B173-1966)</f>
        <v>0.5</v>
      </c>
      <c r="F173" s="4" cm="1">
        <f t="array" ref="F173">INDEX(GMW!$A$2:$NF$60,MATCH(1,(GMW!$NE$2:$NE$60=F$3)*(GMW!$ND$2:$ND$60=F$4),0),$B173-1966)</f>
        <v>2.4300000000000002</v>
      </c>
      <c r="G173" s="4" cm="1">
        <f t="array" ref="G173">INDEX(GMW!$A$2:$NF$60,MATCH(1,(GMW!$NE$2:$NE$60=G$3)*(GMW!$ND$2:$ND$60=G$4),0),$B173-1966)</f>
        <v>3.213333</v>
      </c>
      <c r="H173" s="4" cm="1">
        <f t="array" ref="H173">INDEX(GMW!$A$2:$NF$60,MATCH(1,(GMW!$NE$2:$NE$60=H$3)*(GMW!$ND$2:$ND$60=H$4),0),$B173-1966)</f>
        <v>3.1433330000000002</v>
      </c>
    </row>
    <row r="174" spans="1:8" x14ac:dyDescent="0.35">
      <c r="B174" s="4">
        <f t="shared" si="3"/>
        <v>2140</v>
      </c>
      <c r="C174" s="4" cm="1">
        <f t="array" ref="C174">INDEX(GMW!$A$2:$NF$60,MATCH(1,(GMW!$NE$2:$NE$60=C$3)*(GMW!$ND$2:$ND$60=C$4),0),$B174-1966)</f>
        <v>3789</v>
      </c>
      <c r="D174" s="4" cm="1">
        <f t="array" ref="D174">INDEX(GMW!$A$2:$NF$60,MATCH(1,(GMW!$NE$2:$NE$60=D$3)*(GMW!$ND$2:$ND$60=D$4),0),$B174-1966)</f>
        <v>14774</v>
      </c>
      <c r="E174" s="4" cm="1">
        <f t="array" ref="E174">INDEX(GMW!$A$2:$NF$60,MATCH(1,(GMW!$NE$2:$NE$60=E$3)*(GMW!$ND$2:$ND$60=E$4),0),$B174-1966)</f>
        <v>0.5</v>
      </c>
      <c r="F174" s="4" cm="1">
        <f t="array" ref="F174">INDEX(GMW!$A$2:$NF$60,MATCH(1,(GMW!$NE$2:$NE$60=F$3)*(GMW!$ND$2:$ND$60=F$4),0),$B174-1966)</f>
        <v>1.76</v>
      </c>
      <c r="G174" s="4" cm="1">
        <f t="array" ref="G174">INDEX(GMW!$A$2:$NF$60,MATCH(1,(GMW!$NE$2:$NE$60=G$3)*(GMW!$ND$2:$ND$60=G$4),0),$B174-1966)</f>
        <v>3.1866669999999999</v>
      </c>
      <c r="H174" s="4" cm="1">
        <f t="array" ref="H174">INDEX(GMW!$A$2:$NF$60,MATCH(1,(GMW!$NE$2:$NE$60=H$3)*(GMW!$ND$2:$ND$60=H$4),0),$B174-1966)</f>
        <v>3.1466669999999999</v>
      </c>
    </row>
    <row r="175" spans="1:8" x14ac:dyDescent="0.35">
      <c r="A175" s="4">
        <v>2015</v>
      </c>
      <c r="B175" s="4">
        <f t="shared" si="3"/>
        <v>2141</v>
      </c>
      <c r="C175" s="4" cm="1">
        <f t="array" ref="C175">INDEX(GMW!$A$2:$NF$60,MATCH(1,(GMW!$NE$2:$NE$60=C$3)*(GMW!$ND$2:$ND$60=C$4),0),$B175-1966)</f>
        <v>3677</v>
      </c>
      <c r="D175" s="4" cm="1">
        <f t="array" ref="D175">INDEX(GMW!$A$2:$NF$60,MATCH(1,(GMW!$NE$2:$NE$60=D$3)*(GMW!$ND$2:$ND$60=D$4),0),$B175-1966)</f>
        <v>14468</v>
      </c>
      <c r="E175" s="4" cm="1">
        <f t="array" ref="E175">INDEX(GMW!$A$2:$NF$60,MATCH(1,(GMW!$NE$2:$NE$60=E$3)*(GMW!$ND$2:$ND$60=E$4),0),$B175-1966)</f>
        <v>0.5</v>
      </c>
      <c r="F175" s="4" cm="1">
        <f t="array" ref="F175">INDEX(GMW!$A$2:$NF$60,MATCH(1,(GMW!$NE$2:$NE$60=F$3)*(GMW!$ND$2:$ND$60=F$4),0),$B175-1966)</f>
        <v>1.58</v>
      </c>
      <c r="G175" s="4" cm="1">
        <f t="array" ref="G175">INDEX(GMW!$A$2:$NF$60,MATCH(1,(GMW!$NE$2:$NE$60=G$3)*(GMW!$ND$2:$ND$60=G$4),0),$B175-1966)</f>
        <v>3.1533329999999999</v>
      </c>
      <c r="H175" s="4" cm="1">
        <f t="array" ref="H175">INDEX(GMW!$A$2:$NF$60,MATCH(1,(GMW!$NE$2:$NE$60=H$3)*(GMW!$ND$2:$ND$60=H$4),0),$B175-1966)</f>
        <v>3.1533329999999999</v>
      </c>
    </row>
    <row r="176" spans="1:8" x14ac:dyDescent="0.35">
      <c r="B176" s="4">
        <f t="shared" si="3"/>
        <v>2142</v>
      </c>
      <c r="C176" s="4" cm="1">
        <f t="array" ref="C176">INDEX(GMW!$A$2:$NF$60,MATCH(1,(GMW!$NE$2:$NE$60=C$3)*(GMW!$ND$2:$ND$60=C$4),0),$B176-1966)</f>
        <v>3718</v>
      </c>
      <c r="D176" s="4" cm="1">
        <f t="array" ref="D176">INDEX(GMW!$A$2:$NF$60,MATCH(1,(GMW!$NE$2:$NE$60=D$3)*(GMW!$ND$2:$ND$60=D$4),0),$B176-1966)</f>
        <v>14432</v>
      </c>
      <c r="E176" s="4" cm="1">
        <f t="array" ref="E176">INDEX(GMW!$A$2:$NF$60,MATCH(1,(GMW!$NE$2:$NE$60=E$3)*(GMW!$ND$2:$ND$60=E$4),0),$B176-1966)</f>
        <v>0.5</v>
      </c>
      <c r="F176" s="4" cm="1">
        <f t="array" ref="F176">INDEX(GMW!$A$2:$NF$60,MATCH(1,(GMW!$NE$2:$NE$60=F$3)*(GMW!$ND$2:$ND$60=F$4),0),$B176-1966)</f>
        <v>2.0099999999999998</v>
      </c>
      <c r="G176" s="4" cm="1">
        <f t="array" ref="G176">INDEX(GMW!$A$2:$NF$60,MATCH(1,(GMW!$NE$2:$NE$60=G$3)*(GMW!$ND$2:$ND$60=G$4),0),$B176-1966)</f>
        <v>3.1066669999999998</v>
      </c>
      <c r="H176" s="4" cm="1">
        <f t="array" ref="H176">INDEX(GMW!$A$2:$NF$60,MATCH(1,(GMW!$NE$2:$NE$60=H$3)*(GMW!$ND$2:$ND$60=H$4),0),$B176-1966)</f>
        <v>3.1366670000000001</v>
      </c>
    </row>
    <row r="177" spans="1:8" x14ac:dyDescent="0.35">
      <c r="B177" s="4">
        <f t="shared" ref="B177:B240" si="4">+B176+1</f>
        <v>2143</v>
      </c>
      <c r="C177" s="4" cm="1">
        <f t="array" ref="C177">INDEX(GMW!$A$2:$NF$60,MATCH(1,(GMW!$NE$2:$NE$60=C$3)*(GMW!$ND$2:$ND$60=C$4),0),$B177-1966)</f>
        <v>3746</v>
      </c>
      <c r="D177" s="4" cm="1">
        <f t="array" ref="D177">INDEX(GMW!$A$2:$NF$60,MATCH(1,(GMW!$NE$2:$NE$60=D$3)*(GMW!$ND$2:$ND$60=D$4),0),$B177-1966)</f>
        <v>14350</v>
      </c>
      <c r="E177" s="4" cm="1">
        <f t="array" ref="E177">INDEX(GMW!$A$2:$NF$60,MATCH(1,(GMW!$NE$2:$NE$60=E$3)*(GMW!$ND$2:$ND$60=E$4),0),$B177-1966)</f>
        <v>0.5</v>
      </c>
      <c r="F177" s="4" cm="1">
        <f t="array" ref="F177">INDEX(GMW!$A$2:$NF$60,MATCH(1,(GMW!$NE$2:$NE$60=F$3)*(GMW!$ND$2:$ND$60=F$4),0),$B177-1966)</f>
        <v>1.76</v>
      </c>
      <c r="G177" s="4" cm="1">
        <f t="array" ref="G177">INDEX(GMW!$A$2:$NF$60,MATCH(1,(GMW!$NE$2:$NE$60=G$3)*(GMW!$ND$2:$ND$60=G$4),0),$B177-1966)</f>
        <v>3.056667</v>
      </c>
      <c r="H177" s="4" cm="1">
        <f t="array" ref="H177">INDEX(GMW!$A$2:$NF$60,MATCH(1,(GMW!$NE$2:$NE$60=H$3)*(GMW!$ND$2:$ND$60=H$4),0),$B177-1966)</f>
        <v>3.13</v>
      </c>
    </row>
    <row r="178" spans="1:8" x14ac:dyDescent="0.35">
      <c r="B178" s="4">
        <f t="shared" si="4"/>
        <v>2144</v>
      </c>
      <c r="C178" s="4" cm="1">
        <f t="array" ref="C178">INDEX(GMW!$A$2:$NF$60,MATCH(1,(GMW!$NE$2:$NE$60=C$3)*(GMW!$ND$2:$ND$60=C$4),0),$B178-1966)</f>
        <v>3688</v>
      </c>
      <c r="D178" s="4" cm="1">
        <f t="array" ref="D178">INDEX(GMW!$A$2:$NF$60,MATCH(1,(GMW!$NE$2:$NE$60=D$3)*(GMW!$ND$2:$ND$60=D$4),0),$B178-1966)</f>
        <v>14363</v>
      </c>
      <c r="E178" s="4" cm="1">
        <f t="array" ref="E178">INDEX(GMW!$A$2:$NF$60,MATCH(1,(GMW!$NE$2:$NE$60=E$3)*(GMW!$ND$2:$ND$60=E$4),0),$B178-1966)</f>
        <v>0.5</v>
      </c>
      <c r="F178" s="4" cm="1">
        <f t="array" ref="F178">INDEX(GMW!$A$2:$NF$60,MATCH(1,(GMW!$NE$2:$NE$60=F$3)*(GMW!$ND$2:$ND$60=F$4),0),$B178-1966)</f>
        <v>1.96</v>
      </c>
      <c r="G178" s="4" cm="1">
        <f t="array" ref="G178">INDEX(GMW!$A$2:$NF$60,MATCH(1,(GMW!$NE$2:$NE$60=G$3)*(GMW!$ND$2:$ND$60=G$4),0),$B178-1966)</f>
        <v>3.01</v>
      </c>
      <c r="H178" s="4" cm="1">
        <f t="array" ref="H178">INDEX(GMW!$A$2:$NF$60,MATCH(1,(GMW!$NE$2:$NE$60=H$3)*(GMW!$ND$2:$ND$60=H$4),0),$B178-1966)</f>
        <v>3.1233330000000001</v>
      </c>
    </row>
    <row r="179" spans="1:8" x14ac:dyDescent="0.35">
      <c r="A179" s="4">
        <v>2016</v>
      </c>
      <c r="B179" s="4">
        <f t="shared" si="4"/>
        <v>2145</v>
      </c>
      <c r="C179" s="4" cm="1">
        <f t="array" ref="C179">INDEX(GMW!$A$2:$NF$60,MATCH(1,(GMW!$NE$2:$NE$60=C$3)*(GMW!$ND$2:$ND$60=C$4),0),$B179-1966)</f>
        <v>3686</v>
      </c>
      <c r="D179" s="4" cm="1">
        <f t="array" ref="D179">INDEX(GMW!$A$2:$NF$60,MATCH(1,(GMW!$NE$2:$NE$60=D$3)*(GMW!$ND$2:$ND$60=D$4),0),$B179-1966)</f>
        <v>14564</v>
      </c>
      <c r="E179" s="4" cm="1">
        <f t="array" ref="E179">INDEX(GMW!$A$2:$NF$60,MATCH(1,(GMW!$NE$2:$NE$60=E$3)*(GMW!$ND$2:$ND$60=E$4),0),$B179-1966)</f>
        <v>0.5</v>
      </c>
      <c r="F179" s="4" cm="1">
        <f t="array" ref="F179">INDEX(GMW!$A$2:$NF$60,MATCH(1,(GMW!$NE$2:$NE$60=F$3)*(GMW!$ND$2:$ND$60=F$4),0),$B179-1966)</f>
        <v>1.43</v>
      </c>
      <c r="G179" s="4" cm="1">
        <f t="array" ref="G179">INDEX(GMW!$A$2:$NF$60,MATCH(1,(GMW!$NE$2:$NE$60=G$3)*(GMW!$ND$2:$ND$60=G$4),0),$B179-1966)</f>
        <v>2.95</v>
      </c>
      <c r="H179" s="4" cm="1">
        <f t="array" ref="H179">INDEX(GMW!$A$2:$NF$60,MATCH(1,(GMW!$NE$2:$NE$60=H$3)*(GMW!$ND$2:$ND$60=H$4),0),$B179-1966)</f>
        <v>3.1466669999999999</v>
      </c>
    </row>
    <row r="180" spans="1:8" x14ac:dyDescent="0.35">
      <c r="B180" s="4">
        <f t="shared" si="4"/>
        <v>2146</v>
      </c>
      <c r="C180" s="4" cm="1">
        <f t="array" ref="C180">INDEX(GMW!$A$2:$NF$60,MATCH(1,(GMW!$NE$2:$NE$60=C$3)*(GMW!$ND$2:$ND$60=C$4),0),$B180-1966)</f>
        <v>3566</v>
      </c>
      <c r="D180" s="4" cm="1">
        <f t="array" ref="D180">INDEX(GMW!$A$2:$NF$60,MATCH(1,(GMW!$NE$2:$NE$60=D$3)*(GMW!$ND$2:$ND$60=D$4),0),$B180-1966)</f>
        <v>14435</v>
      </c>
      <c r="E180" s="4" cm="1">
        <f t="array" ref="E180">INDEX(GMW!$A$2:$NF$60,MATCH(1,(GMW!$NE$2:$NE$60=E$3)*(GMW!$ND$2:$ND$60=E$4),0),$B180-1966)</f>
        <v>0.5</v>
      </c>
      <c r="F180" s="4" cm="1">
        <f t="array" ref="F180">INDEX(GMW!$A$2:$NF$60,MATCH(1,(GMW!$NE$2:$NE$60=F$3)*(GMW!$ND$2:$ND$60=F$4),0),$B180-1966)</f>
        <v>0.89</v>
      </c>
      <c r="G180" s="4" cm="1">
        <f t="array" ref="G180">INDEX(GMW!$A$2:$NF$60,MATCH(1,(GMW!$NE$2:$NE$60=G$3)*(GMW!$ND$2:$ND$60=G$4),0),$B180-1966)</f>
        <v>2.9033329999999999</v>
      </c>
      <c r="H180" s="4" cm="1">
        <f t="array" ref="H180">INDEX(GMW!$A$2:$NF$60,MATCH(1,(GMW!$NE$2:$NE$60=H$3)*(GMW!$ND$2:$ND$60=H$4),0),$B180-1966)</f>
        <v>3.1333329999999999</v>
      </c>
    </row>
    <row r="181" spans="1:8" x14ac:dyDescent="0.35">
      <c r="B181" s="4">
        <f t="shared" si="4"/>
        <v>2147</v>
      </c>
      <c r="C181" s="4" cm="1">
        <f t="array" ref="C181">INDEX(GMW!$A$2:$NF$60,MATCH(1,(GMW!$NE$2:$NE$60=C$3)*(GMW!$ND$2:$ND$60=C$4),0),$B181-1966)</f>
        <v>3443</v>
      </c>
      <c r="D181" s="4" cm="1">
        <f t="array" ref="D181">INDEX(GMW!$A$2:$NF$60,MATCH(1,(GMW!$NE$2:$NE$60=D$3)*(GMW!$ND$2:$ND$60=D$4),0),$B181-1966)</f>
        <v>14389</v>
      </c>
      <c r="E181" s="4" cm="1">
        <f t="array" ref="E181">INDEX(GMW!$A$2:$NF$60,MATCH(1,(GMW!$NE$2:$NE$60=E$3)*(GMW!$ND$2:$ND$60=E$4),0),$B181-1966)</f>
        <v>0.25</v>
      </c>
      <c r="F181" s="4" cm="1">
        <f t="array" ref="F181">INDEX(GMW!$A$2:$NF$60,MATCH(1,(GMW!$NE$2:$NE$60=F$3)*(GMW!$ND$2:$ND$60=F$4),0),$B181-1966)</f>
        <v>0.76</v>
      </c>
      <c r="G181" s="4" cm="1">
        <f t="array" ref="G181">INDEX(GMW!$A$2:$NF$60,MATCH(1,(GMW!$NE$2:$NE$60=G$3)*(GMW!$ND$2:$ND$60=G$4),0),$B181-1966)</f>
        <v>2.82</v>
      </c>
      <c r="H181" s="4" cm="1">
        <f t="array" ref="H181">INDEX(GMW!$A$2:$NF$60,MATCH(1,(GMW!$NE$2:$NE$60=H$3)*(GMW!$ND$2:$ND$60=H$4),0),$B181-1966)</f>
        <v>3.05</v>
      </c>
    </row>
    <row r="182" spans="1:8" x14ac:dyDescent="0.35">
      <c r="B182" s="4">
        <f t="shared" si="4"/>
        <v>2148</v>
      </c>
      <c r="C182" s="4" cm="1">
        <f t="array" ref="C182">INDEX(GMW!$A$2:$NF$60,MATCH(1,(GMW!$NE$2:$NE$60=C$3)*(GMW!$ND$2:$ND$60=C$4),0),$B182-1966)</f>
        <v>3046</v>
      </c>
      <c r="D182" s="4" cm="1">
        <f t="array" ref="D182">INDEX(GMW!$A$2:$NF$60,MATCH(1,(GMW!$NE$2:$NE$60=D$3)*(GMW!$ND$2:$ND$60=D$4),0),$B182-1966)</f>
        <v>14141</v>
      </c>
      <c r="E182" s="4" cm="1">
        <f t="array" ref="E182">INDEX(GMW!$A$2:$NF$60,MATCH(1,(GMW!$NE$2:$NE$60=E$3)*(GMW!$ND$2:$ND$60=E$4),0),$B182-1966)</f>
        <v>0.25</v>
      </c>
      <c r="F182" s="4" cm="1">
        <f t="array" ref="F182">INDEX(GMW!$A$2:$NF$60,MATCH(1,(GMW!$NE$2:$NE$60=F$3)*(GMW!$ND$2:$ND$60=F$4),0),$B182-1966)</f>
        <v>1.24</v>
      </c>
      <c r="G182" s="4" cm="1">
        <f t="array" ref="G182">INDEX(GMW!$A$2:$NF$60,MATCH(1,(GMW!$NE$2:$NE$60=G$3)*(GMW!$ND$2:$ND$60=G$4),0),$B182-1966)</f>
        <v>2.6866669999999999</v>
      </c>
      <c r="H182" s="4" cm="1">
        <f t="array" ref="H182">INDEX(GMW!$A$2:$NF$60,MATCH(1,(GMW!$NE$2:$NE$60=H$3)*(GMW!$ND$2:$ND$60=H$4),0),$B182-1966)</f>
        <v>2.9533330000000002</v>
      </c>
    </row>
    <row r="183" spans="1:8" x14ac:dyDescent="0.35">
      <c r="A183" s="4">
        <v>2017</v>
      </c>
      <c r="B183" s="4">
        <f t="shared" si="4"/>
        <v>2149</v>
      </c>
      <c r="C183" s="4" cm="1">
        <f t="array" ref="C183">INDEX(GMW!$A$2:$NF$60,MATCH(1,(GMW!$NE$2:$NE$60=C$3)*(GMW!$ND$2:$ND$60=C$4),0),$B183-1966)</f>
        <v>2732</v>
      </c>
      <c r="D183" s="4" cm="1">
        <f t="array" ref="D183">INDEX(GMW!$A$2:$NF$60,MATCH(1,(GMW!$NE$2:$NE$60=D$3)*(GMW!$ND$2:$ND$60=D$4),0),$B183-1966)</f>
        <v>13900</v>
      </c>
      <c r="E183" s="4" cm="1">
        <f t="array" ref="E183">INDEX(GMW!$A$2:$NF$60,MATCH(1,(GMW!$NE$2:$NE$60=E$3)*(GMW!$ND$2:$ND$60=E$4),0),$B183-1966)</f>
        <v>0.25</v>
      </c>
      <c r="F183" s="4" cm="1">
        <f t="array" ref="F183">INDEX(GMW!$A$2:$NF$60,MATCH(1,(GMW!$NE$2:$NE$60=F$3)*(GMW!$ND$2:$ND$60=F$4),0),$B183-1966)</f>
        <v>1.1399999999999999</v>
      </c>
      <c r="G183" s="4" cm="1">
        <f t="array" ref="G183">INDEX(GMW!$A$2:$NF$60,MATCH(1,(GMW!$NE$2:$NE$60=G$3)*(GMW!$ND$2:$ND$60=G$4),0),$B183-1966)</f>
        <v>2.6266669999999999</v>
      </c>
      <c r="H183" s="4" cm="1">
        <f t="array" ref="H183">INDEX(GMW!$A$2:$NF$60,MATCH(1,(GMW!$NE$2:$NE$60=H$3)*(GMW!$ND$2:$ND$60=H$4),0),$B183-1966)</f>
        <v>2.93</v>
      </c>
    </row>
    <row r="184" spans="1:8" x14ac:dyDescent="0.35">
      <c r="B184" s="4">
        <f t="shared" si="4"/>
        <v>2150</v>
      </c>
      <c r="C184" s="4" cm="1">
        <f t="array" ref="C184">INDEX(GMW!$A$2:$NF$60,MATCH(1,(GMW!$NE$2:$NE$60=C$3)*(GMW!$ND$2:$ND$60=C$4),0),$B184-1966)</f>
        <v>2713</v>
      </c>
      <c r="D184" s="4" cm="1">
        <f t="array" ref="D184">INDEX(GMW!$A$2:$NF$60,MATCH(1,(GMW!$NE$2:$NE$60=D$3)*(GMW!$ND$2:$ND$60=D$4),0),$B184-1966)</f>
        <v>14045</v>
      </c>
      <c r="E184" s="4" cm="1">
        <f t="array" ref="E184">INDEX(GMW!$A$2:$NF$60,MATCH(1,(GMW!$NE$2:$NE$60=E$3)*(GMW!$ND$2:$ND$60=E$4),0),$B184-1966)</f>
        <v>0.25</v>
      </c>
      <c r="F184" s="4" cm="1">
        <f t="array" ref="F184">INDEX(GMW!$A$2:$NF$60,MATCH(1,(GMW!$NE$2:$NE$60=F$3)*(GMW!$ND$2:$ND$60=F$4),0),$B184-1966)</f>
        <v>1.26</v>
      </c>
      <c r="G184" s="4" cm="1">
        <f t="array" ref="G184">INDEX(GMW!$A$2:$NF$60,MATCH(1,(GMW!$NE$2:$NE$60=G$3)*(GMW!$ND$2:$ND$60=G$4),0),$B184-1966)</f>
        <v>2.5866669999999998</v>
      </c>
      <c r="H184" s="4" cm="1">
        <f t="array" ref="H184">INDEX(GMW!$A$2:$NF$60,MATCH(1,(GMW!$NE$2:$NE$60=H$3)*(GMW!$ND$2:$ND$60=H$4),0),$B184-1966)</f>
        <v>2.8866670000000001</v>
      </c>
    </row>
    <row r="185" spans="1:8" x14ac:dyDescent="0.35">
      <c r="B185" s="4">
        <f t="shared" si="4"/>
        <v>2151</v>
      </c>
      <c r="C185" s="4" cm="1">
        <f t="array" ref="C185">INDEX(GMW!$A$2:$NF$60,MATCH(1,(GMW!$NE$2:$NE$60=C$3)*(GMW!$ND$2:$ND$60=C$4),0),$B185-1966)</f>
        <v>2680</v>
      </c>
      <c r="D185" s="4" cm="1">
        <f t="array" ref="D185">INDEX(GMW!$A$2:$NF$60,MATCH(1,(GMW!$NE$2:$NE$60=D$3)*(GMW!$ND$2:$ND$60=D$4),0),$B185-1966)</f>
        <v>13887</v>
      </c>
      <c r="E185" s="4" cm="1">
        <f t="array" ref="E185">INDEX(GMW!$A$2:$NF$60,MATCH(1,(GMW!$NE$2:$NE$60=E$3)*(GMW!$ND$2:$ND$60=E$4),0),$B185-1966)</f>
        <v>0.25</v>
      </c>
      <c r="F185" s="4" cm="1">
        <f t="array" ref="F185">INDEX(GMW!$A$2:$NF$60,MATCH(1,(GMW!$NE$2:$NE$60=F$3)*(GMW!$ND$2:$ND$60=F$4),0),$B185-1966)</f>
        <v>1.38</v>
      </c>
      <c r="G185" s="4" cm="1">
        <f t="array" ref="G185">INDEX(GMW!$A$2:$NF$60,MATCH(1,(GMW!$NE$2:$NE$60=G$3)*(GMW!$ND$2:$ND$60=G$4),0),$B185-1966)</f>
        <v>2.5333329999999998</v>
      </c>
      <c r="H185" s="4" cm="1">
        <f t="array" ref="H185">INDEX(GMW!$A$2:$NF$60,MATCH(1,(GMW!$NE$2:$NE$60=H$3)*(GMW!$ND$2:$ND$60=H$4),0),$B185-1966)</f>
        <v>2.7933330000000001</v>
      </c>
    </row>
    <row r="186" spans="1:8" x14ac:dyDescent="0.35">
      <c r="B186" s="4">
        <f t="shared" si="4"/>
        <v>2152</v>
      </c>
      <c r="C186" s="4" cm="1">
        <f t="array" ref="C186">INDEX(GMW!$A$2:$NF$60,MATCH(1,(GMW!$NE$2:$NE$60=C$3)*(GMW!$ND$2:$ND$60=C$4),0),$B186-1966)</f>
        <v>2737</v>
      </c>
      <c r="D186" s="4" cm="1">
        <f t="array" ref="D186">INDEX(GMW!$A$2:$NF$60,MATCH(1,(GMW!$NE$2:$NE$60=D$3)*(GMW!$ND$2:$ND$60=D$4),0),$B186-1966)</f>
        <v>13832</v>
      </c>
      <c r="E186" s="4" cm="1">
        <f t="array" ref="E186">INDEX(GMW!$A$2:$NF$60,MATCH(1,(GMW!$NE$2:$NE$60=E$3)*(GMW!$ND$2:$ND$60=E$4),0),$B186-1966)</f>
        <v>0.5</v>
      </c>
      <c r="F186" s="4" cm="1">
        <f t="array" ref="F186">INDEX(GMW!$A$2:$NF$60,MATCH(1,(GMW!$NE$2:$NE$60=F$3)*(GMW!$ND$2:$ND$60=F$4),0),$B186-1966)</f>
        <v>1.19</v>
      </c>
      <c r="G186" s="4" cm="1">
        <f t="array" ref="G186">INDEX(GMW!$A$2:$NF$60,MATCH(1,(GMW!$NE$2:$NE$60=G$3)*(GMW!$ND$2:$ND$60=G$4),0),$B186-1966)</f>
        <v>2.516667</v>
      </c>
      <c r="H186" s="4" cm="1">
        <f t="array" ref="H186">INDEX(GMW!$A$2:$NF$60,MATCH(1,(GMW!$NE$2:$NE$60=H$3)*(GMW!$ND$2:$ND$60=H$4),0),$B186-1966)</f>
        <v>2.8966669999999999</v>
      </c>
    </row>
    <row r="187" spans="1:8" x14ac:dyDescent="0.35">
      <c r="A187" s="4">
        <v>2018</v>
      </c>
      <c r="B187" s="4">
        <f t="shared" si="4"/>
        <v>2153</v>
      </c>
      <c r="C187" s="4" cm="1">
        <f t="array" ref="C187">INDEX(GMW!$A$2:$NF$60,MATCH(1,(GMW!$NE$2:$NE$60=C$3)*(GMW!$ND$2:$ND$60=C$4),0),$B187-1966)</f>
        <v>2986</v>
      </c>
      <c r="D187" s="4" cm="1">
        <f t="array" ref="D187">INDEX(GMW!$A$2:$NF$60,MATCH(1,(GMW!$NE$2:$NE$60=D$3)*(GMW!$ND$2:$ND$60=D$4),0),$B187-1966)</f>
        <v>14042</v>
      </c>
      <c r="E187" s="4" cm="1">
        <f t="array" ref="E187">INDEX(GMW!$A$2:$NF$60,MATCH(1,(GMW!$NE$2:$NE$60=E$3)*(GMW!$ND$2:$ND$60=E$4),0),$B187-1966)</f>
        <v>0.5</v>
      </c>
      <c r="F187" s="4" cm="1">
        <f t="array" ref="F187">INDEX(GMW!$A$2:$NF$60,MATCH(1,(GMW!$NE$2:$NE$60=F$3)*(GMW!$ND$2:$ND$60=F$4),0),$B187-1966)</f>
        <v>1.34</v>
      </c>
      <c r="G187" s="4" cm="1">
        <f t="array" ref="G187">INDEX(GMW!$A$2:$NF$60,MATCH(1,(GMW!$NE$2:$NE$60=G$3)*(GMW!$ND$2:$ND$60=G$4),0),$B187-1966)</f>
        <v>2.52</v>
      </c>
      <c r="H187" s="4" cm="1">
        <f t="array" ref="H187">INDEX(GMW!$A$2:$NF$60,MATCH(1,(GMW!$NE$2:$NE$60=H$3)*(GMW!$ND$2:$ND$60=H$4),0),$B187-1966)</f>
        <v>3.0666669999999998</v>
      </c>
    </row>
    <row r="188" spans="1:8" x14ac:dyDescent="0.35">
      <c r="B188" s="4">
        <f t="shared" si="4"/>
        <v>2154</v>
      </c>
      <c r="C188" s="4" cm="1">
        <f t="array" ref="C188">INDEX(GMW!$A$2:$NF$60,MATCH(1,(GMW!$NE$2:$NE$60=C$3)*(GMW!$ND$2:$ND$60=C$4),0),$B188-1966)</f>
        <v>2891</v>
      </c>
      <c r="D188" s="4" cm="1">
        <f t="array" ref="D188">INDEX(GMW!$A$2:$NF$60,MATCH(1,(GMW!$NE$2:$NE$60=D$3)*(GMW!$ND$2:$ND$60=D$4),0),$B188-1966)</f>
        <v>14070</v>
      </c>
      <c r="E188" s="4" cm="1">
        <f t="array" ref="E188">INDEX(GMW!$A$2:$NF$60,MATCH(1,(GMW!$NE$2:$NE$60=E$3)*(GMW!$ND$2:$ND$60=E$4),0),$B188-1966)</f>
        <v>0.5</v>
      </c>
      <c r="F188" s="4" cm="1">
        <f t="array" ref="F188">INDEX(GMW!$A$2:$NF$60,MATCH(1,(GMW!$NE$2:$NE$60=F$3)*(GMW!$ND$2:$ND$60=F$4),0),$B188-1966)</f>
        <v>1.28</v>
      </c>
      <c r="G188" s="4" cm="1">
        <f t="array" ref="G188">INDEX(GMW!$A$2:$NF$60,MATCH(1,(GMW!$NE$2:$NE$60=G$3)*(GMW!$ND$2:$ND$60=G$4),0),$B188-1966)</f>
        <v>2.483333</v>
      </c>
      <c r="H188" s="4" cm="1">
        <f t="array" ref="H188">INDEX(GMW!$A$2:$NF$60,MATCH(1,(GMW!$NE$2:$NE$60=H$3)*(GMW!$ND$2:$ND$60=H$4),0),$B188-1966)</f>
        <v>3.1966670000000001</v>
      </c>
    </row>
    <row r="189" spans="1:8" x14ac:dyDescent="0.35">
      <c r="B189" s="4">
        <f t="shared" si="4"/>
        <v>2155</v>
      </c>
      <c r="C189" s="4" cm="1">
        <f t="array" ref="C189">INDEX(GMW!$A$2:$NF$60,MATCH(1,(GMW!$NE$2:$NE$60=C$3)*(GMW!$ND$2:$ND$60=C$4),0),$B189-1966)</f>
        <v>3044</v>
      </c>
      <c r="D189" s="4" cm="1">
        <f t="array" ref="D189">INDEX(GMW!$A$2:$NF$60,MATCH(1,(GMW!$NE$2:$NE$60=D$3)*(GMW!$ND$2:$ND$60=D$4),0),$B189-1966)</f>
        <v>14173</v>
      </c>
      <c r="E189" s="4" cm="1">
        <f t="array" ref="E189">INDEX(GMW!$A$2:$NF$60,MATCH(1,(GMW!$NE$2:$NE$60=E$3)*(GMW!$ND$2:$ND$60=E$4),0),$B189-1966)</f>
        <v>0.75</v>
      </c>
      <c r="F189" s="4" cm="1">
        <f t="array" ref="F189">INDEX(GMW!$A$2:$NF$60,MATCH(1,(GMW!$NE$2:$NE$60=F$3)*(GMW!$ND$2:$ND$60=F$4),0),$B189-1966)</f>
        <v>1.57</v>
      </c>
      <c r="G189" s="4" cm="1">
        <f t="array" ref="G189">INDEX(GMW!$A$2:$NF$60,MATCH(1,(GMW!$NE$2:$NE$60=G$3)*(GMW!$ND$2:$ND$60=G$4),0),$B189-1966)</f>
        <v>2.48</v>
      </c>
      <c r="H189" s="4" cm="1">
        <f t="array" ref="H189">INDEX(GMW!$A$2:$NF$60,MATCH(1,(GMW!$NE$2:$NE$60=H$3)*(GMW!$ND$2:$ND$60=H$4),0),$B189-1966)</f>
        <v>3.253333</v>
      </c>
    </row>
    <row r="190" spans="1:8" x14ac:dyDescent="0.35">
      <c r="B190" s="4">
        <f t="shared" si="4"/>
        <v>2156</v>
      </c>
      <c r="C190" s="4" cm="1">
        <f t="array" ref="C190">INDEX(GMW!$A$2:$NF$60,MATCH(1,(GMW!$NE$2:$NE$60=C$3)*(GMW!$ND$2:$ND$60=C$4),0),$B190-1966)</f>
        <v>3192</v>
      </c>
      <c r="D190" s="4" cm="1">
        <f t="array" ref="D190">INDEX(GMW!$A$2:$NF$60,MATCH(1,(GMW!$NE$2:$NE$60=D$3)*(GMW!$ND$2:$ND$60=D$4),0),$B190-1966)</f>
        <v>14376</v>
      </c>
      <c r="E190" s="4" cm="1">
        <f t="array" ref="E190">INDEX(GMW!$A$2:$NF$60,MATCH(1,(GMW!$NE$2:$NE$60=E$3)*(GMW!$ND$2:$ND$60=E$4),0),$B190-1966)</f>
        <v>0.75</v>
      </c>
      <c r="F190" s="4" cm="1">
        <f t="array" ref="F190">INDEX(GMW!$A$2:$NF$60,MATCH(1,(GMW!$NE$2:$NE$60=F$3)*(GMW!$ND$2:$ND$60=F$4),0),$B190-1966)</f>
        <v>1.27</v>
      </c>
      <c r="G190" s="4" cm="1">
        <f t="array" ref="G190">INDEX(GMW!$A$2:$NF$60,MATCH(1,(GMW!$NE$2:$NE$60=G$3)*(GMW!$ND$2:$ND$60=G$4),0),$B190-1966)</f>
        <v>2.4933329999999998</v>
      </c>
      <c r="H190" s="4" cm="1">
        <f t="array" ref="H190">INDEX(GMW!$A$2:$NF$60,MATCH(1,(GMW!$NE$2:$NE$60=H$3)*(GMW!$ND$2:$ND$60=H$4),0),$B190-1966)</f>
        <v>3.2933330000000001</v>
      </c>
    </row>
    <row r="191" spans="1:8" x14ac:dyDescent="0.35">
      <c r="A191" s="4">
        <v>2019</v>
      </c>
      <c r="B191" s="4">
        <f t="shared" si="4"/>
        <v>2157</v>
      </c>
      <c r="C191" s="4" cm="1">
        <f t="array" ref="C191">INDEX(GMW!$A$2:$NF$60,MATCH(1,(GMW!$NE$2:$NE$60=C$3)*(GMW!$ND$2:$ND$60=C$4),0),$B191-1966)</f>
        <v>3148</v>
      </c>
      <c r="D191" s="4" cm="1">
        <f t="array" ref="D191">INDEX(GMW!$A$2:$NF$60,MATCH(1,(GMW!$NE$2:$NE$60=D$3)*(GMW!$ND$2:$ND$60=D$4),0),$B191-1966)</f>
        <v>14287</v>
      </c>
      <c r="E191" s="4" cm="1">
        <f t="array" ref="E191">INDEX(GMW!$A$2:$NF$60,MATCH(1,(GMW!$NE$2:$NE$60=E$3)*(GMW!$ND$2:$ND$60=E$4),0),$B191-1966)</f>
        <v>0.75</v>
      </c>
      <c r="F191" s="4" cm="1">
        <f t="array" ref="F191">INDEX(GMW!$A$2:$NF$60,MATCH(1,(GMW!$NE$2:$NE$60=F$3)*(GMW!$ND$2:$ND$60=F$4),0),$B191-1966)</f>
        <v>0.99</v>
      </c>
      <c r="G191" s="4" cm="1">
        <f t="array" ref="G191">INDEX(GMW!$A$2:$NF$60,MATCH(1,(GMW!$NE$2:$NE$60=G$3)*(GMW!$ND$2:$ND$60=G$4),0),$B191-1966)</f>
        <v>2.463333</v>
      </c>
      <c r="H191" s="4" cm="1">
        <f t="array" ref="H191">INDEX(GMW!$A$2:$NF$60,MATCH(1,(GMW!$NE$2:$NE$60=H$3)*(GMW!$ND$2:$ND$60=H$4),0),$B191-1966)</f>
        <v>3.3433329999999999</v>
      </c>
    </row>
    <row r="192" spans="1:8" x14ac:dyDescent="0.35">
      <c r="B192" s="4">
        <f t="shared" si="4"/>
        <v>2158</v>
      </c>
      <c r="C192" s="4" cm="1">
        <f t="array" ref="C192">INDEX(GMW!$A$2:$NF$60,MATCH(1,(GMW!$NE$2:$NE$60=C$3)*(GMW!$ND$2:$ND$60=C$4),0),$B192-1966)</f>
        <v>3299</v>
      </c>
      <c r="D192" s="4" cm="1">
        <f t="array" ref="D192">INDEX(GMW!$A$2:$NF$60,MATCH(1,(GMW!$NE$2:$NE$60=D$3)*(GMW!$ND$2:$ND$60=D$4),0),$B192-1966)</f>
        <v>14229</v>
      </c>
      <c r="E192" s="4" cm="1">
        <f t="array" ref="E192">INDEX(GMW!$A$2:$NF$60,MATCH(1,(GMW!$NE$2:$NE$60=E$3)*(GMW!$ND$2:$ND$60=E$4),0),$B192-1966)</f>
        <v>0.75</v>
      </c>
      <c r="F192" s="4" cm="1">
        <f t="array" ref="F192">INDEX(GMW!$A$2:$NF$60,MATCH(1,(GMW!$NE$2:$NE$60=F$3)*(GMW!$ND$2:$ND$60=F$4),0),$B192-1966)</f>
        <v>0.84</v>
      </c>
      <c r="G192" s="4" cm="1">
        <f t="array" ref="G192">INDEX(GMW!$A$2:$NF$60,MATCH(1,(GMW!$NE$2:$NE$60=G$3)*(GMW!$ND$2:$ND$60=G$4),0),$B192-1966)</f>
        <v>2.4366669999999999</v>
      </c>
      <c r="H192" s="4" cm="1">
        <f t="array" ref="H192">INDEX(GMW!$A$2:$NF$60,MATCH(1,(GMW!$NE$2:$NE$60=H$3)*(GMW!$ND$2:$ND$60=H$4),0),$B192-1966)</f>
        <v>3.3233329999999999</v>
      </c>
    </row>
    <row r="193" spans="1:8" x14ac:dyDescent="0.35">
      <c r="B193" s="4">
        <f t="shared" si="4"/>
        <v>2159</v>
      </c>
      <c r="C193" s="4" cm="1">
        <f t="array" ref="C193">INDEX(GMW!$A$2:$NF$60,MATCH(1,(GMW!$NE$2:$NE$60=C$3)*(GMW!$ND$2:$ND$60=C$4),0),$B193-1966)</f>
        <v>3224</v>
      </c>
      <c r="D193" s="4" cm="1">
        <f t="array" ref="D193">INDEX(GMW!$A$2:$NF$60,MATCH(1,(GMW!$NE$2:$NE$60=D$3)*(GMW!$ND$2:$ND$60=D$4),0),$B193-1966)</f>
        <v>14327</v>
      </c>
      <c r="E193" s="4" cm="1">
        <f t="array" ref="E193">INDEX(GMW!$A$2:$NF$60,MATCH(1,(GMW!$NE$2:$NE$60=E$3)*(GMW!$ND$2:$ND$60=E$4),0),$B193-1966)</f>
        <v>0.75</v>
      </c>
      <c r="F193" s="4" cm="1">
        <f t="array" ref="F193">INDEX(GMW!$A$2:$NF$60,MATCH(1,(GMW!$NE$2:$NE$60=F$3)*(GMW!$ND$2:$ND$60=F$4),0),$B193-1966)</f>
        <v>0.49</v>
      </c>
      <c r="G193" s="4" cm="1">
        <f t="array" ref="G193">INDEX(GMW!$A$2:$NF$60,MATCH(1,(GMW!$NE$2:$NE$60=G$3)*(GMW!$ND$2:$ND$60=G$4),0),$B193-1966)</f>
        <v>2.4133330000000002</v>
      </c>
      <c r="H193" s="4" cm="1">
        <f t="array" ref="H193">INDEX(GMW!$A$2:$NF$60,MATCH(1,(GMW!$NE$2:$NE$60=H$3)*(GMW!$ND$2:$ND$60=H$4),0),$B193-1966)</f>
        <v>3.28</v>
      </c>
    </row>
    <row r="194" spans="1:8" x14ac:dyDescent="0.35">
      <c r="B194" s="4">
        <f t="shared" si="4"/>
        <v>2160</v>
      </c>
      <c r="C194" s="4" cm="1">
        <f t="array" ref="C194">INDEX(GMW!$A$2:$NF$60,MATCH(1,(GMW!$NE$2:$NE$60=C$3)*(GMW!$ND$2:$ND$60=C$4),0),$B194-1966)</f>
        <v>3151</v>
      </c>
      <c r="D194" s="4" cm="1">
        <f t="array" ref="D194">INDEX(GMW!$A$2:$NF$60,MATCH(1,(GMW!$NE$2:$NE$60=D$3)*(GMW!$ND$2:$ND$60=D$4),0),$B194-1966)</f>
        <v>14388</v>
      </c>
      <c r="E194" s="4" cm="1">
        <f t="array" ref="E194">INDEX(GMW!$A$2:$NF$60,MATCH(1,(GMW!$NE$2:$NE$60=E$3)*(GMW!$ND$2:$ND$60=E$4),0),$B194-1966)</f>
        <v>0.75</v>
      </c>
      <c r="F194" s="4" cm="1">
        <f t="array" ref="F194">INDEX(GMW!$A$2:$NF$60,MATCH(1,(GMW!$NE$2:$NE$60=F$3)*(GMW!$ND$2:$ND$60=F$4),0),$B194-1966)</f>
        <v>0.83</v>
      </c>
      <c r="G194" s="4" cm="1">
        <f t="array" ref="G194">INDEX(GMW!$A$2:$NF$60,MATCH(1,(GMW!$NE$2:$NE$60=G$3)*(GMW!$ND$2:$ND$60=G$4),0),$B194-1966)</f>
        <v>2.3866670000000001</v>
      </c>
      <c r="H194" s="4" cm="1">
        <f t="array" ref="H194">INDEX(GMW!$A$2:$NF$60,MATCH(1,(GMW!$NE$2:$NE$60=H$3)*(GMW!$ND$2:$ND$60=H$4),0),$B194-1966)</f>
        <v>3.26</v>
      </c>
    </row>
    <row r="195" spans="1:8" x14ac:dyDescent="0.35">
      <c r="A195" s="4">
        <v>2020</v>
      </c>
      <c r="B195" s="4">
        <f t="shared" si="4"/>
        <v>2161</v>
      </c>
      <c r="C195" s="4" cm="1">
        <f t="array" ref="C195">INDEX(GMW!$A$2:$NF$60,MATCH(1,(GMW!$NE$2:$NE$60=C$3)*(GMW!$ND$2:$ND$60=C$4),0),$B195-1966)</f>
        <v>3049</v>
      </c>
      <c r="D195" s="4" cm="1">
        <f t="array" ref="D195">INDEX(GMW!$A$2:$NF$60,MATCH(1,(GMW!$NE$2:$NE$60=D$3)*(GMW!$ND$2:$ND$60=D$4),0),$B195-1966)</f>
        <v>14469</v>
      </c>
      <c r="E195" s="4" cm="1">
        <f t="array" ref="E195">INDEX(GMW!$A$2:$NF$60,MATCH(1,(GMW!$NE$2:$NE$60=E$3)*(GMW!$ND$2:$ND$60=E$4),0),$B195-1966)</f>
        <v>0.1</v>
      </c>
      <c r="F195" s="4" cm="1">
        <f t="array" ref="F195">INDEX(GMW!$A$2:$NF$60,MATCH(1,(GMW!$NE$2:$NE$60=F$3)*(GMW!$ND$2:$ND$60=F$4),0),$B195-1966)</f>
        <v>0.34</v>
      </c>
      <c r="G195" s="4" cm="1">
        <f t="array" ref="G195">INDEX(GMW!$A$2:$NF$60,MATCH(1,(GMW!$NE$2:$NE$60=G$3)*(GMW!$ND$2:$ND$60=G$4),0),$B195-1966)</f>
        <v>2.3566669999999998</v>
      </c>
      <c r="H195" s="4" cm="1">
        <f t="array" ref="H195">INDEX(GMW!$A$2:$NF$60,MATCH(1,(GMW!$NE$2:$NE$60=H$3)*(GMW!$ND$2:$ND$60=H$4),0),$B195-1966)</f>
        <v>3.266667</v>
      </c>
    </row>
    <row r="196" spans="1:8" x14ac:dyDescent="0.35">
      <c r="B196" s="4">
        <f t="shared" si="4"/>
        <v>2162</v>
      </c>
      <c r="C196" s="4" cm="1">
        <f t="array" ref="C196">INDEX(GMW!$A$2:$NF$60,MATCH(1,(GMW!$NE$2:$NE$60=C$3)*(GMW!$ND$2:$ND$60=C$4),0),$B196-1966)</f>
        <v>2429</v>
      </c>
      <c r="D196" s="4" cm="1">
        <f t="array" ref="D196">INDEX(GMW!$A$2:$NF$60,MATCH(1,(GMW!$NE$2:$NE$60=D$3)*(GMW!$ND$2:$ND$60=D$4),0),$B196-1966)</f>
        <v>13345</v>
      </c>
      <c r="E196" s="4" cm="1">
        <f t="array" ref="E196">INDEX(GMW!$A$2:$NF$60,MATCH(1,(GMW!$NE$2:$NE$60=E$3)*(GMW!$ND$2:$ND$60=E$4),0),$B196-1966)</f>
        <v>0.1</v>
      </c>
      <c r="F196" s="4" cm="1">
        <f t="array" ref="F196">INDEX(GMW!$A$2:$NF$60,MATCH(1,(GMW!$NE$2:$NE$60=F$3)*(GMW!$ND$2:$ND$60=F$4),0),$B196-1966)</f>
        <v>0.17</v>
      </c>
      <c r="G196" s="4" cm="1">
        <f t="array" ref="G196">INDEX(GMW!$A$2:$NF$60,MATCH(1,(GMW!$NE$2:$NE$60=G$3)*(GMW!$ND$2:$ND$60=G$4),0),$B196-1966)</f>
        <v>2.1833330000000002</v>
      </c>
      <c r="H196" s="4" cm="1">
        <f t="array" ref="H196">INDEX(GMW!$A$2:$NF$60,MATCH(1,(GMW!$NE$2:$NE$60=H$3)*(GMW!$ND$2:$ND$60=H$4),0),$B196-1966)</f>
        <v>2.8766669999999999</v>
      </c>
    </row>
    <row r="197" spans="1:8" x14ac:dyDescent="0.35">
      <c r="B197" s="4">
        <f t="shared" si="4"/>
        <v>2163</v>
      </c>
      <c r="C197" s="4" cm="1">
        <f t="array" ref="C197">INDEX(GMW!$A$2:$NF$60,MATCH(1,(GMW!$NE$2:$NE$60=C$3)*(GMW!$ND$2:$ND$60=C$4),0),$B197-1966)</f>
        <v>2114</v>
      </c>
      <c r="D197" s="4" cm="1">
        <f t="array" ref="D197">INDEX(GMW!$A$2:$NF$60,MATCH(1,(GMW!$NE$2:$NE$60=D$3)*(GMW!$ND$2:$ND$60=D$4),0),$B197-1966)</f>
        <v>13269</v>
      </c>
      <c r="E197" s="4" cm="1">
        <f t="array" ref="E197">INDEX(GMW!$A$2:$NF$60,MATCH(1,(GMW!$NE$2:$NE$60=E$3)*(GMW!$ND$2:$ND$60=E$4),0),$B197-1966)</f>
        <v>0.1</v>
      </c>
      <c r="F197" s="4" cm="1">
        <f t="array" ref="F197">INDEX(GMW!$A$2:$NF$60,MATCH(1,(GMW!$NE$2:$NE$60=F$3)*(GMW!$ND$2:$ND$60=F$4),0),$B197-1966)</f>
        <v>0.23</v>
      </c>
      <c r="G197" s="4" cm="1">
        <f t="array" ref="G197">INDEX(GMW!$A$2:$NF$60,MATCH(1,(GMW!$NE$2:$NE$60=G$3)*(GMW!$ND$2:$ND$60=G$4),0),$B197-1966)</f>
        <v>2.1433330000000002</v>
      </c>
      <c r="H197" s="4" cm="1">
        <f t="array" ref="H197">INDEX(GMW!$A$2:$NF$60,MATCH(1,(GMW!$NE$2:$NE$60=H$3)*(GMW!$ND$2:$ND$60=H$4),0),$B197-1966)</f>
        <v>2.57</v>
      </c>
    </row>
    <row r="198" spans="1:8" x14ac:dyDescent="0.35">
      <c r="B198" s="4">
        <f t="shared" si="4"/>
        <v>2164</v>
      </c>
      <c r="C198" s="4" cm="1">
        <f t="array" ref="C198">INDEX(GMW!$A$2:$NF$60,MATCH(1,(GMW!$NE$2:$NE$60=C$3)*(GMW!$ND$2:$ND$60=C$4),0),$B198-1966)</f>
        <v>1830</v>
      </c>
      <c r="D198" s="4" cm="1">
        <f t="array" ref="D198">INDEX(GMW!$A$2:$NF$60,MATCH(1,(GMW!$NE$2:$NE$60=D$3)*(GMW!$ND$2:$ND$60=D$4),0),$B198-1966)</f>
        <v>13344</v>
      </c>
      <c r="E198" s="4" cm="1">
        <f t="array" ref="E198">INDEX(GMW!$A$2:$NF$60,MATCH(1,(GMW!$NE$2:$NE$60=E$3)*(GMW!$ND$2:$ND$60=E$4),0),$B198-1966)</f>
        <v>0.1</v>
      </c>
      <c r="F198" s="4" cm="1">
        <f t="array" ref="F198">INDEX(GMW!$A$2:$NF$60,MATCH(1,(GMW!$NE$2:$NE$60=F$3)*(GMW!$ND$2:$ND$60=F$4),0),$B198-1966)</f>
        <v>0.2</v>
      </c>
      <c r="G198" s="4" cm="1">
        <f t="array" ref="G198">INDEX(GMW!$A$2:$NF$60,MATCH(1,(GMW!$NE$2:$NE$60=G$3)*(GMW!$ND$2:$ND$60=G$4),0),$B198-1966)</f>
        <v>2.12</v>
      </c>
      <c r="H198" s="4" cm="1">
        <f t="array" ref="H198">INDEX(GMW!$A$2:$NF$60,MATCH(1,(GMW!$NE$2:$NE$60=H$3)*(GMW!$ND$2:$ND$60=H$4),0),$B198-1966)</f>
        <v>2.4533330000000002</v>
      </c>
    </row>
    <row r="199" spans="1:8" x14ac:dyDescent="0.35">
      <c r="A199" s="4">
        <v>2021</v>
      </c>
      <c r="B199" s="4">
        <f t="shared" si="4"/>
        <v>2165</v>
      </c>
      <c r="C199" s="4" cm="1">
        <f t="array" ref="C199">INDEX(GMW!$A$2:$NF$60,MATCH(1,(GMW!$NE$2:$NE$60=C$3)*(GMW!$ND$2:$ND$60=C$4),0),$B199-1966)</f>
        <v>1701</v>
      </c>
      <c r="D199" s="4" cm="1">
        <f t="array" ref="D199">INDEX(GMW!$A$2:$NF$60,MATCH(1,(GMW!$NE$2:$NE$60=D$3)*(GMW!$ND$2:$ND$60=D$4),0),$B199-1966)</f>
        <v>13138</v>
      </c>
      <c r="E199" s="4" cm="1">
        <f t="array" ref="E199">INDEX(GMW!$A$2:$NF$60,MATCH(1,(GMW!$NE$2:$NE$60=E$3)*(GMW!$ND$2:$ND$60=E$4),0),$B199-1966)</f>
        <v>0.1</v>
      </c>
      <c r="F199" s="4" cm="1">
        <f t="array" ref="F199">INDEX(GMW!$A$2:$NF$60,MATCH(1,(GMW!$NE$2:$NE$60=F$3)*(GMW!$ND$2:$ND$60=F$4),0),$B199-1966)</f>
        <v>0.85</v>
      </c>
      <c r="G199" s="4" cm="1">
        <f t="array" ref="G199">INDEX(GMW!$A$2:$NF$60,MATCH(1,(GMW!$NE$2:$NE$60=G$3)*(GMW!$ND$2:$ND$60=G$4),0),$B199-1966)</f>
        <v>2.09</v>
      </c>
      <c r="H199" s="4" cm="1">
        <f t="array" ref="H199">INDEX(GMW!$A$2:$NF$60,MATCH(1,(GMW!$NE$2:$NE$60=H$3)*(GMW!$ND$2:$ND$60=H$4),0),$B199-1966)</f>
        <v>2.4266670000000001</v>
      </c>
    </row>
    <row r="200" spans="1:8" x14ac:dyDescent="0.35">
      <c r="B200" s="4">
        <f t="shared" si="4"/>
        <v>2166</v>
      </c>
      <c r="C200" s="4" cm="1">
        <f t="array" ref="C200">INDEX(GMW!$A$2:$NF$60,MATCH(1,(GMW!$NE$2:$NE$60=C$3)*(GMW!$ND$2:$ND$60=C$4),0),$B200-1966)</f>
        <v>1714</v>
      </c>
      <c r="D200" s="4" cm="1">
        <f t="array" ref="D200">INDEX(GMW!$A$2:$NF$60,MATCH(1,(GMW!$NE$2:$NE$60=D$3)*(GMW!$ND$2:$ND$60=D$4),0),$B200-1966)</f>
        <v>13029</v>
      </c>
      <c r="E200" s="4" cm="1">
        <f t="array" ref="E200">INDEX(GMW!$A$2:$NF$60,MATCH(1,(GMW!$NE$2:$NE$60=E$3)*(GMW!$ND$2:$ND$60=E$4),0),$B200-1966)</f>
        <v>0.1</v>
      </c>
      <c r="F200" s="4" cm="1">
        <f t="array" ref="F200">INDEX(GMW!$A$2:$NF$60,MATCH(1,(GMW!$NE$2:$NE$60=F$3)*(GMW!$ND$2:$ND$60=F$4),0),$B200-1966)</f>
        <v>0.72</v>
      </c>
      <c r="G200" s="4" cm="1">
        <f t="array" ref="G200">INDEX(GMW!$A$2:$NF$60,MATCH(1,(GMW!$NE$2:$NE$60=G$3)*(GMW!$ND$2:$ND$60=G$4),0),$B200-1966)</f>
        <v>2.0733329999999999</v>
      </c>
      <c r="H200" s="4" cm="1">
        <f t="array" ref="H200">INDEX(GMW!$A$2:$NF$60,MATCH(1,(GMW!$NE$2:$NE$60=H$3)*(GMW!$ND$2:$ND$60=H$4),0),$B200-1966)</f>
        <v>2.4900000000000002</v>
      </c>
    </row>
    <row r="201" spans="1:8" x14ac:dyDescent="0.35">
      <c r="B201" s="4">
        <f t="shared" si="4"/>
        <v>2167</v>
      </c>
      <c r="C201" s="4" cm="1">
        <f t="array" ref="C201">INDEX(GMW!$A$2:$NF$60,MATCH(1,(GMW!$NE$2:$NE$60=C$3)*(GMW!$ND$2:$ND$60=C$4),0),$B201-1966)</f>
        <v>1639</v>
      </c>
      <c r="D201" s="4" cm="1">
        <f t="array" ref="D201">INDEX(GMW!$A$2:$NF$60,MATCH(1,(GMW!$NE$2:$NE$60=D$3)*(GMW!$ND$2:$ND$60=D$4),0),$B201-1966)</f>
        <v>13066</v>
      </c>
      <c r="E201" s="4" cm="1">
        <f t="array" ref="E201">INDEX(GMW!$A$2:$NF$60,MATCH(1,(GMW!$NE$2:$NE$60=E$3)*(GMW!$ND$2:$ND$60=E$4),0),$B201-1966)</f>
        <v>0.1</v>
      </c>
      <c r="F201" s="4" cm="1">
        <f t="array" ref="F201">INDEX(GMW!$A$2:$NF$60,MATCH(1,(GMW!$NE$2:$NE$60=F$3)*(GMW!$ND$2:$ND$60=F$4),0),$B201-1966)</f>
        <v>1.02</v>
      </c>
      <c r="G201" s="4" cm="1">
        <f t="array" ref="G201">INDEX(GMW!$A$2:$NF$60,MATCH(1,(GMW!$NE$2:$NE$60=G$3)*(GMW!$ND$2:$ND$60=G$4),0),$B201-1966)</f>
        <v>2.0533329999999999</v>
      </c>
      <c r="H201" s="4" cm="1">
        <f t="array" ref="H201">INDEX(GMW!$A$2:$NF$60,MATCH(1,(GMW!$NE$2:$NE$60=H$3)*(GMW!$ND$2:$ND$60=H$4),0),$B201-1966)</f>
        <v>2.6166670000000001</v>
      </c>
    </row>
    <row r="202" spans="1:8" x14ac:dyDescent="0.35">
      <c r="B202" s="4">
        <f t="shared" si="4"/>
        <v>2168</v>
      </c>
      <c r="C202" s="4" cm="1">
        <f t="array" ref="C202">INDEX(GMW!$A$2:$NF$60,MATCH(1,(GMW!$NE$2:$NE$60=C$3)*(GMW!$ND$2:$ND$60=C$4),0),$B202-1966)</f>
        <v>1763</v>
      </c>
      <c r="D202" s="4" cm="1">
        <f t="array" ref="D202">INDEX(GMW!$A$2:$NF$60,MATCH(1,(GMW!$NE$2:$NE$60=D$3)*(GMW!$ND$2:$ND$60=D$4),0),$B202-1966)</f>
        <v>13013</v>
      </c>
      <c r="E202" s="4" cm="1">
        <f t="array" ref="E202">INDEX(GMW!$A$2:$NF$60,MATCH(1,(GMW!$NE$2:$NE$60=E$3)*(GMW!$ND$2:$ND$60=E$4),0),$B202-1966)</f>
        <v>0.25</v>
      </c>
      <c r="F202" s="4" cm="1">
        <f t="array" ref="F202">INDEX(GMW!$A$2:$NF$60,MATCH(1,(GMW!$NE$2:$NE$60=F$3)*(GMW!$ND$2:$ND$60=F$4),0),$B202-1966)</f>
        <v>0.97</v>
      </c>
      <c r="G202" s="4" cm="1">
        <f t="array" ref="G202">INDEX(GMW!$A$2:$NF$60,MATCH(1,(GMW!$NE$2:$NE$60=G$3)*(GMW!$ND$2:$ND$60=G$4),0),$B202-1966)</f>
        <v>2.02</v>
      </c>
      <c r="H202" s="4" cm="1">
        <f t="array" ref="H202">INDEX(GMW!$A$2:$NF$60,MATCH(1,(GMW!$NE$2:$NE$60=H$3)*(GMW!$ND$2:$ND$60=H$4),0),$B202-1966)</f>
        <v>2.7033330000000002</v>
      </c>
    </row>
    <row r="203" spans="1:8" x14ac:dyDescent="0.35">
      <c r="A203" s="4">
        <v>2022</v>
      </c>
      <c r="B203" s="4">
        <f t="shared" si="4"/>
        <v>2169</v>
      </c>
      <c r="C203" s="4" cm="1">
        <f t="array" ref="C203">INDEX(GMW!$A$2:$NF$60,MATCH(1,(GMW!$NE$2:$NE$60=C$3)*(GMW!$ND$2:$ND$60=C$4),0),$B203-1966)</f>
        <v>1900</v>
      </c>
      <c r="D203" s="4" cm="1">
        <f t="array" ref="D203">INDEX(GMW!$A$2:$NF$60,MATCH(1,(GMW!$NE$2:$NE$60=D$3)*(GMW!$ND$2:$ND$60=D$4),0),$B203-1966)</f>
        <v>13221</v>
      </c>
      <c r="E203" s="4" cm="1">
        <f t="array" ref="E203">INDEX(GMW!$A$2:$NF$60,MATCH(1,(GMW!$NE$2:$NE$60=E$3)*(GMW!$ND$2:$ND$60=E$4),0),$B203-1966)</f>
        <v>0.75</v>
      </c>
      <c r="F203" s="4" cm="1">
        <f t="array" ref="F203">INDEX(GMW!$A$2:$NF$60,MATCH(1,(GMW!$NE$2:$NE$60=F$3)*(GMW!$ND$2:$ND$60=F$4),0),$B203-1966)</f>
        <v>1.6</v>
      </c>
      <c r="G203" s="4" cm="1">
        <f t="array" ref="G203">INDEX(GMW!$A$2:$NF$60,MATCH(1,(GMW!$NE$2:$NE$60=G$3)*(GMW!$ND$2:$ND$60=G$4),0),$B203-1966)</f>
        <v>2.0266670000000002</v>
      </c>
      <c r="H203" s="4" cm="1">
        <f t="array" ref="H203">INDEX(GMW!$A$2:$NF$60,MATCH(1,(GMW!$NE$2:$NE$60=H$3)*(GMW!$ND$2:$ND$60=H$4),0),$B203-1966)</f>
        <v>2.9366669999999999</v>
      </c>
    </row>
    <row r="204" spans="1:8" x14ac:dyDescent="0.35">
      <c r="B204" s="4">
        <f t="shared" si="4"/>
        <v>2170</v>
      </c>
      <c r="C204" s="4" cm="1">
        <f t="array" ref="C204">INDEX(GMW!$A$2:$NF$60,MATCH(1,(GMW!$NE$2:$NE$60=C$3)*(GMW!$ND$2:$ND$60=C$4),0),$B204-1966)</f>
        <v>2676</v>
      </c>
      <c r="D204" s="4" cm="1">
        <f t="array" ref="D204">INDEX(GMW!$A$2:$NF$60,MATCH(1,(GMW!$NE$2:$NE$60=D$3)*(GMW!$ND$2:$ND$60=D$4),0),$B204-1966)</f>
        <v>13918</v>
      </c>
      <c r="E204" s="4" cm="1">
        <f t="array" ref="E204">INDEX(GMW!$A$2:$NF$60,MATCH(1,(GMW!$NE$2:$NE$60=E$3)*(GMW!$ND$2:$ND$60=E$4),0),$B204-1966)</f>
        <v>1.25</v>
      </c>
      <c r="F204" s="4" cm="1">
        <f t="array" ref="F204">INDEX(GMW!$A$2:$NF$60,MATCH(1,(GMW!$NE$2:$NE$60=F$3)*(GMW!$ND$2:$ND$60=F$4),0),$B204-1966)</f>
        <v>2.2200000000000002</v>
      </c>
      <c r="G204" s="4" cm="1">
        <f t="array" ref="G204">INDEX(GMW!$A$2:$NF$60,MATCH(1,(GMW!$NE$2:$NE$60=G$3)*(GMW!$ND$2:$ND$60=G$4),0),$B204-1966)</f>
        <v>2.0833330000000001</v>
      </c>
      <c r="H204" s="4" cm="1">
        <f t="array" ref="H204">INDEX(GMW!$A$2:$NF$60,MATCH(1,(GMW!$NE$2:$NE$60=H$3)*(GMW!$ND$2:$ND$60=H$4),0),$B204-1966)</f>
        <v>3.326667</v>
      </c>
    </row>
    <row r="205" spans="1:8" x14ac:dyDescent="0.35">
      <c r="B205" s="4">
        <f t="shared" si="4"/>
        <v>2171</v>
      </c>
      <c r="C205" s="4" cm="1">
        <f t="array" ref="C205">INDEX(GMW!$A$2:$NF$60,MATCH(1,(GMW!$NE$2:$NE$60=C$3)*(GMW!$ND$2:$ND$60=C$4),0),$B205-1966)</f>
        <v>3259</v>
      </c>
      <c r="D205" s="4" cm="1">
        <f t="array" ref="D205">INDEX(GMW!$A$2:$NF$60,MATCH(1,(GMW!$NE$2:$NE$60=D$3)*(GMW!$ND$2:$ND$60=D$4),0),$B205-1966)</f>
        <v>14468</v>
      </c>
      <c r="E205" s="4" cm="1">
        <f t="array" ref="E205">INDEX(GMW!$A$2:$NF$60,MATCH(1,(GMW!$NE$2:$NE$60=E$3)*(GMW!$ND$2:$ND$60=E$4),0),$B205-1966)</f>
        <v>2.25</v>
      </c>
      <c r="F205" s="4" cm="1">
        <f t="array" ref="F205">INDEX(GMW!$A$2:$NF$60,MATCH(1,(GMW!$NE$2:$NE$60=F$3)*(GMW!$ND$2:$ND$60=F$4),0),$B205-1966)</f>
        <v>4.08</v>
      </c>
      <c r="G205" s="4" cm="1">
        <f t="array" ref="G205">INDEX(GMW!$A$2:$NF$60,MATCH(1,(GMW!$NE$2:$NE$60=G$3)*(GMW!$ND$2:$ND$60=G$4),0),$B205-1966)</f>
        <v>2.1866669999999999</v>
      </c>
      <c r="H205" s="4" cm="1">
        <f t="array" ref="H205">INDEX(GMW!$A$2:$NF$60,MATCH(1,(GMW!$NE$2:$NE$60=H$3)*(GMW!$ND$2:$ND$60=H$4),0),$B205-1966)</f>
        <v>3.8366669999999998</v>
      </c>
    </row>
    <row r="206" spans="1:8" x14ac:dyDescent="0.35">
      <c r="B206" s="4">
        <f t="shared" si="4"/>
        <v>2172</v>
      </c>
      <c r="C206" s="4" cm="1">
        <f t="array" ref="C206">INDEX(GMW!$A$2:$NF$60,MATCH(1,(GMW!$NE$2:$NE$60=C$3)*(GMW!$ND$2:$ND$60=C$4),0),$B206-1966)</f>
        <v>5360</v>
      </c>
      <c r="D206" s="4" cm="1">
        <f t="array" ref="D206">INDEX(GMW!$A$2:$NF$60,MATCH(1,(GMW!$NE$2:$NE$60=D$3)*(GMW!$ND$2:$ND$60=D$4),0),$B206-1966)</f>
        <v>15462</v>
      </c>
      <c r="E206" s="4" cm="1">
        <f t="array" ref="E206">INDEX(GMW!$A$2:$NF$60,MATCH(1,(GMW!$NE$2:$NE$60=E$3)*(GMW!$ND$2:$ND$60=E$4),0),$B206-1966)</f>
        <v>3.5</v>
      </c>
      <c r="F206" s="4" cm="1">
        <f t="array" ref="F206">INDEX(GMW!$A$2:$NF$60,MATCH(1,(GMW!$NE$2:$NE$60=F$3)*(GMW!$ND$2:$ND$60=F$4),0),$B206-1966)</f>
        <v>3.67</v>
      </c>
      <c r="G206" s="4" cm="1">
        <f t="array" ref="G206">INDEX(GMW!$A$2:$NF$60,MATCH(1,(GMW!$NE$2:$NE$60=G$3)*(GMW!$ND$2:$ND$60=G$4),0),$B206-1966)</f>
        <v>2.3966669999999999</v>
      </c>
      <c r="H206" s="4" cm="1">
        <f t="array" ref="H206">INDEX(GMW!$A$2:$NF$60,MATCH(1,(GMW!$NE$2:$NE$60=H$3)*(GMW!$ND$2:$ND$60=H$4),0),$B206-1966)</f>
        <v>4.7633330000000003</v>
      </c>
    </row>
    <row r="207" spans="1:8" x14ac:dyDescent="0.35">
      <c r="A207" s="4">
        <v>2023</v>
      </c>
      <c r="B207" s="4">
        <f t="shared" si="4"/>
        <v>2173</v>
      </c>
      <c r="C207" s="4" cm="1">
        <f t="array" ref="C207">INDEX(GMW!$A$2:$NF$60,MATCH(1,(GMW!$NE$2:$NE$60=C$3)*(GMW!$ND$2:$ND$60=C$4),0),$B207-1966)</f>
        <v>7223</v>
      </c>
      <c r="D207" s="4" cm="1">
        <f t="array" ref="D207">INDEX(GMW!$A$2:$NF$60,MATCH(1,(GMW!$NE$2:$NE$60=D$3)*(GMW!$ND$2:$ND$60=D$4),0),$B207-1966)</f>
        <v>16806</v>
      </c>
      <c r="E207" s="4" cm="1">
        <f t="array" ref="E207">INDEX(GMW!$A$2:$NF$60,MATCH(1,(GMW!$NE$2:$NE$60=E$3)*(GMW!$ND$2:$ND$60=E$4),0),$B207-1966)</f>
        <v>4.25</v>
      </c>
      <c r="F207" s="4" cm="1">
        <f t="array" ref="F207">INDEX(GMW!$A$2:$NF$60,MATCH(1,(GMW!$NE$2:$NE$60=F$3)*(GMW!$ND$2:$ND$60=F$4),0),$B207-1966)</f>
        <v>3.47</v>
      </c>
      <c r="G207" s="4" cm="1">
        <f t="array" ref="G207">INDEX(GMW!$A$2:$NF$60,MATCH(1,(GMW!$NE$2:$NE$60=G$3)*(GMW!$ND$2:$ND$60=G$4),0),$B207-1966)</f>
        <v>2.65</v>
      </c>
      <c r="H207" s="4" cm="1">
        <f t="array" ref="H207">INDEX(GMW!$A$2:$NF$60,MATCH(1,(GMW!$NE$2:$NE$60=H$3)*(GMW!$ND$2:$ND$60=H$4),0),$B207-1966)</f>
        <v>5.58</v>
      </c>
    </row>
    <row r="208" spans="1:8" x14ac:dyDescent="0.35">
      <c r="B208" s="4">
        <f t="shared" si="4"/>
        <v>2174</v>
      </c>
      <c r="C208" s="4" cm="1">
        <f t="array" ref="C208">INDEX(GMW!$A$2:$NF$60,MATCH(1,(GMW!$NE$2:$NE$60=C$3)*(GMW!$ND$2:$ND$60=C$4),0),$B208-1966)</f>
        <v>9055</v>
      </c>
      <c r="D208" s="4" cm="1">
        <f t="array" ref="D208">INDEX(GMW!$A$2:$NF$60,MATCH(1,(GMW!$NE$2:$NE$60=D$3)*(GMW!$ND$2:$ND$60=D$4),0),$B208-1966)</f>
        <v>18307</v>
      </c>
      <c r="E208" s="4" cm="1">
        <f t="array" ref="E208">INDEX(GMW!$A$2:$NF$60,MATCH(1,(GMW!$NE$2:$NE$60=E$3)*(GMW!$ND$2:$ND$60=E$4),0),$B208-1966)</f>
        <v>5</v>
      </c>
      <c r="F208" s="4" cm="1">
        <f t="array" ref="F208">INDEX(GMW!$A$2:$NF$60,MATCH(1,(GMW!$NE$2:$NE$60=F$3)*(GMW!$ND$2:$ND$60=F$4),0),$B208-1966)</f>
        <v>4.3899999999999997</v>
      </c>
      <c r="G208" s="4" cm="1">
        <f t="array" ref="G208">INDEX(GMW!$A$2:$NF$60,MATCH(1,(GMW!$NE$2:$NE$60=G$3)*(GMW!$ND$2:$ND$60=G$4),0),$B208-1966)</f>
        <v>2.84</v>
      </c>
      <c r="H208" s="4" cm="1">
        <f t="array" ref="H208">INDEX(GMW!$A$2:$NF$60,MATCH(1,(GMW!$NE$2:$NE$60=H$3)*(GMW!$ND$2:$ND$60=H$4),0),$B208-1966)</f>
        <v>6.09</v>
      </c>
    </row>
    <row r="209" spans="1:8" x14ac:dyDescent="0.35">
      <c r="B209" s="4">
        <f t="shared" si="4"/>
        <v>2175</v>
      </c>
      <c r="C209" s="4" cm="1">
        <f t="array" ref="C209">INDEX(GMW!$A$2:$NF$60,MATCH(1,(GMW!$NE$2:$NE$60=C$3)*(GMW!$ND$2:$ND$60=C$4),0),$B209-1966)</f>
        <v>11134</v>
      </c>
      <c r="D209" s="4" cm="1">
        <f t="array" ref="D209">INDEX(GMW!$A$2:$NF$60,MATCH(1,(GMW!$NE$2:$NE$60=D$3)*(GMW!$ND$2:$ND$60=D$4),0),$B209-1966)</f>
        <v>19665</v>
      </c>
      <c r="E209" s="4" cm="1">
        <f t="array" ref="E209">INDEX(GMW!$A$2:$NF$60,MATCH(1,(GMW!$NE$2:$NE$60=E$3)*(GMW!$ND$2:$ND$60=E$4),0),$B209-1966)</f>
        <v>5.25</v>
      </c>
      <c r="F209" s="4" cm="1">
        <f t="array" ref="F209">INDEX(GMW!$A$2:$NF$60,MATCH(1,(GMW!$NE$2:$NE$60=F$3)*(GMW!$ND$2:$ND$60=F$4),0),$B209-1966)</f>
        <v>4.46</v>
      </c>
      <c r="G209" s="4" cm="1">
        <f t="array" ref="G209">INDEX(GMW!$A$2:$NF$60,MATCH(1,(GMW!$NE$2:$NE$60=G$3)*(GMW!$ND$2:$ND$60=G$4),0),$B209-1966)</f>
        <v>3.07</v>
      </c>
      <c r="H209" s="4" cm="1">
        <f t="array" ref="H209">INDEX(GMW!$A$2:$NF$60,MATCH(1,(GMW!$NE$2:$NE$60=H$3)*(GMW!$ND$2:$ND$60=H$4),0),$B209-1966)</f>
        <v>6.6766670000000001</v>
      </c>
    </row>
    <row r="210" spans="1:8" x14ac:dyDescent="0.35">
      <c r="B210" s="4">
        <f t="shared" si="4"/>
        <v>2176</v>
      </c>
      <c r="C210" s="4" cm="1">
        <f t="array" ref="C210">INDEX(GMW!$A$2:$NF$60,MATCH(1,(GMW!$NE$2:$NE$60=C$3)*(GMW!$ND$2:$ND$60=C$4),0),$B210-1966)</f>
        <v>12833</v>
      </c>
      <c r="D210" s="4" cm="1">
        <f t="array" ref="D210">INDEX(GMW!$A$2:$NF$60,MATCH(1,(GMW!$NE$2:$NE$60=D$3)*(GMW!$ND$2:$ND$60=D$4),0),$B210-1966)</f>
        <v>20813</v>
      </c>
      <c r="E210" s="4" cm="1">
        <f t="array" ref="E210">INDEX(GMW!$A$2:$NF$60,MATCH(1,(GMW!$NE$2:$NE$60=E$3)*(GMW!$ND$2:$ND$60=E$4),0),$B210-1966)</f>
        <v>5.25</v>
      </c>
      <c r="F210" s="4" cm="1">
        <f t="array" ref="F210">INDEX(GMW!$A$2:$NF$60,MATCH(1,(GMW!$NE$2:$NE$60=F$3)*(GMW!$ND$2:$ND$60=F$4),0),$B210-1966)</f>
        <v>3.54</v>
      </c>
      <c r="G210" s="4" cm="1">
        <f t="array" ref="G210">INDEX(GMW!$A$2:$NF$60,MATCH(1,(GMW!$NE$2:$NE$60=G$3)*(GMW!$ND$2:$ND$60=G$4),0),$B210-1966)</f>
        <v>3.29</v>
      </c>
      <c r="H210" s="4" cm="1">
        <f t="array" ref="H210">INDEX(GMW!$A$2:$NF$60,MATCH(1,(GMW!$NE$2:$NE$60=H$3)*(GMW!$ND$2:$ND$60=H$4),0),$B210-1966)</f>
        <v>6.8</v>
      </c>
    </row>
    <row r="211" spans="1:8" x14ac:dyDescent="0.35">
      <c r="A211" s="4">
        <v>2024</v>
      </c>
      <c r="B211" s="4">
        <f t="shared" si="4"/>
        <v>2177</v>
      </c>
      <c r="C211" s="4" cm="1">
        <f t="array" ref="C211">INDEX(GMW!$A$2:$NF$60,MATCH(1,(GMW!$NE$2:$NE$60=C$3)*(GMW!$ND$2:$ND$60=C$4),0),$B211-1966)</f>
        <v>13589</v>
      </c>
      <c r="D211" s="4" cm="1">
        <f t="array" ref="D211">INDEX(GMW!$A$2:$NF$60,MATCH(1,(GMW!$NE$2:$NE$60=D$3)*(GMW!$ND$2:$ND$60=D$4),0),$B211-1966)</f>
        <v>21827</v>
      </c>
      <c r="E211" s="4" cm="1">
        <f t="array" ref="E211">INDEX(GMW!$A$2:$NF$60,MATCH(1,(GMW!$NE$2:$NE$60=E$3)*(GMW!$ND$2:$ND$60=E$4),0),$B211-1966)</f>
        <v>5.25</v>
      </c>
      <c r="F211" s="4" cm="1">
        <f t="array" ref="F211">INDEX(GMW!$A$2:$NF$60,MATCH(1,(GMW!$NE$2:$NE$60=F$3)*(GMW!$ND$2:$ND$60=F$4),0),$B211-1966)</f>
        <v>3.95</v>
      </c>
      <c r="G211" s="4" cm="1">
        <f t="array" ref="G211">INDEX(GMW!$A$2:$NF$60,MATCH(1,(GMW!$NE$2:$NE$60=G$3)*(GMW!$ND$2:$ND$60=G$4),0),$B211-1966)</f>
        <v>3.4733329999999998</v>
      </c>
      <c r="H211" s="4" cm="1">
        <f t="array" ref="H211">INDEX(GMW!$A$2:$NF$60,MATCH(1,(GMW!$NE$2:$NE$60=H$3)*(GMW!$ND$2:$ND$60=H$4),0),$B211-1966)</f>
        <v>6.8566669999999998</v>
      </c>
    </row>
    <row r="212" spans="1:8" x14ac:dyDescent="0.35">
      <c r="B212" s="4">
        <f t="shared" si="4"/>
        <v>2178</v>
      </c>
      <c r="C212" s="4" cm="1">
        <f t="array" ref="C212">INDEX(GMW!$A$2:$NF$60,MATCH(1,(GMW!$NE$2:$NE$60=C$3)*(GMW!$ND$2:$ND$60=C$4),0),$B212-1966)</f>
        <v>13865</v>
      </c>
      <c r="D212" s="4" cm="1">
        <f t="array" ref="D212">INDEX(GMW!$A$2:$NF$60,MATCH(1,(GMW!$NE$2:$NE$60=D$3)*(GMW!$ND$2:$ND$60=D$4),0),$B212-1966)</f>
        <v>22358</v>
      </c>
      <c r="E212" s="4" cm="1">
        <f t="array" ref="E212">INDEX(GMW!$A$2:$NF$60,MATCH(1,(GMW!$NE$2:$NE$60=E$3)*(GMW!$ND$2:$ND$60=E$4),0),$B212-1966)</f>
        <v>5.25</v>
      </c>
      <c r="F212" s="4" cm="1">
        <f t="array" ref="F212">INDEX(GMW!$A$2:$NF$60,MATCH(1,(GMW!$NE$2:$NE$60=F$3)*(GMW!$ND$2:$ND$60=F$4),0),$B212-1966)</f>
        <v>4.17</v>
      </c>
      <c r="G212" s="4" cm="1">
        <f t="array" ref="G212">INDEX(GMW!$A$2:$NF$60,MATCH(1,(GMW!$NE$2:$NE$60=G$3)*(GMW!$ND$2:$ND$60=G$4),0),$B212-1966)</f>
        <v>3.62</v>
      </c>
      <c r="H212" s="4" cm="1">
        <f t="array" ref="H212">INDEX(GMW!$A$2:$NF$60,MATCH(1,(GMW!$NE$2:$NE$60=H$3)*(GMW!$ND$2:$ND$60=H$4),0),$B212-1966)</f>
        <v>6.89</v>
      </c>
    </row>
    <row r="213" spans="1:8" x14ac:dyDescent="0.35">
      <c r="B213" s="4">
        <f t="shared" si="4"/>
        <v>2179</v>
      </c>
      <c r="C213" s="4" cm="1">
        <f t="array" ref="C213">INDEX(GMW!$A$2:$NF$60,MATCH(1,(GMW!$NE$2:$NE$60=C$3)*(GMW!$ND$2:$ND$60=C$4),0),$B213-1966)</f>
        <v>14314</v>
      </c>
      <c r="D213" s="4" cm="1">
        <f t="array" ref="D213">INDEX(GMW!$A$2:$NF$60,MATCH(1,(GMW!$NE$2:$NE$60=D$3)*(GMW!$ND$2:$ND$60=D$4),0),$B213-1966)</f>
        <v>23002</v>
      </c>
      <c r="E213" s="4" cm="1">
        <f t="array" ref="E213">INDEX(GMW!$A$2:$NF$60,MATCH(1,(GMW!$NE$2:$NE$60=E$3)*(GMW!$ND$2:$ND$60=E$4),0),$B213-1966)</f>
        <v>5</v>
      </c>
      <c r="F213" s="4" cm="1">
        <f t="array" ref="F213">INDEX(GMW!$A$2:$NF$60,MATCH(1,(GMW!$NE$2:$NE$60=F$3)*(GMW!$ND$2:$ND$60=F$4),0),$B213-1966)</f>
        <v>4</v>
      </c>
      <c r="G213" s="4" cm="1">
        <f t="array" ref="G213">INDEX(GMW!$A$2:$NF$60,MATCH(1,(GMW!$NE$2:$NE$60=G$3)*(GMW!$ND$2:$ND$60=G$4),0),$B213-1966)</f>
        <v>3.726667</v>
      </c>
      <c r="H213" s="4" cm="1">
        <f t="array" ref="H213">INDEX(GMW!$A$2:$NF$60,MATCH(1,(GMW!$NE$2:$NE$60=H$3)*(GMW!$ND$2:$ND$60=H$4),0),$B213-1966)</f>
        <v>6.806667</v>
      </c>
    </row>
    <row r="214" spans="1:8" x14ac:dyDescent="0.35">
      <c r="B214" s="4">
        <f t="shared" si="4"/>
        <v>2180</v>
      </c>
      <c r="C214" s="4" cm="1">
        <f t="array" ref="C214">INDEX(GMW!$A$2:$NF$60,MATCH(1,(GMW!$NE$2:$NE$60=C$3)*(GMW!$ND$2:$ND$60=C$4),0),$B214-1966)</f>
        <v>14211</v>
      </c>
      <c r="D214" s="4" cm="1">
        <f t="array" ref="D214">INDEX(GMW!$A$2:$NF$60,MATCH(1,(GMW!$NE$2:$NE$60=D$3)*(GMW!$ND$2:$ND$60=D$4),0),$B214-1966)</f>
        <v>23474</v>
      </c>
      <c r="E214" s="4" cm="1">
        <f t="array" ref="E214">INDEX(GMW!$A$2:$NF$60,MATCH(1,(GMW!$NE$2:$NE$60=E$3)*(GMW!$ND$2:$ND$60=E$4),0),$B214-1966)</f>
        <v>4.75</v>
      </c>
      <c r="F214" s="4" cm="1">
        <f t="array" ref="F214">INDEX(GMW!$A$2:$NF$60,MATCH(1,(GMW!$NE$2:$NE$60=F$3)*(GMW!$ND$2:$ND$60=F$4),0),$B214-1966)</f>
        <v>4.57</v>
      </c>
      <c r="G214" s="4" cm="1">
        <f t="array" ref="G214">INDEX(GMW!$A$2:$NF$60,MATCH(1,(GMW!$NE$2:$NE$60=G$3)*(GMW!$ND$2:$ND$60=G$4),0),$B214-1966)</f>
        <v>3.8</v>
      </c>
      <c r="H214" s="4" cm="1">
        <f t="array" ref="H214">INDEX(GMW!$A$2:$NF$60,MATCH(1,(GMW!$NE$2:$NE$60=H$3)*(GMW!$ND$2:$ND$60=H$4),0),$B214-1966)</f>
        <v>6.6466669999999999</v>
      </c>
    </row>
    <row r="215" spans="1:8" x14ac:dyDescent="0.35">
      <c r="A215" s="4">
        <v>2025</v>
      </c>
      <c r="B215" s="4">
        <f t="shared" si="4"/>
        <v>2181</v>
      </c>
      <c r="C215" s="4" cm="1">
        <f t="array" ref="C215">INDEX(GMW!$A$2:$NF$60,MATCH(1,(GMW!$NE$2:$NE$60=C$3)*(GMW!$ND$2:$ND$60=C$4),0),$B215-1966)</f>
        <v>13125</v>
      </c>
      <c r="D215" s="4" cm="1">
        <f t="array" ref="D215">INDEX(GMW!$A$2:$NF$60,MATCH(1,(GMW!$NE$2:$NE$60=D$3)*(GMW!$ND$2:$ND$60=D$4),0),$B215-1966)</f>
        <v>23464</v>
      </c>
      <c r="E215" s="4" cm="1">
        <f t="array" ref="E215">INDEX(GMW!$A$2:$NF$60,MATCH(1,(GMW!$NE$2:$NE$60=E$3)*(GMW!$ND$2:$ND$60=E$4),0),$B215-1966)</f>
        <v>4.5</v>
      </c>
      <c r="F215" s="4" cm="1">
        <f t="array" ref="F215">INDEX(GMW!$A$2:$NF$60,MATCH(1,(GMW!$NE$2:$NE$60=F$3)*(GMW!$ND$2:$ND$60=F$4),0),$B215-1966)</f>
        <v>4.7</v>
      </c>
      <c r="G215" s="4" cm="1">
        <f t="array" ref="G215">INDEX(GMW!$A$2:$NF$60,MATCH(1,(GMW!$NE$2:$NE$60=G$3)*(GMW!$ND$2:$ND$60=G$4),0),$B215-1966)</f>
        <v>3.8466670000000001</v>
      </c>
      <c r="H215" s="4" cm="1">
        <f t="array" ref="H215">INDEX(GMW!$A$2:$NF$60,MATCH(1,(GMW!$NE$2:$NE$60=H$3)*(GMW!$ND$2:$ND$60=H$4),0),$B215-1966)</f>
        <v>6.41</v>
      </c>
    </row>
    <row r="216" spans="1:8" x14ac:dyDescent="0.35">
      <c r="B216" s="4">
        <f t="shared" si="4"/>
        <v>2182</v>
      </c>
      <c r="C216" s="4" cm="1">
        <f t="array" ref="C216">INDEX(GMW!$A$2:$NF$60,MATCH(1,(GMW!$NE$2:$NE$60=C$3)*(GMW!$ND$2:$ND$60=C$4),0),$B216-1966)</f>
        <v>13003.82</v>
      </c>
      <c r="D216" s="4" cm="1">
        <f t="array" ref="D216">INDEX(GMW!$A$2:$NF$60,MATCH(1,(GMW!$NE$2:$NE$60=D$3)*(GMW!$ND$2:$ND$60=D$4),0),$B216-1966)</f>
        <v>23714.01</v>
      </c>
      <c r="E216" s="4" cm="1">
        <f t="array" ref="E216">INDEX(GMW!$A$2:$NF$60,MATCH(1,(GMW!$NE$2:$NE$60=E$3)*(GMW!$ND$2:$ND$60=E$4),0),$B216-1966)</f>
        <v>4.25</v>
      </c>
      <c r="F216" s="4" cm="1">
        <f t="array" ref="F216">INDEX(GMW!$A$2:$NF$60,MATCH(1,(GMW!$NE$2:$NE$60=F$3)*(GMW!$ND$2:$ND$60=F$4),0),$B216-1966)</f>
        <v>4.4800000000000004</v>
      </c>
      <c r="G216" s="4" cm="1">
        <f t="array" ref="G216">INDEX(GMW!$A$2:$NF$60,MATCH(1,(GMW!$NE$2:$NE$60=G$3)*(GMW!$ND$2:$ND$60=G$4),0),$B216-1966)</f>
        <v>3.8733330000000001</v>
      </c>
      <c r="H216" s="4" cm="1">
        <f t="array" ref="H216">INDEX(GMW!$A$2:$NF$60,MATCH(1,(GMW!$NE$2:$NE$60=H$3)*(GMW!$ND$2:$ND$60=H$4),0),$B216-1966)</f>
        <v>6.2166670000000002</v>
      </c>
    </row>
    <row r="217" spans="1:8" x14ac:dyDescent="0.35">
      <c r="B217" s="4">
        <f t="shared" si="4"/>
        <v>2183</v>
      </c>
      <c r="C217" s="4" cm="1">
        <f t="array" ref="C217">INDEX(GMW!$A$2:$NF$60,MATCH(1,(GMW!$NE$2:$NE$60=C$3)*(GMW!$ND$2:$ND$60=C$4),0),$B217-1966)</f>
        <v>13058.77</v>
      </c>
      <c r="D217" s="4" cm="1">
        <f t="array" ref="D217">INDEX(GMW!$A$2:$NF$60,MATCH(1,(GMW!$NE$2:$NE$60=D$3)*(GMW!$ND$2:$ND$60=D$4),0),$B217-1966)</f>
        <v>23848.3</v>
      </c>
      <c r="E217" s="4" cm="1">
        <f t="array" ref="E217">INDEX(GMW!$A$2:$NF$60,MATCH(1,(GMW!$NE$2:$NE$60=E$3)*(GMW!$ND$2:$ND$60=E$4),0),$B217-1966)</f>
        <v>4</v>
      </c>
      <c r="F217" s="4" cm="1">
        <f t="array" ref="F217">INDEX(GMW!$A$2:$NF$60,MATCH(1,(GMW!$NE$2:$NE$60=F$3)*(GMW!$ND$2:$ND$60=F$4),0),$B217-1966)</f>
        <v>4.5999999999999996</v>
      </c>
      <c r="G217" s="4" cm="1">
        <f t="array" ref="G217">INDEX(GMW!$A$2:$NF$60,MATCH(1,(GMW!$NE$2:$NE$60=G$3)*(GMW!$ND$2:$ND$60=G$4),0),$B217-1966)</f>
        <v>3.8546209999999999</v>
      </c>
      <c r="H217" s="4" cm="1">
        <f t="array" ref="H217">INDEX(GMW!$A$2:$NF$60,MATCH(1,(GMW!$NE$2:$NE$60=H$3)*(GMW!$ND$2:$ND$60=H$4),0),$B217-1966)</f>
        <v>6.0230079999999999</v>
      </c>
    </row>
    <row r="218" spans="1:8" x14ac:dyDescent="0.35">
      <c r="B218" s="4">
        <f t="shared" si="4"/>
        <v>2184</v>
      </c>
      <c r="C218" s="4" cm="1">
        <f t="array" ref="C218">INDEX(GMW!$A$2:$NF$60,MATCH(1,(GMW!$NE$2:$NE$60=C$3)*(GMW!$ND$2:$ND$60=C$4),0),$B218-1966)</f>
        <v>12877.62</v>
      </c>
      <c r="D218" s="4" cm="1">
        <f t="array" ref="D218">INDEX(GMW!$A$2:$NF$60,MATCH(1,(GMW!$NE$2:$NE$60=D$3)*(GMW!$ND$2:$ND$60=D$4),0),$B218-1966)</f>
        <v>23957.06</v>
      </c>
      <c r="E218" s="4" cm="1">
        <f t="array" ref="E218">INDEX(GMW!$A$2:$NF$60,MATCH(1,(GMW!$NE$2:$NE$60=E$3)*(GMW!$ND$2:$ND$60=E$4),0),$B218-1966)</f>
        <v>3.75</v>
      </c>
      <c r="F218" s="4" cm="1">
        <f t="array" ref="F218">INDEX(GMW!$A$2:$NF$60,MATCH(1,(GMW!$NE$2:$NE$60=F$3)*(GMW!$ND$2:$ND$60=F$4),0),$B218-1966)</f>
        <v>4.536295</v>
      </c>
      <c r="G218" s="4" cm="1">
        <f t="array" ref="G218">INDEX(GMW!$A$2:$NF$60,MATCH(1,(GMW!$NE$2:$NE$60=G$3)*(GMW!$ND$2:$ND$60=G$4),0),$B218-1966)</f>
        <v>3.855985</v>
      </c>
      <c r="H218" s="4" cm="1">
        <f t="array" ref="H218">INDEX(GMW!$A$2:$NF$60,MATCH(1,(GMW!$NE$2:$NE$60=H$3)*(GMW!$ND$2:$ND$60=H$4),0),$B218-1966)</f>
        <v>5.8119050000000003</v>
      </c>
    </row>
    <row r="219" spans="1:8" x14ac:dyDescent="0.35">
      <c r="A219" s="4">
        <v>2026</v>
      </c>
      <c r="B219" s="4">
        <f t="shared" si="4"/>
        <v>2185</v>
      </c>
      <c r="C219" s="4" cm="1">
        <f t="array" ref="C219">INDEX(GMW!$A$2:$NF$60,MATCH(1,(GMW!$NE$2:$NE$60=C$3)*(GMW!$ND$2:$ND$60=C$4),0),$B219-1966)</f>
        <v>12669.71</v>
      </c>
      <c r="D219" s="4" cm="1">
        <f t="array" ref="D219">INDEX(GMW!$A$2:$NF$60,MATCH(1,(GMW!$NE$2:$NE$60=D$3)*(GMW!$ND$2:$ND$60=D$4),0),$B219-1966)</f>
        <v>24149.41</v>
      </c>
      <c r="E219" s="4" cm="1">
        <f t="array" ref="E219">INDEX(GMW!$A$2:$NF$60,MATCH(1,(GMW!$NE$2:$NE$60=E$3)*(GMW!$ND$2:$ND$60=E$4),0),$B219-1966)</f>
        <v>3.5</v>
      </c>
      <c r="F219" s="4" cm="1">
        <f t="array" ref="F219">INDEX(GMW!$A$2:$NF$60,MATCH(1,(GMW!$NE$2:$NE$60=F$3)*(GMW!$ND$2:$ND$60=F$4),0),$B219-1966)</f>
        <v>4.4623629999999999</v>
      </c>
      <c r="G219" s="4" cm="1">
        <f t="array" ref="G219">INDEX(GMW!$A$2:$NF$60,MATCH(1,(GMW!$NE$2:$NE$60=G$3)*(GMW!$ND$2:$ND$60=G$4),0),$B219-1966)</f>
        <v>3.88</v>
      </c>
      <c r="H219" s="4" cm="1">
        <f t="array" ref="H219">INDEX(GMW!$A$2:$NF$60,MATCH(1,(GMW!$NE$2:$NE$60=H$3)*(GMW!$ND$2:$ND$60=H$4),0),$B219-1966)</f>
        <v>5.6060660000000002</v>
      </c>
    </row>
    <row r="220" spans="1:8" x14ac:dyDescent="0.35">
      <c r="B220" s="4">
        <f t="shared" si="4"/>
        <v>2186</v>
      </c>
      <c r="C220" s="4" cm="1">
        <f t="array" ref="C220">INDEX(GMW!$A$2:$NF$60,MATCH(1,(GMW!$NE$2:$NE$60=C$3)*(GMW!$ND$2:$ND$60=C$4),0),$B220-1966)</f>
        <v>12533.04</v>
      </c>
      <c r="D220" s="4" cm="1">
        <f t="array" ref="D220">INDEX(GMW!$A$2:$NF$60,MATCH(1,(GMW!$NE$2:$NE$60=D$3)*(GMW!$ND$2:$ND$60=D$4),0),$B220-1966)</f>
        <v>24312.45</v>
      </c>
      <c r="E220" s="4" cm="1">
        <f t="array" ref="E220">INDEX(GMW!$A$2:$NF$60,MATCH(1,(GMW!$NE$2:$NE$60=E$3)*(GMW!$ND$2:$ND$60=E$4),0),$B220-1966)</f>
        <v>3.25</v>
      </c>
      <c r="F220" s="4" cm="1">
        <f t="array" ref="F220">INDEX(GMW!$A$2:$NF$60,MATCH(1,(GMW!$NE$2:$NE$60=F$3)*(GMW!$ND$2:$ND$60=F$4),0),$B220-1966)</f>
        <v>4.3381970000000001</v>
      </c>
      <c r="G220" s="4" cm="1">
        <f t="array" ref="G220">INDEX(GMW!$A$2:$NF$60,MATCH(1,(GMW!$NE$2:$NE$60=G$3)*(GMW!$ND$2:$ND$60=G$4),0),$B220-1966)</f>
        <v>3.8953850000000001</v>
      </c>
      <c r="H220" s="4" cm="1">
        <f t="array" ref="H220">INDEX(GMW!$A$2:$NF$60,MATCH(1,(GMW!$NE$2:$NE$60=H$3)*(GMW!$ND$2:$ND$60=H$4),0),$B220-1966)</f>
        <v>5.398326</v>
      </c>
    </row>
    <row r="221" spans="1:8" x14ac:dyDescent="0.35">
      <c r="B221" s="4">
        <f t="shared" si="4"/>
        <v>2187</v>
      </c>
      <c r="C221" s="4" cm="1">
        <f t="array" ref="C221">INDEX(GMW!$A$2:$NF$60,MATCH(1,(GMW!$NE$2:$NE$60=C$3)*(GMW!$ND$2:$ND$60=C$4),0),$B221-1966)</f>
        <v>12576.13</v>
      </c>
      <c r="D221" s="4" cm="1">
        <f t="array" ref="D221">INDEX(GMW!$A$2:$NF$60,MATCH(1,(GMW!$NE$2:$NE$60=D$3)*(GMW!$ND$2:$ND$60=D$4),0),$B221-1966)</f>
        <v>24625.51</v>
      </c>
      <c r="E221" s="4" cm="1">
        <f t="array" ref="E221">INDEX(GMW!$A$2:$NF$60,MATCH(1,(GMW!$NE$2:$NE$60=E$3)*(GMW!$ND$2:$ND$60=E$4),0),$B221-1966)</f>
        <v>3.25</v>
      </c>
      <c r="F221" s="4" cm="1">
        <f t="array" ref="F221">INDEX(GMW!$A$2:$NF$60,MATCH(1,(GMW!$NE$2:$NE$60=F$3)*(GMW!$ND$2:$ND$60=F$4),0),$B221-1966)</f>
        <v>4.188987</v>
      </c>
      <c r="G221" s="4" cm="1">
        <f t="array" ref="G221">INDEX(GMW!$A$2:$NF$60,MATCH(1,(GMW!$NE$2:$NE$60=G$3)*(GMW!$ND$2:$ND$60=G$4),0),$B221-1966)</f>
        <v>3.9440819999999999</v>
      </c>
      <c r="H221" s="4" cm="1">
        <f t="array" ref="H221">INDEX(GMW!$A$2:$NF$60,MATCH(1,(GMW!$NE$2:$NE$60=H$3)*(GMW!$ND$2:$ND$60=H$4),0),$B221-1966)</f>
        <v>5.2507599999999996</v>
      </c>
    </row>
    <row r="222" spans="1:8" x14ac:dyDescent="0.35">
      <c r="B222" s="4">
        <f t="shared" si="4"/>
        <v>2188</v>
      </c>
      <c r="C222" s="4" cm="1">
        <f t="array" ref="C222">INDEX(GMW!$A$2:$NF$60,MATCH(1,(GMW!$NE$2:$NE$60=C$3)*(GMW!$ND$2:$ND$60=C$4),0),$B222-1966)</f>
        <v>12527.03</v>
      </c>
      <c r="D222" s="4" cm="1">
        <f t="array" ref="D222">INDEX(GMW!$A$2:$NF$60,MATCH(1,(GMW!$NE$2:$NE$60=D$3)*(GMW!$ND$2:$ND$60=D$4),0),$B222-1966)</f>
        <v>24950.39</v>
      </c>
      <c r="E222" s="4" cm="1">
        <f t="array" ref="E222">INDEX(GMW!$A$2:$NF$60,MATCH(1,(GMW!$NE$2:$NE$60=E$3)*(GMW!$ND$2:$ND$60=E$4),0),$B222-1966)</f>
        <v>3</v>
      </c>
      <c r="F222" s="4" cm="1">
        <f t="array" ref="F222">INDEX(GMW!$A$2:$NF$60,MATCH(1,(GMW!$NE$2:$NE$60=F$3)*(GMW!$ND$2:$ND$60=F$4),0),$B222-1966)</f>
        <v>4.0306749999999996</v>
      </c>
      <c r="G222" s="4" cm="1">
        <f t="array" ref="G222">INDEX(GMW!$A$2:$NF$60,MATCH(1,(GMW!$NE$2:$NE$60=G$3)*(GMW!$ND$2:$ND$60=G$4),0),$B222-1966)</f>
        <v>3.99024</v>
      </c>
      <c r="H222" s="4" cm="1">
        <f t="array" ref="H222">INDEX(GMW!$A$2:$NF$60,MATCH(1,(GMW!$NE$2:$NE$60=H$3)*(GMW!$ND$2:$ND$60=H$4),0),$B222-1966)</f>
        <v>5.0834590000000004</v>
      </c>
    </row>
    <row r="223" spans="1:8" x14ac:dyDescent="0.35">
      <c r="A223" s="4">
        <v>2027</v>
      </c>
      <c r="B223" s="4">
        <f t="shared" si="4"/>
        <v>2189</v>
      </c>
      <c r="C223" s="4" cm="1">
        <f t="array" ref="C223">INDEX(GMW!$A$2:$NF$60,MATCH(1,(GMW!$NE$2:$NE$60=C$3)*(GMW!$ND$2:$ND$60=C$4),0),$B223-1966)</f>
        <v>12577.11</v>
      </c>
      <c r="D223" s="4" cm="1">
        <f t="array" ref="D223">INDEX(GMW!$A$2:$NF$60,MATCH(1,(GMW!$NE$2:$NE$60=D$3)*(GMW!$ND$2:$ND$60=D$4),0),$B223-1966)</f>
        <v>25235.43</v>
      </c>
      <c r="E223" s="4" cm="1">
        <f t="array" ref="E223">INDEX(GMW!$A$2:$NF$60,MATCH(1,(GMW!$NE$2:$NE$60=E$3)*(GMW!$ND$2:$ND$60=E$4),0),$B223-1966)</f>
        <v>3</v>
      </c>
      <c r="F223" s="4" cm="1">
        <f t="array" ref="F223">INDEX(GMW!$A$2:$NF$60,MATCH(1,(GMW!$NE$2:$NE$60=F$3)*(GMW!$ND$2:$ND$60=F$4),0),$B223-1966)</f>
        <v>3.8720720000000002</v>
      </c>
      <c r="G223" s="4" cm="1">
        <f t="array" ref="G223">INDEX(GMW!$A$2:$NF$60,MATCH(1,(GMW!$NE$2:$NE$60=G$3)*(GMW!$ND$2:$ND$60=G$4),0),$B223-1966)</f>
        <v>4.0212690000000002</v>
      </c>
      <c r="H223" s="4" cm="1">
        <f t="array" ref="H223">INDEX(GMW!$A$2:$NF$60,MATCH(1,(GMW!$NE$2:$NE$60=H$3)*(GMW!$ND$2:$ND$60=H$4),0),$B223-1966)</f>
        <v>4.9436739999999997</v>
      </c>
    </row>
    <row r="224" spans="1:8" x14ac:dyDescent="0.35">
      <c r="B224" s="4">
        <f t="shared" si="4"/>
        <v>2190</v>
      </c>
      <c r="C224" s="4" cm="1">
        <f t="array" ref="C224">INDEX(GMW!$A$2:$NF$60,MATCH(1,(GMW!$NE$2:$NE$60=C$3)*(GMW!$ND$2:$ND$60=C$4),0),$B224-1966)</f>
        <v>12517.21</v>
      </c>
      <c r="D224" s="4" cm="1">
        <f t="array" ref="D224">INDEX(GMW!$A$2:$NF$60,MATCH(1,(GMW!$NE$2:$NE$60=D$3)*(GMW!$ND$2:$ND$60=D$4),0),$B224-1966)</f>
        <v>25439.51</v>
      </c>
      <c r="E224" s="4" cm="1">
        <f t="array" ref="E224">INDEX(GMW!$A$2:$NF$60,MATCH(1,(GMW!$NE$2:$NE$60=E$3)*(GMW!$ND$2:$ND$60=E$4),0),$B224-1966)</f>
        <v>2.75</v>
      </c>
      <c r="F224" s="4" cm="1">
        <f t="array" ref="F224">INDEX(GMW!$A$2:$NF$60,MATCH(1,(GMW!$NE$2:$NE$60=F$3)*(GMW!$ND$2:$ND$60=F$4),0),$B224-1966)</f>
        <v>3.7212969999999999</v>
      </c>
      <c r="G224" s="4" cm="1">
        <f t="array" ref="G224">INDEX(GMW!$A$2:$NF$60,MATCH(1,(GMW!$NE$2:$NE$60=G$3)*(GMW!$ND$2:$ND$60=G$4),0),$B224-1966)</f>
        <v>4.0294509999999999</v>
      </c>
      <c r="H224" s="4" cm="1">
        <f t="array" ref="H224">INDEX(GMW!$A$2:$NF$60,MATCH(1,(GMW!$NE$2:$NE$60=H$3)*(GMW!$ND$2:$ND$60=H$4),0),$B224-1966)</f>
        <v>4.7827789999999997</v>
      </c>
    </row>
    <row r="225" spans="1:8" x14ac:dyDescent="0.35">
      <c r="B225" s="4">
        <f t="shared" si="4"/>
        <v>2191</v>
      </c>
      <c r="C225" s="4" cm="1">
        <f t="array" ref="C225">INDEX(GMW!$A$2:$NF$60,MATCH(1,(GMW!$NE$2:$NE$60=C$3)*(GMW!$ND$2:$ND$60=C$4),0),$B225-1966)</f>
        <v>12550.4</v>
      </c>
      <c r="D225" s="4" cm="1">
        <f t="array" ref="D225">INDEX(GMW!$A$2:$NF$60,MATCH(1,(GMW!$NE$2:$NE$60=D$3)*(GMW!$ND$2:$ND$60=D$4),0),$B225-1966)</f>
        <v>25530.07</v>
      </c>
      <c r="E225" s="4" cm="1">
        <f t="array" ref="E225">INDEX(GMW!$A$2:$NF$60,MATCH(1,(GMW!$NE$2:$NE$60=E$3)*(GMW!$ND$2:$ND$60=E$4),0),$B225-1966)</f>
        <v>2.75</v>
      </c>
      <c r="F225" s="4" cm="1">
        <f t="array" ref="F225">INDEX(GMW!$A$2:$NF$60,MATCH(1,(GMW!$NE$2:$NE$60=F$3)*(GMW!$ND$2:$ND$60=F$4),0),$B225-1966)</f>
        <v>3.583097</v>
      </c>
      <c r="G225" s="4" cm="1">
        <f t="array" ref="G225">INDEX(GMW!$A$2:$NF$60,MATCH(1,(GMW!$NE$2:$NE$60=G$3)*(GMW!$ND$2:$ND$60=G$4),0),$B225-1966)</f>
        <v>4.0106210000000004</v>
      </c>
      <c r="H225" s="4" cm="1">
        <f t="array" ref="H225">INDEX(GMW!$A$2:$NF$60,MATCH(1,(GMW!$NE$2:$NE$60=H$3)*(GMW!$ND$2:$ND$60=H$4),0),$B225-1966)</f>
        <v>4.6491040000000003</v>
      </c>
    </row>
    <row r="226" spans="1:8" x14ac:dyDescent="0.35">
      <c r="B226" s="4">
        <f t="shared" si="4"/>
        <v>2192</v>
      </c>
      <c r="C226" s="4" cm="1">
        <f t="array" ref="C226">INDEX(GMW!$A$2:$NF$60,MATCH(1,(GMW!$NE$2:$NE$60=C$3)*(GMW!$ND$2:$ND$60=C$4),0),$B226-1966)</f>
        <v>12533.86</v>
      </c>
      <c r="D226" s="4" cm="1">
        <f t="array" ref="D226">INDEX(GMW!$A$2:$NF$60,MATCH(1,(GMW!$NE$2:$NE$60=D$3)*(GMW!$ND$2:$ND$60=D$4),0),$B226-1966)</f>
        <v>25386.57</v>
      </c>
      <c r="E226" s="4" cm="1">
        <f t="array" ref="E226">INDEX(GMW!$A$2:$NF$60,MATCH(1,(GMW!$NE$2:$NE$60=E$3)*(GMW!$ND$2:$ND$60=E$4),0),$B226-1966)</f>
        <v>2.5</v>
      </c>
      <c r="F226" s="4" cm="1">
        <f t="array" ref="F226">INDEX(GMW!$A$2:$NF$60,MATCH(1,(GMW!$NE$2:$NE$60=F$3)*(GMW!$ND$2:$ND$60=F$4),0),$B226-1966)</f>
        <v>3.4656950000000002</v>
      </c>
      <c r="G226" s="4" cm="1">
        <f t="array" ref="G226">INDEX(GMW!$A$2:$NF$60,MATCH(1,(GMW!$NE$2:$NE$60=G$3)*(GMW!$ND$2:$ND$60=G$4),0),$B226-1966)</f>
        <v>3.9302739999999998</v>
      </c>
      <c r="H226" s="4" cm="1">
        <f t="array" ref="H226">INDEX(GMW!$A$2:$NF$60,MATCH(1,(GMW!$NE$2:$NE$60=H$3)*(GMW!$ND$2:$ND$60=H$4),0),$B226-1966)</f>
        <v>4.4935419999999997</v>
      </c>
    </row>
    <row r="227" spans="1:8" x14ac:dyDescent="0.35">
      <c r="A227" s="4">
        <v>2028</v>
      </c>
      <c r="B227" s="4">
        <f t="shared" si="4"/>
        <v>2193</v>
      </c>
      <c r="C227" s="4" cm="1">
        <f t="array" ref="C227">INDEX(GMW!$A$2:$NF$60,MATCH(1,(GMW!$NE$2:$NE$60=C$3)*(GMW!$ND$2:$ND$60=C$4),0),$B227-1966)</f>
        <v>12599.93</v>
      </c>
      <c r="D227" s="4" cm="1">
        <f t="array" ref="D227">INDEX(GMW!$A$2:$NF$60,MATCH(1,(GMW!$NE$2:$NE$60=D$3)*(GMW!$ND$2:$ND$60=D$4),0),$B227-1966)</f>
        <v>25429.68</v>
      </c>
      <c r="E227" s="4" cm="1">
        <f t="array" ref="E227">INDEX(GMW!$A$2:$NF$60,MATCH(1,(GMW!$NE$2:$NE$60=E$3)*(GMW!$ND$2:$ND$60=E$4),0),$B227-1966)</f>
        <v>2.5</v>
      </c>
      <c r="F227" s="4" cm="1">
        <f t="array" ref="F227">INDEX(GMW!$A$2:$NF$60,MATCH(1,(GMW!$NE$2:$NE$60=F$3)*(GMW!$ND$2:$ND$60=F$4),0),$B227-1966)</f>
        <v>3.3825090000000002</v>
      </c>
      <c r="G227" s="4" cm="1">
        <f t="array" ref="G227">INDEX(GMW!$A$2:$NF$60,MATCH(1,(GMW!$NE$2:$NE$60=G$3)*(GMW!$ND$2:$ND$60=G$4),0),$B227-1966)</f>
        <v>3.8858609999999998</v>
      </c>
      <c r="H227" s="4" cm="1">
        <f t="array" ref="H227">INDEX(GMW!$A$2:$NF$60,MATCH(1,(GMW!$NE$2:$NE$60=H$3)*(GMW!$ND$2:$ND$60=H$4),0),$B227-1966)</f>
        <v>4.3715590000000004</v>
      </c>
    </row>
    <row r="228" spans="1:8" x14ac:dyDescent="0.35">
      <c r="B228" s="4">
        <f t="shared" si="4"/>
        <v>2194</v>
      </c>
      <c r="C228" s="4" cm="1">
        <f t="array" ref="C228">INDEX(GMW!$A$2:$NF$60,MATCH(1,(GMW!$NE$2:$NE$60=C$3)*(GMW!$ND$2:$ND$60=C$4),0),$B228-1966)</f>
        <v>12784.36</v>
      </c>
      <c r="D228" s="4" cm="1">
        <f t="array" ref="D228">INDEX(GMW!$A$2:$NF$60,MATCH(1,(GMW!$NE$2:$NE$60=D$3)*(GMW!$ND$2:$ND$60=D$4),0),$B228-1966)</f>
        <v>25535.06</v>
      </c>
      <c r="E228" s="4" cm="1">
        <f t="array" ref="E228">INDEX(GMW!$A$2:$NF$60,MATCH(1,(GMW!$NE$2:$NE$60=E$3)*(GMW!$ND$2:$ND$60=E$4),0),$B228-1966)</f>
        <v>2.5</v>
      </c>
      <c r="F228" s="4" cm="1">
        <f t="array" ref="F228">INDEX(GMW!$A$2:$NF$60,MATCH(1,(GMW!$NE$2:$NE$60=F$3)*(GMW!$ND$2:$ND$60=F$4),0),$B228-1966)</f>
        <v>3.35</v>
      </c>
      <c r="G228" s="4" cm="1">
        <f t="array" ref="G228">INDEX(GMW!$A$2:$NF$60,MATCH(1,(GMW!$NE$2:$NE$60=G$3)*(GMW!$ND$2:$ND$60=G$4),0),$B228-1966)</f>
        <v>3.845469</v>
      </c>
      <c r="H228" s="4" cm="1">
        <f t="array" ref="H228">INDEX(GMW!$A$2:$NF$60,MATCH(1,(GMW!$NE$2:$NE$60=H$3)*(GMW!$ND$2:$ND$60=H$4),0),$B228-1966)</f>
        <v>4.3</v>
      </c>
    </row>
    <row r="229" spans="1:8" x14ac:dyDescent="0.35">
      <c r="B229" s="4">
        <f t="shared" si="4"/>
        <v>2195</v>
      </c>
      <c r="C229" s="4" cm="1">
        <f t="array" ref="C229">INDEX(GMW!$A$2:$NF$60,MATCH(1,(GMW!$NE$2:$NE$60=C$3)*(GMW!$ND$2:$ND$60=C$4),0),$B229-1966)</f>
        <v>13082.46</v>
      </c>
      <c r="D229" s="4" cm="1">
        <f t="array" ref="D229">INDEX(GMW!$A$2:$NF$60,MATCH(1,(GMW!$NE$2:$NE$60=D$3)*(GMW!$ND$2:$ND$60=D$4),0),$B229-1966)</f>
        <v>25524.67</v>
      </c>
      <c r="E229" s="4" cm="1">
        <f t="array" ref="E229">INDEX(GMW!$A$2:$NF$60,MATCH(1,(GMW!$NE$2:$NE$60=E$3)*(GMW!$ND$2:$ND$60=E$4),0),$B229-1966)</f>
        <v>2.5</v>
      </c>
      <c r="F229" s="4" cm="1">
        <f t="array" ref="F229">INDEX(GMW!$A$2:$NF$60,MATCH(1,(GMW!$NE$2:$NE$60=F$3)*(GMW!$ND$2:$ND$60=F$4),0),$B229-1966)</f>
        <v>3.35</v>
      </c>
      <c r="G229" s="4" cm="1">
        <f t="array" ref="G229">INDEX(GMW!$A$2:$NF$60,MATCH(1,(GMW!$NE$2:$NE$60=G$3)*(GMW!$ND$2:$ND$60=G$4),0),$B229-1966)</f>
        <v>3.7748840000000001</v>
      </c>
      <c r="H229" s="4" cm="1">
        <f t="array" ref="H229">INDEX(GMW!$A$2:$NF$60,MATCH(1,(GMW!$NE$2:$NE$60=H$3)*(GMW!$ND$2:$ND$60=H$4),0),$B229-1966)</f>
        <v>4.3</v>
      </c>
    </row>
    <row r="230" spans="1:8" x14ac:dyDescent="0.35">
      <c r="B230" s="4">
        <f t="shared" si="4"/>
        <v>2196</v>
      </c>
      <c r="C230" s="4" cm="1">
        <f t="array" ref="C230">INDEX(GMW!$A$2:$NF$60,MATCH(1,(GMW!$NE$2:$NE$60=C$3)*(GMW!$ND$2:$ND$60=C$4),0),$B230-1966)</f>
        <v>13387.72</v>
      </c>
      <c r="D230" s="4" cm="1">
        <f t="array" ref="D230">INDEX(GMW!$A$2:$NF$60,MATCH(1,(GMW!$NE$2:$NE$60=D$3)*(GMW!$ND$2:$ND$60=D$4),0),$B230-1966)</f>
        <v>25604.34</v>
      </c>
      <c r="E230" s="4" cm="1">
        <f t="array" ref="E230">INDEX(GMW!$A$2:$NF$60,MATCH(1,(GMW!$NE$2:$NE$60=E$3)*(GMW!$ND$2:$ND$60=E$4),0),$B230-1966)</f>
        <v>2.5</v>
      </c>
      <c r="F230" s="4" cm="1">
        <f t="array" ref="F230">INDEX(GMW!$A$2:$NF$60,MATCH(1,(GMW!$NE$2:$NE$60=F$3)*(GMW!$ND$2:$ND$60=F$4),0),$B230-1966)</f>
        <v>3.35</v>
      </c>
      <c r="G230" s="4" cm="1">
        <f t="array" ref="G230">INDEX(GMW!$A$2:$NF$60,MATCH(1,(GMW!$NE$2:$NE$60=G$3)*(GMW!$ND$2:$ND$60=G$4),0),$B230-1966)</f>
        <v>3.7265229999999998</v>
      </c>
      <c r="H230" s="4" cm="1">
        <f t="array" ref="H230">INDEX(GMW!$A$2:$NF$60,MATCH(1,(GMW!$NE$2:$NE$60=H$3)*(GMW!$ND$2:$ND$60=H$4),0),$B230-1966)</f>
        <v>4.3</v>
      </c>
    </row>
    <row r="231" spans="1:8" x14ac:dyDescent="0.35">
      <c r="A231" s="4">
        <v>2029</v>
      </c>
      <c r="B231" s="4">
        <f t="shared" si="4"/>
        <v>2197</v>
      </c>
      <c r="C231" s="4" cm="1">
        <f t="array" ref="C231">INDEX(GMW!$A$2:$NF$60,MATCH(1,(GMW!$NE$2:$NE$60=C$3)*(GMW!$ND$2:$ND$60=C$4),0),$B231-1966)</f>
        <v>13700.11</v>
      </c>
      <c r="D231" s="4" cm="1">
        <f t="array" ref="D231">INDEX(GMW!$A$2:$NF$60,MATCH(1,(GMW!$NE$2:$NE$60=D$3)*(GMW!$ND$2:$ND$60=D$4),0),$B231-1966)</f>
        <v>25760.51</v>
      </c>
      <c r="E231" s="4" cm="1">
        <f t="array" ref="E231">INDEX(GMW!$A$2:$NF$60,MATCH(1,(GMW!$NE$2:$NE$60=E$3)*(GMW!$ND$2:$ND$60=E$4),0),$B231-1966)</f>
        <v>2.5</v>
      </c>
      <c r="F231" s="4" cm="1">
        <f t="array" ref="F231">INDEX(GMW!$A$2:$NF$60,MATCH(1,(GMW!$NE$2:$NE$60=F$3)*(GMW!$ND$2:$ND$60=F$4),0),$B231-1966)</f>
        <v>3.35</v>
      </c>
      <c r="G231" s="4" cm="1">
        <f t="array" ref="G231">INDEX(GMW!$A$2:$NF$60,MATCH(1,(GMW!$NE$2:$NE$60=G$3)*(GMW!$ND$2:$ND$60=G$4),0),$B231-1966)</f>
        <v>3.694598</v>
      </c>
      <c r="H231" s="4" cm="1">
        <f t="array" ref="H231">INDEX(GMW!$A$2:$NF$60,MATCH(1,(GMW!$NE$2:$NE$60=H$3)*(GMW!$ND$2:$ND$60=H$4),0),$B231-1966)</f>
        <v>4.3</v>
      </c>
    </row>
    <row r="232" spans="1:8" x14ac:dyDescent="0.35">
      <c r="B232" s="4">
        <f t="shared" si="4"/>
        <v>2198</v>
      </c>
      <c r="C232" s="4" cm="1">
        <f t="array" ref="C232">INDEX(GMW!$A$2:$NF$60,MATCH(1,(GMW!$NE$2:$NE$60=C$3)*(GMW!$ND$2:$ND$60=C$4),0),$B232-1966)</f>
        <v>14018.34</v>
      </c>
      <c r="D232" s="4" cm="1">
        <f t="array" ref="D232">INDEX(GMW!$A$2:$NF$60,MATCH(1,(GMW!$NE$2:$NE$60=D$3)*(GMW!$ND$2:$ND$60=D$4),0),$B232-1966)</f>
        <v>25924.55</v>
      </c>
      <c r="E232" s="4" cm="1">
        <f t="array" ref="E232">INDEX(GMW!$A$2:$NF$60,MATCH(1,(GMW!$NE$2:$NE$60=E$3)*(GMW!$ND$2:$ND$60=E$4),0),$B232-1966)</f>
        <v>2.5</v>
      </c>
      <c r="F232" s="4" cm="1">
        <f t="array" ref="F232">INDEX(GMW!$A$2:$NF$60,MATCH(1,(GMW!$NE$2:$NE$60=F$3)*(GMW!$ND$2:$ND$60=F$4),0),$B232-1966)</f>
        <v>3.35</v>
      </c>
      <c r="G232" s="4" cm="1">
        <f t="array" ref="G232">INDEX(GMW!$A$2:$NF$60,MATCH(1,(GMW!$NE$2:$NE$60=G$3)*(GMW!$ND$2:$ND$60=G$4),0),$B232-1966)</f>
        <v>3.6628050000000001</v>
      </c>
      <c r="H232" s="4" cm="1">
        <f t="array" ref="H232">INDEX(GMW!$A$2:$NF$60,MATCH(1,(GMW!$NE$2:$NE$60=H$3)*(GMW!$ND$2:$ND$60=H$4),0),$B232-1966)</f>
        <v>4.3</v>
      </c>
    </row>
    <row r="233" spans="1:8" x14ac:dyDescent="0.35">
      <c r="B233" s="4">
        <f t="shared" si="4"/>
        <v>2199</v>
      </c>
      <c r="C233" s="4" cm="1">
        <f t="array" ref="C233">INDEX(GMW!$A$2:$NF$60,MATCH(1,(GMW!$NE$2:$NE$60=C$3)*(GMW!$ND$2:$ND$60=C$4),0),$B233-1966)</f>
        <v>14341.86</v>
      </c>
      <c r="D233" s="4" cm="1">
        <f t="array" ref="D233">INDEX(GMW!$A$2:$NF$60,MATCH(1,(GMW!$NE$2:$NE$60=D$3)*(GMW!$ND$2:$ND$60=D$4),0),$B233-1966)</f>
        <v>26155.01</v>
      </c>
      <c r="E233" s="4" cm="1">
        <f t="array" ref="E233">INDEX(GMW!$A$2:$NF$60,MATCH(1,(GMW!$NE$2:$NE$60=E$3)*(GMW!$ND$2:$ND$60=E$4),0),$B233-1966)</f>
        <v>2.5</v>
      </c>
      <c r="F233" s="4" cm="1">
        <f t="array" ref="F233">INDEX(GMW!$A$2:$NF$60,MATCH(1,(GMW!$NE$2:$NE$60=F$3)*(GMW!$ND$2:$ND$60=F$4),0),$B233-1966)</f>
        <v>3.35</v>
      </c>
      <c r="G233" s="4" cm="1">
        <f t="array" ref="G233">INDEX(GMW!$A$2:$NF$60,MATCH(1,(GMW!$NE$2:$NE$60=G$3)*(GMW!$ND$2:$ND$60=G$4),0),$B233-1966)</f>
        <v>3.6443569999999998</v>
      </c>
      <c r="H233" s="4" cm="1">
        <f t="array" ref="H233">INDEX(GMW!$A$2:$NF$60,MATCH(1,(GMW!$NE$2:$NE$60=H$3)*(GMW!$ND$2:$ND$60=H$4),0),$B233-1966)</f>
        <v>4.3</v>
      </c>
    </row>
    <row r="234" spans="1:8" x14ac:dyDescent="0.35">
      <c r="B234" s="4">
        <f t="shared" si="4"/>
        <v>2200</v>
      </c>
      <c r="C234" s="4" cm="1">
        <f t="array" ref="C234">INDEX(GMW!$A$2:$NF$60,MATCH(1,(GMW!$NE$2:$NE$60=C$3)*(GMW!$ND$2:$ND$60=C$4),0),$B234-1966)</f>
        <v>14672.96</v>
      </c>
      <c r="D234" s="4" cm="1">
        <f t="array" ref="D234">INDEX(GMW!$A$2:$NF$60,MATCH(1,(GMW!$NE$2:$NE$60=D$3)*(GMW!$ND$2:$ND$60=D$4),0),$B234-1966)</f>
        <v>26416.02</v>
      </c>
      <c r="E234" s="4" cm="1">
        <f t="array" ref="E234">INDEX(GMW!$A$2:$NF$60,MATCH(1,(GMW!$NE$2:$NE$60=E$3)*(GMW!$ND$2:$ND$60=E$4),0),$B234-1966)</f>
        <v>2.5</v>
      </c>
      <c r="F234" s="4" cm="1">
        <f t="array" ref="F234">INDEX(GMW!$A$2:$NF$60,MATCH(1,(GMW!$NE$2:$NE$60=F$3)*(GMW!$ND$2:$ND$60=F$4),0),$B234-1966)</f>
        <v>3.35</v>
      </c>
      <c r="G234" s="4" cm="1">
        <f t="array" ref="G234">INDEX(GMW!$A$2:$NF$60,MATCH(1,(GMW!$NE$2:$NE$60=G$3)*(GMW!$ND$2:$ND$60=G$4),0),$B234-1966)</f>
        <v>3.631113</v>
      </c>
      <c r="H234" s="4" cm="1">
        <f t="array" ref="H234">INDEX(GMW!$A$2:$NF$60,MATCH(1,(GMW!$NE$2:$NE$60=H$3)*(GMW!$ND$2:$ND$60=H$4),0),$B234-1966)</f>
        <v>4.3</v>
      </c>
    </row>
    <row r="235" spans="1:8" x14ac:dyDescent="0.35">
      <c r="A235" s="4">
        <v>2030</v>
      </c>
      <c r="B235" s="4">
        <f t="shared" si="4"/>
        <v>2201</v>
      </c>
      <c r="C235" s="4" cm="1">
        <f t="array" ref="C235">INDEX(GMW!$A$2:$NF$60,MATCH(1,(GMW!$NE$2:$NE$60=C$3)*(GMW!$ND$2:$ND$60=C$4),0),$B235-1966)</f>
        <v>15012.49</v>
      </c>
      <c r="D235" s="4" cm="1">
        <f t="array" ref="D235">INDEX(GMW!$A$2:$NF$60,MATCH(1,(GMW!$NE$2:$NE$60=D$3)*(GMW!$ND$2:$ND$60=D$4),0),$B235-1966)</f>
        <v>26666.1</v>
      </c>
      <c r="E235" s="4" cm="1">
        <f t="array" ref="E235">INDEX(GMW!$A$2:$NF$60,MATCH(1,(GMW!$NE$2:$NE$60=E$3)*(GMW!$ND$2:$ND$60=E$4),0),$B235-1966)</f>
        <v>2.5</v>
      </c>
      <c r="F235" s="4" cm="1">
        <f t="array" ref="F235">INDEX(GMW!$A$2:$NF$60,MATCH(1,(GMW!$NE$2:$NE$60=F$3)*(GMW!$ND$2:$ND$60=F$4),0),$B235-1966)</f>
        <v>3.35</v>
      </c>
      <c r="G235" s="4" cm="1">
        <f t="array" ref="G235">INDEX(GMW!$A$2:$NF$60,MATCH(1,(GMW!$NE$2:$NE$60=G$3)*(GMW!$ND$2:$ND$60=G$4),0),$B235-1966)</f>
        <v>3.6140819999999998</v>
      </c>
      <c r="H235" s="4" cm="1">
        <f t="array" ref="H235">INDEX(GMW!$A$2:$NF$60,MATCH(1,(GMW!$NE$2:$NE$60=H$3)*(GMW!$ND$2:$ND$60=H$4),0),$B235-1966)</f>
        <v>4.3</v>
      </c>
    </row>
    <row r="236" spans="1:8" x14ac:dyDescent="0.35">
      <c r="B236" s="4">
        <f t="shared" si="4"/>
        <v>2202</v>
      </c>
      <c r="C236" s="4" cm="1">
        <f t="array" ref="C236">INDEX(GMW!$A$2:$NF$60,MATCH(1,(GMW!$NE$2:$NE$60=C$3)*(GMW!$ND$2:$ND$60=C$4),0),$B236-1966)</f>
        <v>15362.31</v>
      </c>
      <c r="D236" s="4" cm="1">
        <f t="array" ref="D236">INDEX(GMW!$A$2:$NF$60,MATCH(1,(GMW!$NE$2:$NE$60=D$3)*(GMW!$ND$2:$ND$60=D$4),0),$B236-1966)</f>
        <v>26943.439999999999</v>
      </c>
      <c r="E236" s="4" cm="1">
        <f t="array" ref="E236">INDEX(GMW!$A$2:$NF$60,MATCH(1,(GMW!$NE$2:$NE$60=E$3)*(GMW!$ND$2:$ND$60=E$4),0),$B236-1966)</f>
        <v>2.5</v>
      </c>
      <c r="F236" s="4" cm="1">
        <f t="array" ref="F236">INDEX(GMW!$A$2:$NF$60,MATCH(1,(GMW!$NE$2:$NE$60=F$3)*(GMW!$ND$2:$ND$60=F$4),0),$B236-1966)</f>
        <v>3.35</v>
      </c>
      <c r="G236" s="4" cm="1">
        <f t="array" ref="G236">INDEX(GMW!$A$2:$NF$60,MATCH(1,(GMW!$NE$2:$NE$60=G$3)*(GMW!$ND$2:$ND$60=G$4),0),$B236-1966)</f>
        <v>3.6019670000000001</v>
      </c>
      <c r="H236" s="4" cm="1">
        <f t="array" ref="H236">INDEX(GMW!$A$2:$NF$60,MATCH(1,(GMW!$NE$2:$NE$60=H$3)*(GMW!$ND$2:$ND$60=H$4),0),$B236-1966)</f>
        <v>4.3</v>
      </c>
    </row>
    <row r="237" spans="1:8" x14ac:dyDescent="0.35">
      <c r="B237" s="4">
        <f t="shared" si="4"/>
        <v>2203</v>
      </c>
      <c r="C237" s="4" cm="1">
        <f t="array" ref="C237">INDEX(GMW!$A$2:$NF$60,MATCH(1,(GMW!$NE$2:$NE$60=C$3)*(GMW!$ND$2:$ND$60=C$4),0),$B237-1966)</f>
        <v>15720.75</v>
      </c>
      <c r="D237" s="4" cm="1">
        <f t="array" ref="D237">INDEX(GMW!$A$2:$NF$60,MATCH(1,(GMW!$NE$2:$NE$60=D$3)*(GMW!$ND$2:$ND$60=D$4),0),$B237-1966)</f>
        <v>27226.07</v>
      </c>
      <c r="E237" s="4" cm="1">
        <f t="array" ref="E237">INDEX(GMW!$A$2:$NF$60,MATCH(1,(GMW!$NE$2:$NE$60=E$3)*(GMW!$ND$2:$ND$60=E$4),0),$B237-1966)</f>
        <v>2.5</v>
      </c>
      <c r="F237" s="4" cm="1">
        <f t="array" ref="F237">INDEX(GMW!$A$2:$NF$60,MATCH(1,(GMW!$NE$2:$NE$60=F$3)*(GMW!$ND$2:$ND$60=F$4),0),$B237-1966)</f>
        <v>3.35</v>
      </c>
      <c r="G237" s="4" cm="1">
        <f t="array" ref="G237">INDEX(GMW!$A$2:$NF$60,MATCH(1,(GMW!$NE$2:$NE$60=G$3)*(GMW!$ND$2:$ND$60=G$4),0),$B237-1966)</f>
        <v>3.5926830000000001</v>
      </c>
      <c r="H237" s="4" cm="1">
        <f t="array" ref="H237">INDEX(GMW!$A$2:$NF$60,MATCH(1,(GMW!$NE$2:$NE$60=H$3)*(GMW!$ND$2:$ND$60=H$4),0),$B237-1966)</f>
        <v>4.3</v>
      </c>
    </row>
    <row r="238" spans="1:8" x14ac:dyDescent="0.35">
      <c r="B238" s="4">
        <f t="shared" si="4"/>
        <v>2204</v>
      </c>
      <c r="C238" s="4" cm="1">
        <f t="array" ref="C238">INDEX(GMW!$A$2:$NF$60,MATCH(1,(GMW!$NE$2:$NE$60=C$3)*(GMW!$ND$2:$ND$60=C$4),0),$B238-1966)</f>
        <v>16087.51</v>
      </c>
      <c r="D238" s="4" cm="1">
        <f t="array" ref="D238">INDEX(GMW!$A$2:$NF$60,MATCH(1,(GMW!$NE$2:$NE$60=D$3)*(GMW!$ND$2:$ND$60=D$4),0),$B238-1966)</f>
        <v>27517.69</v>
      </c>
      <c r="E238" s="4" cm="1">
        <f t="array" ref="E238">INDEX(GMW!$A$2:$NF$60,MATCH(1,(GMW!$NE$2:$NE$60=E$3)*(GMW!$ND$2:$ND$60=E$4),0),$B238-1966)</f>
        <v>2.5</v>
      </c>
      <c r="F238" s="4" cm="1">
        <f t="array" ref="F238">INDEX(GMW!$A$2:$NF$60,MATCH(1,(GMW!$NE$2:$NE$60=F$3)*(GMW!$ND$2:$ND$60=F$4),0),$B238-1966)</f>
        <v>3.35</v>
      </c>
      <c r="G238" s="4" cm="1">
        <f t="array" ref="G238">INDEX(GMW!$A$2:$NF$60,MATCH(1,(GMW!$NE$2:$NE$60=G$3)*(GMW!$ND$2:$ND$60=G$4),0),$B238-1966)</f>
        <v>3.5836459999999999</v>
      </c>
      <c r="H238" s="4" cm="1">
        <f t="array" ref="H238">INDEX(GMW!$A$2:$NF$60,MATCH(1,(GMW!$NE$2:$NE$60=H$3)*(GMW!$ND$2:$ND$60=H$4),0),$B238-1966)</f>
        <v>4.3</v>
      </c>
    </row>
    <row r="239" spans="1:8" x14ac:dyDescent="0.35">
      <c r="A239" s="4">
        <v>2031</v>
      </c>
      <c r="B239" s="4">
        <f t="shared" si="4"/>
        <v>2205</v>
      </c>
      <c r="C239" s="4" cm="1">
        <f t="array" ref="C239">INDEX(GMW!$A$2:$NF$60,MATCH(1,(GMW!$NE$2:$NE$60=C$3)*(GMW!$ND$2:$ND$60=C$4),0),$B239-1966)</f>
        <v>16321.9</v>
      </c>
      <c r="D239" s="4" cm="1">
        <f t="array" ref="D239">INDEX(GMW!$A$2:$NF$60,MATCH(1,(GMW!$NE$2:$NE$60=D$3)*(GMW!$ND$2:$ND$60=D$4),0),$B239-1966)</f>
        <v>27801.47</v>
      </c>
      <c r="E239" s="4" cm="1">
        <f t="array" ref="E239">INDEX(GMW!$A$2:$NF$60,MATCH(1,(GMW!$NE$2:$NE$60=E$3)*(GMW!$ND$2:$ND$60=E$4),0),$B239-1966)</f>
        <v>2.5</v>
      </c>
      <c r="F239" s="4" cm="1">
        <f t="array" ref="F239">INDEX(GMW!$A$2:$NF$60,MATCH(1,(GMW!$NE$2:$NE$60=F$3)*(GMW!$ND$2:$ND$60=F$4),0),$B239-1966)</f>
        <v>3.35</v>
      </c>
      <c r="G239" s="4" cm="1">
        <f t="array" ref="G239">INDEX(GMW!$A$2:$NF$60,MATCH(1,(GMW!$NE$2:$NE$60=G$3)*(GMW!$ND$2:$ND$60=G$4),0),$B239-1966)</f>
        <v>3.5754860000000002</v>
      </c>
      <c r="H239" s="4" cm="1">
        <f t="array" ref="H239">INDEX(GMW!$A$2:$NF$60,MATCH(1,(GMW!$NE$2:$NE$60=H$3)*(GMW!$ND$2:$ND$60=H$4),0),$B239-1966)</f>
        <v>4.3</v>
      </c>
    </row>
    <row r="240" spans="1:8" x14ac:dyDescent="0.35">
      <c r="B240" s="4">
        <f t="shared" si="4"/>
        <v>2206</v>
      </c>
      <c r="C240" s="4" cm="1">
        <f t="array" ref="C240">INDEX(GMW!$A$2:$NF$60,MATCH(1,(GMW!$NE$2:$NE$60=C$3)*(GMW!$ND$2:$ND$60=C$4),0),$B240-1966)</f>
        <v>16561.009999999998</v>
      </c>
      <c r="D240" s="4" cm="1">
        <f t="array" ref="D240">INDEX(GMW!$A$2:$NF$60,MATCH(1,(GMW!$NE$2:$NE$60=D$3)*(GMW!$ND$2:$ND$60=D$4),0),$B240-1966)</f>
        <v>28047.94</v>
      </c>
      <c r="E240" s="4" cm="1">
        <f t="array" ref="E240">INDEX(GMW!$A$2:$NF$60,MATCH(1,(GMW!$NE$2:$NE$60=E$3)*(GMW!$ND$2:$ND$60=E$4),0),$B240-1966)</f>
        <v>2.5</v>
      </c>
      <c r="F240" s="4" cm="1">
        <f t="array" ref="F240">INDEX(GMW!$A$2:$NF$60,MATCH(1,(GMW!$NE$2:$NE$60=F$3)*(GMW!$ND$2:$ND$60=F$4),0),$B240-1966)</f>
        <v>3.35</v>
      </c>
      <c r="G240" s="4" cm="1">
        <f t="array" ref="G240">INDEX(GMW!$A$2:$NF$60,MATCH(1,(GMW!$NE$2:$NE$60=G$3)*(GMW!$ND$2:$ND$60=G$4),0),$B240-1966)</f>
        <v>3.5587550000000001</v>
      </c>
      <c r="H240" s="4" cm="1">
        <f t="array" ref="H240">INDEX(GMW!$A$2:$NF$60,MATCH(1,(GMW!$NE$2:$NE$60=H$3)*(GMW!$ND$2:$ND$60=H$4),0),$B240-1966)</f>
        <v>4.3</v>
      </c>
    </row>
    <row r="241" spans="1:8" x14ac:dyDescent="0.35">
      <c r="B241" s="4">
        <f t="shared" ref="B241:B304" si="5">+B240+1</f>
        <v>2207</v>
      </c>
      <c r="C241" s="4" cm="1">
        <f t="array" ref="C241">INDEX(GMW!$A$2:$NF$60,MATCH(1,(GMW!$NE$2:$NE$60=C$3)*(GMW!$ND$2:$ND$60=C$4),0),$B241-1966)</f>
        <v>16800.82</v>
      </c>
      <c r="D241" s="4" cm="1">
        <f t="array" ref="D241">INDEX(GMW!$A$2:$NF$60,MATCH(1,(GMW!$NE$2:$NE$60=D$3)*(GMW!$ND$2:$ND$60=D$4),0),$B241-1966)</f>
        <v>28296.69</v>
      </c>
      <c r="E241" s="4" cm="1">
        <f t="array" ref="E241">INDEX(GMW!$A$2:$NF$60,MATCH(1,(GMW!$NE$2:$NE$60=E$3)*(GMW!$ND$2:$ND$60=E$4),0),$B241-1966)</f>
        <v>2.5</v>
      </c>
      <c r="F241" s="4" cm="1">
        <f t="array" ref="F241">INDEX(GMW!$A$2:$NF$60,MATCH(1,(GMW!$NE$2:$NE$60=F$3)*(GMW!$ND$2:$ND$60=F$4),0),$B241-1966)</f>
        <v>3.35</v>
      </c>
      <c r="G241" s="4" cm="1">
        <f t="array" ref="G241">INDEX(GMW!$A$2:$NF$60,MATCH(1,(GMW!$NE$2:$NE$60=G$3)*(GMW!$ND$2:$ND$60=G$4),0),$B241-1966)</f>
        <v>3.542548</v>
      </c>
      <c r="H241" s="4" cm="1">
        <f t="array" ref="H241">INDEX(GMW!$A$2:$NF$60,MATCH(1,(GMW!$NE$2:$NE$60=H$3)*(GMW!$ND$2:$ND$60=H$4),0),$B241-1966)</f>
        <v>4.3</v>
      </c>
    </row>
    <row r="242" spans="1:8" x14ac:dyDescent="0.35">
      <c r="B242" s="4">
        <f t="shared" si="5"/>
        <v>2208</v>
      </c>
      <c r="C242" s="4" cm="1">
        <f t="array" ref="C242">INDEX(GMW!$A$2:$NF$60,MATCH(1,(GMW!$NE$2:$NE$60=C$3)*(GMW!$ND$2:$ND$60=C$4),0),$B242-1966)</f>
        <v>17042.46</v>
      </c>
      <c r="D242" s="4" cm="1">
        <f t="array" ref="D242">INDEX(GMW!$A$2:$NF$60,MATCH(1,(GMW!$NE$2:$NE$60=D$3)*(GMW!$ND$2:$ND$60=D$4),0),$B242-1966)</f>
        <v>28551.13</v>
      </c>
      <c r="E242" s="4" cm="1">
        <f t="array" ref="E242">INDEX(GMW!$A$2:$NF$60,MATCH(1,(GMW!$NE$2:$NE$60=E$3)*(GMW!$ND$2:$ND$60=E$4),0),$B242-1966)</f>
        <v>2.5</v>
      </c>
      <c r="F242" s="4" cm="1">
        <f t="array" ref="F242">INDEX(GMW!$A$2:$NF$60,MATCH(1,(GMW!$NE$2:$NE$60=F$3)*(GMW!$ND$2:$ND$60=F$4),0),$B242-1966)</f>
        <v>3.35</v>
      </c>
      <c r="G242" s="4" cm="1">
        <f t="array" ref="G242">INDEX(GMW!$A$2:$NF$60,MATCH(1,(GMW!$NE$2:$NE$60=G$3)*(GMW!$ND$2:$ND$60=G$4),0),$B242-1966)</f>
        <v>3.5274220000000001</v>
      </c>
      <c r="H242" s="4" cm="1">
        <f t="array" ref="H242">INDEX(GMW!$A$2:$NF$60,MATCH(1,(GMW!$NE$2:$NE$60=H$3)*(GMW!$ND$2:$ND$60=H$4),0),$B242-1966)</f>
        <v>4.3</v>
      </c>
    </row>
    <row r="243" spans="1:8" x14ac:dyDescent="0.35">
      <c r="A243" s="4">
        <v>2032</v>
      </c>
      <c r="B243" s="4">
        <f t="shared" si="5"/>
        <v>2209</v>
      </c>
      <c r="C243" s="4" cm="1">
        <f t="array" ref="C243">INDEX(GMW!$A$2:$NF$60,MATCH(1,(GMW!$NE$2:$NE$60=C$3)*(GMW!$ND$2:$ND$60=C$4),0),$B243-1966)</f>
        <v>17285.72</v>
      </c>
      <c r="D243" s="4" cm="1">
        <f t="array" ref="D243">INDEX(GMW!$A$2:$NF$60,MATCH(1,(GMW!$NE$2:$NE$60=D$3)*(GMW!$ND$2:$ND$60=D$4),0),$B243-1966)</f>
        <v>28812.240000000002</v>
      </c>
      <c r="E243" s="4" cm="1">
        <f t="array" ref="E243">INDEX(GMW!$A$2:$NF$60,MATCH(1,(GMW!$NE$2:$NE$60=E$3)*(GMW!$ND$2:$ND$60=E$4),0),$B243-1966)</f>
        <v>2.5</v>
      </c>
      <c r="F243" s="4" cm="1">
        <f t="array" ref="F243">INDEX(GMW!$A$2:$NF$60,MATCH(1,(GMW!$NE$2:$NE$60=F$3)*(GMW!$ND$2:$ND$60=F$4),0),$B243-1966)</f>
        <v>3.35</v>
      </c>
      <c r="G243" s="4" cm="1">
        <f t="array" ref="G243">INDEX(GMW!$A$2:$NF$60,MATCH(1,(GMW!$NE$2:$NE$60=G$3)*(GMW!$ND$2:$ND$60=G$4),0),$B243-1966)</f>
        <v>3.5137299999999998</v>
      </c>
      <c r="H243" s="4" cm="1">
        <f t="array" ref="H243">INDEX(GMW!$A$2:$NF$60,MATCH(1,(GMW!$NE$2:$NE$60=H$3)*(GMW!$ND$2:$ND$60=H$4),0),$B243-1966)</f>
        <v>4.3</v>
      </c>
    </row>
    <row r="244" spans="1:8" x14ac:dyDescent="0.35">
      <c r="B244" s="4">
        <f t="shared" si="5"/>
        <v>2210</v>
      </c>
      <c r="C244" s="4" cm="1">
        <f t="array" ref="C244">INDEX(GMW!$A$2:$NF$60,MATCH(1,(GMW!$NE$2:$NE$60=C$3)*(GMW!$ND$2:$ND$60=C$4),0),$B244-1966)</f>
        <v>17528.650000000001</v>
      </c>
      <c r="D244" s="4" cm="1">
        <f t="array" ref="D244">INDEX(GMW!$A$2:$NF$60,MATCH(1,(GMW!$NE$2:$NE$60=D$3)*(GMW!$ND$2:$ND$60=D$4),0),$B244-1966)</f>
        <v>29076.69</v>
      </c>
      <c r="E244" s="4" cm="1">
        <f t="array" ref="E244">INDEX(GMW!$A$2:$NF$60,MATCH(1,(GMW!$NE$2:$NE$60=E$3)*(GMW!$ND$2:$ND$60=E$4),0),$B244-1966)</f>
        <v>2.5</v>
      </c>
      <c r="F244" s="4" cm="1">
        <f t="array" ref="F244">INDEX(GMW!$A$2:$NF$60,MATCH(1,(GMW!$NE$2:$NE$60=F$3)*(GMW!$ND$2:$ND$60=F$4),0),$B244-1966)</f>
        <v>3.35</v>
      </c>
      <c r="G244" s="4" cm="1">
        <f t="array" ref="G244">INDEX(GMW!$A$2:$NF$60,MATCH(1,(GMW!$NE$2:$NE$60=G$3)*(GMW!$ND$2:$ND$60=G$4),0),$B244-1966)</f>
        <v>3.4999989999999999</v>
      </c>
      <c r="H244" s="4" cm="1">
        <f t="array" ref="H244">INDEX(GMW!$A$2:$NF$60,MATCH(1,(GMW!$NE$2:$NE$60=H$3)*(GMW!$ND$2:$ND$60=H$4),0),$B244-1966)</f>
        <v>4.3</v>
      </c>
    </row>
    <row r="245" spans="1:8" x14ac:dyDescent="0.35">
      <c r="B245" s="4">
        <f t="shared" si="5"/>
        <v>2211</v>
      </c>
      <c r="C245" s="4" cm="1">
        <f t="array" ref="C245">INDEX(GMW!$A$2:$NF$60,MATCH(1,(GMW!$NE$2:$NE$60=C$3)*(GMW!$ND$2:$ND$60=C$4),0),$B245-1966)</f>
        <v>17767.419999999998</v>
      </c>
      <c r="D245" s="4" cm="1">
        <f t="array" ref="D245">INDEX(GMW!$A$2:$NF$60,MATCH(1,(GMW!$NE$2:$NE$60=D$3)*(GMW!$ND$2:$ND$60=D$4),0),$B245-1966)</f>
        <v>29405.56</v>
      </c>
      <c r="E245" s="4" cm="1">
        <f t="array" ref="E245">INDEX(GMW!$A$2:$NF$60,MATCH(1,(GMW!$NE$2:$NE$60=E$3)*(GMW!$ND$2:$ND$60=E$4),0),$B245-1966)</f>
        <v>2.5</v>
      </c>
      <c r="F245" s="4" cm="1">
        <f t="array" ref="F245">INDEX(GMW!$A$2:$NF$60,MATCH(1,(GMW!$NE$2:$NE$60=F$3)*(GMW!$ND$2:$ND$60=F$4),0),$B245-1966)</f>
        <v>3.35</v>
      </c>
      <c r="G245" s="4" cm="1">
        <f t="array" ref="G245">INDEX(GMW!$A$2:$NF$60,MATCH(1,(GMW!$NE$2:$NE$60=G$3)*(GMW!$ND$2:$ND$60=G$4),0),$B245-1966)</f>
        <v>3.4999989999999999</v>
      </c>
      <c r="H245" s="4" cm="1">
        <f t="array" ref="H245">INDEX(GMW!$A$2:$NF$60,MATCH(1,(GMW!$NE$2:$NE$60=H$3)*(GMW!$ND$2:$ND$60=H$4),0),$B245-1966)</f>
        <v>4.3</v>
      </c>
    </row>
    <row r="246" spans="1:8" x14ac:dyDescent="0.35">
      <c r="B246" s="4">
        <f t="shared" si="5"/>
        <v>2212</v>
      </c>
      <c r="C246" s="4" cm="1">
        <f t="array" ref="C246">INDEX(GMW!$A$2:$NF$60,MATCH(1,(GMW!$NE$2:$NE$60=C$3)*(GMW!$ND$2:$ND$60=C$4),0),$B246-1966)</f>
        <v>18001.84</v>
      </c>
      <c r="D246" s="4" cm="1">
        <f t="array" ref="D246">INDEX(GMW!$A$2:$NF$60,MATCH(1,(GMW!$NE$2:$NE$60=D$3)*(GMW!$ND$2:$ND$60=D$4),0),$B246-1966)</f>
        <v>29734.3</v>
      </c>
      <c r="E246" s="4" cm="1">
        <f t="array" ref="E246">INDEX(GMW!$A$2:$NF$60,MATCH(1,(GMW!$NE$2:$NE$60=E$3)*(GMW!$ND$2:$ND$60=E$4),0),$B246-1966)</f>
        <v>2.5</v>
      </c>
      <c r="F246" s="4" cm="1">
        <f t="array" ref="F246">INDEX(GMW!$A$2:$NF$60,MATCH(1,(GMW!$NE$2:$NE$60=F$3)*(GMW!$ND$2:$ND$60=F$4),0),$B246-1966)</f>
        <v>3.35</v>
      </c>
      <c r="G246" s="4" cm="1">
        <f t="array" ref="G246">INDEX(GMW!$A$2:$NF$60,MATCH(1,(GMW!$NE$2:$NE$60=G$3)*(GMW!$ND$2:$ND$60=G$4),0),$B246-1966)</f>
        <v>3.4999989999999999</v>
      </c>
      <c r="H246" s="4" cm="1">
        <f t="array" ref="H246">INDEX(GMW!$A$2:$NF$60,MATCH(1,(GMW!$NE$2:$NE$60=H$3)*(GMW!$ND$2:$ND$60=H$4),0),$B246-1966)</f>
        <v>4.3</v>
      </c>
    </row>
    <row r="247" spans="1:8" x14ac:dyDescent="0.35">
      <c r="A247" s="4">
        <v>2033</v>
      </c>
      <c r="B247" s="4">
        <f t="shared" si="5"/>
        <v>2213</v>
      </c>
      <c r="C247" s="4" cm="1">
        <f t="array" ref="C247">INDEX(GMW!$A$2:$NF$60,MATCH(1,(GMW!$NE$2:$NE$60=C$3)*(GMW!$ND$2:$ND$60=C$4),0),$B247-1966)</f>
        <v>18232.59</v>
      </c>
      <c r="D247" s="4" cm="1">
        <f t="array" ref="D247">INDEX(GMW!$A$2:$NF$60,MATCH(1,(GMW!$NE$2:$NE$60=D$3)*(GMW!$ND$2:$ND$60=D$4),0),$B247-1966)</f>
        <v>30062.66</v>
      </c>
      <c r="E247" s="4" cm="1">
        <f t="array" ref="E247">INDEX(GMW!$A$2:$NF$60,MATCH(1,(GMW!$NE$2:$NE$60=E$3)*(GMW!$ND$2:$ND$60=E$4),0),$B247-1966)</f>
        <v>2.5</v>
      </c>
      <c r="F247" s="4" cm="1">
        <f t="array" ref="F247">INDEX(GMW!$A$2:$NF$60,MATCH(1,(GMW!$NE$2:$NE$60=F$3)*(GMW!$ND$2:$ND$60=F$4),0),$B247-1966)</f>
        <v>3.35</v>
      </c>
      <c r="G247" s="4" cm="1">
        <f t="array" ref="G247">INDEX(GMW!$A$2:$NF$60,MATCH(1,(GMW!$NE$2:$NE$60=G$3)*(GMW!$ND$2:$ND$60=G$4),0),$B247-1966)</f>
        <v>3.5</v>
      </c>
      <c r="H247" s="4" cm="1">
        <f t="array" ref="H247">INDEX(GMW!$A$2:$NF$60,MATCH(1,(GMW!$NE$2:$NE$60=H$3)*(GMW!$ND$2:$ND$60=H$4),0),$B247-1966)</f>
        <v>4.3</v>
      </c>
    </row>
    <row r="248" spans="1:8" x14ac:dyDescent="0.35">
      <c r="B248" s="4">
        <f t="shared" si="5"/>
        <v>2214</v>
      </c>
      <c r="C248" s="4" cm="1">
        <f t="array" ref="C248">INDEX(GMW!$A$2:$NF$60,MATCH(1,(GMW!$NE$2:$NE$60=C$3)*(GMW!$ND$2:$ND$60=C$4),0),$B248-1966)</f>
        <v>18461.03</v>
      </c>
      <c r="D248" s="4" cm="1">
        <f t="array" ref="D248">INDEX(GMW!$A$2:$NF$60,MATCH(1,(GMW!$NE$2:$NE$60=D$3)*(GMW!$ND$2:$ND$60=D$4),0),$B248-1966)</f>
        <v>30390.53</v>
      </c>
      <c r="E248" s="4" cm="1">
        <f t="array" ref="E248">INDEX(GMW!$A$2:$NF$60,MATCH(1,(GMW!$NE$2:$NE$60=E$3)*(GMW!$ND$2:$ND$60=E$4),0),$B248-1966)</f>
        <v>2.5</v>
      </c>
      <c r="F248" s="4" cm="1">
        <f t="array" ref="F248">INDEX(GMW!$A$2:$NF$60,MATCH(1,(GMW!$NE$2:$NE$60=F$3)*(GMW!$ND$2:$ND$60=F$4),0),$B248-1966)</f>
        <v>3.35</v>
      </c>
      <c r="G248" s="4" cm="1">
        <f t="array" ref="G248">INDEX(GMW!$A$2:$NF$60,MATCH(1,(GMW!$NE$2:$NE$60=G$3)*(GMW!$ND$2:$ND$60=G$4),0),$B248-1966)</f>
        <v>3.5</v>
      </c>
      <c r="H248" s="4" cm="1">
        <f t="array" ref="H248">INDEX(GMW!$A$2:$NF$60,MATCH(1,(GMW!$NE$2:$NE$60=H$3)*(GMW!$ND$2:$ND$60=H$4),0),$B248-1966)</f>
        <v>4.3</v>
      </c>
    </row>
    <row r="249" spans="1:8" x14ac:dyDescent="0.35">
      <c r="B249" s="4">
        <f t="shared" si="5"/>
        <v>2215</v>
      </c>
      <c r="C249" s="4" cm="1">
        <f t="array" ref="C249">INDEX(GMW!$A$2:$NF$60,MATCH(1,(GMW!$NE$2:$NE$60=C$3)*(GMW!$ND$2:$ND$60=C$4),0),$B249-1966)</f>
        <v>18684.8</v>
      </c>
      <c r="D249" s="4" cm="1">
        <f t="array" ref="D249">INDEX(GMW!$A$2:$NF$60,MATCH(1,(GMW!$NE$2:$NE$60=D$3)*(GMW!$ND$2:$ND$60=D$4),0),$B249-1966)</f>
        <v>30717.98</v>
      </c>
      <c r="E249" s="4" cm="1">
        <f t="array" ref="E249">INDEX(GMW!$A$2:$NF$60,MATCH(1,(GMW!$NE$2:$NE$60=E$3)*(GMW!$ND$2:$ND$60=E$4),0),$B249-1966)</f>
        <v>2.5</v>
      </c>
      <c r="F249" s="4" cm="1">
        <f t="array" ref="F249">INDEX(GMW!$A$2:$NF$60,MATCH(1,(GMW!$NE$2:$NE$60=F$3)*(GMW!$ND$2:$ND$60=F$4),0),$B249-1966)</f>
        <v>3.35</v>
      </c>
      <c r="G249" s="4" cm="1">
        <f t="array" ref="G249">INDEX(GMW!$A$2:$NF$60,MATCH(1,(GMW!$NE$2:$NE$60=G$3)*(GMW!$ND$2:$ND$60=G$4),0),$B249-1966)</f>
        <v>3.5</v>
      </c>
      <c r="H249" s="4" cm="1">
        <f t="array" ref="H249">INDEX(GMW!$A$2:$NF$60,MATCH(1,(GMW!$NE$2:$NE$60=H$3)*(GMW!$ND$2:$ND$60=H$4),0),$B249-1966)</f>
        <v>4.3</v>
      </c>
    </row>
    <row r="250" spans="1:8" x14ac:dyDescent="0.35">
      <c r="B250" s="4">
        <f t="shared" si="5"/>
        <v>2216</v>
      </c>
      <c r="C250" s="4" cm="1">
        <f t="array" ref="C250">INDEX(GMW!$A$2:$NF$60,MATCH(1,(GMW!$NE$2:$NE$60=C$3)*(GMW!$ND$2:$ND$60=C$4),0),$B250-1966)</f>
        <v>18903.46</v>
      </c>
      <c r="D250" s="4" cm="1">
        <f t="array" ref="D250">INDEX(GMW!$A$2:$NF$60,MATCH(1,(GMW!$NE$2:$NE$60=D$3)*(GMW!$ND$2:$ND$60=D$4),0),$B250-1966)</f>
        <v>31044.799999999999</v>
      </c>
      <c r="E250" s="4" cm="1">
        <f t="array" ref="E250">INDEX(GMW!$A$2:$NF$60,MATCH(1,(GMW!$NE$2:$NE$60=E$3)*(GMW!$ND$2:$ND$60=E$4),0),$B250-1966)</f>
        <v>2.5</v>
      </c>
      <c r="F250" s="4" cm="1">
        <f t="array" ref="F250">INDEX(GMW!$A$2:$NF$60,MATCH(1,(GMW!$NE$2:$NE$60=F$3)*(GMW!$ND$2:$ND$60=F$4),0),$B250-1966)</f>
        <v>3.35</v>
      </c>
      <c r="G250" s="4" cm="1">
        <f t="array" ref="G250">INDEX(GMW!$A$2:$NF$60,MATCH(1,(GMW!$NE$2:$NE$60=G$3)*(GMW!$ND$2:$ND$60=G$4),0),$B250-1966)</f>
        <v>3.5</v>
      </c>
      <c r="H250" s="4" cm="1">
        <f t="array" ref="H250">INDEX(GMW!$A$2:$NF$60,MATCH(1,(GMW!$NE$2:$NE$60=H$3)*(GMW!$ND$2:$ND$60=H$4),0),$B250-1966)</f>
        <v>4.3</v>
      </c>
    </row>
    <row r="251" spans="1:8" x14ac:dyDescent="0.35">
      <c r="A251" s="4">
        <v>2034</v>
      </c>
      <c r="B251" s="4">
        <f t="shared" si="5"/>
        <v>2217</v>
      </c>
      <c r="C251" s="4" cm="1">
        <f t="array" ref="C251">INDEX(GMW!$A$2:$NF$60,MATCH(1,(GMW!$NE$2:$NE$60=C$3)*(GMW!$ND$2:$ND$60=C$4),0),$B251-1966)</f>
        <v>19118.349999999999</v>
      </c>
      <c r="D251" s="4" cm="1">
        <f t="array" ref="D251">INDEX(GMW!$A$2:$NF$60,MATCH(1,(GMW!$NE$2:$NE$60=D$3)*(GMW!$ND$2:$ND$60=D$4),0),$B251-1966)</f>
        <v>31370.86</v>
      </c>
      <c r="E251" s="4" cm="1">
        <f t="array" ref="E251">INDEX(GMW!$A$2:$NF$60,MATCH(1,(GMW!$NE$2:$NE$60=E$3)*(GMW!$ND$2:$ND$60=E$4),0),$B251-1966)</f>
        <v>2.5</v>
      </c>
      <c r="F251" s="4" cm="1">
        <f t="array" ref="F251">INDEX(GMW!$A$2:$NF$60,MATCH(1,(GMW!$NE$2:$NE$60=F$3)*(GMW!$ND$2:$ND$60=F$4),0),$B251-1966)</f>
        <v>3.35</v>
      </c>
      <c r="G251" s="4" cm="1">
        <f t="array" ref="G251">INDEX(GMW!$A$2:$NF$60,MATCH(1,(GMW!$NE$2:$NE$60=G$3)*(GMW!$ND$2:$ND$60=G$4),0),$B251-1966)</f>
        <v>3.5</v>
      </c>
      <c r="H251" s="4" cm="1">
        <f t="array" ref="H251">INDEX(GMW!$A$2:$NF$60,MATCH(1,(GMW!$NE$2:$NE$60=H$3)*(GMW!$ND$2:$ND$60=H$4),0),$B251-1966)</f>
        <v>4.3</v>
      </c>
    </row>
    <row r="252" spans="1:8" x14ac:dyDescent="0.35">
      <c r="B252" s="4">
        <f t="shared" si="5"/>
        <v>2218</v>
      </c>
      <c r="C252" s="4" cm="1">
        <f t="array" ref="C252">INDEX(GMW!$A$2:$NF$60,MATCH(1,(GMW!$NE$2:$NE$60=C$3)*(GMW!$ND$2:$ND$60=C$4),0),$B252-1966)</f>
        <v>19331.61</v>
      </c>
      <c r="D252" s="4" cm="1">
        <f t="array" ref="D252">INDEX(GMW!$A$2:$NF$60,MATCH(1,(GMW!$NE$2:$NE$60=D$3)*(GMW!$ND$2:$ND$60=D$4),0),$B252-1966)</f>
        <v>31696.25</v>
      </c>
      <c r="E252" s="4" cm="1">
        <f t="array" ref="E252">INDEX(GMW!$A$2:$NF$60,MATCH(1,(GMW!$NE$2:$NE$60=E$3)*(GMW!$ND$2:$ND$60=E$4),0),$B252-1966)</f>
        <v>2.5</v>
      </c>
      <c r="F252" s="4" cm="1">
        <f t="array" ref="F252">INDEX(GMW!$A$2:$NF$60,MATCH(1,(GMW!$NE$2:$NE$60=F$3)*(GMW!$ND$2:$ND$60=F$4),0),$B252-1966)</f>
        <v>3.35</v>
      </c>
      <c r="G252" s="4" cm="1">
        <f t="array" ref="G252">INDEX(GMW!$A$2:$NF$60,MATCH(1,(GMW!$NE$2:$NE$60=G$3)*(GMW!$ND$2:$ND$60=G$4),0),$B252-1966)</f>
        <v>3.5</v>
      </c>
      <c r="H252" s="4" cm="1">
        <f t="array" ref="H252">INDEX(GMW!$A$2:$NF$60,MATCH(1,(GMW!$NE$2:$NE$60=H$3)*(GMW!$ND$2:$ND$60=H$4),0),$B252-1966)</f>
        <v>4.3</v>
      </c>
    </row>
    <row r="253" spans="1:8" x14ac:dyDescent="0.35">
      <c r="B253" s="4">
        <f t="shared" si="5"/>
        <v>2219</v>
      </c>
      <c r="C253" s="4" cm="1">
        <f t="array" ref="C253">INDEX(GMW!$A$2:$NF$60,MATCH(1,(GMW!$NE$2:$NE$60=C$3)*(GMW!$ND$2:$ND$60=C$4),0),$B253-1966)</f>
        <v>19540.740000000002</v>
      </c>
      <c r="D253" s="4" cm="1">
        <f t="array" ref="D253">INDEX(GMW!$A$2:$NF$60,MATCH(1,(GMW!$NE$2:$NE$60=D$3)*(GMW!$ND$2:$ND$60=D$4),0),$B253-1966)</f>
        <v>32021.18</v>
      </c>
      <c r="E253" s="4" cm="1">
        <f t="array" ref="E253">INDEX(GMW!$A$2:$NF$60,MATCH(1,(GMW!$NE$2:$NE$60=E$3)*(GMW!$ND$2:$ND$60=E$4),0),$B253-1966)</f>
        <v>2.5</v>
      </c>
      <c r="F253" s="4" cm="1">
        <f t="array" ref="F253">INDEX(GMW!$A$2:$NF$60,MATCH(1,(GMW!$NE$2:$NE$60=F$3)*(GMW!$ND$2:$ND$60=F$4),0),$B253-1966)</f>
        <v>3.35</v>
      </c>
      <c r="G253" s="4" cm="1">
        <f t="array" ref="G253">INDEX(GMW!$A$2:$NF$60,MATCH(1,(GMW!$NE$2:$NE$60=G$3)*(GMW!$ND$2:$ND$60=G$4),0),$B253-1966)</f>
        <v>3.5</v>
      </c>
      <c r="H253" s="4" cm="1">
        <f t="array" ref="H253">INDEX(GMW!$A$2:$NF$60,MATCH(1,(GMW!$NE$2:$NE$60=H$3)*(GMW!$ND$2:$ND$60=H$4),0),$B253-1966)</f>
        <v>4.3</v>
      </c>
    </row>
    <row r="254" spans="1:8" x14ac:dyDescent="0.35">
      <c r="B254" s="4">
        <f t="shared" si="5"/>
        <v>2220</v>
      </c>
      <c r="C254" s="4" cm="1">
        <f t="array" ref="C254">INDEX(GMW!$A$2:$NF$60,MATCH(1,(GMW!$NE$2:$NE$60=C$3)*(GMW!$ND$2:$ND$60=C$4),0),$B254-1966)</f>
        <v>19745.78</v>
      </c>
      <c r="D254" s="4" cm="1">
        <f t="array" ref="D254">INDEX(GMW!$A$2:$NF$60,MATCH(1,(GMW!$NE$2:$NE$60=D$3)*(GMW!$ND$2:$ND$60=D$4),0),$B254-1966)</f>
        <v>32345.58</v>
      </c>
      <c r="E254" s="4" cm="1">
        <f t="array" ref="E254">INDEX(GMW!$A$2:$NF$60,MATCH(1,(GMW!$NE$2:$NE$60=E$3)*(GMW!$ND$2:$ND$60=E$4),0),$B254-1966)</f>
        <v>2.5</v>
      </c>
      <c r="F254" s="4" cm="1">
        <f t="array" ref="F254">INDEX(GMW!$A$2:$NF$60,MATCH(1,(GMW!$NE$2:$NE$60=F$3)*(GMW!$ND$2:$ND$60=F$4),0),$B254-1966)</f>
        <v>3.35</v>
      </c>
      <c r="G254" s="4" cm="1">
        <f t="array" ref="G254">INDEX(GMW!$A$2:$NF$60,MATCH(1,(GMW!$NE$2:$NE$60=G$3)*(GMW!$ND$2:$ND$60=G$4),0),$B254-1966)</f>
        <v>3.5</v>
      </c>
      <c r="H254" s="4" cm="1">
        <f t="array" ref="H254">INDEX(GMW!$A$2:$NF$60,MATCH(1,(GMW!$NE$2:$NE$60=H$3)*(GMW!$ND$2:$ND$60=H$4),0),$B254-1966)</f>
        <v>4.3</v>
      </c>
    </row>
    <row r="255" spans="1:8" x14ac:dyDescent="0.35">
      <c r="A255" s="4">
        <v>2035</v>
      </c>
      <c r="B255" s="4">
        <f t="shared" si="5"/>
        <v>2221</v>
      </c>
      <c r="C255" s="4" cm="1">
        <f t="array" ref="C255">INDEX(GMW!$A$2:$NF$60,MATCH(1,(GMW!$NE$2:$NE$60=C$3)*(GMW!$ND$2:$ND$60=C$4),0),$B255-1966)</f>
        <v>19947.28</v>
      </c>
      <c r="D255" s="4" cm="1">
        <f t="array" ref="D255">INDEX(GMW!$A$2:$NF$60,MATCH(1,(GMW!$NE$2:$NE$60=D$3)*(GMW!$ND$2:$ND$60=D$4),0),$B255-1966)</f>
        <v>32669.41</v>
      </c>
      <c r="E255" s="4" cm="1">
        <f t="array" ref="E255">INDEX(GMW!$A$2:$NF$60,MATCH(1,(GMW!$NE$2:$NE$60=E$3)*(GMW!$ND$2:$ND$60=E$4),0),$B255-1966)</f>
        <v>2.5</v>
      </c>
      <c r="F255" s="4" cm="1">
        <f t="array" ref="F255">INDEX(GMW!$A$2:$NF$60,MATCH(1,(GMW!$NE$2:$NE$60=F$3)*(GMW!$ND$2:$ND$60=F$4),0),$B255-1966)</f>
        <v>3.35</v>
      </c>
      <c r="G255" s="4" cm="1">
        <f t="array" ref="G255">INDEX(GMW!$A$2:$NF$60,MATCH(1,(GMW!$NE$2:$NE$60=G$3)*(GMW!$ND$2:$ND$60=G$4),0),$B255-1966)</f>
        <v>3.5</v>
      </c>
      <c r="H255" s="4" cm="1">
        <f t="array" ref="H255">INDEX(GMW!$A$2:$NF$60,MATCH(1,(GMW!$NE$2:$NE$60=H$3)*(GMW!$ND$2:$ND$60=H$4),0),$B255-1966)</f>
        <v>4.3</v>
      </c>
    </row>
    <row r="256" spans="1:8" x14ac:dyDescent="0.35">
      <c r="B256" s="4">
        <f t="shared" si="5"/>
        <v>2222</v>
      </c>
      <c r="C256" s="4" cm="1">
        <f t="array" ref="C256">INDEX(GMW!$A$2:$NF$60,MATCH(1,(GMW!$NE$2:$NE$60=C$3)*(GMW!$ND$2:$ND$60=C$4),0),$B256-1966)</f>
        <v>20147.75</v>
      </c>
      <c r="D256" s="4" cm="1">
        <f t="array" ref="D256">INDEX(GMW!$A$2:$NF$60,MATCH(1,(GMW!$NE$2:$NE$60=D$3)*(GMW!$ND$2:$ND$60=D$4),0),$B256-1966)</f>
        <v>32992.769999999997</v>
      </c>
      <c r="E256" s="4" cm="1">
        <f t="array" ref="E256">INDEX(GMW!$A$2:$NF$60,MATCH(1,(GMW!$NE$2:$NE$60=E$3)*(GMW!$ND$2:$ND$60=E$4),0),$B256-1966)</f>
        <v>2.5</v>
      </c>
      <c r="F256" s="4" cm="1">
        <f t="array" ref="F256">INDEX(GMW!$A$2:$NF$60,MATCH(1,(GMW!$NE$2:$NE$60=F$3)*(GMW!$ND$2:$ND$60=F$4),0),$B256-1966)</f>
        <v>3.35</v>
      </c>
      <c r="G256" s="4" cm="1">
        <f t="array" ref="G256">INDEX(GMW!$A$2:$NF$60,MATCH(1,(GMW!$NE$2:$NE$60=G$3)*(GMW!$ND$2:$ND$60=G$4),0),$B256-1966)</f>
        <v>3.5</v>
      </c>
      <c r="H256" s="4" cm="1">
        <f t="array" ref="H256">INDEX(GMW!$A$2:$NF$60,MATCH(1,(GMW!$NE$2:$NE$60=H$3)*(GMW!$ND$2:$ND$60=H$4),0),$B256-1966)</f>
        <v>4.3</v>
      </c>
    </row>
    <row r="257" spans="1:8" x14ac:dyDescent="0.35">
      <c r="B257" s="4">
        <f t="shared" si="5"/>
        <v>2223</v>
      </c>
      <c r="C257" s="4" cm="1">
        <f t="array" ref="C257">INDEX(GMW!$A$2:$NF$60,MATCH(1,(GMW!$NE$2:$NE$60=C$3)*(GMW!$ND$2:$ND$60=C$4),0),$B257-1966)</f>
        <v>20344.990000000002</v>
      </c>
      <c r="D257" s="4" cm="1">
        <f t="array" ref="D257">INDEX(GMW!$A$2:$NF$60,MATCH(1,(GMW!$NE$2:$NE$60=D$3)*(GMW!$ND$2:$ND$60=D$4),0),$B257-1966)</f>
        <v>33315.919999999998</v>
      </c>
      <c r="E257" s="4" cm="1">
        <f t="array" ref="E257">INDEX(GMW!$A$2:$NF$60,MATCH(1,(GMW!$NE$2:$NE$60=E$3)*(GMW!$ND$2:$ND$60=E$4),0),$B257-1966)</f>
        <v>2.5</v>
      </c>
      <c r="F257" s="4" cm="1">
        <f t="array" ref="F257">INDEX(GMW!$A$2:$NF$60,MATCH(1,(GMW!$NE$2:$NE$60=F$3)*(GMW!$ND$2:$ND$60=F$4),0),$B257-1966)</f>
        <v>3.35</v>
      </c>
      <c r="G257" s="4" cm="1">
        <f t="array" ref="G257">INDEX(GMW!$A$2:$NF$60,MATCH(1,(GMW!$NE$2:$NE$60=G$3)*(GMW!$ND$2:$ND$60=G$4),0),$B257-1966)</f>
        <v>3.5</v>
      </c>
      <c r="H257" s="4" cm="1">
        <f t="array" ref="H257">INDEX(GMW!$A$2:$NF$60,MATCH(1,(GMW!$NE$2:$NE$60=H$3)*(GMW!$ND$2:$ND$60=H$4),0),$B257-1966)</f>
        <v>4.3</v>
      </c>
    </row>
    <row r="258" spans="1:8" x14ac:dyDescent="0.35">
      <c r="B258" s="4">
        <f t="shared" si="5"/>
        <v>2224</v>
      </c>
      <c r="C258" s="4" cm="1">
        <f t="array" ref="C258">INDEX(GMW!$A$2:$NF$60,MATCH(1,(GMW!$NE$2:$NE$60=C$3)*(GMW!$ND$2:$ND$60=C$4),0),$B258-1966)</f>
        <v>20538.71</v>
      </c>
      <c r="D258" s="4" cm="1">
        <f t="array" ref="D258">INDEX(GMW!$A$2:$NF$60,MATCH(1,(GMW!$NE$2:$NE$60=D$3)*(GMW!$ND$2:$ND$60=D$4),0),$B258-1966)</f>
        <v>33638.81</v>
      </c>
      <c r="E258" s="4" cm="1">
        <f t="array" ref="E258">INDEX(GMW!$A$2:$NF$60,MATCH(1,(GMW!$NE$2:$NE$60=E$3)*(GMW!$ND$2:$ND$60=E$4),0),$B258-1966)</f>
        <v>2.5</v>
      </c>
      <c r="F258" s="4" cm="1">
        <f t="array" ref="F258">INDEX(GMW!$A$2:$NF$60,MATCH(1,(GMW!$NE$2:$NE$60=F$3)*(GMW!$ND$2:$ND$60=F$4),0),$B258-1966)</f>
        <v>3.35</v>
      </c>
      <c r="G258" s="4" cm="1">
        <f t="array" ref="G258">INDEX(GMW!$A$2:$NF$60,MATCH(1,(GMW!$NE$2:$NE$60=G$3)*(GMW!$ND$2:$ND$60=G$4),0),$B258-1966)</f>
        <v>3.5</v>
      </c>
      <c r="H258" s="4" cm="1">
        <f t="array" ref="H258">INDEX(GMW!$A$2:$NF$60,MATCH(1,(GMW!$NE$2:$NE$60=H$3)*(GMW!$ND$2:$ND$60=H$4),0),$B258-1966)</f>
        <v>4.3</v>
      </c>
    </row>
    <row r="259" spans="1:8" x14ac:dyDescent="0.35">
      <c r="A259" s="4">
        <v>2036</v>
      </c>
      <c r="B259" s="4">
        <f t="shared" si="5"/>
        <v>2225</v>
      </c>
      <c r="C259" s="4" cm="1">
        <f t="array" ref="C259">INDEX(GMW!$A$2:$NF$60,MATCH(1,(GMW!$NE$2:$NE$60=C$3)*(GMW!$ND$2:$ND$60=C$4),0),$B259-1966)</f>
        <v>20729.84</v>
      </c>
      <c r="D259" s="4" cm="1">
        <f t="array" ref="D259">INDEX(GMW!$A$2:$NF$60,MATCH(1,(GMW!$NE$2:$NE$60=D$3)*(GMW!$ND$2:$ND$60=D$4),0),$B259-1966)</f>
        <v>33961.19</v>
      </c>
      <c r="E259" s="4" cm="1">
        <f t="array" ref="E259">INDEX(GMW!$A$2:$NF$60,MATCH(1,(GMW!$NE$2:$NE$60=E$3)*(GMW!$ND$2:$ND$60=E$4),0),$B259-1966)</f>
        <v>2.5</v>
      </c>
      <c r="F259" s="4" cm="1">
        <f t="array" ref="F259">INDEX(GMW!$A$2:$NF$60,MATCH(1,(GMW!$NE$2:$NE$60=F$3)*(GMW!$ND$2:$ND$60=F$4),0),$B259-1966)</f>
        <v>3.35</v>
      </c>
      <c r="G259" s="4" cm="1">
        <f t="array" ref="G259">INDEX(GMW!$A$2:$NF$60,MATCH(1,(GMW!$NE$2:$NE$60=G$3)*(GMW!$ND$2:$ND$60=G$4),0),$B259-1966)</f>
        <v>3.5</v>
      </c>
      <c r="H259" s="4" cm="1">
        <f t="array" ref="H259">INDEX(GMW!$A$2:$NF$60,MATCH(1,(GMW!$NE$2:$NE$60=H$3)*(GMW!$ND$2:$ND$60=H$4),0),$B259-1966)</f>
        <v>4.3</v>
      </c>
    </row>
    <row r="260" spans="1:8" x14ac:dyDescent="0.35">
      <c r="B260" s="4">
        <f t="shared" si="5"/>
        <v>2226</v>
      </c>
      <c r="C260" s="4" cm="1">
        <f t="array" ref="C260">INDEX(GMW!$A$2:$NF$60,MATCH(1,(GMW!$NE$2:$NE$60=C$3)*(GMW!$ND$2:$ND$60=C$4),0),$B260-1966)</f>
        <v>20919.599999999999</v>
      </c>
      <c r="D260" s="4" cm="1">
        <f t="array" ref="D260">INDEX(GMW!$A$2:$NF$60,MATCH(1,(GMW!$NE$2:$NE$60=D$3)*(GMW!$ND$2:$ND$60=D$4),0),$B260-1966)</f>
        <v>34282.94</v>
      </c>
      <c r="E260" s="4" cm="1">
        <f t="array" ref="E260">INDEX(GMW!$A$2:$NF$60,MATCH(1,(GMW!$NE$2:$NE$60=E$3)*(GMW!$ND$2:$ND$60=E$4),0),$B260-1966)</f>
        <v>2.5</v>
      </c>
      <c r="F260" s="4" cm="1">
        <f t="array" ref="F260">INDEX(GMW!$A$2:$NF$60,MATCH(1,(GMW!$NE$2:$NE$60=F$3)*(GMW!$ND$2:$ND$60=F$4),0),$B260-1966)</f>
        <v>3.35</v>
      </c>
      <c r="G260" s="4" cm="1">
        <f t="array" ref="G260">INDEX(GMW!$A$2:$NF$60,MATCH(1,(GMW!$NE$2:$NE$60=G$3)*(GMW!$ND$2:$ND$60=G$4),0),$B260-1966)</f>
        <v>3.5</v>
      </c>
      <c r="H260" s="4" cm="1">
        <f t="array" ref="H260">INDEX(GMW!$A$2:$NF$60,MATCH(1,(GMW!$NE$2:$NE$60=H$3)*(GMW!$ND$2:$ND$60=H$4),0),$B260-1966)</f>
        <v>4.3</v>
      </c>
    </row>
    <row r="261" spans="1:8" x14ac:dyDescent="0.35">
      <c r="B261" s="4">
        <f t="shared" si="5"/>
        <v>2227</v>
      </c>
      <c r="C261" s="4" cm="1">
        <f t="array" ref="C261">INDEX(GMW!$A$2:$NF$60,MATCH(1,(GMW!$NE$2:$NE$60=C$3)*(GMW!$ND$2:$ND$60=C$4),0),$B261-1966)</f>
        <v>21108.31</v>
      </c>
      <c r="D261" s="4" cm="1">
        <f t="array" ref="D261">INDEX(GMW!$A$2:$NF$60,MATCH(1,(GMW!$NE$2:$NE$60=D$3)*(GMW!$ND$2:$ND$60=D$4),0),$B261-1966)</f>
        <v>34603.980000000003</v>
      </c>
      <c r="E261" s="4" cm="1">
        <f t="array" ref="E261">INDEX(GMW!$A$2:$NF$60,MATCH(1,(GMW!$NE$2:$NE$60=E$3)*(GMW!$ND$2:$ND$60=E$4),0),$B261-1966)</f>
        <v>2.5</v>
      </c>
      <c r="F261" s="4" cm="1">
        <f t="array" ref="F261">INDEX(GMW!$A$2:$NF$60,MATCH(1,(GMW!$NE$2:$NE$60=F$3)*(GMW!$ND$2:$ND$60=F$4),0),$B261-1966)</f>
        <v>3.35</v>
      </c>
      <c r="G261" s="4" cm="1">
        <f t="array" ref="G261">INDEX(GMW!$A$2:$NF$60,MATCH(1,(GMW!$NE$2:$NE$60=G$3)*(GMW!$ND$2:$ND$60=G$4),0),$B261-1966)</f>
        <v>3.5</v>
      </c>
      <c r="H261" s="4" cm="1">
        <f t="array" ref="H261">INDEX(GMW!$A$2:$NF$60,MATCH(1,(GMW!$NE$2:$NE$60=H$3)*(GMW!$ND$2:$ND$60=H$4),0),$B261-1966)</f>
        <v>4.3</v>
      </c>
    </row>
    <row r="262" spans="1:8" x14ac:dyDescent="0.35">
      <c r="B262" s="4">
        <f t="shared" si="5"/>
        <v>2228</v>
      </c>
      <c r="C262" s="4" cm="1">
        <f t="array" ref="C262">INDEX(GMW!$A$2:$NF$60,MATCH(1,(GMW!$NE$2:$NE$60=C$3)*(GMW!$ND$2:$ND$60=C$4),0),$B262-1966)</f>
        <v>21296.07</v>
      </c>
      <c r="D262" s="4" cm="1">
        <f t="array" ref="D262">INDEX(GMW!$A$2:$NF$60,MATCH(1,(GMW!$NE$2:$NE$60=D$3)*(GMW!$ND$2:$ND$60=D$4),0),$B262-1966)</f>
        <v>34924.160000000003</v>
      </c>
      <c r="E262" s="4" cm="1">
        <f t="array" ref="E262">INDEX(GMW!$A$2:$NF$60,MATCH(1,(GMW!$NE$2:$NE$60=E$3)*(GMW!$ND$2:$ND$60=E$4),0),$B262-1966)</f>
        <v>2.5</v>
      </c>
      <c r="F262" s="4" cm="1">
        <f t="array" ref="F262">INDEX(GMW!$A$2:$NF$60,MATCH(1,(GMW!$NE$2:$NE$60=F$3)*(GMW!$ND$2:$ND$60=F$4),0),$B262-1966)</f>
        <v>3.35</v>
      </c>
      <c r="G262" s="4" cm="1">
        <f t="array" ref="G262">INDEX(GMW!$A$2:$NF$60,MATCH(1,(GMW!$NE$2:$NE$60=G$3)*(GMW!$ND$2:$ND$60=G$4),0),$B262-1966)</f>
        <v>3.5</v>
      </c>
      <c r="H262" s="4" cm="1">
        <f t="array" ref="H262">INDEX(GMW!$A$2:$NF$60,MATCH(1,(GMW!$NE$2:$NE$60=H$3)*(GMW!$ND$2:$ND$60=H$4),0),$B262-1966)</f>
        <v>4.3</v>
      </c>
    </row>
    <row r="263" spans="1:8" x14ac:dyDescent="0.35">
      <c r="A263" s="4">
        <v>2037</v>
      </c>
      <c r="B263" s="4">
        <f t="shared" si="5"/>
        <v>2229</v>
      </c>
      <c r="C263" s="4" cm="1">
        <f t="array" ref="C263">INDEX(GMW!$A$2:$NF$60,MATCH(1,(GMW!$NE$2:$NE$60=C$3)*(GMW!$ND$2:$ND$60=C$4),0),$B263-1966)</f>
        <v>21482.89</v>
      </c>
      <c r="D263" s="4" cm="1">
        <f t="array" ref="D263">INDEX(GMW!$A$2:$NF$60,MATCH(1,(GMW!$NE$2:$NE$60=D$3)*(GMW!$ND$2:$ND$60=D$4),0),$B263-1966)</f>
        <v>35243.4</v>
      </c>
      <c r="E263" s="4" cm="1">
        <f t="array" ref="E263">INDEX(GMW!$A$2:$NF$60,MATCH(1,(GMW!$NE$2:$NE$60=E$3)*(GMW!$ND$2:$ND$60=E$4),0),$B263-1966)</f>
        <v>2.5</v>
      </c>
      <c r="F263" s="4" cm="1">
        <f t="array" ref="F263">INDEX(GMW!$A$2:$NF$60,MATCH(1,(GMW!$NE$2:$NE$60=F$3)*(GMW!$ND$2:$ND$60=F$4),0),$B263-1966)</f>
        <v>3.35</v>
      </c>
      <c r="G263" s="4" cm="1">
        <f t="array" ref="G263">INDEX(GMW!$A$2:$NF$60,MATCH(1,(GMW!$NE$2:$NE$60=G$3)*(GMW!$ND$2:$ND$60=G$4),0),$B263-1966)</f>
        <v>3.5</v>
      </c>
      <c r="H263" s="4" cm="1">
        <f t="array" ref="H263">INDEX(GMW!$A$2:$NF$60,MATCH(1,(GMW!$NE$2:$NE$60=H$3)*(GMW!$ND$2:$ND$60=H$4),0),$B263-1966)</f>
        <v>4.3</v>
      </c>
    </row>
    <row r="264" spans="1:8" x14ac:dyDescent="0.35">
      <c r="B264" s="4">
        <f t="shared" si="5"/>
        <v>2230</v>
      </c>
      <c r="C264" s="4" cm="1">
        <f t="array" ref="C264">INDEX(GMW!$A$2:$NF$60,MATCH(1,(GMW!$NE$2:$NE$60=C$3)*(GMW!$ND$2:$ND$60=C$4),0),$B264-1966)</f>
        <v>21668.81</v>
      </c>
      <c r="D264" s="4" cm="1">
        <f t="array" ref="D264">INDEX(GMW!$A$2:$NF$60,MATCH(1,(GMW!$NE$2:$NE$60=D$3)*(GMW!$ND$2:$ND$60=D$4),0),$B264-1966)</f>
        <v>35561.629999999997</v>
      </c>
      <c r="E264" s="4" cm="1">
        <f t="array" ref="E264">INDEX(GMW!$A$2:$NF$60,MATCH(1,(GMW!$NE$2:$NE$60=E$3)*(GMW!$ND$2:$ND$60=E$4),0),$B264-1966)</f>
        <v>2.5</v>
      </c>
      <c r="F264" s="4" cm="1">
        <f t="array" ref="F264">INDEX(GMW!$A$2:$NF$60,MATCH(1,(GMW!$NE$2:$NE$60=F$3)*(GMW!$ND$2:$ND$60=F$4),0),$B264-1966)</f>
        <v>3.35</v>
      </c>
      <c r="G264" s="4" cm="1">
        <f t="array" ref="G264">INDEX(GMW!$A$2:$NF$60,MATCH(1,(GMW!$NE$2:$NE$60=G$3)*(GMW!$ND$2:$ND$60=G$4),0),$B264-1966)</f>
        <v>3.4999989999999999</v>
      </c>
      <c r="H264" s="4" cm="1">
        <f t="array" ref="H264">INDEX(GMW!$A$2:$NF$60,MATCH(1,(GMW!$NE$2:$NE$60=H$3)*(GMW!$ND$2:$ND$60=H$4),0),$B264-1966)</f>
        <v>4.3</v>
      </c>
    </row>
    <row r="265" spans="1:8" x14ac:dyDescent="0.35">
      <c r="B265" s="4">
        <f t="shared" si="5"/>
        <v>2231</v>
      </c>
      <c r="C265" s="4" cm="1">
        <f t="array" ref="C265">INDEX(GMW!$A$2:$NF$60,MATCH(1,(GMW!$NE$2:$NE$60=C$3)*(GMW!$ND$2:$ND$60=C$4),0),$B265-1966)</f>
        <v>21853.9</v>
      </c>
      <c r="D265" s="4" cm="1">
        <f t="array" ref="D265">INDEX(GMW!$A$2:$NF$60,MATCH(1,(GMW!$NE$2:$NE$60=D$3)*(GMW!$ND$2:$ND$60=D$4),0),$B265-1966)</f>
        <v>35878.79</v>
      </c>
      <c r="E265" s="4" cm="1">
        <f t="array" ref="E265">INDEX(GMW!$A$2:$NF$60,MATCH(1,(GMW!$NE$2:$NE$60=E$3)*(GMW!$ND$2:$ND$60=E$4),0),$B265-1966)</f>
        <v>2.5</v>
      </c>
      <c r="F265" s="4" cm="1">
        <f t="array" ref="F265">INDEX(GMW!$A$2:$NF$60,MATCH(1,(GMW!$NE$2:$NE$60=F$3)*(GMW!$ND$2:$ND$60=F$4),0),$B265-1966)</f>
        <v>3.35</v>
      </c>
      <c r="G265" s="4" cm="1">
        <f t="array" ref="G265">INDEX(GMW!$A$2:$NF$60,MATCH(1,(GMW!$NE$2:$NE$60=G$3)*(GMW!$ND$2:$ND$60=G$4),0),$B265-1966)</f>
        <v>3.4999989999999999</v>
      </c>
      <c r="H265" s="4" cm="1">
        <f t="array" ref="H265">INDEX(GMW!$A$2:$NF$60,MATCH(1,(GMW!$NE$2:$NE$60=H$3)*(GMW!$ND$2:$ND$60=H$4),0),$B265-1966)</f>
        <v>4.3</v>
      </c>
    </row>
    <row r="266" spans="1:8" x14ac:dyDescent="0.35">
      <c r="B266" s="4">
        <f t="shared" si="5"/>
        <v>2232</v>
      </c>
      <c r="C266" s="4" cm="1">
        <f t="array" ref="C266">INDEX(GMW!$A$2:$NF$60,MATCH(1,(GMW!$NE$2:$NE$60=C$3)*(GMW!$ND$2:$ND$60=C$4),0),$B266-1966)</f>
        <v>22038.19</v>
      </c>
      <c r="D266" s="4" cm="1">
        <f t="array" ref="D266">INDEX(GMW!$A$2:$NF$60,MATCH(1,(GMW!$NE$2:$NE$60=D$3)*(GMW!$ND$2:$ND$60=D$4),0),$B266-1966)</f>
        <v>36194.839999999997</v>
      </c>
      <c r="E266" s="4" cm="1">
        <f t="array" ref="E266">INDEX(GMW!$A$2:$NF$60,MATCH(1,(GMW!$NE$2:$NE$60=E$3)*(GMW!$ND$2:$ND$60=E$4),0),$B266-1966)</f>
        <v>2.5</v>
      </c>
      <c r="F266" s="4" cm="1">
        <f t="array" ref="F266">INDEX(GMW!$A$2:$NF$60,MATCH(1,(GMW!$NE$2:$NE$60=F$3)*(GMW!$ND$2:$ND$60=F$4),0),$B266-1966)</f>
        <v>3.35</v>
      </c>
      <c r="G266" s="4" cm="1">
        <f t="array" ref="G266">INDEX(GMW!$A$2:$NF$60,MATCH(1,(GMW!$NE$2:$NE$60=G$3)*(GMW!$ND$2:$ND$60=G$4),0),$B266-1966)</f>
        <v>3.4999989999999999</v>
      </c>
      <c r="H266" s="4" cm="1">
        <f t="array" ref="H266">INDEX(GMW!$A$2:$NF$60,MATCH(1,(GMW!$NE$2:$NE$60=H$3)*(GMW!$ND$2:$ND$60=H$4),0),$B266-1966)</f>
        <v>4.3</v>
      </c>
    </row>
    <row r="267" spans="1:8" x14ac:dyDescent="0.35">
      <c r="A267" s="4">
        <v>2038</v>
      </c>
      <c r="B267" s="4">
        <f t="shared" si="5"/>
        <v>2233</v>
      </c>
      <c r="C267" s="4" cm="1">
        <f t="array" ref="C267">INDEX(GMW!$A$2:$NF$60,MATCH(1,(GMW!$NE$2:$NE$60=C$3)*(GMW!$ND$2:$ND$60=C$4),0),$B267-1966)</f>
        <v>22221.08</v>
      </c>
      <c r="D267" s="4" cm="1">
        <f t="array" ref="D267">INDEX(GMW!$A$2:$NF$60,MATCH(1,(GMW!$NE$2:$NE$60=D$3)*(GMW!$ND$2:$ND$60=D$4),0),$B267-1966)</f>
        <v>36509.800000000003</v>
      </c>
      <c r="E267" s="4" cm="1">
        <f t="array" ref="E267">INDEX(GMW!$A$2:$NF$60,MATCH(1,(GMW!$NE$2:$NE$60=E$3)*(GMW!$ND$2:$ND$60=E$4),0),$B267-1966)</f>
        <v>2.5</v>
      </c>
      <c r="F267" s="4" cm="1">
        <f t="array" ref="F267">INDEX(GMW!$A$2:$NF$60,MATCH(1,(GMW!$NE$2:$NE$60=F$3)*(GMW!$ND$2:$ND$60=F$4),0),$B267-1966)</f>
        <v>3.35</v>
      </c>
      <c r="G267" s="4" cm="1">
        <f t="array" ref="G267">INDEX(GMW!$A$2:$NF$60,MATCH(1,(GMW!$NE$2:$NE$60=G$3)*(GMW!$ND$2:$ND$60=G$4),0),$B267-1966)</f>
        <v>3.5</v>
      </c>
      <c r="H267" s="4" cm="1">
        <f t="array" ref="H267">INDEX(GMW!$A$2:$NF$60,MATCH(1,(GMW!$NE$2:$NE$60=H$3)*(GMW!$ND$2:$ND$60=H$4),0),$B267-1966)</f>
        <v>4.3</v>
      </c>
    </row>
    <row r="268" spans="1:8" x14ac:dyDescent="0.35">
      <c r="B268" s="4">
        <f t="shared" si="5"/>
        <v>2234</v>
      </c>
      <c r="C268" s="4" cm="1">
        <f t="array" ref="C268">INDEX(GMW!$A$2:$NF$60,MATCH(1,(GMW!$NE$2:$NE$60=C$3)*(GMW!$ND$2:$ND$60=C$4),0),$B268-1966)</f>
        <v>22402.68</v>
      </c>
      <c r="D268" s="4" cm="1">
        <f t="array" ref="D268">INDEX(GMW!$A$2:$NF$60,MATCH(1,(GMW!$NE$2:$NE$60=D$3)*(GMW!$ND$2:$ND$60=D$4),0),$B268-1966)</f>
        <v>36823.64</v>
      </c>
      <c r="E268" s="4" cm="1">
        <f t="array" ref="E268">INDEX(GMW!$A$2:$NF$60,MATCH(1,(GMW!$NE$2:$NE$60=E$3)*(GMW!$ND$2:$ND$60=E$4),0),$B268-1966)</f>
        <v>2.5</v>
      </c>
      <c r="F268" s="4" cm="1">
        <f t="array" ref="F268">INDEX(GMW!$A$2:$NF$60,MATCH(1,(GMW!$NE$2:$NE$60=F$3)*(GMW!$ND$2:$ND$60=F$4),0),$B268-1966)</f>
        <v>3.35</v>
      </c>
      <c r="G268" s="4" cm="1">
        <f t="array" ref="G268">INDEX(GMW!$A$2:$NF$60,MATCH(1,(GMW!$NE$2:$NE$60=G$3)*(GMW!$ND$2:$ND$60=G$4),0),$B268-1966)</f>
        <v>3.5</v>
      </c>
      <c r="H268" s="4" cm="1">
        <f t="array" ref="H268">INDEX(GMW!$A$2:$NF$60,MATCH(1,(GMW!$NE$2:$NE$60=H$3)*(GMW!$ND$2:$ND$60=H$4),0),$B268-1966)</f>
        <v>4.3</v>
      </c>
    </row>
    <row r="269" spans="1:8" x14ac:dyDescent="0.35">
      <c r="B269" s="4">
        <f t="shared" si="5"/>
        <v>2235</v>
      </c>
      <c r="C269" s="4" cm="1">
        <f t="array" ref="C269">INDEX(GMW!$A$2:$NF$60,MATCH(1,(GMW!$NE$2:$NE$60=C$3)*(GMW!$ND$2:$ND$60=C$4),0),$B269-1966)</f>
        <v>22583.06</v>
      </c>
      <c r="D269" s="4" cm="1">
        <f t="array" ref="D269">INDEX(GMW!$A$2:$NF$60,MATCH(1,(GMW!$NE$2:$NE$60=D$3)*(GMW!$ND$2:$ND$60=D$4),0),$B269-1966)</f>
        <v>37136.379999999997</v>
      </c>
      <c r="E269" s="4" cm="1">
        <f t="array" ref="E269">INDEX(GMW!$A$2:$NF$60,MATCH(1,(GMW!$NE$2:$NE$60=E$3)*(GMW!$ND$2:$ND$60=E$4),0),$B269-1966)</f>
        <v>2.5</v>
      </c>
      <c r="F269" s="4" cm="1">
        <f t="array" ref="F269">INDEX(GMW!$A$2:$NF$60,MATCH(1,(GMW!$NE$2:$NE$60=F$3)*(GMW!$ND$2:$ND$60=F$4),0),$B269-1966)</f>
        <v>3.35</v>
      </c>
      <c r="G269" s="4" cm="1">
        <f t="array" ref="G269">INDEX(GMW!$A$2:$NF$60,MATCH(1,(GMW!$NE$2:$NE$60=G$3)*(GMW!$ND$2:$ND$60=G$4),0),$B269-1966)</f>
        <v>3.5</v>
      </c>
      <c r="H269" s="4" cm="1">
        <f t="array" ref="H269">INDEX(GMW!$A$2:$NF$60,MATCH(1,(GMW!$NE$2:$NE$60=H$3)*(GMW!$ND$2:$ND$60=H$4),0),$B269-1966)</f>
        <v>4.3</v>
      </c>
    </row>
    <row r="270" spans="1:8" x14ac:dyDescent="0.35">
      <c r="B270" s="4">
        <f t="shared" si="5"/>
        <v>2236</v>
      </c>
      <c r="C270" s="4" cm="1">
        <f t="array" ref="C270">INDEX(GMW!$A$2:$NF$60,MATCH(1,(GMW!$NE$2:$NE$60=C$3)*(GMW!$ND$2:$ND$60=C$4),0),$B270-1966)</f>
        <v>22762.3</v>
      </c>
      <c r="D270" s="4" cm="1">
        <f t="array" ref="D270">INDEX(GMW!$A$2:$NF$60,MATCH(1,(GMW!$NE$2:$NE$60=D$3)*(GMW!$ND$2:$ND$60=D$4),0),$B270-1966)</f>
        <v>37448.03</v>
      </c>
      <c r="E270" s="4" cm="1">
        <f t="array" ref="E270">INDEX(GMW!$A$2:$NF$60,MATCH(1,(GMW!$NE$2:$NE$60=E$3)*(GMW!$ND$2:$ND$60=E$4),0),$B270-1966)</f>
        <v>2.5</v>
      </c>
      <c r="F270" s="4" cm="1">
        <f t="array" ref="F270">INDEX(GMW!$A$2:$NF$60,MATCH(1,(GMW!$NE$2:$NE$60=F$3)*(GMW!$ND$2:$ND$60=F$4),0),$B270-1966)</f>
        <v>3.35</v>
      </c>
      <c r="G270" s="4" cm="1">
        <f t="array" ref="G270">INDEX(GMW!$A$2:$NF$60,MATCH(1,(GMW!$NE$2:$NE$60=G$3)*(GMW!$ND$2:$ND$60=G$4),0),$B270-1966)</f>
        <v>3.5</v>
      </c>
      <c r="H270" s="4" cm="1">
        <f t="array" ref="H270">INDEX(GMW!$A$2:$NF$60,MATCH(1,(GMW!$NE$2:$NE$60=H$3)*(GMW!$ND$2:$ND$60=H$4),0),$B270-1966)</f>
        <v>4.3</v>
      </c>
    </row>
    <row r="271" spans="1:8" x14ac:dyDescent="0.35">
      <c r="A271" s="4">
        <v>2039</v>
      </c>
      <c r="B271" s="4">
        <f t="shared" si="5"/>
        <v>2237</v>
      </c>
      <c r="C271" s="4" cm="1">
        <f t="array" ref="C271">INDEX(GMW!$A$2:$NF$60,MATCH(1,(GMW!$NE$2:$NE$60=C$3)*(GMW!$ND$2:$ND$60=C$4),0),$B271-1966)</f>
        <v>22940.47</v>
      </c>
      <c r="D271" s="4" cm="1">
        <f t="array" ref="D271">INDEX(GMW!$A$2:$NF$60,MATCH(1,(GMW!$NE$2:$NE$60=D$3)*(GMW!$ND$2:$ND$60=D$4),0),$B271-1966)</f>
        <v>37758.660000000003</v>
      </c>
      <c r="E271" s="4" cm="1">
        <f t="array" ref="E271">INDEX(GMW!$A$2:$NF$60,MATCH(1,(GMW!$NE$2:$NE$60=E$3)*(GMW!$ND$2:$ND$60=E$4),0),$B271-1966)</f>
        <v>2.5</v>
      </c>
      <c r="F271" s="4" cm="1">
        <f t="array" ref="F271">INDEX(GMW!$A$2:$NF$60,MATCH(1,(GMW!$NE$2:$NE$60=F$3)*(GMW!$ND$2:$ND$60=F$4),0),$B271-1966)</f>
        <v>3.35</v>
      </c>
      <c r="G271" s="4" cm="1">
        <f t="array" ref="G271">INDEX(GMW!$A$2:$NF$60,MATCH(1,(GMW!$NE$2:$NE$60=G$3)*(GMW!$ND$2:$ND$60=G$4),0),$B271-1966)</f>
        <v>3.5</v>
      </c>
      <c r="H271" s="4" cm="1">
        <f t="array" ref="H271">INDEX(GMW!$A$2:$NF$60,MATCH(1,(GMW!$NE$2:$NE$60=H$3)*(GMW!$ND$2:$ND$60=H$4),0),$B271-1966)</f>
        <v>4.3</v>
      </c>
    </row>
    <row r="272" spans="1:8" x14ac:dyDescent="0.35">
      <c r="B272" s="4">
        <f t="shared" si="5"/>
        <v>2238</v>
      </c>
      <c r="C272" s="4" cm="1">
        <f t="array" ref="C272">INDEX(GMW!$A$2:$NF$60,MATCH(1,(GMW!$NE$2:$NE$60=C$3)*(GMW!$ND$2:$ND$60=C$4),0),$B272-1966)</f>
        <v>23117.58</v>
      </c>
      <c r="D272" s="4" cm="1">
        <f t="array" ref="D272">INDEX(GMW!$A$2:$NF$60,MATCH(1,(GMW!$NE$2:$NE$60=D$3)*(GMW!$ND$2:$ND$60=D$4),0),$B272-1966)</f>
        <v>38068.29</v>
      </c>
      <c r="E272" s="4" cm="1">
        <f t="array" ref="E272">INDEX(GMW!$A$2:$NF$60,MATCH(1,(GMW!$NE$2:$NE$60=E$3)*(GMW!$ND$2:$ND$60=E$4),0),$B272-1966)</f>
        <v>2.5</v>
      </c>
      <c r="F272" s="4" cm="1">
        <f t="array" ref="F272">INDEX(GMW!$A$2:$NF$60,MATCH(1,(GMW!$NE$2:$NE$60=F$3)*(GMW!$ND$2:$ND$60=F$4),0),$B272-1966)</f>
        <v>3.35</v>
      </c>
      <c r="G272" s="4" cm="1">
        <f t="array" ref="G272">INDEX(GMW!$A$2:$NF$60,MATCH(1,(GMW!$NE$2:$NE$60=G$3)*(GMW!$ND$2:$ND$60=G$4),0),$B272-1966)</f>
        <v>3.5</v>
      </c>
      <c r="H272" s="4" cm="1">
        <f t="array" ref="H272">INDEX(GMW!$A$2:$NF$60,MATCH(1,(GMW!$NE$2:$NE$60=H$3)*(GMW!$ND$2:$ND$60=H$4),0),$B272-1966)</f>
        <v>4.3</v>
      </c>
    </row>
    <row r="273" spans="1:8" x14ac:dyDescent="0.35">
      <c r="B273" s="4">
        <f t="shared" si="5"/>
        <v>2239</v>
      </c>
      <c r="C273" s="4" cm="1">
        <f t="array" ref="C273">INDEX(GMW!$A$2:$NF$60,MATCH(1,(GMW!$NE$2:$NE$60=C$3)*(GMW!$ND$2:$ND$60=C$4),0),$B273-1966)</f>
        <v>23293.72</v>
      </c>
      <c r="D273" s="4" cm="1">
        <f t="array" ref="D273">INDEX(GMW!$A$2:$NF$60,MATCH(1,(GMW!$NE$2:$NE$60=D$3)*(GMW!$ND$2:$ND$60=D$4),0),$B273-1966)</f>
        <v>38376.94</v>
      </c>
      <c r="E273" s="4" cm="1">
        <f t="array" ref="E273">INDEX(GMW!$A$2:$NF$60,MATCH(1,(GMW!$NE$2:$NE$60=E$3)*(GMW!$ND$2:$ND$60=E$4),0),$B273-1966)</f>
        <v>2.5</v>
      </c>
      <c r="F273" s="4" cm="1">
        <f t="array" ref="F273">INDEX(GMW!$A$2:$NF$60,MATCH(1,(GMW!$NE$2:$NE$60=F$3)*(GMW!$ND$2:$ND$60=F$4),0),$B273-1966)</f>
        <v>3.35</v>
      </c>
      <c r="G273" s="4" cm="1">
        <f t="array" ref="G273">INDEX(GMW!$A$2:$NF$60,MATCH(1,(GMW!$NE$2:$NE$60=G$3)*(GMW!$ND$2:$ND$60=G$4),0),$B273-1966)</f>
        <v>3.5</v>
      </c>
      <c r="H273" s="4" cm="1">
        <f t="array" ref="H273">INDEX(GMW!$A$2:$NF$60,MATCH(1,(GMW!$NE$2:$NE$60=H$3)*(GMW!$ND$2:$ND$60=H$4),0),$B273-1966)</f>
        <v>4.3</v>
      </c>
    </row>
    <row r="274" spans="1:8" x14ac:dyDescent="0.35">
      <c r="B274" s="4">
        <f t="shared" si="5"/>
        <v>2240</v>
      </c>
      <c r="C274" s="4" cm="1">
        <f t="array" ref="C274">INDEX(GMW!$A$2:$NF$60,MATCH(1,(GMW!$NE$2:$NE$60=C$3)*(GMW!$ND$2:$ND$60=C$4),0),$B274-1966)</f>
        <v>23468.97</v>
      </c>
      <c r="D274" s="4" cm="1">
        <f t="array" ref="D274">INDEX(GMW!$A$2:$NF$60,MATCH(1,(GMW!$NE$2:$NE$60=D$3)*(GMW!$ND$2:$ND$60=D$4),0),$B274-1966)</f>
        <v>38684.699999999997</v>
      </c>
      <c r="E274" s="4" cm="1">
        <f t="array" ref="E274">INDEX(GMW!$A$2:$NF$60,MATCH(1,(GMW!$NE$2:$NE$60=E$3)*(GMW!$ND$2:$ND$60=E$4),0),$B274-1966)</f>
        <v>2.5</v>
      </c>
      <c r="F274" s="4" cm="1">
        <f t="array" ref="F274">INDEX(GMW!$A$2:$NF$60,MATCH(1,(GMW!$NE$2:$NE$60=F$3)*(GMW!$ND$2:$ND$60=F$4),0),$B274-1966)</f>
        <v>3.35</v>
      </c>
      <c r="G274" s="4" cm="1">
        <f t="array" ref="G274">INDEX(GMW!$A$2:$NF$60,MATCH(1,(GMW!$NE$2:$NE$60=G$3)*(GMW!$ND$2:$ND$60=G$4),0),$B274-1966)</f>
        <v>3.4999989999999999</v>
      </c>
      <c r="H274" s="4" cm="1">
        <f t="array" ref="H274">INDEX(GMW!$A$2:$NF$60,MATCH(1,(GMW!$NE$2:$NE$60=H$3)*(GMW!$ND$2:$ND$60=H$4),0),$B274-1966)</f>
        <v>4.3</v>
      </c>
    </row>
    <row r="275" spans="1:8" x14ac:dyDescent="0.35">
      <c r="A275" s="4">
        <v>2040</v>
      </c>
      <c r="B275" s="4">
        <f t="shared" si="5"/>
        <v>2241</v>
      </c>
      <c r="C275" s="4" cm="1">
        <f t="array" ref="C275">INDEX(GMW!$A$2:$NF$60,MATCH(1,(GMW!$NE$2:$NE$60=C$3)*(GMW!$ND$2:$ND$60=C$4),0),$B275-1966)</f>
        <v>23643.360000000001</v>
      </c>
      <c r="D275" s="4" cm="1">
        <f t="array" ref="D275">INDEX(GMW!$A$2:$NF$60,MATCH(1,(GMW!$NE$2:$NE$60=D$3)*(GMW!$ND$2:$ND$60=D$4),0),$B275-1966)</f>
        <v>38991.620000000003</v>
      </c>
      <c r="E275" s="4" cm="1">
        <f t="array" ref="E275">INDEX(GMW!$A$2:$NF$60,MATCH(1,(GMW!$NE$2:$NE$60=E$3)*(GMW!$ND$2:$ND$60=E$4),0),$B275-1966)</f>
        <v>2.5</v>
      </c>
      <c r="F275" s="4" cm="1">
        <f t="array" ref="F275">INDEX(GMW!$A$2:$NF$60,MATCH(1,(GMW!$NE$2:$NE$60=F$3)*(GMW!$ND$2:$ND$60=F$4),0),$B275-1966)</f>
        <v>3.35</v>
      </c>
      <c r="G275" s="4" cm="1">
        <f t="array" ref="G275">INDEX(GMW!$A$2:$NF$60,MATCH(1,(GMW!$NE$2:$NE$60=G$3)*(GMW!$ND$2:$ND$60=G$4),0),$B275-1966)</f>
        <v>3.4999989999999999</v>
      </c>
      <c r="H275" s="4" cm="1">
        <f t="array" ref="H275">INDEX(GMW!$A$2:$NF$60,MATCH(1,(GMW!$NE$2:$NE$60=H$3)*(GMW!$ND$2:$ND$60=H$4),0),$B275-1966)</f>
        <v>4.3</v>
      </c>
    </row>
    <row r="276" spans="1:8" x14ac:dyDescent="0.35">
      <c r="B276" s="4">
        <f t="shared" si="5"/>
        <v>2242</v>
      </c>
      <c r="C276" s="4" cm="1">
        <f t="array" ref="C276">INDEX(GMW!$A$2:$NF$60,MATCH(1,(GMW!$NE$2:$NE$60=C$3)*(GMW!$ND$2:$ND$60=C$4),0),$B276-1966)</f>
        <v>23816.89</v>
      </c>
      <c r="D276" s="4" cm="1">
        <f t="array" ref="D276">INDEX(GMW!$A$2:$NF$60,MATCH(1,(GMW!$NE$2:$NE$60=D$3)*(GMW!$ND$2:$ND$60=D$4),0),$B276-1966)</f>
        <v>39297.75</v>
      </c>
      <c r="E276" s="4" cm="1">
        <f t="array" ref="E276">INDEX(GMW!$A$2:$NF$60,MATCH(1,(GMW!$NE$2:$NE$60=E$3)*(GMW!$ND$2:$ND$60=E$4),0),$B276-1966)</f>
        <v>2.5</v>
      </c>
      <c r="F276" s="4" cm="1">
        <f t="array" ref="F276">INDEX(GMW!$A$2:$NF$60,MATCH(1,(GMW!$NE$2:$NE$60=F$3)*(GMW!$ND$2:$ND$60=F$4),0),$B276-1966)</f>
        <v>3.35</v>
      </c>
      <c r="G276" s="4" cm="1">
        <f t="array" ref="G276">INDEX(GMW!$A$2:$NF$60,MATCH(1,(GMW!$NE$2:$NE$60=G$3)*(GMW!$ND$2:$ND$60=G$4),0),$B276-1966)</f>
        <v>3.4999989999999999</v>
      </c>
      <c r="H276" s="4" cm="1">
        <f t="array" ref="H276">INDEX(GMW!$A$2:$NF$60,MATCH(1,(GMW!$NE$2:$NE$60=H$3)*(GMW!$ND$2:$ND$60=H$4),0),$B276-1966)</f>
        <v>4.3</v>
      </c>
    </row>
    <row r="277" spans="1:8" x14ac:dyDescent="0.35">
      <c r="B277" s="4">
        <f t="shared" si="5"/>
        <v>2243</v>
      </c>
      <c r="C277" s="4" cm="1">
        <f t="array" ref="C277">INDEX(GMW!$A$2:$NF$60,MATCH(1,(GMW!$NE$2:$NE$60=C$3)*(GMW!$ND$2:$ND$60=C$4),0),$B277-1966)</f>
        <v>23989.66</v>
      </c>
      <c r="D277" s="4" cm="1">
        <f t="array" ref="D277">INDEX(GMW!$A$2:$NF$60,MATCH(1,(GMW!$NE$2:$NE$60=D$3)*(GMW!$ND$2:$ND$60=D$4),0),$B277-1966)</f>
        <v>39603.18</v>
      </c>
      <c r="E277" s="4" cm="1">
        <f t="array" ref="E277">INDEX(GMW!$A$2:$NF$60,MATCH(1,(GMW!$NE$2:$NE$60=E$3)*(GMW!$ND$2:$ND$60=E$4),0),$B277-1966)</f>
        <v>2.5</v>
      </c>
      <c r="F277" s="4" cm="1">
        <f t="array" ref="F277">INDEX(GMW!$A$2:$NF$60,MATCH(1,(GMW!$NE$2:$NE$60=F$3)*(GMW!$ND$2:$ND$60=F$4),0),$B277-1966)</f>
        <v>3.35</v>
      </c>
      <c r="G277" s="4" cm="1">
        <f t="array" ref="G277">INDEX(GMW!$A$2:$NF$60,MATCH(1,(GMW!$NE$2:$NE$60=G$3)*(GMW!$ND$2:$ND$60=G$4),0),$B277-1966)</f>
        <v>3.5</v>
      </c>
      <c r="H277" s="4" cm="1">
        <f t="array" ref="H277">INDEX(GMW!$A$2:$NF$60,MATCH(1,(GMW!$NE$2:$NE$60=H$3)*(GMW!$ND$2:$ND$60=H$4),0),$B277-1966)</f>
        <v>4.3</v>
      </c>
    </row>
    <row r="278" spans="1:8" x14ac:dyDescent="0.35">
      <c r="B278" s="4">
        <f t="shared" si="5"/>
        <v>2244</v>
      </c>
      <c r="C278" s="4" cm="1">
        <f t="array" ref="C278">INDEX(GMW!$A$2:$NF$60,MATCH(1,(GMW!$NE$2:$NE$60=C$3)*(GMW!$ND$2:$ND$60=C$4),0),$B278-1966)</f>
        <v>24161.69</v>
      </c>
      <c r="D278" s="4" cm="1">
        <f t="array" ref="D278">INDEX(GMW!$A$2:$NF$60,MATCH(1,(GMW!$NE$2:$NE$60=D$3)*(GMW!$ND$2:$ND$60=D$4),0),$B278-1966)</f>
        <v>39907.94</v>
      </c>
      <c r="E278" s="4" cm="1">
        <f t="array" ref="E278">INDEX(GMW!$A$2:$NF$60,MATCH(1,(GMW!$NE$2:$NE$60=E$3)*(GMW!$ND$2:$ND$60=E$4),0),$B278-1966)</f>
        <v>2.5</v>
      </c>
      <c r="F278" s="4" cm="1">
        <f t="array" ref="F278">INDEX(GMW!$A$2:$NF$60,MATCH(1,(GMW!$NE$2:$NE$60=F$3)*(GMW!$ND$2:$ND$60=F$4),0),$B278-1966)</f>
        <v>3.35</v>
      </c>
      <c r="G278" s="4" cm="1">
        <f t="array" ref="G278">INDEX(GMW!$A$2:$NF$60,MATCH(1,(GMW!$NE$2:$NE$60=G$3)*(GMW!$ND$2:$ND$60=G$4),0),$B278-1966)</f>
        <v>3.5</v>
      </c>
      <c r="H278" s="4" cm="1">
        <f t="array" ref="H278">INDEX(GMW!$A$2:$NF$60,MATCH(1,(GMW!$NE$2:$NE$60=H$3)*(GMW!$ND$2:$ND$60=H$4),0),$B278-1966)</f>
        <v>4.3</v>
      </c>
    </row>
    <row r="279" spans="1:8" x14ac:dyDescent="0.35">
      <c r="A279" s="4">
        <v>2041</v>
      </c>
      <c r="B279" s="4">
        <f t="shared" si="5"/>
        <v>2245</v>
      </c>
      <c r="C279" s="4" cm="1">
        <f t="array" ref="C279">INDEX(GMW!$A$2:$NF$60,MATCH(1,(GMW!$NE$2:$NE$60=C$3)*(GMW!$ND$2:$ND$60=C$4),0),$B279-1966)</f>
        <v>24332.959999999999</v>
      </c>
      <c r="D279" s="4" cm="1">
        <f t="array" ref="D279">INDEX(GMW!$A$2:$NF$60,MATCH(1,(GMW!$NE$2:$NE$60=D$3)*(GMW!$ND$2:$ND$60=D$4),0),$B279-1966)</f>
        <v>40212.129999999997</v>
      </c>
      <c r="E279" s="4" cm="1">
        <f t="array" ref="E279">INDEX(GMW!$A$2:$NF$60,MATCH(1,(GMW!$NE$2:$NE$60=E$3)*(GMW!$ND$2:$ND$60=E$4),0),$B279-1966)</f>
        <v>2.5</v>
      </c>
      <c r="F279" s="4" cm="1">
        <f t="array" ref="F279">INDEX(GMW!$A$2:$NF$60,MATCH(1,(GMW!$NE$2:$NE$60=F$3)*(GMW!$ND$2:$ND$60=F$4),0),$B279-1966)</f>
        <v>3.35</v>
      </c>
      <c r="G279" s="4" cm="1">
        <f t="array" ref="G279">INDEX(GMW!$A$2:$NF$60,MATCH(1,(GMW!$NE$2:$NE$60=G$3)*(GMW!$ND$2:$ND$60=G$4),0),$B279-1966)</f>
        <v>3.5</v>
      </c>
      <c r="H279" s="4" cm="1">
        <f t="array" ref="H279">INDEX(GMW!$A$2:$NF$60,MATCH(1,(GMW!$NE$2:$NE$60=H$3)*(GMW!$ND$2:$ND$60=H$4),0),$B279-1966)</f>
        <v>4.3</v>
      </c>
    </row>
    <row r="280" spans="1:8" x14ac:dyDescent="0.35">
      <c r="B280" s="4">
        <f t="shared" si="5"/>
        <v>2246</v>
      </c>
      <c r="C280" s="4" cm="1">
        <f t="array" ref="C280">INDEX(GMW!$A$2:$NF$60,MATCH(1,(GMW!$NE$2:$NE$60=C$3)*(GMW!$ND$2:$ND$60=C$4),0),$B280-1966)</f>
        <v>24504.01</v>
      </c>
      <c r="D280" s="4" cm="1">
        <f t="array" ref="D280">INDEX(GMW!$A$2:$NF$60,MATCH(1,(GMW!$NE$2:$NE$60=D$3)*(GMW!$ND$2:$ND$60=D$4),0),$B280-1966)</f>
        <v>40515.81</v>
      </c>
      <c r="E280" s="4" cm="1">
        <f t="array" ref="E280">INDEX(GMW!$A$2:$NF$60,MATCH(1,(GMW!$NE$2:$NE$60=E$3)*(GMW!$ND$2:$ND$60=E$4),0),$B280-1966)</f>
        <v>2.5</v>
      </c>
      <c r="F280" s="4" cm="1">
        <f t="array" ref="F280">INDEX(GMW!$A$2:$NF$60,MATCH(1,(GMW!$NE$2:$NE$60=F$3)*(GMW!$ND$2:$ND$60=F$4),0),$B280-1966)</f>
        <v>3.35</v>
      </c>
      <c r="G280" s="4" cm="1">
        <f t="array" ref="G280">INDEX(GMW!$A$2:$NF$60,MATCH(1,(GMW!$NE$2:$NE$60=G$3)*(GMW!$ND$2:$ND$60=G$4),0),$B280-1966)</f>
        <v>3.5</v>
      </c>
      <c r="H280" s="4" cm="1">
        <f t="array" ref="H280">INDEX(GMW!$A$2:$NF$60,MATCH(1,(GMW!$NE$2:$NE$60=H$3)*(GMW!$ND$2:$ND$60=H$4),0),$B280-1966)</f>
        <v>4.3</v>
      </c>
    </row>
    <row r="281" spans="1:8" x14ac:dyDescent="0.35">
      <c r="B281" s="4">
        <f t="shared" si="5"/>
        <v>2247</v>
      </c>
      <c r="C281" s="4" cm="1">
        <f t="array" ref="C281">INDEX(GMW!$A$2:$NF$60,MATCH(1,(GMW!$NE$2:$NE$60=C$3)*(GMW!$ND$2:$ND$60=C$4),0),$B281-1966)</f>
        <v>24674.67</v>
      </c>
      <c r="D281" s="4" cm="1">
        <f t="array" ref="D281">INDEX(GMW!$A$2:$NF$60,MATCH(1,(GMW!$NE$2:$NE$60=D$3)*(GMW!$ND$2:$ND$60=D$4),0),$B281-1966)</f>
        <v>40819.160000000003</v>
      </c>
      <c r="E281" s="4" cm="1">
        <f t="array" ref="E281">INDEX(GMW!$A$2:$NF$60,MATCH(1,(GMW!$NE$2:$NE$60=E$3)*(GMW!$ND$2:$ND$60=E$4),0),$B281-1966)</f>
        <v>2.5</v>
      </c>
      <c r="F281" s="4" cm="1">
        <f t="array" ref="F281">INDEX(GMW!$A$2:$NF$60,MATCH(1,(GMW!$NE$2:$NE$60=F$3)*(GMW!$ND$2:$ND$60=F$4),0),$B281-1966)</f>
        <v>3.35</v>
      </c>
      <c r="G281" s="4" cm="1">
        <f t="array" ref="G281">INDEX(GMW!$A$2:$NF$60,MATCH(1,(GMW!$NE$2:$NE$60=G$3)*(GMW!$ND$2:$ND$60=G$4),0),$B281-1966)</f>
        <v>3.5</v>
      </c>
      <c r="H281" s="4" cm="1">
        <f t="array" ref="H281">INDEX(GMW!$A$2:$NF$60,MATCH(1,(GMW!$NE$2:$NE$60=H$3)*(GMW!$ND$2:$ND$60=H$4),0),$B281-1966)</f>
        <v>4.3</v>
      </c>
    </row>
    <row r="282" spans="1:8" x14ac:dyDescent="0.35">
      <c r="B282" s="4">
        <f t="shared" si="5"/>
        <v>2248</v>
      </c>
      <c r="C282" s="4" cm="1">
        <f t="array" ref="C282">INDEX(GMW!$A$2:$NF$60,MATCH(1,(GMW!$NE$2:$NE$60=C$3)*(GMW!$ND$2:$ND$60=C$4),0),$B282-1966)</f>
        <v>24844.65</v>
      </c>
      <c r="D282" s="4" cm="1">
        <f t="array" ref="D282">INDEX(GMW!$A$2:$NF$60,MATCH(1,(GMW!$NE$2:$NE$60=D$3)*(GMW!$ND$2:$ND$60=D$4),0),$B282-1966)</f>
        <v>41122.239999999998</v>
      </c>
      <c r="E282" s="4" cm="1">
        <f t="array" ref="E282">INDEX(GMW!$A$2:$NF$60,MATCH(1,(GMW!$NE$2:$NE$60=E$3)*(GMW!$ND$2:$ND$60=E$4),0),$B282-1966)</f>
        <v>2.5</v>
      </c>
      <c r="F282" s="4" cm="1">
        <f t="array" ref="F282">INDEX(GMW!$A$2:$NF$60,MATCH(1,(GMW!$NE$2:$NE$60=F$3)*(GMW!$ND$2:$ND$60=F$4),0),$B282-1966)</f>
        <v>3.35</v>
      </c>
      <c r="G282" s="4" cm="1">
        <f t="array" ref="G282">INDEX(GMW!$A$2:$NF$60,MATCH(1,(GMW!$NE$2:$NE$60=G$3)*(GMW!$ND$2:$ND$60=G$4),0),$B282-1966)</f>
        <v>3.5</v>
      </c>
      <c r="H282" s="4" cm="1">
        <f t="array" ref="H282">INDEX(GMW!$A$2:$NF$60,MATCH(1,(GMW!$NE$2:$NE$60=H$3)*(GMW!$ND$2:$ND$60=H$4),0),$B282-1966)</f>
        <v>4.3</v>
      </c>
    </row>
    <row r="283" spans="1:8" x14ac:dyDescent="0.35">
      <c r="A283" s="4">
        <v>2042</v>
      </c>
      <c r="B283" s="4">
        <f t="shared" si="5"/>
        <v>2249</v>
      </c>
      <c r="C283" s="4" cm="1">
        <f t="array" ref="C283">INDEX(GMW!$A$2:$NF$60,MATCH(1,(GMW!$NE$2:$NE$60=C$3)*(GMW!$ND$2:$ND$60=C$4),0),$B283-1966)</f>
        <v>25013.94</v>
      </c>
      <c r="D283" s="4" cm="1">
        <f t="array" ref="D283">INDEX(GMW!$A$2:$NF$60,MATCH(1,(GMW!$NE$2:$NE$60=D$3)*(GMW!$ND$2:$ND$60=D$4),0),$B283-1966)</f>
        <v>41425.17</v>
      </c>
      <c r="E283" s="4" cm="1">
        <f t="array" ref="E283">INDEX(GMW!$A$2:$NF$60,MATCH(1,(GMW!$NE$2:$NE$60=E$3)*(GMW!$ND$2:$ND$60=E$4),0),$B283-1966)</f>
        <v>2.5</v>
      </c>
      <c r="F283" s="4" cm="1">
        <f t="array" ref="F283">INDEX(GMW!$A$2:$NF$60,MATCH(1,(GMW!$NE$2:$NE$60=F$3)*(GMW!$ND$2:$ND$60=F$4),0),$B283-1966)</f>
        <v>3.35</v>
      </c>
      <c r="G283" s="4" cm="1">
        <f t="array" ref="G283">INDEX(GMW!$A$2:$NF$60,MATCH(1,(GMW!$NE$2:$NE$60=G$3)*(GMW!$ND$2:$ND$60=G$4),0),$B283-1966)</f>
        <v>3.5</v>
      </c>
      <c r="H283" s="4" cm="1">
        <f t="array" ref="H283">INDEX(GMW!$A$2:$NF$60,MATCH(1,(GMW!$NE$2:$NE$60=H$3)*(GMW!$ND$2:$ND$60=H$4),0),$B283-1966)</f>
        <v>4.3</v>
      </c>
    </row>
    <row r="284" spans="1:8" x14ac:dyDescent="0.35">
      <c r="B284" s="4">
        <f t="shared" si="5"/>
        <v>2250</v>
      </c>
      <c r="C284" s="4" cm="1">
        <f t="array" ref="C284">INDEX(GMW!$A$2:$NF$60,MATCH(1,(GMW!$NE$2:$NE$60=C$3)*(GMW!$ND$2:$ND$60=C$4),0),$B284-1966)</f>
        <v>25182.560000000001</v>
      </c>
      <c r="D284" s="4" cm="1">
        <f t="array" ref="D284">INDEX(GMW!$A$2:$NF$60,MATCH(1,(GMW!$NE$2:$NE$60=D$3)*(GMW!$ND$2:$ND$60=D$4),0),$B284-1966)</f>
        <v>41727.99</v>
      </c>
      <c r="E284" s="4" cm="1">
        <f t="array" ref="E284">INDEX(GMW!$A$2:$NF$60,MATCH(1,(GMW!$NE$2:$NE$60=E$3)*(GMW!$ND$2:$ND$60=E$4),0),$B284-1966)</f>
        <v>2.5</v>
      </c>
      <c r="F284" s="4" cm="1">
        <f t="array" ref="F284">INDEX(GMW!$A$2:$NF$60,MATCH(1,(GMW!$NE$2:$NE$60=F$3)*(GMW!$ND$2:$ND$60=F$4),0),$B284-1966)</f>
        <v>3.35</v>
      </c>
      <c r="G284" s="4" cm="1">
        <f t="array" ref="G284">INDEX(GMW!$A$2:$NF$60,MATCH(1,(GMW!$NE$2:$NE$60=G$3)*(GMW!$ND$2:$ND$60=G$4),0),$B284-1966)</f>
        <v>3.5</v>
      </c>
      <c r="H284" s="4" cm="1">
        <f t="array" ref="H284">INDEX(GMW!$A$2:$NF$60,MATCH(1,(GMW!$NE$2:$NE$60=H$3)*(GMW!$ND$2:$ND$60=H$4),0),$B284-1966)</f>
        <v>4.3</v>
      </c>
    </row>
    <row r="285" spans="1:8" x14ac:dyDescent="0.35">
      <c r="B285" s="4">
        <f t="shared" si="5"/>
        <v>2251</v>
      </c>
      <c r="C285" s="4" cm="1">
        <f t="array" ref="C285">INDEX(GMW!$A$2:$NF$60,MATCH(1,(GMW!$NE$2:$NE$60=C$3)*(GMW!$ND$2:$ND$60=C$4),0),$B285-1966)</f>
        <v>25350.53</v>
      </c>
      <c r="D285" s="4" cm="1">
        <f t="array" ref="D285">INDEX(GMW!$A$2:$NF$60,MATCH(1,(GMW!$NE$2:$NE$60=D$3)*(GMW!$ND$2:$ND$60=D$4),0),$B285-1966)</f>
        <v>42030.79</v>
      </c>
      <c r="E285" s="4" cm="1">
        <f t="array" ref="E285">INDEX(GMW!$A$2:$NF$60,MATCH(1,(GMW!$NE$2:$NE$60=E$3)*(GMW!$ND$2:$ND$60=E$4),0),$B285-1966)</f>
        <v>2.5</v>
      </c>
      <c r="F285" s="4" cm="1">
        <f t="array" ref="F285">INDEX(GMW!$A$2:$NF$60,MATCH(1,(GMW!$NE$2:$NE$60=F$3)*(GMW!$ND$2:$ND$60=F$4),0),$B285-1966)</f>
        <v>3.35</v>
      </c>
      <c r="G285" s="4" cm="1">
        <f t="array" ref="G285">INDEX(GMW!$A$2:$NF$60,MATCH(1,(GMW!$NE$2:$NE$60=G$3)*(GMW!$ND$2:$ND$60=G$4),0),$B285-1966)</f>
        <v>3.5</v>
      </c>
      <c r="H285" s="4" cm="1">
        <f t="array" ref="H285">INDEX(GMW!$A$2:$NF$60,MATCH(1,(GMW!$NE$2:$NE$60=H$3)*(GMW!$ND$2:$ND$60=H$4),0),$B285-1966)</f>
        <v>4.3</v>
      </c>
    </row>
    <row r="286" spans="1:8" x14ac:dyDescent="0.35">
      <c r="B286" s="4">
        <f t="shared" si="5"/>
        <v>2252</v>
      </c>
      <c r="C286" s="4" cm="1">
        <f t="array" ref="C286">INDEX(GMW!$A$2:$NF$60,MATCH(1,(GMW!$NE$2:$NE$60=C$3)*(GMW!$ND$2:$ND$60=C$4),0),$B286-1966)</f>
        <v>25517.48</v>
      </c>
      <c r="D286" s="4" cm="1">
        <f t="array" ref="D286">INDEX(GMW!$A$2:$NF$60,MATCH(1,(GMW!$NE$2:$NE$60=D$3)*(GMW!$ND$2:$ND$60=D$4),0),$B286-1966)</f>
        <v>42333.63</v>
      </c>
      <c r="E286" s="4" cm="1">
        <f t="array" ref="E286">INDEX(GMW!$A$2:$NF$60,MATCH(1,(GMW!$NE$2:$NE$60=E$3)*(GMW!$ND$2:$ND$60=E$4),0),$B286-1966)</f>
        <v>2.5</v>
      </c>
      <c r="F286" s="4" cm="1">
        <f t="array" ref="F286">INDEX(GMW!$A$2:$NF$60,MATCH(1,(GMW!$NE$2:$NE$60=F$3)*(GMW!$ND$2:$ND$60=F$4),0),$B286-1966)</f>
        <v>3.35</v>
      </c>
      <c r="G286" s="4" cm="1">
        <f t="array" ref="G286">INDEX(GMW!$A$2:$NF$60,MATCH(1,(GMW!$NE$2:$NE$60=G$3)*(GMW!$ND$2:$ND$60=G$4),0),$B286-1966)</f>
        <v>3.5</v>
      </c>
      <c r="H286" s="4" cm="1">
        <f t="array" ref="H286">INDEX(GMW!$A$2:$NF$60,MATCH(1,(GMW!$NE$2:$NE$60=H$3)*(GMW!$ND$2:$ND$60=H$4),0),$B286-1966)</f>
        <v>4.3</v>
      </c>
    </row>
    <row r="287" spans="1:8" x14ac:dyDescent="0.35">
      <c r="A287" s="4">
        <v>2043</v>
      </c>
      <c r="B287" s="4">
        <f t="shared" si="5"/>
        <v>2253</v>
      </c>
      <c r="C287" s="4" cm="1">
        <f t="array" ref="C287">INDEX(GMW!$A$2:$NF$60,MATCH(1,(GMW!$NE$2:$NE$60=C$3)*(GMW!$ND$2:$ND$60=C$4),0),$B287-1966)</f>
        <v>25683.71</v>
      </c>
      <c r="D287" s="4" cm="1">
        <f t="array" ref="D287">INDEX(GMW!$A$2:$NF$60,MATCH(1,(GMW!$NE$2:$NE$60=D$3)*(GMW!$ND$2:$ND$60=D$4),0),$B287-1966)</f>
        <v>42636.5</v>
      </c>
      <c r="E287" s="4" cm="1">
        <f t="array" ref="E287">INDEX(GMW!$A$2:$NF$60,MATCH(1,(GMW!$NE$2:$NE$60=E$3)*(GMW!$ND$2:$ND$60=E$4),0),$B287-1966)</f>
        <v>2.5</v>
      </c>
      <c r="F287" s="4" cm="1">
        <f t="array" ref="F287">INDEX(GMW!$A$2:$NF$60,MATCH(1,(GMW!$NE$2:$NE$60=F$3)*(GMW!$ND$2:$ND$60=F$4),0),$B287-1966)</f>
        <v>3.35</v>
      </c>
      <c r="G287" s="4" cm="1">
        <f t="array" ref="G287">INDEX(GMW!$A$2:$NF$60,MATCH(1,(GMW!$NE$2:$NE$60=G$3)*(GMW!$ND$2:$ND$60=G$4),0),$B287-1966)</f>
        <v>3.5</v>
      </c>
      <c r="H287" s="4" cm="1">
        <f t="array" ref="H287">INDEX(GMW!$A$2:$NF$60,MATCH(1,(GMW!$NE$2:$NE$60=H$3)*(GMW!$ND$2:$ND$60=H$4),0),$B287-1966)</f>
        <v>4.3</v>
      </c>
    </row>
    <row r="288" spans="1:8" x14ac:dyDescent="0.35">
      <c r="B288" s="4">
        <f t="shared" si="5"/>
        <v>2254</v>
      </c>
      <c r="C288" s="4" cm="1">
        <f t="array" ref="C288">INDEX(GMW!$A$2:$NF$60,MATCH(1,(GMW!$NE$2:$NE$60=C$3)*(GMW!$ND$2:$ND$60=C$4),0),$B288-1966)</f>
        <v>25849.360000000001</v>
      </c>
      <c r="D288" s="4" cm="1">
        <f t="array" ref="D288">INDEX(GMW!$A$2:$NF$60,MATCH(1,(GMW!$NE$2:$NE$60=D$3)*(GMW!$ND$2:$ND$60=D$4),0),$B288-1966)</f>
        <v>42939.45</v>
      </c>
      <c r="E288" s="4" cm="1">
        <f t="array" ref="E288">INDEX(GMW!$A$2:$NF$60,MATCH(1,(GMW!$NE$2:$NE$60=E$3)*(GMW!$ND$2:$ND$60=E$4),0),$B288-1966)</f>
        <v>2.5</v>
      </c>
      <c r="F288" s="4" cm="1">
        <f t="array" ref="F288">INDEX(GMW!$A$2:$NF$60,MATCH(1,(GMW!$NE$2:$NE$60=F$3)*(GMW!$ND$2:$ND$60=F$4),0),$B288-1966)</f>
        <v>3.35</v>
      </c>
      <c r="G288" s="4" cm="1">
        <f t="array" ref="G288">INDEX(GMW!$A$2:$NF$60,MATCH(1,(GMW!$NE$2:$NE$60=G$3)*(GMW!$ND$2:$ND$60=G$4),0),$B288-1966)</f>
        <v>3.5</v>
      </c>
      <c r="H288" s="4" cm="1">
        <f t="array" ref="H288">INDEX(GMW!$A$2:$NF$60,MATCH(1,(GMW!$NE$2:$NE$60=H$3)*(GMW!$ND$2:$ND$60=H$4),0),$B288-1966)</f>
        <v>4.3</v>
      </c>
    </row>
    <row r="289" spans="1:8" x14ac:dyDescent="0.35">
      <c r="B289" s="4">
        <f t="shared" si="5"/>
        <v>2255</v>
      </c>
      <c r="C289" s="4" cm="1">
        <f t="array" ref="C289">INDEX(GMW!$A$2:$NF$60,MATCH(1,(GMW!$NE$2:$NE$60=C$3)*(GMW!$ND$2:$ND$60=C$4),0),$B289-1966)</f>
        <v>26014.55</v>
      </c>
      <c r="D289" s="4" cm="1">
        <f t="array" ref="D289">INDEX(GMW!$A$2:$NF$60,MATCH(1,(GMW!$NE$2:$NE$60=D$3)*(GMW!$ND$2:$ND$60=D$4),0),$B289-1966)</f>
        <v>43242.55</v>
      </c>
      <c r="E289" s="4" cm="1">
        <f t="array" ref="E289">INDEX(GMW!$A$2:$NF$60,MATCH(1,(GMW!$NE$2:$NE$60=E$3)*(GMW!$ND$2:$ND$60=E$4),0),$B289-1966)</f>
        <v>2.5</v>
      </c>
      <c r="F289" s="4" cm="1">
        <f t="array" ref="F289">INDEX(GMW!$A$2:$NF$60,MATCH(1,(GMW!$NE$2:$NE$60=F$3)*(GMW!$ND$2:$ND$60=F$4),0),$B289-1966)</f>
        <v>3.35</v>
      </c>
      <c r="G289" s="4" cm="1">
        <f t="array" ref="G289">INDEX(GMW!$A$2:$NF$60,MATCH(1,(GMW!$NE$2:$NE$60=G$3)*(GMW!$ND$2:$ND$60=G$4),0),$B289-1966)</f>
        <v>3.5</v>
      </c>
      <c r="H289" s="4" cm="1">
        <f t="array" ref="H289">INDEX(GMW!$A$2:$NF$60,MATCH(1,(GMW!$NE$2:$NE$60=H$3)*(GMW!$ND$2:$ND$60=H$4),0),$B289-1966)</f>
        <v>4.3</v>
      </c>
    </row>
    <row r="290" spans="1:8" x14ac:dyDescent="0.35">
      <c r="B290" s="4">
        <f t="shared" si="5"/>
        <v>2256</v>
      </c>
      <c r="C290" s="4" cm="1">
        <f t="array" ref="C290">INDEX(GMW!$A$2:$NF$60,MATCH(1,(GMW!$NE$2:$NE$60=C$3)*(GMW!$ND$2:$ND$60=C$4),0),$B290-1966)</f>
        <v>26178.69</v>
      </c>
      <c r="D290" s="4" cm="1">
        <f t="array" ref="D290">INDEX(GMW!$A$2:$NF$60,MATCH(1,(GMW!$NE$2:$NE$60=D$3)*(GMW!$ND$2:$ND$60=D$4),0),$B290-1966)</f>
        <v>43545.86</v>
      </c>
      <c r="E290" s="4" cm="1">
        <f t="array" ref="E290">INDEX(GMW!$A$2:$NF$60,MATCH(1,(GMW!$NE$2:$NE$60=E$3)*(GMW!$ND$2:$ND$60=E$4),0),$B290-1966)</f>
        <v>2.5</v>
      </c>
      <c r="F290" s="4" cm="1">
        <f t="array" ref="F290">INDEX(GMW!$A$2:$NF$60,MATCH(1,(GMW!$NE$2:$NE$60=F$3)*(GMW!$ND$2:$ND$60=F$4),0),$B290-1966)</f>
        <v>3.35</v>
      </c>
      <c r="G290" s="4" cm="1">
        <f t="array" ref="G290">INDEX(GMW!$A$2:$NF$60,MATCH(1,(GMW!$NE$2:$NE$60=G$3)*(GMW!$ND$2:$ND$60=G$4),0),$B290-1966)</f>
        <v>3.5</v>
      </c>
      <c r="H290" s="4" cm="1">
        <f t="array" ref="H290">INDEX(GMW!$A$2:$NF$60,MATCH(1,(GMW!$NE$2:$NE$60=H$3)*(GMW!$ND$2:$ND$60=H$4),0),$B290-1966)</f>
        <v>4.3</v>
      </c>
    </row>
    <row r="291" spans="1:8" x14ac:dyDescent="0.35">
      <c r="A291" s="4">
        <v>2044</v>
      </c>
      <c r="B291" s="4">
        <f t="shared" si="5"/>
        <v>2257</v>
      </c>
      <c r="C291" s="4" cm="1">
        <f t="array" ref="C291">INDEX(GMW!$A$2:$NF$60,MATCH(1,(GMW!$NE$2:$NE$60=C$3)*(GMW!$ND$2:$ND$60=C$4),0),$B291-1966)</f>
        <v>26342.18</v>
      </c>
      <c r="D291" s="4" cm="1">
        <f t="array" ref="D291">INDEX(GMW!$A$2:$NF$60,MATCH(1,(GMW!$NE$2:$NE$60=D$3)*(GMW!$ND$2:$ND$60=D$4),0),$B291-1966)</f>
        <v>43849.33</v>
      </c>
      <c r="E291" s="4" cm="1">
        <f t="array" ref="E291">INDEX(GMW!$A$2:$NF$60,MATCH(1,(GMW!$NE$2:$NE$60=E$3)*(GMW!$ND$2:$ND$60=E$4),0),$B291-1966)</f>
        <v>2.5</v>
      </c>
      <c r="F291" s="4" cm="1">
        <f t="array" ref="F291">INDEX(GMW!$A$2:$NF$60,MATCH(1,(GMW!$NE$2:$NE$60=F$3)*(GMW!$ND$2:$ND$60=F$4),0),$B291-1966)</f>
        <v>3.35</v>
      </c>
      <c r="G291" s="4" cm="1">
        <f t="array" ref="G291">INDEX(GMW!$A$2:$NF$60,MATCH(1,(GMW!$NE$2:$NE$60=G$3)*(GMW!$ND$2:$ND$60=G$4),0),$B291-1966)</f>
        <v>3.5</v>
      </c>
      <c r="H291" s="4" cm="1">
        <f t="array" ref="H291">INDEX(GMW!$A$2:$NF$60,MATCH(1,(GMW!$NE$2:$NE$60=H$3)*(GMW!$ND$2:$ND$60=H$4),0),$B291-1966)</f>
        <v>4.3</v>
      </c>
    </row>
    <row r="292" spans="1:8" x14ac:dyDescent="0.35">
      <c r="B292" s="4">
        <f t="shared" si="5"/>
        <v>2258</v>
      </c>
      <c r="C292" s="4" cm="1">
        <f t="array" ref="C292">INDEX(GMW!$A$2:$NF$60,MATCH(1,(GMW!$NE$2:$NE$60=C$3)*(GMW!$ND$2:$ND$60=C$4),0),$B292-1966)</f>
        <v>26505.15</v>
      </c>
      <c r="D292" s="4" cm="1">
        <f t="array" ref="D292">INDEX(GMW!$A$2:$NF$60,MATCH(1,(GMW!$NE$2:$NE$60=D$3)*(GMW!$ND$2:$ND$60=D$4),0),$B292-1966)</f>
        <v>44153.02</v>
      </c>
      <c r="E292" s="4" cm="1">
        <f t="array" ref="E292">INDEX(GMW!$A$2:$NF$60,MATCH(1,(GMW!$NE$2:$NE$60=E$3)*(GMW!$ND$2:$ND$60=E$4),0),$B292-1966)</f>
        <v>2.5</v>
      </c>
      <c r="F292" s="4" cm="1">
        <f t="array" ref="F292">INDEX(GMW!$A$2:$NF$60,MATCH(1,(GMW!$NE$2:$NE$60=F$3)*(GMW!$ND$2:$ND$60=F$4),0),$B292-1966)</f>
        <v>3.35</v>
      </c>
      <c r="G292" s="4" cm="1">
        <f t="array" ref="G292">INDEX(GMW!$A$2:$NF$60,MATCH(1,(GMW!$NE$2:$NE$60=G$3)*(GMW!$ND$2:$ND$60=G$4),0),$B292-1966)</f>
        <v>3.5</v>
      </c>
      <c r="H292" s="4" cm="1">
        <f t="array" ref="H292">INDEX(GMW!$A$2:$NF$60,MATCH(1,(GMW!$NE$2:$NE$60=H$3)*(GMW!$ND$2:$ND$60=H$4),0),$B292-1966)</f>
        <v>4.3</v>
      </c>
    </row>
    <row r="293" spans="1:8" x14ac:dyDescent="0.35">
      <c r="B293" s="4">
        <f t="shared" si="5"/>
        <v>2259</v>
      </c>
      <c r="C293" s="4" cm="1">
        <f t="array" ref="C293">INDEX(GMW!$A$2:$NF$60,MATCH(1,(GMW!$NE$2:$NE$60=C$3)*(GMW!$ND$2:$ND$60=C$4),0),$B293-1966)</f>
        <v>26667.68</v>
      </c>
      <c r="D293" s="4" cm="1">
        <f t="array" ref="D293">INDEX(GMW!$A$2:$NF$60,MATCH(1,(GMW!$NE$2:$NE$60=D$3)*(GMW!$ND$2:$ND$60=D$4),0),$B293-1966)</f>
        <v>44456.99</v>
      </c>
      <c r="E293" s="4" cm="1">
        <f t="array" ref="E293">INDEX(GMW!$A$2:$NF$60,MATCH(1,(GMW!$NE$2:$NE$60=E$3)*(GMW!$ND$2:$ND$60=E$4),0),$B293-1966)</f>
        <v>2.5</v>
      </c>
      <c r="F293" s="4" cm="1">
        <f t="array" ref="F293">INDEX(GMW!$A$2:$NF$60,MATCH(1,(GMW!$NE$2:$NE$60=F$3)*(GMW!$ND$2:$ND$60=F$4),0),$B293-1966)</f>
        <v>3.35</v>
      </c>
      <c r="G293" s="4" cm="1">
        <f t="array" ref="G293">INDEX(GMW!$A$2:$NF$60,MATCH(1,(GMW!$NE$2:$NE$60=G$3)*(GMW!$ND$2:$ND$60=G$4),0),$B293-1966)</f>
        <v>3.5</v>
      </c>
      <c r="H293" s="4" cm="1">
        <f t="array" ref="H293">INDEX(GMW!$A$2:$NF$60,MATCH(1,(GMW!$NE$2:$NE$60=H$3)*(GMW!$ND$2:$ND$60=H$4),0),$B293-1966)</f>
        <v>4.3</v>
      </c>
    </row>
    <row r="294" spans="1:8" x14ac:dyDescent="0.35">
      <c r="B294" s="4">
        <f t="shared" si="5"/>
        <v>2260</v>
      </c>
      <c r="C294" s="4" cm="1">
        <f t="array" ref="C294">INDEX(GMW!$A$2:$NF$60,MATCH(1,(GMW!$NE$2:$NE$60=C$3)*(GMW!$ND$2:$ND$60=C$4),0),$B294-1966)</f>
        <v>26828.84</v>
      </c>
      <c r="D294" s="4" cm="1">
        <f t="array" ref="D294">INDEX(GMW!$A$2:$NF$60,MATCH(1,(GMW!$NE$2:$NE$60=D$3)*(GMW!$ND$2:$ND$60=D$4),0),$B294-1966)</f>
        <v>44761.29</v>
      </c>
      <c r="E294" s="4" cm="1">
        <f t="array" ref="E294">INDEX(GMW!$A$2:$NF$60,MATCH(1,(GMW!$NE$2:$NE$60=E$3)*(GMW!$ND$2:$ND$60=E$4),0),$B294-1966)</f>
        <v>2.5</v>
      </c>
      <c r="F294" s="4" cm="1">
        <f t="array" ref="F294">INDEX(GMW!$A$2:$NF$60,MATCH(1,(GMW!$NE$2:$NE$60=F$3)*(GMW!$ND$2:$ND$60=F$4),0),$B294-1966)</f>
        <v>3.35</v>
      </c>
      <c r="G294" s="4" cm="1">
        <f t="array" ref="G294">INDEX(GMW!$A$2:$NF$60,MATCH(1,(GMW!$NE$2:$NE$60=G$3)*(GMW!$ND$2:$ND$60=G$4),0),$B294-1966)</f>
        <v>3.5</v>
      </c>
      <c r="H294" s="4" cm="1">
        <f t="array" ref="H294">INDEX(GMW!$A$2:$NF$60,MATCH(1,(GMW!$NE$2:$NE$60=H$3)*(GMW!$ND$2:$ND$60=H$4),0),$B294-1966)</f>
        <v>4.3</v>
      </c>
    </row>
    <row r="295" spans="1:8" x14ac:dyDescent="0.35">
      <c r="A295" s="4">
        <v>2045</v>
      </c>
      <c r="B295" s="4">
        <f t="shared" si="5"/>
        <v>2261</v>
      </c>
      <c r="C295" s="4" cm="1">
        <f t="array" ref="C295">INDEX(GMW!$A$2:$NF$60,MATCH(1,(GMW!$NE$2:$NE$60=C$3)*(GMW!$ND$2:$ND$60=C$4),0),$B295-1966)</f>
        <v>26992.560000000001</v>
      </c>
      <c r="D295" s="4" cm="1">
        <f t="array" ref="D295">INDEX(GMW!$A$2:$NF$60,MATCH(1,(GMW!$NE$2:$NE$60=D$3)*(GMW!$ND$2:$ND$60=D$4),0),$B295-1966)</f>
        <v>45065.78</v>
      </c>
      <c r="E295" s="4" cm="1">
        <f t="array" ref="E295">INDEX(GMW!$A$2:$NF$60,MATCH(1,(GMW!$NE$2:$NE$60=E$3)*(GMW!$ND$2:$ND$60=E$4),0),$B295-1966)</f>
        <v>2.5</v>
      </c>
      <c r="F295" s="4" cm="1">
        <f t="array" ref="F295">INDEX(GMW!$A$2:$NF$60,MATCH(1,(GMW!$NE$2:$NE$60=F$3)*(GMW!$ND$2:$ND$60=F$4),0),$B295-1966)</f>
        <v>3.35</v>
      </c>
      <c r="G295" s="4" cm="1">
        <f t="array" ref="G295">INDEX(GMW!$A$2:$NF$60,MATCH(1,(GMW!$NE$2:$NE$60=G$3)*(GMW!$ND$2:$ND$60=G$4),0),$B295-1966)</f>
        <v>3.5</v>
      </c>
      <c r="H295" s="4" cm="1">
        <f t="array" ref="H295">INDEX(GMW!$A$2:$NF$60,MATCH(1,(GMW!$NE$2:$NE$60=H$3)*(GMW!$ND$2:$ND$60=H$4),0),$B295-1966)</f>
        <v>4.3</v>
      </c>
    </row>
    <row r="296" spans="1:8" x14ac:dyDescent="0.35">
      <c r="B296" s="4">
        <f t="shared" si="5"/>
        <v>2262</v>
      </c>
      <c r="C296" s="4" cm="1">
        <f t="array" ref="C296">INDEX(GMW!$A$2:$NF$60,MATCH(1,(GMW!$NE$2:$NE$60=C$3)*(GMW!$ND$2:$ND$60=C$4),0),$B296-1966)</f>
        <v>27160.240000000002</v>
      </c>
      <c r="D296" s="4" cm="1">
        <f t="array" ref="D296">INDEX(GMW!$A$2:$NF$60,MATCH(1,(GMW!$NE$2:$NE$60=D$3)*(GMW!$ND$2:$ND$60=D$4),0),$B296-1966)</f>
        <v>45370.49</v>
      </c>
      <c r="E296" s="4" cm="1">
        <f t="array" ref="E296">INDEX(GMW!$A$2:$NF$60,MATCH(1,(GMW!$NE$2:$NE$60=E$3)*(GMW!$ND$2:$ND$60=E$4),0),$B296-1966)</f>
        <v>2.5</v>
      </c>
      <c r="F296" s="4" cm="1">
        <f t="array" ref="F296">INDEX(GMW!$A$2:$NF$60,MATCH(1,(GMW!$NE$2:$NE$60=F$3)*(GMW!$ND$2:$ND$60=F$4),0),$B296-1966)</f>
        <v>3.35</v>
      </c>
      <c r="G296" s="4" cm="1">
        <f t="array" ref="G296">INDEX(GMW!$A$2:$NF$60,MATCH(1,(GMW!$NE$2:$NE$60=G$3)*(GMW!$ND$2:$ND$60=G$4),0),$B296-1966)</f>
        <v>3.5</v>
      </c>
      <c r="H296" s="4" cm="1">
        <f t="array" ref="H296">INDEX(GMW!$A$2:$NF$60,MATCH(1,(GMW!$NE$2:$NE$60=H$3)*(GMW!$ND$2:$ND$60=H$4),0),$B296-1966)</f>
        <v>4.3</v>
      </c>
    </row>
    <row r="297" spans="1:8" x14ac:dyDescent="0.35">
      <c r="B297" s="4">
        <f t="shared" si="5"/>
        <v>2263</v>
      </c>
      <c r="C297" s="4" cm="1">
        <f t="array" ref="C297">INDEX(GMW!$A$2:$NF$60,MATCH(1,(GMW!$NE$2:$NE$60=C$3)*(GMW!$ND$2:$ND$60=C$4),0),$B297-1966)</f>
        <v>27332.35</v>
      </c>
      <c r="D297" s="4" cm="1">
        <f t="array" ref="D297">INDEX(GMW!$A$2:$NF$60,MATCH(1,(GMW!$NE$2:$NE$60=D$3)*(GMW!$ND$2:$ND$60=D$4),0),$B297-1966)</f>
        <v>45675.48</v>
      </c>
      <c r="E297" s="4" cm="1">
        <f t="array" ref="E297">INDEX(GMW!$A$2:$NF$60,MATCH(1,(GMW!$NE$2:$NE$60=E$3)*(GMW!$ND$2:$ND$60=E$4),0),$B297-1966)</f>
        <v>2.5</v>
      </c>
      <c r="F297" s="4" cm="1">
        <f t="array" ref="F297">INDEX(GMW!$A$2:$NF$60,MATCH(1,(GMW!$NE$2:$NE$60=F$3)*(GMW!$ND$2:$ND$60=F$4),0),$B297-1966)</f>
        <v>3.35</v>
      </c>
      <c r="G297" s="4" cm="1">
        <f t="array" ref="G297">INDEX(GMW!$A$2:$NF$60,MATCH(1,(GMW!$NE$2:$NE$60=G$3)*(GMW!$ND$2:$ND$60=G$4),0),$B297-1966)</f>
        <v>3.5</v>
      </c>
      <c r="H297" s="4" cm="1">
        <f t="array" ref="H297">INDEX(GMW!$A$2:$NF$60,MATCH(1,(GMW!$NE$2:$NE$60=H$3)*(GMW!$ND$2:$ND$60=H$4),0),$B297-1966)</f>
        <v>4.3</v>
      </c>
    </row>
    <row r="298" spans="1:8" x14ac:dyDescent="0.35">
      <c r="B298" s="4">
        <f t="shared" si="5"/>
        <v>2264</v>
      </c>
      <c r="C298" s="4" cm="1">
        <f t="array" ref="C298">INDEX(GMW!$A$2:$NF$60,MATCH(1,(GMW!$NE$2:$NE$60=C$3)*(GMW!$ND$2:$ND$60=C$4),0),$B298-1966)</f>
        <v>27508.5</v>
      </c>
      <c r="D298" s="4" cm="1">
        <f t="array" ref="D298">INDEX(GMW!$A$2:$NF$60,MATCH(1,(GMW!$NE$2:$NE$60=D$3)*(GMW!$ND$2:$ND$60=D$4),0),$B298-1966)</f>
        <v>45980.83</v>
      </c>
      <c r="E298" s="4" cm="1">
        <f t="array" ref="E298">INDEX(GMW!$A$2:$NF$60,MATCH(1,(GMW!$NE$2:$NE$60=E$3)*(GMW!$ND$2:$ND$60=E$4),0),$B298-1966)</f>
        <v>2.5</v>
      </c>
      <c r="F298" s="4" cm="1">
        <f t="array" ref="F298">INDEX(GMW!$A$2:$NF$60,MATCH(1,(GMW!$NE$2:$NE$60=F$3)*(GMW!$ND$2:$ND$60=F$4),0),$B298-1966)</f>
        <v>3.35</v>
      </c>
      <c r="G298" s="4" cm="1">
        <f t="array" ref="G298">INDEX(GMW!$A$2:$NF$60,MATCH(1,(GMW!$NE$2:$NE$60=G$3)*(GMW!$ND$2:$ND$60=G$4),0),$B298-1966)</f>
        <v>3.5</v>
      </c>
      <c r="H298" s="4" cm="1">
        <f t="array" ref="H298">INDEX(GMW!$A$2:$NF$60,MATCH(1,(GMW!$NE$2:$NE$60=H$3)*(GMW!$ND$2:$ND$60=H$4),0),$B298-1966)</f>
        <v>4.3</v>
      </c>
    </row>
    <row r="299" spans="1:8" x14ac:dyDescent="0.35">
      <c r="A299" s="4">
        <v>2046</v>
      </c>
      <c r="B299" s="4">
        <f t="shared" si="5"/>
        <v>2265</v>
      </c>
      <c r="C299" s="4" cm="1">
        <f t="array" ref="C299">INDEX(GMW!$A$2:$NF$60,MATCH(1,(GMW!$NE$2:$NE$60=C$3)*(GMW!$ND$2:$ND$60=C$4),0),$B299-1966)</f>
        <v>27686.17</v>
      </c>
      <c r="D299" s="4" cm="1">
        <f t="array" ref="D299">INDEX(GMW!$A$2:$NF$60,MATCH(1,(GMW!$NE$2:$NE$60=D$3)*(GMW!$ND$2:$ND$60=D$4),0),$B299-1966)</f>
        <v>46286.49</v>
      </c>
      <c r="E299" s="4" cm="1">
        <f t="array" ref="E299">INDEX(GMW!$A$2:$NF$60,MATCH(1,(GMW!$NE$2:$NE$60=E$3)*(GMW!$ND$2:$ND$60=E$4),0),$B299-1966)</f>
        <v>2.5</v>
      </c>
      <c r="F299" s="4" cm="1">
        <f t="array" ref="F299">INDEX(GMW!$A$2:$NF$60,MATCH(1,(GMW!$NE$2:$NE$60=F$3)*(GMW!$ND$2:$ND$60=F$4),0),$B299-1966)</f>
        <v>3.35</v>
      </c>
      <c r="G299" s="4" cm="1">
        <f t="array" ref="G299">INDEX(GMW!$A$2:$NF$60,MATCH(1,(GMW!$NE$2:$NE$60=G$3)*(GMW!$ND$2:$ND$60=G$4),0),$B299-1966)</f>
        <v>3.5</v>
      </c>
      <c r="H299" s="4" cm="1">
        <f t="array" ref="H299">INDEX(GMW!$A$2:$NF$60,MATCH(1,(GMW!$NE$2:$NE$60=H$3)*(GMW!$ND$2:$ND$60=H$4),0),$B299-1966)</f>
        <v>4.3</v>
      </c>
    </row>
    <row r="300" spans="1:8" x14ac:dyDescent="0.35">
      <c r="B300" s="4">
        <f t="shared" si="5"/>
        <v>2266</v>
      </c>
      <c r="C300" s="4" cm="1">
        <f t="array" ref="C300">INDEX(GMW!$A$2:$NF$60,MATCH(1,(GMW!$NE$2:$NE$60=C$3)*(GMW!$ND$2:$ND$60=C$4),0),$B300-1966)</f>
        <v>27864.31</v>
      </c>
      <c r="D300" s="4" cm="1">
        <f t="array" ref="D300">INDEX(GMW!$A$2:$NF$60,MATCH(1,(GMW!$NE$2:$NE$60=D$3)*(GMW!$ND$2:$ND$60=D$4),0),$B300-1966)</f>
        <v>46592.51</v>
      </c>
      <c r="E300" s="4" cm="1">
        <f t="array" ref="E300">INDEX(GMW!$A$2:$NF$60,MATCH(1,(GMW!$NE$2:$NE$60=E$3)*(GMW!$ND$2:$ND$60=E$4),0),$B300-1966)</f>
        <v>2.5</v>
      </c>
      <c r="F300" s="4" cm="1">
        <f t="array" ref="F300">INDEX(GMW!$A$2:$NF$60,MATCH(1,(GMW!$NE$2:$NE$60=F$3)*(GMW!$ND$2:$ND$60=F$4),0),$B300-1966)</f>
        <v>3.35</v>
      </c>
      <c r="G300" s="4" cm="1">
        <f t="array" ref="G300">INDEX(GMW!$A$2:$NF$60,MATCH(1,(GMW!$NE$2:$NE$60=G$3)*(GMW!$ND$2:$ND$60=G$4),0),$B300-1966)</f>
        <v>3.5</v>
      </c>
      <c r="H300" s="4" cm="1">
        <f t="array" ref="H300">INDEX(GMW!$A$2:$NF$60,MATCH(1,(GMW!$NE$2:$NE$60=H$3)*(GMW!$ND$2:$ND$60=H$4),0),$B300-1966)</f>
        <v>4.3</v>
      </c>
    </row>
    <row r="301" spans="1:8" x14ac:dyDescent="0.35">
      <c r="B301" s="4">
        <f t="shared" si="5"/>
        <v>2267</v>
      </c>
      <c r="C301" s="4" cm="1">
        <f t="array" ref="C301">INDEX(GMW!$A$2:$NF$60,MATCH(1,(GMW!$NE$2:$NE$60=C$3)*(GMW!$ND$2:$ND$60=C$4),0),$B301-1966)</f>
        <v>28042.57</v>
      </c>
      <c r="D301" s="4" cm="1">
        <f t="array" ref="D301">INDEX(GMW!$A$2:$NF$60,MATCH(1,(GMW!$NE$2:$NE$60=D$3)*(GMW!$ND$2:$ND$60=D$4),0),$B301-1966)</f>
        <v>46898.94</v>
      </c>
      <c r="E301" s="4" cm="1">
        <f t="array" ref="E301">INDEX(GMW!$A$2:$NF$60,MATCH(1,(GMW!$NE$2:$NE$60=E$3)*(GMW!$ND$2:$ND$60=E$4),0),$B301-1966)</f>
        <v>2.5</v>
      </c>
      <c r="F301" s="4" cm="1">
        <f t="array" ref="F301">INDEX(GMW!$A$2:$NF$60,MATCH(1,(GMW!$NE$2:$NE$60=F$3)*(GMW!$ND$2:$ND$60=F$4),0),$B301-1966)</f>
        <v>3.35</v>
      </c>
      <c r="G301" s="4" cm="1">
        <f t="array" ref="G301">INDEX(GMW!$A$2:$NF$60,MATCH(1,(GMW!$NE$2:$NE$60=G$3)*(GMW!$ND$2:$ND$60=G$4),0),$B301-1966)</f>
        <v>3.5</v>
      </c>
      <c r="H301" s="4" cm="1">
        <f t="array" ref="H301">INDEX(GMW!$A$2:$NF$60,MATCH(1,(GMW!$NE$2:$NE$60=H$3)*(GMW!$ND$2:$ND$60=H$4),0),$B301-1966)</f>
        <v>4.3</v>
      </c>
    </row>
    <row r="302" spans="1:8" x14ac:dyDescent="0.35">
      <c r="B302" s="4">
        <f t="shared" si="5"/>
        <v>2268</v>
      </c>
      <c r="C302" s="4" cm="1">
        <f t="array" ref="C302">INDEX(GMW!$A$2:$NF$60,MATCH(1,(GMW!$NE$2:$NE$60=C$3)*(GMW!$ND$2:$ND$60=C$4),0),$B302-1966)</f>
        <v>28220.83</v>
      </c>
      <c r="D302" s="4" cm="1">
        <f t="array" ref="D302">INDEX(GMW!$A$2:$NF$60,MATCH(1,(GMW!$NE$2:$NE$60=D$3)*(GMW!$ND$2:$ND$60=D$4),0),$B302-1966)</f>
        <v>47205.84</v>
      </c>
      <c r="E302" s="4" cm="1">
        <f t="array" ref="E302">INDEX(GMW!$A$2:$NF$60,MATCH(1,(GMW!$NE$2:$NE$60=E$3)*(GMW!$ND$2:$ND$60=E$4),0),$B302-1966)</f>
        <v>2.5</v>
      </c>
      <c r="F302" s="4" cm="1">
        <f t="array" ref="F302">INDEX(GMW!$A$2:$NF$60,MATCH(1,(GMW!$NE$2:$NE$60=F$3)*(GMW!$ND$2:$ND$60=F$4),0),$B302-1966)</f>
        <v>3.35</v>
      </c>
      <c r="G302" s="4" cm="1">
        <f t="array" ref="G302">INDEX(GMW!$A$2:$NF$60,MATCH(1,(GMW!$NE$2:$NE$60=G$3)*(GMW!$ND$2:$ND$60=G$4),0),$B302-1966)</f>
        <v>3.5</v>
      </c>
      <c r="H302" s="4" cm="1">
        <f t="array" ref="H302">INDEX(GMW!$A$2:$NF$60,MATCH(1,(GMW!$NE$2:$NE$60=H$3)*(GMW!$ND$2:$ND$60=H$4),0),$B302-1966)</f>
        <v>4.3</v>
      </c>
    </row>
    <row r="303" spans="1:8" x14ac:dyDescent="0.35">
      <c r="A303" s="4">
        <v>2047</v>
      </c>
      <c r="B303" s="4">
        <f t="shared" si="5"/>
        <v>2269</v>
      </c>
      <c r="C303" s="4" cm="1">
        <f t="array" ref="C303">INDEX(GMW!$A$2:$NF$60,MATCH(1,(GMW!$NE$2:$NE$60=C$3)*(GMW!$ND$2:$ND$60=C$4),0),$B303-1966)</f>
        <v>28399.83</v>
      </c>
      <c r="D303" s="4" cm="1">
        <f t="array" ref="D303">INDEX(GMW!$A$2:$NF$60,MATCH(1,(GMW!$NE$2:$NE$60=D$3)*(GMW!$ND$2:$ND$60=D$4),0),$B303-1966)</f>
        <v>47513.27</v>
      </c>
      <c r="E303" s="4" cm="1">
        <f t="array" ref="E303">INDEX(GMW!$A$2:$NF$60,MATCH(1,(GMW!$NE$2:$NE$60=E$3)*(GMW!$ND$2:$ND$60=E$4),0),$B303-1966)</f>
        <v>2.5</v>
      </c>
      <c r="F303" s="4" cm="1">
        <f t="array" ref="F303">INDEX(GMW!$A$2:$NF$60,MATCH(1,(GMW!$NE$2:$NE$60=F$3)*(GMW!$ND$2:$ND$60=F$4),0),$B303-1966)</f>
        <v>3.35</v>
      </c>
      <c r="G303" s="4" cm="1">
        <f t="array" ref="G303">INDEX(GMW!$A$2:$NF$60,MATCH(1,(GMW!$NE$2:$NE$60=G$3)*(GMW!$ND$2:$ND$60=G$4),0),$B303-1966)</f>
        <v>3.5</v>
      </c>
      <c r="H303" s="4" cm="1">
        <f t="array" ref="H303">INDEX(GMW!$A$2:$NF$60,MATCH(1,(GMW!$NE$2:$NE$60=H$3)*(GMW!$ND$2:$ND$60=H$4),0),$B303-1966)</f>
        <v>4.3</v>
      </c>
    </row>
    <row r="304" spans="1:8" x14ac:dyDescent="0.35">
      <c r="B304" s="4">
        <f t="shared" si="5"/>
        <v>2270</v>
      </c>
      <c r="C304" s="4" cm="1">
        <f t="array" ref="C304">INDEX(GMW!$A$2:$NF$60,MATCH(1,(GMW!$NE$2:$NE$60=C$3)*(GMW!$ND$2:$ND$60=C$4),0),$B304-1966)</f>
        <v>28579.64</v>
      </c>
      <c r="D304" s="4" cm="1">
        <f t="array" ref="D304">INDEX(GMW!$A$2:$NF$60,MATCH(1,(GMW!$NE$2:$NE$60=D$3)*(GMW!$ND$2:$ND$60=D$4),0),$B304-1966)</f>
        <v>47821.279999999999</v>
      </c>
      <c r="E304" s="4" cm="1">
        <f t="array" ref="E304">INDEX(GMW!$A$2:$NF$60,MATCH(1,(GMW!$NE$2:$NE$60=E$3)*(GMW!$ND$2:$ND$60=E$4),0),$B304-1966)</f>
        <v>2.5</v>
      </c>
      <c r="F304" s="4" cm="1">
        <f t="array" ref="F304">INDEX(GMW!$A$2:$NF$60,MATCH(1,(GMW!$NE$2:$NE$60=F$3)*(GMW!$ND$2:$ND$60=F$4),0),$B304-1966)</f>
        <v>3.35</v>
      </c>
      <c r="G304" s="4" cm="1">
        <f t="array" ref="G304">INDEX(GMW!$A$2:$NF$60,MATCH(1,(GMW!$NE$2:$NE$60=G$3)*(GMW!$ND$2:$ND$60=G$4),0),$B304-1966)</f>
        <v>3.5</v>
      </c>
      <c r="H304" s="4" cm="1">
        <f t="array" ref="H304">INDEX(GMW!$A$2:$NF$60,MATCH(1,(GMW!$NE$2:$NE$60=H$3)*(GMW!$ND$2:$ND$60=H$4),0),$B304-1966)</f>
        <v>4.3</v>
      </c>
    </row>
    <row r="305" spans="1:8" x14ac:dyDescent="0.35">
      <c r="B305" s="4">
        <f t="shared" ref="B305:B358" si="6">+B304+1</f>
        <v>2271</v>
      </c>
      <c r="C305" s="4" cm="1">
        <f t="array" ref="C305">INDEX(GMW!$A$2:$NF$60,MATCH(1,(GMW!$NE$2:$NE$60=C$3)*(GMW!$ND$2:$ND$60=C$4),0),$B305-1966)</f>
        <v>28760.33</v>
      </c>
      <c r="D305" s="4" cm="1">
        <f t="array" ref="D305">INDEX(GMW!$A$2:$NF$60,MATCH(1,(GMW!$NE$2:$NE$60=D$3)*(GMW!$ND$2:$ND$60=D$4),0),$B305-1966)</f>
        <v>48129.93</v>
      </c>
      <c r="E305" s="4" cm="1">
        <f t="array" ref="E305">INDEX(GMW!$A$2:$NF$60,MATCH(1,(GMW!$NE$2:$NE$60=E$3)*(GMW!$ND$2:$ND$60=E$4),0),$B305-1966)</f>
        <v>2.5</v>
      </c>
      <c r="F305" s="4" cm="1">
        <f t="array" ref="F305">INDEX(GMW!$A$2:$NF$60,MATCH(1,(GMW!$NE$2:$NE$60=F$3)*(GMW!$ND$2:$ND$60=F$4),0),$B305-1966)</f>
        <v>3.35</v>
      </c>
      <c r="G305" s="4" cm="1">
        <f t="array" ref="G305">INDEX(GMW!$A$2:$NF$60,MATCH(1,(GMW!$NE$2:$NE$60=G$3)*(GMW!$ND$2:$ND$60=G$4),0),$B305-1966)</f>
        <v>3.5</v>
      </c>
      <c r="H305" s="4" cm="1">
        <f t="array" ref="H305">INDEX(GMW!$A$2:$NF$60,MATCH(1,(GMW!$NE$2:$NE$60=H$3)*(GMW!$ND$2:$ND$60=H$4),0),$B305-1966)</f>
        <v>4.3</v>
      </c>
    </row>
    <row r="306" spans="1:8" x14ac:dyDescent="0.35">
      <c r="B306" s="4">
        <f t="shared" si="6"/>
        <v>2272</v>
      </c>
      <c r="C306" s="4" cm="1">
        <f t="array" ref="C306">INDEX(GMW!$A$2:$NF$60,MATCH(1,(GMW!$NE$2:$NE$60=C$3)*(GMW!$ND$2:$ND$60=C$4),0),$B306-1966)</f>
        <v>28941.55</v>
      </c>
      <c r="D306" s="4" cm="1">
        <f t="array" ref="D306">INDEX(GMW!$A$2:$NF$60,MATCH(1,(GMW!$NE$2:$NE$60=D$3)*(GMW!$ND$2:$ND$60=D$4),0),$B306-1966)</f>
        <v>48439.29</v>
      </c>
      <c r="E306" s="4" cm="1">
        <f t="array" ref="E306">INDEX(GMW!$A$2:$NF$60,MATCH(1,(GMW!$NE$2:$NE$60=E$3)*(GMW!$ND$2:$ND$60=E$4),0),$B306-1966)</f>
        <v>2.5</v>
      </c>
      <c r="F306" s="4" cm="1">
        <f t="array" ref="F306">INDEX(GMW!$A$2:$NF$60,MATCH(1,(GMW!$NE$2:$NE$60=F$3)*(GMW!$ND$2:$ND$60=F$4),0),$B306-1966)</f>
        <v>3.35</v>
      </c>
      <c r="G306" s="4" cm="1">
        <f t="array" ref="G306">INDEX(GMW!$A$2:$NF$60,MATCH(1,(GMW!$NE$2:$NE$60=G$3)*(GMW!$ND$2:$ND$60=G$4),0),$B306-1966)</f>
        <v>3.4999989999999999</v>
      </c>
      <c r="H306" s="4" cm="1">
        <f t="array" ref="H306">INDEX(GMW!$A$2:$NF$60,MATCH(1,(GMW!$NE$2:$NE$60=H$3)*(GMW!$ND$2:$ND$60=H$4),0),$B306-1966)</f>
        <v>4.3</v>
      </c>
    </row>
    <row r="307" spans="1:8" x14ac:dyDescent="0.35">
      <c r="A307" s="4">
        <v>2048</v>
      </c>
      <c r="B307" s="4">
        <f t="shared" si="6"/>
        <v>2273</v>
      </c>
      <c r="C307" s="4" cm="1">
        <f t="array" ref="C307">INDEX(GMW!$A$2:$NF$60,MATCH(1,(GMW!$NE$2:$NE$60=C$3)*(GMW!$ND$2:$ND$60=C$4),0),$B307-1966)</f>
        <v>29123.98</v>
      </c>
      <c r="D307" s="4" cm="1">
        <f t="array" ref="D307">INDEX(GMW!$A$2:$NF$60,MATCH(1,(GMW!$NE$2:$NE$60=D$3)*(GMW!$ND$2:$ND$60=D$4),0),$B307-1966)</f>
        <v>48749.32</v>
      </c>
      <c r="E307" s="4" cm="1">
        <f t="array" ref="E307">INDEX(GMW!$A$2:$NF$60,MATCH(1,(GMW!$NE$2:$NE$60=E$3)*(GMW!$ND$2:$ND$60=E$4),0),$B307-1966)</f>
        <v>2.5</v>
      </c>
      <c r="F307" s="4" cm="1">
        <f t="array" ref="F307">INDEX(GMW!$A$2:$NF$60,MATCH(1,(GMW!$NE$2:$NE$60=F$3)*(GMW!$ND$2:$ND$60=F$4),0),$B307-1966)</f>
        <v>3.35</v>
      </c>
      <c r="G307" s="4" cm="1">
        <f t="array" ref="G307">INDEX(GMW!$A$2:$NF$60,MATCH(1,(GMW!$NE$2:$NE$60=G$3)*(GMW!$ND$2:$ND$60=G$4),0),$B307-1966)</f>
        <v>3.4999989999999999</v>
      </c>
      <c r="H307" s="4" cm="1">
        <f t="array" ref="H307">INDEX(GMW!$A$2:$NF$60,MATCH(1,(GMW!$NE$2:$NE$60=H$3)*(GMW!$ND$2:$ND$60=H$4),0),$B307-1966)</f>
        <v>4.3</v>
      </c>
    </row>
    <row r="308" spans="1:8" x14ac:dyDescent="0.35">
      <c r="B308" s="4">
        <f t="shared" si="6"/>
        <v>2274</v>
      </c>
      <c r="C308" s="4" cm="1">
        <f t="array" ref="C308">INDEX(GMW!$A$2:$NF$60,MATCH(1,(GMW!$NE$2:$NE$60=C$3)*(GMW!$ND$2:$ND$60=C$4),0),$B308-1966)</f>
        <v>29307.66</v>
      </c>
      <c r="D308" s="4" cm="1">
        <f t="array" ref="D308">INDEX(GMW!$A$2:$NF$60,MATCH(1,(GMW!$NE$2:$NE$60=D$3)*(GMW!$ND$2:$ND$60=D$4),0),$B308-1966)</f>
        <v>49060.08</v>
      </c>
      <c r="E308" s="4" cm="1">
        <f t="array" ref="E308">INDEX(GMW!$A$2:$NF$60,MATCH(1,(GMW!$NE$2:$NE$60=E$3)*(GMW!$ND$2:$ND$60=E$4),0),$B308-1966)</f>
        <v>2.5</v>
      </c>
      <c r="F308" s="4" cm="1">
        <f t="array" ref="F308">INDEX(GMW!$A$2:$NF$60,MATCH(1,(GMW!$NE$2:$NE$60=F$3)*(GMW!$ND$2:$ND$60=F$4),0),$B308-1966)</f>
        <v>3.35</v>
      </c>
      <c r="G308" s="4" cm="1">
        <f t="array" ref="G308">INDEX(GMW!$A$2:$NF$60,MATCH(1,(GMW!$NE$2:$NE$60=G$3)*(GMW!$ND$2:$ND$60=G$4),0),$B308-1966)</f>
        <v>3.4999989999999999</v>
      </c>
      <c r="H308" s="4" cm="1">
        <f t="array" ref="H308">INDEX(GMW!$A$2:$NF$60,MATCH(1,(GMW!$NE$2:$NE$60=H$3)*(GMW!$ND$2:$ND$60=H$4),0),$B308-1966)</f>
        <v>4.3</v>
      </c>
    </row>
    <row r="309" spans="1:8" x14ac:dyDescent="0.35">
      <c r="B309" s="4">
        <f t="shared" si="6"/>
        <v>2275</v>
      </c>
      <c r="C309" s="4" cm="1">
        <f t="array" ref="C309">INDEX(GMW!$A$2:$NF$60,MATCH(1,(GMW!$NE$2:$NE$60=C$3)*(GMW!$ND$2:$ND$60=C$4),0),$B309-1966)</f>
        <v>29492.58</v>
      </c>
      <c r="D309" s="4" cm="1">
        <f t="array" ref="D309">INDEX(GMW!$A$2:$NF$60,MATCH(1,(GMW!$NE$2:$NE$60=D$3)*(GMW!$ND$2:$ND$60=D$4),0),$B309-1966)</f>
        <v>49371.61</v>
      </c>
      <c r="E309" s="4" cm="1">
        <f t="array" ref="E309">INDEX(GMW!$A$2:$NF$60,MATCH(1,(GMW!$NE$2:$NE$60=E$3)*(GMW!$ND$2:$ND$60=E$4),0),$B309-1966)</f>
        <v>2.5</v>
      </c>
      <c r="F309" s="4" cm="1">
        <f t="array" ref="F309">INDEX(GMW!$A$2:$NF$60,MATCH(1,(GMW!$NE$2:$NE$60=F$3)*(GMW!$ND$2:$ND$60=F$4),0),$B309-1966)</f>
        <v>3.35</v>
      </c>
      <c r="G309" s="4" cm="1">
        <f t="array" ref="G309">INDEX(GMW!$A$2:$NF$60,MATCH(1,(GMW!$NE$2:$NE$60=G$3)*(GMW!$ND$2:$ND$60=G$4),0),$B309-1966)</f>
        <v>3.4999989999999999</v>
      </c>
      <c r="H309" s="4" cm="1">
        <f t="array" ref="H309">INDEX(GMW!$A$2:$NF$60,MATCH(1,(GMW!$NE$2:$NE$60=H$3)*(GMW!$ND$2:$ND$60=H$4),0),$B309-1966)</f>
        <v>4.3</v>
      </c>
    </row>
    <row r="310" spans="1:8" x14ac:dyDescent="0.35">
      <c r="B310" s="4">
        <f t="shared" si="6"/>
        <v>2276</v>
      </c>
      <c r="C310" s="4" cm="1">
        <f t="array" ref="C310">INDEX(GMW!$A$2:$NF$60,MATCH(1,(GMW!$NE$2:$NE$60=C$3)*(GMW!$ND$2:$ND$60=C$4),0),$B310-1966)</f>
        <v>29678.54</v>
      </c>
      <c r="D310" s="4" cm="1">
        <f t="array" ref="D310">INDEX(GMW!$A$2:$NF$60,MATCH(1,(GMW!$NE$2:$NE$60=D$3)*(GMW!$ND$2:$ND$60=D$4),0),$B310-1966)</f>
        <v>49683.98</v>
      </c>
      <c r="E310" s="4" cm="1">
        <f t="array" ref="E310">INDEX(GMW!$A$2:$NF$60,MATCH(1,(GMW!$NE$2:$NE$60=E$3)*(GMW!$ND$2:$ND$60=E$4),0),$B310-1966)</f>
        <v>2.5</v>
      </c>
      <c r="F310" s="4" cm="1">
        <f t="array" ref="F310">INDEX(GMW!$A$2:$NF$60,MATCH(1,(GMW!$NE$2:$NE$60=F$3)*(GMW!$ND$2:$ND$60=F$4),0),$B310-1966)</f>
        <v>3.35</v>
      </c>
      <c r="G310" s="4" cm="1">
        <f t="array" ref="G310">INDEX(GMW!$A$2:$NF$60,MATCH(1,(GMW!$NE$2:$NE$60=G$3)*(GMW!$ND$2:$ND$60=G$4),0),$B310-1966)</f>
        <v>3.5</v>
      </c>
      <c r="H310" s="4" cm="1">
        <f t="array" ref="H310">INDEX(GMW!$A$2:$NF$60,MATCH(1,(GMW!$NE$2:$NE$60=H$3)*(GMW!$ND$2:$ND$60=H$4),0),$B310-1966)</f>
        <v>4.3</v>
      </c>
    </row>
    <row r="311" spans="1:8" x14ac:dyDescent="0.35">
      <c r="A311" s="4">
        <v>2049</v>
      </c>
      <c r="B311" s="4">
        <f t="shared" si="6"/>
        <v>2277</v>
      </c>
      <c r="C311" s="4" cm="1">
        <f t="array" ref="C311">INDEX(GMW!$A$2:$NF$60,MATCH(1,(GMW!$NE$2:$NE$60=C$3)*(GMW!$ND$2:$ND$60=C$4),0),$B311-1966)</f>
        <v>29865.65</v>
      </c>
      <c r="D311" s="4" cm="1">
        <f t="array" ref="D311">INDEX(GMW!$A$2:$NF$60,MATCH(1,(GMW!$NE$2:$NE$60=D$3)*(GMW!$ND$2:$ND$60=D$4),0),$B311-1966)</f>
        <v>49997.17</v>
      </c>
      <c r="E311" s="4" cm="1">
        <f t="array" ref="E311">INDEX(GMW!$A$2:$NF$60,MATCH(1,(GMW!$NE$2:$NE$60=E$3)*(GMW!$ND$2:$ND$60=E$4),0),$B311-1966)</f>
        <v>2.5</v>
      </c>
      <c r="F311" s="4" cm="1">
        <f t="array" ref="F311">INDEX(GMW!$A$2:$NF$60,MATCH(1,(GMW!$NE$2:$NE$60=F$3)*(GMW!$ND$2:$ND$60=F$4),0),$B311-1966)</f>
        <v>3.35</v>
      </c>
      <c r="G311" s="4" cm="1">
        <f t="array" ref="G311">INDEX(GMW!$A$2:$NF$60,MATCH(1,(GMW!$NE$2:$NE$60=G$3)*(GMW!$ND$2:$ND$60=G$4),0),$B311-1966)</f>
        <v>3.5</v>
      </c>
      <c r="H311" s="4" cm="1">
        <f t="array" ref="H311">INDEX(GMW!$A$2:$NF$60,MATCH(1,(GMW!$NE$2:$NE$60=H$3)*(GMW!$ND$2:$ND$60=H$4),0),$B311-1966)</f>
        <v>4.3</v>
      </c>
    </row>
    <row r="312" spans="1:8" x14ac:dyDescent="0.35">
      <c r="B312" s="4">
        <f t="shared" si="6"/>
        <v>2278</v>
      </c>
      <c r="C312" s="4" cm="1">
        <f t="array" ref="C312">INDEX(GMW!$A$2:$NF$60,MATCH(1,(GMW!$NE$2:$NE$60=C$3)*(GMW!$ND$2:$ND$60=C$4),0),$B312-1966)</f>
        <v>30053.919999999998</v>
      </c>
      <c r="D312" s="4" cm="1">
        <f t="array" ref="D312">INDEX(GMW!$A$2:$NF$60,MATCH(1,(GMW!$NE$2:$NE$60=D$3)*(GMW!$ND$2:$ND$60=D$4),0),$B312-1966)</f>
        <v>50311.27</v>
      </c>
      <c r="E312" s="4" cm="1">
        <f t="array" ref="E312">INDEX(GMW!$A$2:$NF$60,MATCH(1,(GMW!$NE$2:$NE$60=E$3)*(GMW!$ND$2:$ND$60=E$4),0),$B312-1966)</f>
        <v>2.5</v>
      </c>
      <c r="F312" s="4" cm="1">
        <f t="array" ref="F312">INDEX(GMW!$A$2:$NF$60,MATCH(1,(GMW!$NE$2:$NE$60=F$3)*(GMW!$ND$2:$ND$60=F$4),0),$B312-1966)</f>
        <v>3.35</v>
      </c>
      <c r="G312" s="4" cm="1">
        <f t="array" ref="G312">INDEX(GMW!$A$2:$NF$60,MATCH(1,(GMW!$NE$2:$NE$60=G$3)*(GMW!$ND$2:$ND$60=G$4),0),$B312-1966)</f>
        <v>3.5</v>
      </c>
      <c r="H312" s="4" cm="1">
        <f t="array" ref="H312">INDEX(GMW!$A$2:$NF$60,MATCH(1,(GMW!$NE$2:$NE$60=H$3)*(GMW!$ND$2:$ND$60=H$4),0),$B312-1966)</f>
        <v>4.3</v>
      </c>
    </row>
    <row r="313" spans="1:8" x14ac:dyDescent="0.35">
      <c r="B313" s="4">
        <f t="shared" si="6"/>
        <v>2279</v>
      </c>
      <c r="C313" s="4" cm="1">
        <f t="array" ref="C313">INDEX(GMW!$A$2:$NF$60,MATCH(1,(GMW!$NE$2:$NE$60=C$3)*(GMW!$ND$2:$ND$60=C$4),0),$B313-1966)</f>
        <v>30243.31</v>
      </c>
      <c r="D313" s="4" cm="1">
        <f t="array" ref="D313">INDEX(GMW!$A$2:$NF$60,MATCH(1,(GMW!$NE$2:$NE$60=D$3)*(GMW!$ND$2:$ND$60=D$4),0),$B313-1966)</f>
        <v>50626.28</v>
      </c>
      <c r="E313" s="4" cm="1">
        <f t="array" ref="E313">INDEX(GMW!$A$2:$NF$60,MATCH(1,(GMW!$NE$2:$NE$60=E$3)*(GMW!$ND$2:$ND$60=E$4),0),$B313-1966)</f>
        <v>2.5</v>
      </c>
      <c r="F313" s="4" cm="1">
        <f t="array" ref="F313">INDEX(GMW!$A$2:$NF$60,MATCH(1,(GMW!$NE$2:$NE$60=F$3)*(GMW!$ND$2:$ND$60=F$4),0),$B313-1966)</f>
        <v>3.35</v>
      </c>
      <c r="G313" s="4" cm="1">
        <f t="array" ref="G313">INDEX(GMW!$A$2:$NF$60,MATCH(1,(GMW!$NE$2:$NE$60=G$3)*(GMW!$ND$2:$ND$60=G$4),0),$B313-1966)</f>
        <v>3.5</v>
      </c>
      <c r="H313" s="4" cm="1">
        <f t="array" ref="H313">INDEX(GMW!$A$2:$NF$60,MATCH(1,(GMW!$NE$2:$NE$60=H$3)*(GMW!$ND$2:$ND$60=H$4),0),$B313-1966)</f>
        <v>4.3</v>
      </c>
    </row>
    <row r="314" spans="1:8" x14ac:dyDescent="0.35">
      <c r="B314" s="4">
        <f t="shared" si="6"/>
        <v>2280</v>
      </c>
      <c r="C314" s="4" cm="1">
        <f t="array" ref="C314">INDEX(GMW!$A$2:$NF$60,MATCH(1,(GMW!$NE$2:$NE$60=C$3)*(GMW!$ND$2:$ND$60=C$4),0),$B314-1966)</f>
        <v>30433.27</v>
      </c>
      <c r="D314" s="4" cm="1">
        <f t="array" ref="D314">INDEX(GMW!$A$2:$NF$60,MATCH(1,(GMW!$NE$2:$NE$60=D$3)*(GMW!$ND$2:$ND$60=D$4),0),$B314-1966)</f>
        <v>50942.26</v>
      </c>
      <c r="E314" s="4" cm="1">
        <f t="array" ref="E314">INDEX(GMW!$A$2:$NF$60,MATCH(1,(GMW!$NE$2:$NE$60=E$3)*(GMW!$ND$2:$ND$60=E$4),0),$B314-1966)</f>
        <v>2.5</v>
      </c>
      <c r="F314" s="4" cm="1">
        <f t="array" ref="F314">INDEX(GMW!$A$2:$NF$60,MATCH(1,(GMW!$NE$2:$NE$60=F$3)*(GMW!$ND$2:$ND$60=F$4),0),$B314-1966)</f>
        <v>3.35</v>
      </c>
      <c r="G314" s="4" cm="1">
        <f t="array" ref="G314">INDEX(GMW!$A$2:$NF$60,MATCH(1,(GMW!$NE$2:$NE$60=G$3)*(GMW!$ND$2:$ND$60=G$4),0),$B314-1966)</f>
        <v>3.5</v>
      </c>
      <c r="H314" s="4" cm="1">
        <f t="array" ref="H314">INDEX(GMW!$A$2:$NF$60,MATCH(1,(GMW!$NE$2:$NE$60=H$3)*(GMW!$ND$2:$ND$60=H$4),0),$B314-1966)</f>
        <v>4.3</v>
      </c>
    </row>
    <row r="315" spans="1:8" x14ac:dyDescent="0.35">
      <c r="A315" s="4">
        <v>2050</v>
      </c>
      <c r="B315" s="4">
        <f t="shared" si="6"/>
        <v>2281</v>
      </c>
      <c r="C315" s="4" cm="1">
        <f t="array" ref="C315">INDEX(GMW!$A$2:$NF$60,MATCH(1,(GMW!$NE$2:$NE$60=C$3)*(GMW!$ND$2:$ND$60=C$4),0),$B315-1966)</f>
        <v>30624.31</v>
      </c>
      <c r="D315" s="4" cm="1">
        <f t="array" ref="D315">INDEX(GMW!$A$2:$NF$60,MATCH(1,(GMW!$NE$2:$NE$60=D$3)*(GMW!$ND$2:$ND$60=D$4),0),$B315-1966)</f>
        <v>51259.17</v>
      </c>
      <c r="E315" s="4" cm="1">
        <f t="array" ref="E315">INDEX(GMW!$A$2:$NF$60,MATCH(1,(GMW!$NE$2:$NE$60=E$3)*(GMW!$ND$2:$ND$60=E$4),0),$B315-1966)</f>
        <v>2.5</v>
      </c>
      <c r="F315" s="4" cm="1">
        <f t="array" ref="F315">INDEX(GMW!$A$2:$NF$60,MATCH(1,(GMW!$NE$2:$NE$60=F$3)*(GMW!$ND$2:$ND$60=F$4),0),$B315-1966)</f>
        <v>3.35</v>
      </c>
      <c r="G315" s="4" cm="1">
        <f t="array" ref="G315">INDEX(GMW!$A$2:$NF$60,MATCH(1,(GMW!$NE$2:$NE$60=G$3)*(GMW!$ND$2:$ND$60=G$4),0),$B315-1966)</f>
        <v>3.5</v>
      </c>
      <c r="H315" s="4" cm="1">
        <f t="array" ref="H315">INDEX(GMW!$A$2:$NF$60,MATCH(1,(GMW!$NE$2:$NE$60=H$3)*(GMW!$ND$2:$ND$60=H$4),0),$B315-1966)</f>
        <v>4.3</v>
      </c>
    </row>
    <row r="316" spans="1:8" x14ac:dyDescent="0.35">
      <c r="B316" s="4">
        <f t="shared" si="6"/>
        <v>2282</v>
      </c>
      <c r="C316" s="4" cm="1">
        <f t="array" ref="C316">INDEX(GMW!$A$2:$NF$60,MATCH(1,(GMW!$NE$2:$NE$60=C$3)*(GMW!$ND$2:$ND$60=C$4),0),$B316-1966)</f>
        <v>30816.76</v>
      </c>
      <c r="D316" s="4" cm="1">
        <f t="array" ref="D316">INDEX(GMW!$A$2:$NF$60,MATCH(1,(GMW!$NE$2:$NE$60=D$3)*(GMW!$ND$2:$ND$60=D$4),0),$B316-1966)</f>
        <v>51577.03</v>
      </c>
      <c r="E316" s="4" cm="1">
        <f t="array" ref="E316">INDEX(GMW!$A$2:$NF$60,MATCH(1,(GMW!$NE$2:$NE$60=E$3)*(GMW!$ND$2:$ND$60=E$4),0),$B316-1966)</f>
        <v>2.5</v>
      </c>
      <c r="F316" s="4" cm="1">
        <f t="array" ref="F316">INDEX(GMW!$A$2:$NF$60,MATCH(1,(GMW!$NE$2:$NE$60=F$3)*(GMW!$ND$2:$ND$60=F$4),0),$B316-1966)</f>
        <v>3.35</v>
      </c>
      <c r="G316" s="4" cm="1">
        <f t="array" ref="G316">INDEX(GMW!$A$2:$NF$60,MATCH(1,(GMW!$NE$2:$NE$60=G$3)*(GMW!$ND$2:$ND$60=G$4),0),$B316-1966)</f>
        <v>3.5</v>
      </c>
      <c r="H316" s="4" cm="1">
        <f t="array" ref="H316">INDEX(GMW!$A$2:$NF$60,MATCH(1,(GMW!$NE$2:$NE$60=H$3)*(GMW!$ND$2:$ND$60=H$4),0),$B316-1966)</f>
        <v>4.3</v>
      </c>
    </row>
    <row r="317" spans="1:8" x14ac:dyDescent="0.35">
      <c r="B317" s="4">
        <f t="shared" si="6"/>
        <v>2283</v>
      </c>
      <c r="C317" s="4" cm="1">
        <f t="array" ref="C317">INDEX(GMW!$A$2:$NF$60,MATCH(1,(GMW!$NE$2:$NE$60=C$3)*(GMW!$ND$2:$ND$60=C$4),0),$B317-1966)</f>
        <v>31010.48</v>
      </c>
      <c r="D317" s="4" cm="1">
        <f t="array" ref="D317">INDEX(GMW!$A$2:$NF$60,MATCH(1,(GMW!$NE$2:$NE$60=D$3)*(GMW!$ND$2:$ND$60=D$4),0),$B317-1966)</f>
        <v>51895.94</v>
      </c>
      <c r="E317" s="4" cm="1">
        <f t="array" ref="E317">INDEX(GMW!$A$2:$NF$60,MATCH(1,(GMW!$NE$2:$NE$60=E$3)*(GMW!$ND$2:$ND$60=E$4),0),$B317-1966)</f>
        <v>2.5</v>
      </c>
      <c r="F317" s="4" cm="1">
        <f t="array" ref="F317">INDEX(GMW!$A$2:$NF$60,MATCH(1,(GMW!$NE$2:$NE$60=F$3)*(GMW!$ND$2:$ND$60=F$4),0),$B317-1966)</f>
        <v>3.35</v>
      </c>
      <c r="G317" s="4" cm="1">
        <f t="array" ref="G317">INDEX(GMW!$A$2:$NF$60,MATCH(1,(GMW!$NE$2:$NE$60=G$3)*(GMW!$ND$2:$ND$60=G$4),0),$B317-1966)</f>
        <v>3.5</v>
      </c>
      <c r="H317" s="4" cm="1">
        <f t="array" ref="H317">INDEX(GMW!$A$2:$NF$60,MATCH(1,(GMW!$NE$2:$NE$60=H$3)*(GMW!$ND$2:$ND$60=H$4),0),$B317-1966)</f>
        <v>4.3</v>
      </c>
    </row>
    <row r="318" spans="1:8" x14ac:dyDescent="0.35">
      <c r="B318" s="4">
        <f t="shared" si="6"/>
        <v>2284</v>
      </c>
      <c r="C318" s="4" cm="1">
        <f t="array" ref="C318">INDEX(GMW!$A$2:$NF$60,MATCH(1,(GMW!$NE$2:$NE$60=C$3)*(GMW!$ND$2:$ND$60=C$4),0),$B318-1966)</f>
        <v>31205.29</v>
      </c>
      <c r="D318" s="4" cm="1">
        <f t="array" ref="D318">INDEX(GMW!$A$2:$NF$60,MATCH(1,(GMW!$NE$2:$NE$60=D$3)*(GMW!$ND$2:$ND$60=D$4),0),$B318-1966)</f>
        <v>52215.94</v>
      </c>
      <c r="E318" s="4" cm="1">
        <f t="array" ref="E318">INDEX(GMW!$A$2:$NF$60,MATCH(1,(GMW!$NE$2:$NE$60=E$3)*(GMW!$ND$2:$ND$60=E$4),0),$B318-1966)</f>
        <v>2.5</v>
      </c>
      <c r="F318" s="4" cm="1">
        <f t="array" ref="F318">INDEX(GMW!$A$2:$NF$60,MATCH(1,(GMW!$NE$2:$NE$60=F$3)*(GMW!$ND$2:$ND$60=F$4),0),$B318-1966)</f>
        <v>3.35</v>
      </c>
      <c r="G318" s="4" cm="1">
        <f t="array" ref="G318">INDEX(GMW!$A$2:$NF$60,MATCH(1,(GMW!$NE$2:$NE$60=G$3)*(GMW!$ND$2:$ND$60=G$4),0),$B318-1966)</f>
        <v>3.5</v>
      </c>
      <c r="H318" s="4" cm="1">
        <f t="array" ref="H318">INDEX(GMW!$A$2:$NF$60,MATCH(1,(GMW!$NE$2:$NE$60=H$3)*(GMW!$ND$2:$ND$60=H$4),0),$B318-1966)</f>
        <v>4.3</v>
      </c>
    </row>
    <row r="319" spans="1:8" x14ac:dyDescent="0.35">
      <c r="A319" s="4">
        <v>2051</v>
      </c>
      <c r="B319" s="4">
        <f t="shared" si="6"/>
        <v>2285</v>
      </c>
      <c r="C319" s="4" cm="1">
        <f t="array" ref="C319">INDEX(GMW!$A$2:$NF$60,MATCH(1,(GMW!$NE$2:$NE$60=C$3)*(GMW!$ND$2:$ND$60=C$4),0),$B319-1966)</f>
        <v>31401.26</v>
      </c>
      <c r="D319" s="4" cm="1">
        <f t="array" ref="D319">INDEX(GMW!$A$2:$NF$60,MATCH(1,(GMW!$NE$2:$NE$60=D$3)*(GMW!$ND$2:$ND$60=D$4),0),$B319-1966)</f>
        <v>52537.03</v>
      </c>
      <c r="E319" s="4" cm="1">
        <f t="array" ref="E319">INDEX(GMW!$A$2:$NF$60,MATCH(1,(GMW!$NE$2:$NE$60=E$3)*(GMW!$ND$2:$ND$60=E$4),0),$B319-1966)</f>
        <v>2.5</v>
      </c>
      <c r="F319" s="4" cm="1">
        <f t="array" ref="F319">INDEX(GMW!$A$2:$NF$60,MATCH(1,(GMW!$NE$2:$NE$60=F$3)*(GMW!$ND$2:$ND$60=F$4),0),$B319-1966)</f>
        <v>3.35</v>
      </c>
      <c r="G319" s="4" cm="1">
        <f t="array" ref="G319">INDEX(GMW!$A$2:$NF$60,MATCH(1,(GMW!$NE$2:$NE$60=G$3)*(GMW!$ND$2:$ND$60=G$4),0),$B319-1966)</f>
        <v>3.5</v>
      </c>
      <c r="H319" s="4" cm="1">
        <f t="array" ref="H319">INDEX(GMW!$A$2:$NF$60,MATCH(1,(GMW!$NE$2:$NE$60=H$3)*(GMW!$ND$2:$ND$60=H$4),0),$B319-1966)</f>
        <v>4.3</v>
      </c>
    </row>
    <row r="320" spans="1:8" x14ac:dyDescent="0.35">
      <c r="B320" s="4">
        <f t="shared" si="6"/>
        <v>2286</v>
      </c>
      <c r="C320" s="4" cm="1">
        <f t="array" ref="C320">INDEX(GMW!$A$2:$NF$60,MATCH(1,(GMW!$NE$2:$NE$60=C$3)*(GMW!$ND$2:$ND$60=C$4),0),$B320-1966)</f>
        <v>31598.41</v>
      </c>
      <c r="D320" s="4" cm="1">
        <f t="array" ref="D320">INDEX(GMW!$A$2:$NF$60,MATCH(1,(GMW!$NE$2:$NE$60=D$3)*(GMW!$ND$2:$ND$60=D$4),0),$B320-1966)</f>
        <v>52859.23</v>
      </c>
      <c r="E320" s="4" cm="1">
        <f t="array" ref="E320">INDEX(GMW!$A$2:$NF$60,MATCH(1,(GMW!$NE$2:$NE$60=E$3)*(GMW!$ND$2:$ND$60=E$4),0),$B320-1966)</f>
        <v>2.5</v>
      </c>
      <c r="F320" s="4" cm="1">
        <f t="array" ref="F320">INDEX(GMW!$A$2:$NF$60,MATCH(1,(GMW!$NE$2:$NE$60=F$3)*(GMW!$ND$2:$ND$60=F$4),0),$B320-1966)</f>
        <v>3.35</v>
      </c>
      <c r="G320" s="4" cm="1">
        <f t="array" ref="G320">INDEX(GMW!$A$2:$NF$60,MATCH(1,(GMW!$NE$2:$NE$60=G$3)*(GMW!$ND$2:$ND$60=G$4),0),$B320-1966)</f>
        <v>3.5</v>
      </c>
      <c r="H320" s="4" cm="1">
        <f t="array" ref="H320">INDEX(GMW!$A$2:$NF$60,MATCH(1,(GMW!$NE$2:$NE$60=H$3)*(GMW!$ND$2:$ND$60=H$4),0),$B320-1966)</f>
        <v>4.3</v>
      </c>
    </row>
    <row r="321" spans="1:8" x14ac:dyDescent="0.35">
      <c r="B321" s="4">
        <f t="shared" si="6"/>
        <v>2287</v>
      </c>
      <c r="C321" s="4" cm="1">
        <f t="array" ref="C321">INDEX(GMW!$A$2:$NF$60,MATCH(1,(GMW!$NE$2:$NE$60=C$3)*(GMW!$ND$2:$ND$60=C$4),0),$B321-1966)</f>
        <v>31796.79</v>
      </c>
      <c r="D321" s="4" cm="1">
        <f t="array" ref="D321">INDEX(GMW!$A$2:$NF$60,MATCH(1,(GMW!$NE$2:$NE$60=D$3)*(GMW!$ND$2:$ND$60=D$4),0),$B321-1966)</f>
        <v>53182.61</v>
      </c>
      <c r="E321" s="4" cm="1">
        <f t="array" ref="E321">INDEX(GMW!$A$2:$NF$60,MATCH(1,(GMW!$NE$2:$NE$60=E$3)*(GMW!$ND$2:$ND$60=E$4),0),$B321-1966)</f>
        <v>2.5</v>
      </c>
      <c r="F321" s="4" cm="1">
        <f t="array" ref="F321">INDEX(GMW!$A$2:$NF$60,MATCH(1,(GMW!$NE$2:$NE$60=F$3)*(GMW!$ND$2:$ND$60=F$4),0),$B321-1966)</f>
        <v>3.35</v>
      </c>
      <c r="G321" s="4" cm="1">
        <f t="array" ref="G321">INDEX(GMW!$A$2:$NF$60,MATCH(1,(GMW!$NE$2:$NE$60=G$3)*(GMW!$ND$2:$ND$60=G$4),0),$B321-1966)</f>
        <v>3.5</v>
      </c>
      <c r="H321" s="4" cm="1">
        <f t="array" ref="H321">INDEX(GMW!$A$2:$NF$60,MATCH(1,(GMW!$NE$2:$NE$60=H$3)*(GMW!$ND$2:$ND$60=H$4),0),$B321-1966)</f>
        <v>4.3</v>
      </c>
    </row>
    <row r="322" spans="1:8" x14ac:dyDescent="0.35">
      <c r="B322" s="4">
        <f t="shared" si="6"/>
        <v>2288</v>
      </c>
      <c r="C322" s="4" cm="1">
        <f t="array" ref="C322">INDEX(GMW!$A$2:$NF$60,MATCH(1,(GMW!$NE$2:$NE$60=C$3)*(GMW!$ND$2:$ND$60=C$4),0),$B322-1966)</f>
        <v>31996.04</v>
      </c>
      <c r="D322" s="4" cm="1">
        <f t="array" ref="D322">INDEX(GMW!$A$2:$NF$60,MATCH(1,(GMW!$NE$2:$NE$60=D$3)*(GMW!$ND$2:$ND$60=D$4),0),$B322-1966)</f>
        <v>53507.19</v>
      </c>
      <c r="E322" s="4" cm="1">
        <f t="array" ref="E322">INDEX(GMW!$A$2:$NF$60,MATCH(1,(GMW!$NE$2:$NE$60=E$3)*(GMW!$ND$2:$ND$60=E$4),0),$B322-1966)</f>
        <v>2.5</v>
      </c>
      <c r="F322" s="4" cm="1">
        <f t="array" ref="F322">INDEX(GMW!$A$2:$NF$60,MATCH(1,(GMW!$NE$2:$NE$60=F$3)*(GMW!$ND$2:$ND$60=F$4),0),$B322-1966)</f>
        <v>3.35</v>
      </c>
      <c r="G322" s="4" cm="1">
        <f t="array" ref="G322">INDEX(GMW!$A$2:$NF$60,MATCH(1,(GMW!$NE$2:$NE$60=G$3)*(GMW!$ND$2:$ND$60=G$4),0),$B322-1966)</f>
        <v>3.5</v>
      </c>
      <c r="H322" s="4" cm="1">
        <f t="array" ref="H322">INDEX(GMW!$A$2:$NF$60,MATCH(1,(GMW!$NE$2:$NE$60=H$3)*(GMW!$ND$2:$ND$60=H$4),0),$B322-1966)</f>
        <v>4.3</v>
      </c>
    </row>
    <row r="323" spans="1:8" x14ac:dyDescent="0.35">
      <c r="A323" s="4">
        <v>2052</v>
      </c>
      <c r="B323" s="4">
        <f t="shared" si="6"/>
        <v>2289</v>
      </c>
      <c r="C323" s="4" cm="1">
        <f t="array" ref="C323">INDEX(GMW!$A$2:$NF$60,MATCH(1,(GMW!$NE$2:$NE$60=C$3)*(GMW!$ND$2:$ND$60=C$4),0),$B323-1966)</f>
        <v>32195.98</v>
      </c>
      <c r="D323" s="4" cm="1">
        <f t="array" ref="D323">INDEX(GMW!$A$2:$NF$60,MATCH(1,(GMW!$NE$2:$NE$60=D$3)*(GMW!$ND$2:$ND$60=D$4),0),$B323-1966)</f>
        <v>53832.959999999999</v>
      </c>
      <c r="E323" s="4" cm="1">
        <f t="array" ref="E323">INDEX(GMW!$A$2:$NF$60,MATCH(1,(GMW!$NE$2:$NE$60=E$3)*(GMW!$ND$2:$ND$60=E$4),0),$B323-1966)</f>
        <v>2.5</v>
      </c>
      <c r="F323" s="4" cm="1">
        <f t="array" ref="F323">INDEX(GMW!$A$2:$NF$60,MATCH(1,(GMW!$NE$2:$NE$60=F$3)*(GMW!$ND$2:$ND$60=F$4),0),$B323-1966)</f>
        <v>3.35</v>
      </c>
      <c r="G323" s="4" cm="1">
        <f t="array" ref="G323">INDEX(GMW!$A$2:$NF$60,MATCH(1,(GMW!$NE$2:$NE$60=G$3)*(GMW!$ND$2:$ND$60=G$4),0),$B323-1966)</f>
        <v>3.5</v>
      </c>
      <c r="H323" s="4" cm="1">
        <f t="array" ref="H323">INDEX(GMW!$A$2:$NF$60,MATCH(1,(GMW!$NE$2:$NE$60=H$3)*(GMW!$ND$2:$ND$60=H$4),0),$B323-1966)</f>
        <v>4.3</v>
      </c>
    </row>
    <row r="324" spans="1:8" x14ac:dyDescent="0.35">
      <c r="B324" s="4">
        <f t="shared" si="6"/>
        <v>2290</v>
      </c>
      <c r="C324" s="4" cm="1">
        <f t="array" ref="C324">INDEX(GMW!$A$2:$NF$60,MATCH(1,(GMW!$NE$2:$NE$60=C$3)*(GMW!$ND$2:$ND$60=C$4),0),$B324-1966)</f>
        <v>32396.55</v>
      </c>
      <c r="D324" s="4" cm="1">
        <f t="array" ref="D324">INDEX(GMW!$A$2:$NF$60,MATCH(1,(GMW!$NE$2:$NE$60=D$3)*(GMW!$ND$2:$ND$60=D$4),0),$B324-1966)</f>
        <v>54159.96</v>
      </c>
      <c r="E324" s="4" cm="1">
        <f t="array" ref="E324">INDEX(GMW!$A$2:$NF$60,MATCH(1,(GMW!$NE$2:$NE$60=E$3)*(GMW!$ND$2:$ND$60=E$4),0),$B324-1966)</f>
        <v>2.5</v>
      </c>
      <c r="F324" s="4" cm="1">
        <f t="array" ref="F324">INDEX(GMW!$A$2:$NF$60,MATCH(1,(GMW!$NE$2:$NE$60=F$3)*(GMW!$ND$2:$ND$60=F$4),0),$B324-1966)</f>
        <v>3.35</v>
      </c>
      <c r="G324" s="4" cm="1">
        <f t="array" ref="G324">INDEX(GMW!$A$2:$NF$60,MATCH(1,(GMW!$NE$2:$NE$60=G$3)*(GMW!$ND$2:$ND$60=G$4),0),$B324-1966)</f>
        <v>3.5</v>
      </c>
      <c r="H324" s="4" cm="1">
        <f t="array" ref="H324">INDEX(GMW!$A$2:$NF$60,MATCH(1,(GMW!$NE$2:$NE$60=H$3)*(GMW!$ND$2:$ND$60=H$4),0),$B324-1966)</f>
        <v>4.3</v>
      </c>
    </row>
    <row r="325" spans="1:8" x14ac:dyDescent="0.35">
      <c r="B325" s="4">
        <f t="shared" si="6"/>
        <v>2291</v>
      </c>
      <c r="C325" s="4" cm="1">
        <f t="array" ref="C325">INDEX(GMW!$A$2:$NF$60,MATCH(1,(GMW!$NE$2:$NE$60=C$3)*(GMW!$ND$2:$ND$60=C$4),0),$B325-1966)</f>
        <v>32597.69</v>
      </c>
      <c r="D325" s="4" cm="1">
        <f t="array" ref="D325">INDEX(GMW!$A$2:$NF$60,MATCH(1,(GMW!$NE$2:$NE$60=D$3)*(GMW!$ND$2:$ND$60=D$4),0),$B325-1966)</f>
        <v>54488.19</v>
      </c>
      <c r="E325" s="4" cm="1">
        <f t="array" ref="E325">INDEX(GMW!$A$2:$NF$60,MATCH(1,(GMW!$NE$2:$NE$60=E$3)*(GMW!$ND$2:$ND$60=E$4),0),$B325-1966)</f>
        <v>2.5</v>
      </c>
      <c r="F325" s="4" cm="1">
        <f t="array" ref="F325">INDEX(GMW!$A$2:$NF$60,MATCH(1,(GMW!$NE$2:$NE$60=F$3)*(GMW!$ND$2:$ND$60=F$4),0),$B325-1966)</f>
        <v>3.35</v>
      </c>
      <c r="G325" s="4" cm="1">
        <f t="array" ref="G325">INDEX(GMW!$A$2:$NF$60,MATCH(1,(GMW!$NE$2:$NE$60=G$3)*(GMW!$ND$2:$ND$60=G$4),0),$B325-1966)</f>
        <v>3.4999989999999999</v>
      </c>
      <c r="H325" s="4" cm="1">
        <f t="array" ref="H325">INDEX(GMW!$A$2:$NF$60,MATCH(1,(GMW!$NE$2:$NE$60=H$3)*(GMW!$ND$2:$ND$60=H$4),0),$B325-1966)</f>
        <v>4.3</v>
      </c>
    </row>
    <row r="326" spans="1:8" x14ac:dyDescent="0.35">
      <c r="B326" s="4">
        <f t="shared" si="6"/>
        <v>2292</v>
      </c>
      <c r="C326" s="4" cm="1">
        <f t="array" ref="C326">INDEX(GMW!$A$2:$NF$60,MATCH(1,(GMW!$NE$2:$NE$60=C$3)*(GMW!$ND$2:$ND$60=C$4),0),$B326-1966)</f>
        <v>32799.14</v>
      </c>
      <c r="D326" s="4" cm="1">
        <f t="array" ref="D326">INDEX(GMW!$A$2:$NF$60,MATCH(1,(GMW!$NE$2:$NE$60=D$3)*(GMW!$ND$2:$ND$60=D$4),0),$B326-1966)</f>
        <v>54817.74</v>
      </c>
      <c r="E326" s="4" cm="1">
        <f t="array" ref="E326">INDEX(GMW!$A$2:$NF$60,MATCH(1,(GMW!$NE$2:$NE$60=E$3)*(GMW!$ND$2:$ND$60=E$4),0),$B326-1966)</f>
        <v>2.5</v>
      </c>
      <c r="F326" s="4" cm="1">
        <f t="array" ref="F326">INDEX(GMW!$A$2:$NF$60,MATCH(1,(GMW!$NE$2:$NE$60=F$3)*(GMW!$ND$2:$ND$60=F$4),0),$B326-1966)</f>
        <v>3.35</v>
      </c>
      <c r="G326" s="4" cm="1">
        <f t="array" ref="G326">INDEX(GMW!$A$2:$NF$60,MATCH(1,(GMW!$NE$2:$NE$60=G$3)*(GMW!$ND$2:$ND$60=G$4),0),$B326-1966)</f>
        <v>3.4999989999999999</v>
      </c>
      <c r="H326" s="4" cm="1">
        <f t="array" ref="H326">INDEX(GMW!$A$2:$NF$60,MATCH(1,(GMW!$NE$2:$NE$60=H$3)*(GMW!$ND$2:$ND$60=H$4),0),$B326-1966)</f>
        <v>4.3</v>
      </c>
    </row>
    <row r="327" spans="1:8" x14ac:dyDescent="0.35">
      <c r="A327" s="4">
        <v>2053</v>
      </c>
      <c r="B327" s="4">
        <f t="shared" si="6"/>
        <v>2293</v>
      </c>
      <c r="C327" s="4" cm="1">
        <f t="array" ref="C327">INDEX(GMW!$A$2:$NF$60,MATCH(1,(GMW!$NE$2:$NE$60=C$3)*(GMW!$ND$2:$ND$60=C$4),0),$B327-1966)</f>
        <v>33001.22</v>
      </c>
      <c r="D327" s="4" cm="1">
        <f t="array" ref="D327">INDEX(GMW!$A$2:$NF$60,MATCH(1,(GMW!$NE$2:$NE$60=D$3)*(GMW!$ND$2:$ND$60=D$4),0),$B327-1966)</f>
        <v>55148.5</v>
      </c>
      <c r="E327" s="4" cm="1">
        <f t="array" ref="E327">INDEX(GMW!$A$2:$NF$60,MATCH(1,(GMW!$NE$2:$NE$60=E$3)*(GMW!$ND$2:$ND$60=E$4),0),$B327-1966)</f>
        <v>2.5</v>
      </c>
      <c r="F327" s="4" cm="1">
        <f t="array" ref="F327">INDEX(GMW!$A$2:$NF$60,MATCH(1,(GMW!$NE$2:$NE$60=F$3)*(GMW!$ND$2:$ND$60=F$4),0),$B327-1966)</f>
        <v>3.35</v>
      </c>
      <c r="G327" s="4" cm="1">
        <f t="array" ref="G327">INDEX(GMW!$A$2:$NF$60,MATCH(1,(GMW!$NE$2:$NE$60=G$3)*(GMW!$ND$2:$ND$60=G$4),0),$B327-1966)</f>
        <v>3.4999989999999999</v>
      </c>
      <c r="H327" s="4" cm="1">
        <f t="array" ref="H327">INDEX(GMW!$A$2:$NF$60,MATCH(1,(GMW!$NE$2:$NE$60=H$3)*(GMW!$ND$2:$ND$60=H$4),0),$B327-1966)</f>
        <v>4.3</v>
      </c>
    </row>
    <row r="328" spans="1:8" x14ac:dyDescent="0.35">
      <c r="B328" s="4">
        <f t="shared" si="6"/>
        <v>2294</v>
      </c>
      <c r="C328" s="4" cm="1">
        <f t="array" ref="C328">INDEX(GMW!$A$2:$NF$60,MATCH(1,(GMW!$NE$2:$NE$60=C$3)*(GMW!$ND$2:$ND$60=C$4),0),$B328-1966)</f>
        <v>33204.019999999997</v>
      </c>
      <c r="D328" s="4" cm="1">
        <f t="array" ref="D328">INDEX(GMW!$A$2:$NF$60,MATCH(1,(GMW!$NE$2:$NE$60=D$3)*(GMW!$ND$2:$ND$60=D$4),0),$B328-1966)</f>
        <v>55480.51</v>
      </c>
      <c r="E328" s="4" cm="1">
        <f t="array" ref="E328">INDEX(GMW!$A$2:$NF$60,MATCH(1,(GMW!$NE$2:$NE$60=E$3)*(GMW!$ND$2:$ND$60=E$4),0),$B328-1966)</f>
        <v>2.5</v>
      </c>
      <c r="F328" s="4" cm="1">
        <f t="array" ref="F328">INDEX(GMW!$A$2:$NF$60,MATCH(1,(GMW!$NE$2:$NE$60=F$3)*(GMW!$ND$2:$ND$60=F$4),0),$B328-1966)</f>
        <v>3.35</v>
      </c>
      <c r="G328" s="4" cm="1">
        <f t="array" ref="G328">INDEX(GMW!$A$2:$NF$60,MATCH(1,(GMW!$NE$2:$NE$60=G$3)*(GMW!$ND$2:$ND$60=G$4),0),$B328-1966)</f>
        <v>3.4999989999999999</v>
      </c>
      <c r="H328" s="4" cm="1">
        <f t="array" ref="H328">INDEX(GMW!$A$2:$NF$60,MATCH(1,(GMW!$NE$2:$NE$60=H$3)*(GMW!$ND$2:$ND$60=H$4),0),$B328-1966)</f>
        <v>4.3</v>
      </c>
    </row>
    <row r="329" spans="1:8" x14ac:dyDescent="0.35">
      <c r="B329" s="4">
        <f t="shared" si="6"/>
        <v>2295</v>
      </c>
      <c r="C329" s="4" cm="1">
        <f t="array" ref="C329">INDEX(GMW!$A$2:$NF$60,MATCH(1,(GMW!$NE$2:$NE$60=C$3)*(GMW!$ND$2:$ND$60=C$4),0),$B329-1966)</f>
        <v>33407.61</v>
      </c>
      <c r="D329" s="4" cm="1">
        <f t="array" ref="D329">INDEX(GMW!$A$2:$NF$60,MATCH(1,(GMW!$NE$2:$NE$60=D$3)*(GMW!$ND$2:$ND$60=D$4),0),$B329-1966)</f>
        <v>55813.78</v>
      </c>
      <c r="E329" s="4" cm="1">
        <f t="array" ref="E329">INDEX(GMW!$A$2:$NF$60,MATCH(1,(GMW!$NE$2:$NE$60=E$3)*(GMW!$ND$2:$ND$60=E$4),0),$B329-1966)</f>
        <v>2.5</v>
      </c>
      <c r="F329" s="4" cm="1">
        <f t="array" ref="F329">INDEX(GMW!$A$2:$NF$60,MATCH(1,(GMW!$NE$2:$NE$60=F$3)*(GMW!$ND$2:$ND$60=F$4),0),$B329-1966)</f>
        <v>3.35</v>
      </c>
      <c r="G329" s="4" cm="1">
        <f t="array" ref="G329">INDEX(GMW!$A$2:$NF$60,MATCH(1,(GMW!$NE$2:$NE$60=G$3)*(GMW!$ND$2:$ND$60=G$4),0),$B329-1966)</f>
        <v>3.4999989999999999</v>
      </c>
      <c r="H329" s="4" cm="1">
        <f t="array" ref="H329">INDEX(GMW!$A$2:$NF$60,MATCH(1,(GMW!$NE$2:$NE$60=H$3)*(GMW!$ND$2:$ND$60=H$4),0),$B329-1966)</f>
        <v>4.3</v>
      </c>
    </row>
    <row r="330" spans="1:8" x14ac:dyDescent="0.35">
      <c r="B330" s="4">
        <f t="shared" si="6"/>
        <v>2296</v>
      </c>
      <c r="C330" s="4" cm="1">
        <f t="array" ref="C330">INDEX(GMW!$A$2:$NF$60,MATCH(1,(GMW!$NE$2:$NE$60=C$3)*(GMW!$ND$2:$ND$60=C$4),0),$B330-1966)</f>
        <v>33611.99</v>
      </c>
      <c r="D330" s="4" cm="1">
        <f t="array" ref="D330">INDEX(GMW!$A$2:$NF$60,MATCH(1,(GMW!$NE$2:$NE$60=D$3)*(GMW!$ND$2:$ND$60=D$4),0),$B330-1966)</f>
        <v>56148.36</v>
      </c>
      <c r="E330" s="4" cm="1">
        <f t="array" ref="E330">INDEX(GMW!$A$2:$NF$60,MATCH(1,(GMW!$NE$2:$NE$60=E$3)*(GMW!$ND$2:$ND$60=E$4),0),$B330-1966)</f>
        <v>2.5</v>
      </c>
      <c r="F330" s="4" cm="1">
        <f t="array" ref="F330">INDEX(GMW!$A$2:$NF$60,MATCH(1,(GMW!$NE$2:$NE$60=F$3)*(GMW!$ND$2:$ND$60=F$4),0),$B330-1966)</f>
        <v>3.35</v>
      </c>
      <c r="G330" s="4" cm="1">
        <f t="array" ref="G330">INDEX(GMW!$A$2:$NF$60,MATCH(1,(GMW!$NE$2:$NE$60=G$3)*(GMW!$ND$2:$ND$60=G$4),0),$B330-1966)</f>
        <v>3.4999989999999999</v>
      </c>
      <c r="H330" s="4" cm="1">
        <f t="array" ref="H330">INDEX(GMW!$A$2:$NF$60,MATCH(1,(GMW!$NE$2:$NE$60=H$3)*(GMW!$ND$2:$ND$60=H$4),0),$B330-1966)</f>
        <v>4.3</v>
      </c>
    </row>
    <row r="331" spans="1:8" x14ac:dyDescent="0.35">
      <c r="A331" s="4">
        <v>2054</v>
      </c>
      <c r="B331" s="4">
        <f t="shared" si="6"/>
        <v>2297</v>
      </c>
      <c r="C331" s="4" cm="1">
        <f t="array" ref="C331">INDEX(GMW!$A$2:$NF$60,MATCH(1,(GMW!$NE$2:$NE$60=C$3)*(GMW!$ND$2:$ND$60=C$4),0),$B331-1966)</f>
        <v>33817.15</v>
      </c>
      <c r="D331" s="4" cm="1">
        <f t="array" ref="D331">INDEX(GMW!$A$2:$NF$60,MATCH(1,(GMW!$NE$2:$NE$60=D$3)*(GMW!$ND$2:$ND$60=D$4),0),$B331-1966)</f>
        <v>56484.28</v>
      </c>
      <c r="E331" s="4" cm="1">
        <f t="array" ref="E331">INDEX(GMW!$A$2:$NF$60,MATCH(1,(GMW!$NE$2:$NE$60=E$3)*(GMW!$ND$2:$ND$60=E$4),0),$B331-1966)</f>
        <v>2.5</v>
      </c>
      <c r="F331" s="4" cm="1">
        <f t="array" ref="F331">INDEX(GMW!$A$2:$NF$60,MATCH(1,(GMW!$NE$2:$NE$60=F$3)*(GMW!$ND$2:$ND$60=F$4),0),$B331-1966)</f>
        <v>3.35</v>
      </c>
      <c r="G331" s="4" cm="1">
        <f t="array" ref="G331">INDEX(GMW!$A$2:$NF$60,MATCH(1,(GMW!$NE$2:$NE$60=G$3)*(GMW!$ND$2:$ND$60=G$4),0),$B331-1966)</f>
        <v>3.4999989999999999</v>
      </c>
      <c r="H331" s="4" cm="1">
        <f t="array" ref="H331">INDEX(GMW!$A$2:$NF$60,MATCH(1,(GMW!$NE$2:$NE$60=H$3)*(GMW!$ND$2:$ND$60=H$4),0),$B331-1966)</f>
        <v>4.3</v>
      </c>
    </row>
    <row r="332" spans="1:8" x14ac:dyDescent="0.35">
      <c r="B332" s="4">
        <f t="shared" si="6"/>
        <v>2298</v>
      </c>
      <c r="C332" s="4" cm="1">
        <f t="array" ref="C332">INDEX(GMW!$A$2:$NF$60,MATCH(1,(GMW!$NE$2:$NE$60=C$3)*(GMW!$ND$2:$ND$60=C$4),0),$B332-1966)</f>
        <v>34023.06</v>
      </c>
      <c r="D332" s="4" cm="1">
        <f t="array" ref="D332">INDEX(GMW!$A$2:$NF$60,MATCH(1,(GMW!$NE$2:$NE$60=D$3)*(GMW!$ND$2:$ND$60=D$4),0),$B332-1966)</f>
        <v>56821.56</v>
      </c>
      <c r="E332" s="4" cm="1">
        <f t="array" ref="E332">INDEX(GMW!$A$2:$NF$60,MATCH(1,(GMW!$NE$2:$NE$60=E$3)*(GMW!$ND$2:$ND$60=E$4),0),$B332-1966)</f>
        <v>2.5</v>
      </c>
      <c r="F332" s="4" cm="1">
        <f t="array" ref="F332">INDEX(GMW!$A$2:$NF$60,MATCH(1,(GMW!$NE$2:$NE$60=F$3)*(GMW!$ND$2:$ND$60=F$4),0),$B332-1966)</f>
        <v>3.35</v>
      </c>
      <c r="G332" s="4" cm="1">
        <f t="array" ref="G332">INDEX(GMW!$A$2:$NF$60,MATCH(1,(GMW!$NE$2:$NE$60=G$3)*(GMW!$ND$2:$ND$60=G$4),0),$B332-1966)</f>
        <v>3.4999989999999999</v>
      </c>
      <c r="H332" s="4" cm="1">
        <f t="array" ref="H332">INDEX(GMW!$A$2:$NF$60,MATCH(1,(GMW!$NE$2:$NE$60=H$3)*(GMW!$ND$2:$ND$60=H$4),0),$B332-1966)</f>
        <v>4.3</v>
      </c>
    </row>
    <row r="333" spans="1:8" x14ac:dyDescent="0.35">
      <c r="B333" s="4">
        <f t="shared" si="6"/>
        <v>2299</v>
      </c>
      <c r="C333" s="4" cm="1">
        <f t="array" ref="C333">INDEX(GMW!$A$2:$NF$60,MATCH(1,(GMW!$NE$2:$NE$60=C$3)*(GMW!$ND$2:$ND$60=C$4),0),$B333-1966)</f>
        <v>34229.79</v>
      </c>
      <c r="D333" s="4" cm="1">
        <f t="array" ref="D333">INDEX(GMW!$A$2:$NF$60,MATCH(1,(GMW!$NE$2:$NE$60=D$3)*(GMW!$ND$2:$ND$60=D$4),0),$B333-1966)</f>
        <v>57160.23</v>
      </c>
      <c r="E333" s="4" cm="1">
        <f t="array" ref="E333">INDEX(GMW!$A$2:$NF$60,MATCH(1,(GMW!$NE$2:$NE$60=E$3)*(GMW!$ND$2:$ND$60=E$4),0),$B333-1966)</f>
        <v>2.5</v>
      </c>
      <c r="F333" s="4" cm="1">
        <f t="array" ref="F333">INDEX(GMW!$A$2:$NF$60,MATCH(1,(GMW!$NE$2:$NE$60=F$3)*(GMW!$ND$2:$ND$60=F$4),0),$B333-1966)</f>
        <v>3.35</v>
      </c>
      <c r="G333" s="4" cm="1">
        <f t="array" ref="G333">INDEX(GMW!$A$2:$NF$60,MATCH(1,(GMW!$NE$2:$NE$60=G$3)*(GMW!$ND$2:$ND$60=G$4),0),$B333-1966)</f>
        <v>3.4999989999999999</v>
      </c>
      <c r="H333" s="4" cm="1">
        <f t="array" ref="H333">INDEX(GMW!$A$2:$NF$60,MATCH(1,(GMW!$NE$2:$NE$60=H$3)*(GMW!$ND$2:$ND$60=H$4),0),$B333-1966)</f>
        <v>4.3</v>
      </c>
    </row>
    <row r="334" spans="1:8" x14ac:dyDescent="0.35">
      <c r="B334" s="4">
        <f t="shared" si="6"/>
        <v>2300</v>
      </c>
      <c r="C334" s="4" cm="1">
        <f t="array" ref="C334">INDEX(GMW!$A$2:$NF$60,MATCH(1,(GMW!$NE$2:$NE$60=C$3)*(GMW!$ND$2:$ND$60=C$4),0),$B334-1966)</f>
        <v>34437.18</v>
      </c>
      <c r="D334" s="4" cm="1">
        <f t="array" ref="D334">INDEX(GMW!$A$2:$NF$60,MATCH(1,(GMW!$NE$2:$NE$60=D$3)*(GMW!$ND$2:$ND$60=D$4),0),$B334-1966)</f>
        <v>57500.35</v>
      </c>
      <c r="E334" s="4" cm="1">
        <f t="array" ref="E334">INDEX(GMW!$A$2:$NF$60,MATCH(1,(GMW!$NE$2:$NE$60=E$3)*(GMW!$ND$2:$ND$60=E$4),0),$B334-1966)</f>
        <v>2.5</v>
      </c>
      <c r="F334" s="4" cm="1">
        <f t="array" ref="F334">INDEX(GMW!$A$2:$NF$60,MATCH(1,(GMW!$NE$2:$NE$60=F$3)*(GMW!$ND$2:$ND$60=F$4),0),$B334-1966)</f>
        <v>3.35</v>
      </c>
      <c r="G334" s="4" cm="1">
        <f t="array" ref="G334">INDEX(GMW!$A$2:$NF$60,MATCH(1,(GMW!$NE$2:$NE$60=G$3)*(GMW!$ND$2:$ND$60=G$4),0),$B334-1966)</f>
        <v>3.5</v>
      </c>
      <c r="H334" s="4" cm="1">
        <f t="array" ref="H334">INDEX(GMW!$A$2:$NF$60,MATCH(1,(GMW!$NE$2:$NE$60=H$3)*(GMW!$ND$2:$ND$60=H$4),0),$B334-1966)</f>
        <v>4.3</v>
      </c>
    </row>
    <row r="335" spans="1:8" x14ac:dyDescent="0.35">
      <c r="A335" s="4">
        <v>2055</v>
      </c>
      <c r="B335" s="4">
        <f t="shared" si="6"/>
        <v>2301</v>
      </c>
      <c r="C335" s="4" cm="1">
        <f t="array" ref="C335">INDEX(GMW!$A$2:$NF$60,MATCH(1,(GMW!$NE$2:$NE$60=C$3)*(GMW!$ND$2:$ND$60=C$4),0),$B335-1966)</f>
        <v>34645.4</v>
      </c>
      <c r="D335" s="4" cm="1">
        <f t="array" ref="D335">INDEX(GMW!$A$2:$NF$60,MATCH(1,(GMW!$NE$2:$NE$60=D$3)*(GMW!$ND$2:$ND$60=D$4),0),$B335-1966)</f>
        <v>57841.88</v>
      </c>
      <c r="E335" s="4" cm="1">
        <f t="array" ref="E335">INDEX(GMW!$A$2:$NF$60,MATCH(1,(GMW!$NE$2:$NE$60=E$3)*(GMW!$ND$2:$ND$60=E$4),0),$B335-1966)</f>
        <v>2.5</v>
      </c>
      <c r="F335" s="4" cm="1">
        <f t="array" ref="F335">INDEX(GMW!$A$2:$NF$60,MATCH(1,(GMW!$NE$2:$NE$60=F$3)*(GMW!$ND$2:$ND$60=F$4),0),$B335-1966)</f>
        <v>3.35</v>
      </c>
      <c r="G335" s="4" cm="1">
        <f t="array" ref="G335">INDEX(GMW!$A$2:$NF$60,MATCH(1,(GMW!$NE$2:$NE$60=G$3)*(GMW!$ND$2:$ND$60=G$4),0),$B335-1966)</f>
        <v>3.5</v>
      </c>
      <c r="H335" s="4" cm="1">
        <f t="array" ref="H335">INDEX(GMW!$A$2:$NF$60,MATCH(1,(GMW!$NE$2:$NE$60=H$3)*(GMW!$ND$2:$ND$60=H$4),0),$B335-1966)</f>
        <v>4.3</v>
      </c>
    </row>
    <row r="336" spans="1:8" x14ac:dyDescent="0.35">
      <c r="B336" s="4">
        <f t="shared" si="6"/>
        <v>2302</v>
      </c>
      <c r="C336" s="4" cm="1">
        <f t="array" ref="C336">INDEX(GMW!$A$2:$NF$60,MATCH(1,(GMW!$NE$2:$NE$60=C$3)*(GMW!$ND$2:$ND$60=C$4),0),$B336-1966)</f>
        <v>34854.53</v>
      </c>
      <c r="D336" s="4" cm="1">
        <f t="array" ref="D336">INDEX(GMW!$A$2:$NF$60,MATCH(1,(GMW!$NE$2:$NE$60=D$3)*(GMW!$ND$2:$ND$60=D$4),0),$B336-1966)</f>
        <v>58184.86</v>
      </c>
      <c r="E336" s="4" cm="1">
        <f t="array" ref="E336">INDEX(GMW!$A$2:$NF$60,MATCH(1,(GMW!$NE$2:$NE$60=E$3)*(GMW!$ND$2:$ND$60=E$4),0),$B336-1966)</f>
        <v>2.5</v>
      </c>
      <c r="F336" s="4" cm="1">
        <f t="array" ref="F336">INDEX(GMW!$A$2:$NF$60,MATCH(1,(GMW!$NE$2:$NE$60=F$3)*(GMW!$ND$2:$ND$60=F$4),0),$B336-1966)</f>
        <v>3.35</v>
      </c>
      <c r="G336" s="4" cm="1">
        <f t="array" ref="G336">INDEX(GMW!$A$2:$NF$60,MATCH(1,(GMW!$NE$2:$NE$60=G$3)*(GMW!$ND$2:$ND$60=G$4),0),$B336-1966)</f>
        <v>3.5</v>
      </c>
      <c r="H336" s="4" cm="1">
        <f t="array" ref="H336">INDEX(GMW!$A$2:$NF$60,MATCH(1,(GMW!$NE$2:$NE$60=H$3)*(GMW!$ND$2:$ND$60=H$4),0),$B336-1966)</f>
        <v>4.3</v>
      </c>
    </row>
    <row r="337" spans="1:8" x14ac:dyDescent="0.35">
      <c r="B337" s="4">
        <f t="shared" si="6"/>
        <v>2303</v>
      </c>
      <c r="C337" s="4" cm="1">
        <f t="array" ref="C337">INDEX(GMW!$A$2:$NF$60,MATCH(1,(GMW!$NE$2:$NE$60=C$3)*(GMW!$ND$2:$ND$60=C$4),0),$B337-1966)</f>
        <v>35064.5</v>
      </c>
      <c r="D337" s="4" cm="1">
        <f t="array" ref="D337">INDEX(GMW!$A$2:$NF$60,MATCH(1,(GMW!$NE$2:$NE$60=D$3)*(GMW!$ND$2:$ND$60=D$4),0),$B337-1966)</f>
        <v>58529.32</v>
      </c>
      <c r="E337" s="4" cm="1">
        <f t="array" ref="E337">INDEX(GMW!$A$2:$NF$60,MATCH(1,(GMW!$NE$2:$NE$60=E$3)*(GMW!$ND$2:$ND$60=E$4),0),$B337-1966)</f>
        <v>2.5</v>
      </c>
      <c r="F337" s="4" cm="1">
        <f t="array" ref="F337">INDEX(GMW!$A$2:$NF$60,MATCH(1,(GMW!$NE$2:$NE$60=F$3)*(GMW!$ND$2:$ND$60=F$4),0),$B337-1966)</f>
        <v>3.35</v>
      </c>
      <c r="G337" s="4" cm="1">
        <f t="array" ref="G337">INDEX(GMW!$A$2:$NF$60,MATCH(1,(GMW!$NE$2:$NE$60=G$3)*(GMW!$ND$2:$ND$60=G$4),0),$B337-1966)</f>
        <v>3.5</v>
      </c>
      <c r="H337" s="4" cm="1">
        <f t="array" ref="H337">INDEX(GMW!$A$2:$NF$60,MATCH(1,(GMW!$NE$2:$NE$60=H$3)*(GMW!$ND$2:$ND$60=H$4),0),$B337-1966)</f>
        <v>4.3</v>
      </c>
    </row>
    <row r="338" spans="1:8" x14ac:dyDescent="0.35">
      <c r="B338" s="4">
        <f t="shared" si="6"/>
        <v>2304</v>
      </c>
      <c r="C338" s="4" cm="1">
        <f t="array" ref="C338">INDEX(GMW!$A$2:$NF$60,MATCH(1,(GMW!$NE$2:$NE$60=C$3)*(GMW!$ND$2:$ND$60=C$4),0),$B338-1966)</f>
        <v>35275.29</v>
      </c>
      <c r="D338" s="4" cm="1">
        <f t="array" ref="D338">INDEX(GMW!$A$2:$NF$60,MATCH(1,(GMW!$NE$2:$NE$60=D$3)*(GMW!$ND$2:$ND$60=D$4),0),$B338-1966)</f>
        <v>58875.28</v>
      </c>
      <c r="E338" s="4" cm="1">
        <f t="array" ref="E338">INDEX(GMW!$A$2:$NF$60,MATCH(1,(GMW!$NE$2:$NE$60=E$3)*(GMW!$ND$2:$ND$60=E$4),0),$B338-1966)</f>
        <v>2.5</v>
      </c>
      <c r="F338" s="4" cm="1">
        <f t="array" ref="F338">INDEX(GMW!$A$2:$NF$60,MATCH(1,(GMW!$NE$2:$NE$60=F$3)*(GMW!$ND$2:$ND$60=F$4),0),$B338-1966)</f>
        <v>3.35</v>
      </c>
      <c r="G338" s="4" cm="1">
        <f t="array" ref="G338">INDEX(GMW!$A$2:$NF$60,MATCH(1,(GMW!$NE$2:$NE$60=G$3)*(GMW!$ND$2:$ND$60=G$4),0),$B338-1966)</f>
        <v>3.5</v>
      </c>
      <c r="H338" s="4" cm="1">
        <f t="array" ref="H338">INDEX(GMW!$A$2:$NF$60,MATCH(1,(GMW!$NE$2:$NE$60=H$3)*(GMW!$ND$2:$ND$60=H$4),0),$B338-1966)</f>
        <v>4.3</v>
      </c>
    </row>
    <row r="339" spans="1:8" x14ac:dyDescent="0.35">
      <c r="A339" s="4">
        <v>2056</v>
      </c>
      <c r="B339" s="4">
        <f t="shared" si="6"/>
        <v>2305</v>
      </c>
      <c r="C339" s="4" cm="1">
        <f t="array" ref="C339">INDEX(GMW!$A$2:$NF$60,MATCH(1,(GMW!$NE$2:$NE$60=C$3)*(GMW!$ND$2:$ND$60=C$4),0),$B339-1966)</f>
        <v>35487.06</v>
      </c>
      <c r="D339" s="4" cm="1">
        <f t="array" ref="D339">INDEX(GMW!$A$2:$NF$60,MATCH(1,(GMW!$NE$2:$NE$60=D$3)*(GMW!$ND$2:$ND$60=D$4),0),$B339-1966)</f>
        <v>59222.74</v>
      </c>
      <c r="E339" s="4" cm="1">
        <f t="array" ref="E339">INDEX(GMW!$A$2:$NF$60,MATCH(1,(GMW!$NE$2:$NE$60=E$3)*(GMW!$ND$2:$ND$60=E$4),0),$B339-1966)</f>
        <v>2.5</v>
      </c>
      <c r="F339" s="4" cm="1">
        <f t="array" ref="F339">INDEX(GMW!$A$2:$NF$60,MATCH(1,(GMW!$NE$2:$NE$60=F$3)*(GMW!$ND$2:$ND$60=F$4),0),$B339-1966)</f>
        <v>3.35</v>
      </c>
      <c r="G339" s="4" cm="1">
        <f t="array" ref="G339">INDEX(GMW!$A$2:$NF$60,MATCH(1,(GMW!$NE$2:$NE$60=G$3)*(GMW!$ND$2:$ND$60=G$4),0),$B339-1966)</f>
        <v>3.5</v>
      </c>
      <c r="H339" s="4" cm="1">
        <f t="array" ref="H339">INDEX(GMW!$A$2:$NF$60,MATCH(1,(GMW!$NE$2:$NE$60=H$3)*(GMW!$ND$2:$ND$60=H$4),0),$B339-1966)</f>
        <v>4.3</v>
      </c>
    </row>
    <row r="340" spans="1:8" x14ac:dyDescent="0.35">
      <c r="B340" s="4">
        <f t="shared" si="6"/>
        <v>2306</v>
      </c>
      <c r="C340" s="4" cm="1">
        <f t="array" ref="C340">INDEX(GMW!$A$2:$NF$60,MATCH(1,(GMW!$NE$2:$NE$60=C$3)*(GMW!$ND$2:$ND$60=C$4),0),$B340-1966)</f>
        <v>35699.82</v>
      </c>
      <c r="D340" s="4" cm="1">
        <f t="array" ref="D340">INDEX(GMW!$A$2:$NF$60,MATCH(1,(GMW!$NE$2:$NE$60=D$3)*(GMW!$ND$2:$ND$60=D$4),0),$B340-1966)</f>
        <v>59571.7</v>
      </c>
      <c r="E340" s="4" cm="1">
        <f t="array" ref="E340">INDEX(GMW!$A$2:$NF$60,MATCH(1,(GMW!$NE$2:$NE$60=E$3)*(GMW!$ND$2:$ND$60=E$4),0),$B340-1966)</f>
        <v>2.5</v>
      </c>
      <c r="F340" s="4" cm="1">
        <f t="array" ref="F340">INDEX(GMW!$A$2:$NF$60,MATCH(1,(GMW!$NE$2:$NE$60=F$3)*(GMW!$ND$2:$ND$60=F$4),0),$B340-1966)</f>
        <v>3.35</v>
      </c>
      <c r="G340" s="4" cm="1">
        <f t="array" ref="G340">INDEX(GMW!$A$2:$NF$60,MATCH(1,(GMW!$NE$2:$NE$60=G$3)*(GMW!$ND$2:$ND$60=G$4),0),$B340-1966)</f>
        <v>3.5</v>
      </c>
      <c r="H340" s="4" cm="1">
        <f t="array" ref="H340">INDEX(GMW!$A$2:$NF$60,MATCH(1,(GMW!$NE$2:$NE$60=H$3)*(GMW!$ND$2:$ND$60=H$4),0),$B340-1966)</f>
        <v>4.3</v>
      </c>
    </row>
    <row r="341" spans="1:8" x14ac:dyDescent="0.35">
      <c r="B341" s="4">
        <f t="shared" si="6"/>
        <v>2307</v>
      </c>
      <c r="C341" s="4" cm="1">
        <f t="array" ref="C341">INDEX(GMW!$A$2:$NF$60,MATCH(1,(GMW!$NE$2:$NE$60=C$3)*(GMW!$ND$2:$ND$60=C$4),0),$B341-1966)</f>
        <v>35913.67</v>
      </c>
      <c r="D341" s="4" cm="1">
        <f t="array" ref="D341">INDEX(GMW!$A$2:$NF$60,MATCH(1,(GMW!$NE$2:$NE$60=D$3)*(GMW!$ND$2:$ND$60=D$4),0),$B341-1966)</f>
        <v>59922.2</v>
      </c>
      <c r="E341" s="4" cm="1">
        <f t="array" ref="E341">INDEX(GMW!$A$2:$NF$60,MATCH(1,(GMW!$NE$2:$NE$60=E$3)*(GMW!$ND$2:$ND$60=E$4),0),$B341-1966)</f>
        <v>2.5</v>
      </c>
      <c r="F341" s="4" cm="1">
        <f t="array" ref="F341">INDEX(GMW!$A$2:$NF$60,MATCH(1,(GMW!$NE$2:$NE$60=F$3)*(GMW!$ND$2:$ND$60=F$4),0),$B341-1966)</f>
        <v>3.35</v>
      </c>
      <c r="G341" s="4" cm="1">
        <f t="array" ref="G341">INDEX(GMW!$A$2:$NF$60,MATCH(1,(GMW!$NE$2:$NE$60=G$3)*(GMW!$ND$2:$ND$60=G$4),0),$B341-1966)</f>
        <v>3.5</v>
      </c>
      <c r="H341" s="4" cm="1">
        <f t="array" ref="H341">INDEX(GMW!$A$2:$NF$60,MATCH(1,(GMW!$NE$2:$NE$60=H$3)*(GMW!$ND$2:$ND$60=H$4),0),$B341-1966)</f>
        <v>4.3</v>
      </c>
    </row>
    <row r="342" spans="1:8" x14ac:dyDescent="0.35">
      <c r="B342" s="4">
        <f t="shared" si="6"/>
        <v>2308</v>
      </c>
      <c r="C342" s="4" cm="1">
        <f t="array" ref="C342">INDEX(GMW!$A$2:$NF$60,MATCH(1,(GMW!$NE$2:$NE$60=C$3)*(GMW!$ND$2:$ND$60=C$4),0),$B342-1966)</f>
        <v>36128.54</v>
      </c>
      <c r="D342" s="4" cm="1">
        <f t="array" ref="D342">INDEX(GMW!$A$2:$NF$60,MATCH(1,(GMW!$NE$2:$NE$60=D$3)*(GMW!$ND$2:$ND$60=D$4),0),$B342-1966)</f>
        <v>60274.29</v>
      </c>
      <c r="E342" s="4" cm="1">
        <f t="array" ref="E342">INDEX(GMW!$A$2:$NF$60,MATCH(1,(GMW!$NE$2:$NE$60=E$3)*(GMW!$ND$2:$ND$60=E$4),0),$B342-1966)</f>
        <v>2.5</v>
      </c>
      <c r="F342" s="4" cm="1">
        <f t="array" ref="F342">INDEX(GMW!$A$2:$NF$60,MATCH(1,(GMW!$NE$2:$NE$60=F$3)*(GMW!$ND$2:$ND$60=F$4),0),$B342-1966)</f>
        <v>3.35</v>
      </c>
      <c r="G342" s="4" cm="1">
        <f t="array" ref="G342">INDEX(GMW!$A$2:$NF$60,MATCH(1,(GMW!$NE$2:$NE$60=G$3)*(GMW!$ND$2:$ND$60=G$4),0),$B342-1966)</f>
        <v>3.5</v>
      </c>
      <c r="H342" s="4" cm="1">
        <f t="array" ref="H342">INDEX(GMW!$A$2:$NF$60,MATCH(1,(GMW!$NE$2:$NE$60=H$3)*(GMW!$ND$2:$ND$60=H$4),0),$B342-1966)</f>
        <v>4.3</v>
      </c>
    </row>
    <row r="343" spans="1:8" x14ac:dyDescent="0.35">
      <c r="A343" s="4">
        <v>2057</v>
      </c>
      <c r="B343" s="4">
        <f t="shared" si="6"/>
        <v>2309</v>
      </c>
      <c r="C343" s="4" cm="1">
        <f t="array" ref="C343">INDEX(GMW!$A$2:$NF$60,MATCH(1,(GMW!$NE$2:$NE$60=C$3)*(GMW!$ND$2:$ND$60=C$4),0),$B343-1966)</f>
        <v>36344.370000000003</v>
      </c>
      <c r="D343" s="4" cm="1">
        <f t="array" ref="D343">INDEX(GMW!$A$2:$NF$60,MATCH(1,(GMW!$NE$2:$NE$60=D$3)*(GMW!$ND$2:$ND$60=D$4),0),$B343-1966)</f>
        <v>60627.95</v>
      </c>
      <c r="E343" s="4" cm="1">
        <f t="array" ref="E343">INDEX(GMW!$A$2:$NF$60,MATCH(1,(GMW!$NE$2:$NE$60=E$3)*(GMW!$ND$2:$ND$60=E$4),0),$B343-1966)</f>
        <v>2.5</v>
      </c>
      <c r="F343" s="4" cm="1">
        <f t="array" ref="F343">INDEX(GMW!$A$2:$NF$60,MATCH(1,(GMW!$NE$2:$NE$60=F$3)*(GMW!$ND$2:$ND$60=F$4),0),$B343-1966)</f>
        <v>3.35</v>
      </c>
      <c r="G343" s="4" cm="1">
        <f t="array" ref="G343">INDEX(GMW!$A$2:$NF$60,MATCH(1,(GMW!$NE$2:$NE$60=G$3)*(GMW!$ND$2:$ND$60=G$4),0),$B343-1966)</f>
        <v>3.5</v>
      </c>
      <c r="H343" s="4" cm="1">
        <f t="array" ref="H343">INDEX(GMW!$A$2:$NF$60,MATCH(1,(GMW!$NE$2:$NE$60=H$3)*(GMW!$ND$2:$ND$60=H$4),0),$B343-1966)</f>
        <v>4.3</v>
      </c>
    </row>
    <row r="344" spans="1:8" x14ac:dyDescent="0.35">
      <c r="B344" s="4">
        <f t="shared" si="6"/>
        <v>2310</v>
      </c>
      <c r="C344" s="4" cm="1">
        <f t="array" ref="C344">INDEX(GMW!$A$2:$NF$60,MATCH(1,(GMW!$NE$2:$NE$60=C$3)*(GMW!$ND$2:$ND$60=C$4),0),$B344-1966)</f>
        <v>36561.199999999997</v>
      </c>
      <c r="D344" s="4" cm="1">
        <f t="array" ref="D344">INDEX(GMW!$A$2:$NF$60,MATCH(1,(GMW!$NE$2:$NE$60=D$3)*(GMW!$ND$2:$ND$60=D$4),0),$B344-1966)</f>
        <v>60983.26</v>
      </c>
      <c r="E344" s="4" cm="1">
        <f t="array" ref="E344">INDEX(GMW!$A$2:$NF$60,MATCH(1,(GMW!$NE$2:$NE$60=E$3)*(GMW!$ND$2:$ND$60=E$4),0),$B344-1966)</f>
        <v>2.5</v>
      </c>
      <c r="F344" s="4" cm="1">
        <f t="array" ref="F344">INDEX(GMW!$A$2:$NF$60,MATCH(1,(GMW!$NE$2:$NE$60=F$3)*(GMW!$ND$2:$ND$60=F$4),0),$B344-1966)</f>
        <v>3.35</v>
      </c>
      <c r="G344" s="4" cm="1">
        <f t="array" ref="G344">INDEX(GMW!$A$2:$NF$60,MATCH(1,(GMW!$NE$2:$NE$60=G$3)*(GMW!$ND$2:$ND$60=G$4),0),$B344-1966)</f>
        <v>3.5</v>
      </c>
      <c r="H344" s="4" cm="1">
        <f t="array" ref="H344">INDEX(GMW!$A$2:$NF$60,MATCH(1,(GMW!$NE$2:$NE$60=H$3)*(GMW!$ND$2:$ND$60=H$4),0),$B344-1966)</f>
        <v>4.3</v>
      </c>
    </row>
    <row r="345" spans="1:8" x14ac:dyDescent="0.35">
      <c r="B345" s="4">
        <f t="shared" si="6"/>
        <v>2311</v>
      </c>
      <c r="C345" s="4" cm="1">
        <f t="array" ref="C345">INDEX(GMW!$A$2:$NF$60,MATCH(1,(GMW!$NE$2:$NE$60=C$3)*(GMW!$ND$2:$ND$60=C$4),0),$B345-1966)</f>
        <v>36778.99</v>
      </c>
      <c r="D345" s="4" cm="1">
        <f t="array" ref="D345">INDEX(GMW!$A$2:$NF$60,MATCH(1,(GMW!$NE$2:$NE$60=D$3)*(GMW!$ND$2:$ND$60=D$4),0),$B345-1966)</f>
        <v>61340.2</v>
      </c>
      <c r="E345" s="4" cm="1">
        <f t="array" ref="E345">INDEX(GMW!$A$2:$NF$60,MATCH(1,(GMW!$NE$2:$NE$60=E$3)*(GMW!$ND$2:$ND$60=E$4),0),$B345-1966)</f>
        <v>2.5</v>
      </c>
      <c r="F345" s="4" cm="1">
        <f t="array" ref="F345">INDEX(GMW!$A$2:$NF$60,MATCH(1,(GMW!$NE$2:$NE$60=F$3)*(GMW!$ND$2:$ND$60=F$4),0),$B345-1966)</f>
        <v>3.35</v>
      </c>
      <c r="G345" s="4" cm="1">
        <f t="array" ref="G345">INDEX(GMW!$A$2:$NF$60,MATCH(1,(GMW!$NE$2:$NE$60=G$3)*(GMW!$ND$2:$ND$60=G$4),0),$B345-1966)</f>
        <v>3.5</v>
      </c>
      <c r="H345" s="4" cm="1">
        <f t="array" ref="H345">INDEX(GMW!$A$2:$NF$60,MATCH(1,(GMW!$NE$2:$NE$60=H$3)*(GMW!$ND$2:$ND$60=H$4),0),$B345-1966)</f>
        <v>4.3</v>
      </c>
    </row>
    <row r="346" spans="1:8" x14ac:dyDescent="0.35">
      <c r="B346" s="4">
        <f t="shared" si="6"/>
        <v>2312</v>
      </c>
      <c r="C346" s="4" cm="1">
        <f t="array" ref="C346">INDEX(GMW!$A$2:$NF$60,MATCH(1,(GMW!$NE$2:$NE$60=C$3)*(GMW!$ND$2:$ND$60=C$4),0),$B346-1966)</f>
        <v>36997.82</v>
      </c>
      <c r="D346" s="4" cm="1">
        <f t="array" ref="D346">INDEX(GMW!$A$2:$NF$60,MATCH(1,(GMW!$NE$2:$NE$60=D$3)*(GMW!$ND$2:$ND$60=D$4),0),$B346-1966)</f>
        <v>61698.84</v>
      </c>
      <c r="E346" s="4" cm="1">
        <f t="array" ref="E346">INDEX(GMW!$A$2:$NF$60,MATCH(1,(GMW!$NE$2:$NE$60=E$3)*(GMW!$ND$2:$ND$60=E$4),0),$B346-1966)</f>
        <v>2.5</v>
      </c>
      <c r="F346" s="4" cm="1">
        <f t="array" ref="F346">INDEX(GMW!$A$2:$NF$60,MATCH(1,(GMW!$NE$2:$NE$60=F$3)*(GMW!$ND$2:$ND$60=F$4),0),$B346-1966)</f>
        <v>3.35</v>
      </c>
      <c r="G346" s="4" cm="1">
        <f t="array" ref="G346">INDEX(GMW!$A$2:$NF$60,MATCH(1,(GMW!$NE$2:$NE$60=G$3)*(GMW!$ND$2:$ND$60=G$4),0),$B346-1966)</f>
        <v>3.5</v>
      </c>
      <c r="H346" s="4" cm="1">
        <f t="array" ref="H346">INDEX(GMW!$A$2:$NF$60,MATCH(1,(GMW!$NE$2:$NE$60=H$3)*(GMW!$ND$2:$ND$60=H$4),0),$B346-1966)</f>
        <v>4.3</v>
      </c>
    </row>
    <row r="347" spans="1:8" x14ac:dyDescent="0.35">
      <c r="A347" s="4">
        <v>2058</v>
      </c>
      <c r="B347" s="4">
        <f t="shared" si="6"/>
        <v>2313</v>
      </c>
      <c r="C347" s="4" cm="1">
        <f t="array" ref="C347">INDEX(GMW!$A$2:$NF$60,MATCH(1,(GMW!$NE$2:$NE$60=C$3)*(GMW!$ND$2:$ND$60=C$4),0),$B347-1966)</f>
        <v>37217.620000000003</v>
      </c>
      <c r="D347" s="4" cm="1">
        <f t="array" ref="D347">INDEX(GMW!$A$2:$NF$60,MATCH(1,(GMW!$NE$2:$NE$60=D$3)*(GMW!$ND$2:$ND$60=D$4),0),$B347-1966)</f>
        <v>62059.24</v>
      </c>
      <c r="E347" s="4" cm="1">
        <f t="array" ref="E347">INDEX(GMW!$A$2:$NF$60,MATCH(1,(GMW!$NE$2:$NE$60=E$3)*(GMW!$ND$2:$ND$60=E$4),0),$B347-1966)</f>
        <v>2.5</v>
      </c>
      <c r="F347" s="4" cm="1">
        <f t="array" ref="F347">INDEX(GMW!$A$2:$NF$60,MATCH(1,(GMW!$NE$2:$NE$60=F$3)*(GMW!$ND$2:$ND$60=F$4),0),$B347-1966)</f>
        <v>3.35</v>
      </c>
      <c r="G347" s="4" cm="1">
        <f t="array" ref="G347">INDEX(GMW!$A$2:$NF$60,MATCH(1,(GMW!$NE$2:$NE$60=G$3)*(GMW!$ND$2:$ND$60=G$4),0),$B347-1966)</f>
        <v>3.5</v>
      </c>
      <c r="H347" s="4" cm="1">
        <f t="array" ref="H347">INDEX(GMW!$A$2:$NF$60,MATCH(1,(GMW!$NE$2:$NE$60=H$3)*(GMW!$ND$2:$ND$60=H$4),0),$B347-1966)</f>
        <v>4.3</v>
      </c>
    </row>
    <row r="348" spans="1:8" x14ac:dyDescent="0.35">
      <c r="B348" s="4">
        <f t="shared" si="6"/>
        <v>2314</v>
      </c>
      <c r="C348" s="4" cm="1">
        <f t="array" ref="C348">INDEX(GMW!$A$2:$NF$60,MATCH(1,(GMW!$NE$2:$NE$60=C$3)*(GMW!$ND$2:$ND$60=C$4),0),$B348-1966)</f>
        <v>37438.379999999997</v>
      </c>
      <c r="D348" s="4" cm="1">
        <f t="array" ref="D348">INDEX(GMW!$A$2:$NF$60,MATCH(1,(GMW!$NE$2:$NE$60=D$3)*(GMW!$ND$2:$ND$60=D$4),0),$B348-1966)</f>
        <v>62421.41</v>
      </c>
      <c r="E348" s="4" cm="1">
        <f t="array" ref="E348">INDEX(GMW!$A$2:$NF$60,MATCH(1,(GMW!$NE$2:$NE$60=E$3)*(GMW!$ND$2:$ND$60=E$4),0),$B348-1966)</f>
        <v>2.5</v>
      </c>
      <c r="F348" s="4" cm="1">
        <f t="array" ref="F348">INDEX(GMW!$A$2:$NF$60,MATCH(1,(GMW!$NE$2:$NE$60=F$3)*(GMW!$ND$2:$ND$60=F$4),0),$B348-1966)</f>
        <v>3.35</v>
      </c>
      <c r="G348" s="4" cm="1">
        <f t="array" ref="G348">INDEX(GMW!$A$2:$NF$60,MATCH(1,(GMW!$NE$2:$NE$60=G$3)*(GMW!$ND$2:$ND$60=G$4),0),$B348-1966)</f>
        <v>3.5</v>
      </c>
      <c r="H348" s="4" cm="1">
        <f t="array" ref="H348">INDEX(GMW!$A$2:$NF$60,MATCH(1,(GMW!$NE$2:$NE$60=H$3)*(GMW!$ND$2:$ND$60=H$4),0),$B348-1966)</f>
        <v>4.3</v>
      </c>
    </row>
    <row r="349" spans="1:8" x14ac:dyDescent="0.35">
      <c r="B349" s="4">
        <f t="shared" si="6"/>
        <v>2315</v>
      </c>
      <c r="C349" s="4" cm="1">
        <f t="array" ref="C349">INDEX(GMW!$A$2:$NF$60,MATCH(1,(GMW!$NE$2:$NE$60=C$3)*(GMW!$ND$2:$ND$60=C$4),0),$B349-1966)</f>
        <v>37660</v>
      </c>
      <c r="D349" s="4" cm="1">
        <f t="array" ref="D349">INDEX(GMW!$A$2:$NF$60,MATCH(1,(GMW!$NE$2:$NE$60=D$3)*(GMW!$ND$2:$ND$60=D$4),0),$B349-1966)</f>
        <v>62785.39</v>
      </c>
      <c r="E349" s="4" cm="1">
        <f t="array" ref="E349">INDEX(GMW!$A$2:$NF$60,MATCH(1,(GMW!$NE$2:$NE$60=E$3)*(GMW!$ND$2:$ND$60=E$4),0),$B349-1966)</f>
        <v>2.5</v>
      </c>
      <c r="F349" s="4" cm="1">
        <f t="array" ref="F349">INDEX(GMW!$A$2:$NF$60,MATCH(1,(GMW!$NE$2:$NE$60=F$3)*(GMW!$ND$2:$ND$60=F$4),0),$B349-1966)</f>
        <v>3.35</v>
      </c>
      <c r="G349" s="4" cm="1">
        <f t="array" ref="G349">INDEX(GMW!$A$2:$NF$60,MATCH(1,(GMW!$NE$2:$NE$60=G$3)*(GMW!$ND$2:$ND$60=G$4),0),$B349-1966)</f>
        <v>3.5</v>
      </c>
      <c r="H349" s="4" cm="1">
        <f t="array" ref="H349">INDEX(GMW!$A$2:$NF$60,MATCH(1,(GMW!$NE$2:$NE$60=H$3)*(GMW!$ND$2:$ND$60=H$4),0),$B349-1966)</f>
        <v>4.3</v>
      </c>
    </row>
    <row r="350" spans="1:8" x14ac:dyDescent="0.35">
      <c r="B350" s="4">
        <f t="shared" si="6"/>
        <v>2316</v>
      </c>
      <c r="C350" s="4" cm="1">
        <f t="array" ref="C350">INDEX(GMW!$A$2:$NF$60,MATCH(1,(GMW!$NE$2:$NE$60=C$3)*(GMW!$ND$2:$ND$60=C$4),0),$B350-1966)</f>
        <v>37882.51</v>
      </c>
      <c r="D350" s="4" cm="1">
        <f t="array" ref="D350">INDEX(GMW!$A$2:$NF$60,MATCH(1,(GMW!$NE$2:$NE$60=D$3)*(GMW!$ND$2:$ND$60=D$4),0),$B350-1966)</f>
        <v>63151.21</v>
      </c>
      <c r="E350" s="4" cm="1">
        <f t="array" ref="E350">INDEX(GMW!$A$2:$NF$60,MATCH(1,(GMW!$NE$2:$NE$60=E$3)*(GMW!$ND$2:$ND$60=E$4),0),$B350-1966)</f>
        <v>2.5</v>
      </c>
      <c r="F350" s="4" cm="1">
        <f t="array" ref="F350">INDEX(GMW!$A$2:$NF$60,MATCH(1,(GMW!$NE$2:$NE$60=F$3)*(GMW!$ND$2:$ND$60=F$4),0),$B350-1966)</f>
        <v>3.35</v>
      </c>
      <c r="G350" s="4" cm="1">
        <f t="array" ref="G350">INDEX(GMW!$A$2:$NF$60,MATCH(1,(GMW!$NE$2:$NE$60=G$3)*(GMW!$ND$2:$ND$60=G$4),0),$B350-1966)</f>
        <v>3.5</v>
      </c>
      <c r="H350" s="4" cm="1">
        <f t="array" ref="H350">INDEX(GMW!$A$2:$NF$60,MATCH(1,(GMW!$NE$2:$NE$60=H$3)*(GMW!$ND$2:$ND$60=H$4),0),$B350-1966)</f>
        <v>4.3</v>
      </c>
    </row>
    <row r="351" spans="1:8" x14ac:dyDescent="0.35">
      <c r="A351" s="4">
        <v>2059</v>
      </c>
      <c r="B351" s="4">
        <f t="shared" si="6"/>
        <v>2317</v>
      </c>
      <c r="C351" s="4" cm="1">
        <f t="array" ref="C351">INDEX(GMW!$A$2:$NF$60,MATCH(1,(GMW!$NE$2:$NE$60=C$3)*(GMW!$ND$2:$ND$60=C$4),0),$B351-1966)</f>
        <v>38105.980000000003</v>
      </c>
      <c r="D351" s="4" cm="1">
        <f t="array" ref="D351">INDEX(GMW!$A$2:$NF$60,MATCH(1,(GMW!$NE$2:$NE$60=D$3)*(GMW!$ND$2:$ND$60=D$4),0),$B351-1966)</f>
        <v>63518.86</v>
      </c>
      <c r="E351" s="4" cm="1">
        <f t="array" ref="E351">INDEX(GMW!$A$2:$NF$60,MATCH(1,(GMW!$NE$2:$NE$60=E$3)*(GMW!$ND$2:$ND$60=E$4),0),$B351-1966)</f>
        <v>2.5</v>
      </c>
      <c r="F351" s="4" cm="1">
        <f t="array" ref="F351">INDEX(GMW!$A$2:$NF$60,MATCH(1,(GMW!$NE$2:$NE$60=F$3)*(GMW!$ND$2:$ND$60=F$4),0),$B351-1966)</f>
        <v>3.35</v>
      </c>
      <c r="G351" s="4" cm="1">
        <f t="array" ref="G351">INDEX(GMW!$A$2:$NF$60,MATCH(1,(GMW!$NE$2:$NE$60=G$3)*(GMW!$ND$2:$ND$60=G$4),0),$B351-1966)</f>
        <v>3.5</v>
      </c>
      <c r="H351" s="4" cm="1">
        <f t="array" ref="H351">INDEX(GMW!$A$2:$NF$60,MATCH(1,(GMW!$NE$2:$NE$60=H$3)*(GMW!$ND$2:$ND$60=H$4),0),$B351-1966)</f>
        <v>4.3</v>
      </c>
    </row>
    <row r="352" spans="1:8" x14ac:dyDescent="0.35">
      <c r="B352" s="4">
        <f t="shared" si="6"/>
        <v>2318</v>
      </c>
      <c r="C352" s="4" cm="1">
        <f t="array" ref="C352">INDEX(GMW!$A$2:$NF$60,MATCH(1,(GMW!$NE$2:$NE$60=C$3)*(GMW!$ND$2:$ND$60=C$4),0),$B352-1966)</f>
        <v>38330.51</v>
      </c>
      <c r="D352" s="4" cm="1">
        <f t="array" ref="D352">INDEX(GMW!$A$2:$NF$60,MATCH(1,(GMW!$NE$2:$NE$60=D$3)*(GMW!$ND$2:$ND$60=D$4),0),$B352-1966)</f>
        <v>63888.38</v>
      </c>
      <c r="E352" s="4" cm="1">
        <f t="array" ref="E352">INDEX(GMW!$A$2:$NF$60,MATCH(1,(GMW!$NE$2:$NE$60=E$3)*(GMW!$ND$2:$ND$60=E$4),0),$B352-1966)</f>
        <v>2.5</v>
      </c>
      <c r="F352" s="4" cm="1">
        <f t="array" ref="F352">INDEX(GMW!$A$2:$NF$60,MATCH(1,(GMW!$NE$2:$NE$60=F$3)*(GMW!$ND$2:$ND$60=F$4),0),$B352-1966)</f>
        <v>3.35</v>
      </c>
      <c r="G352" s="4" cm="1">
        <f t="array" ref="G352">INDEX(GMW!$A$2:$NF$60,MATCH(1,(GMW!$NE$2:$NE$60=G$3)*(GMW!$ND$2:$ND$60=G$4),0),$B352-1966)</f>
        <v>3.5</v>
      </c>
      <c r="H352" s="4" cm="1">
        <f t="array" ref="H352">INDEX(GMW!$A$2:$NF$60,MATCH(1,(GMW!$NE$2:$NE$60=H$3)*(GMW!$ND$2:$ND$60=H$4),0),$B352-1966)</f>
        <v>4.3</v>
      </c>
    </row>
    <row r="353" spans="1:8" x14ac:dyDescent="0.35">
      <c r="B353" s="4">
        <f t="shared" si="6"/>
        <v>2319</v>
      </c>
      <c r="C353" s="4" cm="1">
        <f t="array" ref="C353">INDEX(GMW!$A$2:$NF$60,MATCH(1,(GMW!$NE$2:$NE$60=C$3)*(GMW!$ND$2:$ND$60=C$4),0),$B353-1966)</f>
        <v>38556.089999999997</v>
      </c>
      <c r="D353" s="4" cm="1">
        <f t="array" ref="D353">INDEX(GMW!$A$2:$NF$60,MATCH(1,(GMW!$NE$2:$NE$60=D$3)*(GMW!$ND$2:$ND$60=D$4),0),$B353-1966)</f>
        <v>64259.78</v>
      </c>
      <c r="E353" s="4" cm="1">
        <f t="array" ref="E353">INDEX(GMW!$A$2:$NF$60,MATCH(1,(GMW!$NE$2:$NE$60=E$3)*(GMW!$ND$2:$ND$60=E$4),0),$B353-1966)</f>
        <v>2.5</v>
      </c>
      <c r="F353" s="4" cm="1">
        <f t="array" ref="F353">INDEX(GMW!$A$2:$NF$60,MATCH(1,(GMW!$NE$2:$NE$60=F$3)*(GMW!$ND$2:$ND$60=F$4),0),$B353-1966)</f>
        <v>3.35</v>
      </c>
      <c r="G353" s="4" cm="1">
        <f t="array" ref="G353">INDEX(GMW!$A$2:$NF$60,MATCH(1,(GMW!$NE$2:$NE$60=G$3)*(GMW!$ND$2:$ND$60=G$4),0),$B353-1966)</f>
        <v>3.5</v>
      </c>
      <c r="H353" s="4" cm="1">
        <f t="array" ref="H353">INDEX(GMW!$A$2:$NF$60,MATCH(1,(GMW!$NE$2:$NE$60=H$3)*(GMW!$ND$2:$ND$60=H$4),0),$B353-1966)</f>
        <v>4.3</v>
      </c>
    </row>
    <row r="354" spans="1:8" x14ac:dyDescent="0.35">
      <c r="B354" s="4">
        <f t="shared" si="6"/>
        <v>2320</v>
      </c>
      <c r="C354" s="4" cm="1">
        <f t="array" ref="C354">INDEX(GMW!$A$2:$NF$60,MATCH(1,(GMW!$NE$2:$NE$60=C$3)*(GMW!$ND$2:$ND$60=C$4),0),$B354-1966)</f>
        <v>38782.839999999997</v>
      </c>
      <c r="D354" s="4" cm="1">
        <f t="array" ref="D354">INDEX(GMW!$A$2:$NF$60,MATCH(1,(GMW!$NE$2:$NE$60=D$3)*(GMW!$ND$2:$ND$60=D$4),0),$B354-1966)</f>
        <v>64633.08</v>
      </c>
      <c r="E354" s="4" cm="1">
        <f t="array" ref="E354">INDEX(GMW!$A$2:$NF$60,MATCH(1,(GMW!$NE$2:$NE$60=E$3)*(GMW!$ND$2:$ND$60=E$4),0),$B354-1966)</f>
        <v>2.5</v>
      </c>
      <c r="F354" s="4" cm="1">
        <f t="array" ref="F354">INDEX(GMW!$A$2:$NF$60,MATCH(1,(GMW!$NE$2:$NE$60=F$3)*(GMW!$ND$2:$ND$60=F$4),0),$B354-1966)</f>
        <v>3.35</v>
      </c>
      <c r="G354" s="4" cm="1">
        <f t="array" ref="G354">INDEX(GMW!$A$2:$NF$60,MATCH(1,(GMW!$NE$2:$NE$60=G$3)*(GMW!$ND$2:$ND$60=G$4),0),$B354-1966)</f>
        <v>3.5</v>
      </c>
      <c r="H354" s="4" cm="1">
        <f t="array" ref="H354">INDEX(GMW!$A$2:$NF$60,MATCH(1,(GMW!$NE$2:$NE$60=H$3)*(GMW!$ND$2:$ND$60=H$4),0),$B354-1966)</f>
        <v>4.3</v>
      </c>
    </row>
    <row r="355" spans="1:8" x14ac:dyDescent="0.35">
      <c r="A355" s="4">
        <v>2060</v>
      </c>
      <c r="B355" s="4">
        <f t="shared" si="6"/>
        <v>2321</v>
      </c>
      <c r="C355" s="4" cm="1">
        <f t="array" ref="C355">INDEX(GMW!$A$2:$NF$60,MATCH(1,(GMW!$NE$2:$NE$60=C$3)*(GMW!$ND$2:$ND$60=C$4),0),$B355-1966)</f>
        <v>39010.61</v>
      </c>
      <c r="D355" s="4" cm="1">
        <f t="array" ref="D355">INDEX(GMW!$A$2:$NF$60,MATCH(1,(GMW!$NE$2:$NE$60=D$3)*(GMW!$ND$2:$ND$60=D$4),0),$B355-1966)</f>
        <v>65008.36</v>
      </c>
      <c r="E355" s="4" cm="1">
        <f t="array" ref="E355">INDEX(GMW!$A$2:$NF$60,MATCH(1,(GMW!$NE$2:$NE$60=E$3)*(GMW!$ND$2:$ND$60=E$4),0),$B355-1966)</f>
        <v>2.5</v>
      </c>
      <c r="F355" s="4" cm="1">
        <f t="array" ref="F355">INDEX(GMW!$A$2:$NF$60,MATCH(1,(GMW!$NE$2:$NE$60=F$3)*(GMW!$ND$2:$ND$60=F$4),0),$B355-1966)</f>
        <v>3.35</v>
      </c>
      <c r="G355" s="4" cm="1">
        <f t="array" ref="G355">INDEX(GMW!$A$2:$NF$60,MATCH(1,(GMW!$NE$2:$NE$60=G$3)*(GMW!$ND$2:$ND$60=G$4),0),$B355-1966)</f>
        <v>3.5</v>
      </c>
      <c r="H355" s="4" cm="1">
        <f t="array" ref="H355">INDEX(GMW!$A$2:$NF$60,MATCH(1,(GMW!$NE$2:$NE$60=H$3)*(GMW!$ND$2:$ND$60=H$4),0),$B355-1966)</f>
        <v>4.3</v>
      </c>
    </row>
    <row r="356" spans="1:8" x14ac:dyDescent="0.35">
      <c r="B356" s="4">
        <f t="shared" si="6"/>
        <v>2322</v>
      </c>
      <c r="C356" s="4" cm="1">
        <f t="array" ref="C356">INDEX(GMW!$A$2:$NF$60,MATCH(1,(GMW!$NE$2:$NE$60=C$3)*(GMW!$ND$2:$ND$60=C$4),0),$B356-1966)</f>
        <v>39239.370000000003</v>
      </c>
      <c r="D356" s="4" cm="1">
        <f t="array" ref="D356">INDEX(GMW!$A$2:$NF$60,MATCH(1,(GMW!$NE$2:$NE$60=D$3)*(GMW!$ND$2:$ND$60=D$4),0),$B356-1966)</f>
        <v>65385.65</v>
      </c>
      <c r="E356" s="4" cm="1">
        <f t="array" ref="E356">INDEX(GMW!$A$2:$NF$60,MATCH(1,(GMW!$NE$2:$NE$60=E$3)*(GMW!$ND$2:$ND$60=E$4),0),$B356-1966)</f>
        <v>2.5</v>
      </c>
      <c r="F356" s="4" cm="1">
        <f t="array" ref="F356">INDEX(GMW!$A$2:$NF$60,MATCH(1,(GMW!$NE$2:$NE$60=F$3)*(GMW!$ND$2:$ND$60=F$4),0),$B356-1966)</f>
        <v>3.35</v>
      </c>
      <c r="G356" s="4" cm="1">
        <f t="array" ref="G356">INDEX(GMW!$A$2:$NF$60,MATCH(1,(GMW!$NE$2:$NE$60=G$3)*(GMW!$ND$2:$ND$60=G$4),0),$B356-1966)</f>
        <v>3.5</v>
      </c>
      <c r="H356" s="4" cm="1">
        <f t="array" ref="H356">INDEX(GMW!$A$2:$NF$60,MATCH(1,(GMW!$NE$2:$NE$60=H$3)*(GMW!$ND$2:$ND$60=H$4),0),$B356-1966)</f>
        <v>4.3</v>
      </c>
    </row>
    <row r="357" spans="1:8" x14ac:dyDescent="0.35">
      <c r="B357" s="4">
        <f t="shared" si="6"/>
        <v>2323</v>
      </c>
      <c r="C357" s="4" cm="1">
        <f t="array" ref="C357">INDEX(GMW!$A$2:$NF$60,MATCH(1,(GMW!$NE$2:$NE$60=C$3)*(GMW!$ND$2:$ND$60=C$4),0),$B357-1966)</f>
        <v>39469.050000000003</v>
      </c>
      <c r="D357" s="4" cm="1">
        <f t="array" ref="D357">INDEX(GMW!$A$2:$NF$60,MATCH(1,(GMW!$NE$2:$NE$60=D$3)*(GMW!$ND$2:$ND$60=D$4),0),$B357-1966)</f>
        <v>65764.95</v>
      </c>
      <c r="E357" s="4" cm="1">
        <f t="array" ref="E357">INDEX(GMW!$A$2:$NF$60,MATCH(1,(GMW!$NE$2:$NE$60=E$3)*(GMW!$ND$2:$ND$60=E$4),0),$B357-1966)</f>
        <v>2.5</v>
      </c>
      <c r="F357" s="4" cm="1">
        <f t="array" ref="F357">INDEX(GMW!$A$2:$NF$60,MATCH(1,(GMW!$NE$2:$NE$60=F$3)*(GMW!$ND$2:$ND$60=F$4),0),$B357-1966)</f>
        <v>3.35</v>
      </c>
      <c r="G357" s="4" cm="1">
        <f t="array" ref="G357">INDEX(GMW!$A$2:$NF$60,MATCH(1,(GMW!$NE$2:$NE$60=G$3)*(GMW!$ND$2:$ND$60=G$4),0),$B357-1966)</f>
        <v>3.5</v>
      </c>
      <c r="H357" s="4" cm="1">
        <f t="array" ref="H357">INDEX(GMW!$A$2:$NF$60,MATCH(1,(GMW!$NE$2:$NE$60=H$3)*(GMW!$ND$2:$ND$60=H$4),0),$B357-1966)</f>
        <v>4.3</v>
      </c>
    </row>
    <row r="358" spans="1:8" x14ac:dyDescent="0.35">
      <c r="B358" s="4">
        <f t="shared" si="6"/>
        <v>2324</v>
      </c>
      <c r="C358" s="4" cm="1">
        <f t="array" ref="C358">INDEX(GMW!$A$2:$NF$60,MATCH(1,(GMW!$NE$2:$NE$60=C$3)*(GMW!$ND$2:$ND$60=C$4),0),$B358-1966)</f>
        <v>39699.78</v>
      </c>
      <c r="D358" s="4" cm="1">
        <f t="array" ref="D358">INDEX(GMW!$A$2:$NF$60,MATCH(1,(GMW!$NE$2:$NE$60=D$3)*(GMW!$ND$2:$ND$60=D$4),0),$B358-1966)</f>
        <v>66146.34</v>
      </c>
      <c r="E358" s="4" cm="1">
        <f t="array" ref="E358">INDEX(GMW!$A$2:$NF$60,MATCH(1,(GMW!$NE$2:$NE$60=E$3)*(GMW!$ND$2:$ND$60=E$4),0),$B358-1966)</f>
        <v>2.5</v>
      </c>
      <c r="F358" s="4" cm="1">
        <f t="array" ref="F358">INDEX(GMW!$A$2:$NF$60,MATCH(1,(GMW!$NE$2:$NE$60=F$3)*(GMW!$ND$2:$ND$60=F$4),0),$B358-1966)</f>
        <v>3.35</v>
      </c>
      <c r="G358" s="4" cm="1">
        <f t="array" ref="G358">INDEX(GMW!$A$2:$NF$60,MATCH(1,(GMW!$NE$2:$NE$60=G$3)*(GMW!$ND$2:$ND$60=G$4),0),$B358-1966)</f>
        <v>3.5</v>
      </c>
      <c r="H358" s="4" cm="1">
        <f t="array" ref="H358">INDEX(GMW!$A$2:$NF$60,MATCH(1,(GMW!$NE$2:$NE$60=H$3)*(GMW!$ND$2:$ND$60=H$4),0),$B358-1966)</f>
        <v>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821D-BEC0-43B5-9288-633A37BFF7A3}">
  <sheetPr codeName="Sheet11"/>
  <dimension ref="A1:NF1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5" sqref="A15"/>
    </sheetView>
  </sheetViews>
  <sheetFormatPr defaultRowHeight="14.5" x14ac:dyDescent="0.3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59" width="10.7265625" customWidth="1"/>
    <col min="360" max="360" width="20.7265625" customWidth="1"/>
    <col min="361" max="362" width="15.7265625" customWidth="1"/>
    <col min="363" max="364" width="20.7265625" customWidth="1"/>
    <col min="365" max="365" width="18.7265625" customWidth="1"/>
    <col min="366" max="367" width="22.7265625" customWidth="1"/>
    <col min="368" max="368" width="13.7265625" customWidth="1"/>
    <col min="369" max="369" width="14.7265625" customWidth="1"/>
    <col min="370" max="370" width="10.7265625" customWidth="1"/>
  </cols>
  <sheetData>
    <row r="1" spans="1:370" ht="29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0" t="s">
        <v>84</v>
      </c>
      <c r="CH1" s="20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0" t="s">
        <v>90</v>
      </c>
      <c r="CN1" s="20" t="s">
        <v>91</v>
      </c>
      <c r="CO1" s="20" t="s">
        <v>92</v>
      </c>
      <c r="CP1" s="20" t="s">
        <v>93</v>
      </c>
      <c r="CQ1" s="20" t="s">
        <v>94</v>
      </c>
      <c r="CR1" s="20" t="s">
        <v>95</v>
      </c>
      <c r="CS1" s="20" t="s">
        <v>96</v>
      </c>
      <c r="CT1" s="20" t="s">
        <v>97</v>
      </c>
      <c r="CU1" s="20" t="s">
        <v>98</v>
      </c>
      <c r="CV1" s="20" t="s">
        <v>99</v>
      </c>
      <c r="CW1" s="20" t="s">
        <v>100</v>
      </c>
      <c r="CX1" s="20" t="s">
        <v>101</v>
      </c>
      <c r="CY1" s="20" t="s">
        <v>102</v>
      </c>
      <c r="CZ1" s="20" t="s">
        <v>103</v>
      </c>
      <c r="DA1" s="20" t="s">
        <v>104</v>
      </c>
      <c r="DB1" s="20" t="s">
        <v>105</v>
      </c>
      <c r="DC1" s="20" t="s">
        <v>106</v>
      </c>
      <c r="DD1" s="20" t="s">
        <v>107</v>
      </c>
      <c r="DE1" s="20" t="s">
        <v>108</v>
      </c>
      <c r="DF1" s="20" t="s">
        <v>109</v>
      </c>
      <c r="DG1" s="20" t="s">
        <v>110</v>
      </c>
      <c r="DH1" s="20" t="s">
        <v>111</v>
      </c>
      <c r="DI1" s="20" t="s">
        <v>112</v>
      </c>
      <c r="DJ1" s="20" t="s">
        <v>113</v>
      </c>
      <c r="DK1" s="20" t="s">
        <v>114</v>
      </c>
      <c r="DL1" s="20" t="s">
        <v>115</v>
      </c>
      <c r="DM1" s="20" t="s">
        <v>116</v>
      </c>
      <c r="DN1" s="20" t="s">
        <v>117</v>
      </c>
      <c r="DO1" s="20" t="s">
        <v>118</v>
      </c>
      <c r="DP1" s="20" t="s">
        <v>119</v>
      </c>
      <c r="DQ1" s="20" t="s">
        <v>120</v>
      </c>
      <c r="DR1" s="20" t="s">
        <v>121</v>
      </c>
      <c r="DS1" s="20" t="s">
        <v>122</v>
      </c>
      <c r="DT1" s="20" t="s">
        <v>123</v>
      </c>
      <c r="DU1" s="20" t="s">
        <v>124</v>
      </c>
      <c r="DV1" s="20" t="s">
        <v>125</v>
      </c>
      <c r="DW1" s="20" t="s">
        <v>126</v>
      </c>
      <c r="DX1" s="20" t="s">
        <v>127</v>
      </c>
      <c r="DY1" s="20" t="s">
        <v>128</v>
      </c>
      <c r="DZ1" s="20" t="s">
        <v>129</v>
      </c>
      <c r="EA1" s="20" t="s">
        <v>130</v>
      </c>
      <c r="EB1" s="20" t="s">
        <v>131</v>
      </c>
      <c r="EC1" s="20" t="s">
        <v>132</v>
      </c>
      <c r="ED1" s="20" t="s">
        <v>133</v>
      </c>
      <c r="EE1" s="20" t="s">
        <v>134</v>
      </c>
      <c r="EF1" s="20" t="s">
        <v>135</v>
      </c>
      <c r="EG1" s="20" t="s">
        <v>136</v>
      </c>
      <c r="EH1" s="20" t="s">
        <v>137</v>
      </c>
      <c r="EI1" s="20" t="s">
        <v>138</v>
      </c>
      <c r="EJ1" s="20" t="s">
        <v>139</v>
      </c>
      <c r="EK1" s="20" t="s">
        <v>140</v>
      </c>
      <c r="EL1" s="20" t="s">
        <v>141</v>
      </c>
      <c r="EM1" s="20" t="s">
        <v>142</v>
      </c>
      <c r="EN1" s="20" t="s">
        <v>143</v>
      </c>
      <c r="EO1" s="20" t="s">
        <v>144</v>
      </c>
      <c r="EP1" s="20" t="s">
        <v>145</v>
      </c>
      <c r="EQ1" s="20" t="s">
        <v>146</v>
      </c>
      <c r="ER1" s="20" t="s">
        <v>147</v>
      </c>
      <c r="ES1" s="20" t="s">
        <v>148</v>
      </c>
      <c r="ET1" s="20" t="s">
        <v>149</v>
      </c>
      <c r="EU1" s="20" t="s">
        <v>150</v>
      </c>
      <c r="EV1" s="20" t="s">
        <v>151</v>
      </c>
      <c r="EW1" s="20" t="s">
        <v>152</v>
      </c>
      <c r="EX1" s="20" t="s">
        <v>153</v>
      </c>
      <c r="EY1" s="20" t="s">
        <v>154</v>
      </c>
      <c r="EZ1" s="20" t="s">
        <v>155</v>
      </c>
      <c r="FA1" s="20" t="s">
        <v>156</v>
      </c>
      <c r="FB1" s="20" t="s">
        <v>157</v>
      </c>
      <c r="FC1" s="20" t="s">
        <v>158</v>
      </c>
      <c r="FD1" s="20" t="s">
        <v>159</v>
      </c>
      <c r="FE1" s="20" t="s">
        <v>160</v>
      </c>
      <c r="FF1" s="20" t="s">
        <v>161</v>
      </c>
      <c r="FG1" s="20" t="s">
        <v>162</v>
      </c>
      <c r="FH1" s="20" t="s">
        <v>163</v>
      </c>
      <c r="FI1" s="20" t="s">
        <v>164</v>
      </c>
      <c r="FJ1" s="20" t="s">
        <v>165</v>
      </c>
      <c r="FK1" s="20" t="s">
        <v>166</v>
      </c>
      <c r="FL1" s="20" t="s">
        <v>167</v>
      </c>
      <c r="FM1" s="20" t="s">
        <v>168</v>
      </c>
      <c r="FN1" s="20" t="s">
        <v>169</v>
      </c>
      <c r="FO1" s="20" t="s">
        <v>170</v>
      </c>
      <c r="FP1" s="20" t="s">
        <v>171</v>
      </c>
      <c r="FQ1" s="20" t="s">
        <v>172</v>
      </c>
      <c r="FR1" s="20" t="s">
        <v>173</v>
      </c>
      <c r="FS1" s="20" t="s">
        <v>174</v>
      </c>
      <c r="FT1" s="20" t="s">
        <v>175</v>
      </c>
      <c r="FU1" s="20" t="s">
        <v>176</v>
      </c>
      <c r="FV1" s="20" t="s">
        <v>177</v>
      </c>
      <c r="FW1" s="20" t="s">
        <v>178</v>
      </c>
      <c r="FX1" s="20" t="s">
        <v>179</v>
      </c>
      <c r="FY1" s="20" t="s">
        <v>180</v>
      </c>
      <c r="FZ1" s="20" t="s">
        <v>181</v>
      </c>
      <c r="GA1" s="20" t="s">
        <v>182</v>
      </c>
      <c r="GB1" s="20" t="s">
        <v>183</v>
      </c>
      <c r="GC1" s="20" t="s">
        <v>184</v>
      </c>
      <c r="GD1" s="20" t="s">
        <v>185</v>
      </c>
      <c r="GE1" s="20" t="s">
        <v>186</v>
      </c>
      <c r="GF1" s="20" t="s">
        <v>187</v>
      </c>
      <c r="GG1" s="20" t="s">
        <v>188</v>
      </c>
      <c r="GH1" s="20" t="s">
        <v>189</v>
      </c>
      <c r="GI1" s="20" t="s">
        <v>190</v>
      </c>
      <c r="GJ1" s="20" t="s">
        <v>191</v>
      </c>
      <c r="GK1" s="20" t="s">
        <v>192</v>
      </c>
      <c r="GL1" s="20" t="s">
        <v>193</v>
      </c>
      <c r="GM1" s="20" t="s">
        <v>194</v>
      </c>
      <c r="GN1" s="20" t="s">
        <v>195</v>
      </c>
      <c r="GO1" s="20" t="s">
        <v>196</v>
      </c>
      <c r="GP1" s="20" t="s">
        <v>197</v>
      </c>
      <c r="GQ1" s="20" t="s">
        <v>198</v>
      </c>
      <c r="GR1" s="20" t="s">
        <v>199</v>
      </c>
      <c r="GS1" s="20" t="s">
        <v>200</v>
      </c>
      <c r="GT1" s="20" t="s">
        <v>201</v>
      </c>
      <c r="GU1" s="20" t="s">
        <v>202</v>
      </c>
      <c r="GV1" s="20" t="s">
        <v>203</v>
      </c>
      <c r="GW1" s="20" t="s">
        <v>204</v>
      </c>
      <c r="GX1" s="20" t="s">
        <v>205</v>
      </c>
      <c r="GY1" s="20" t="s">
        <v>206</v>
      </c>
      <c r="GZ1" s="20" t="s">
        <v>207</v>
      </c>
      <c r="HA1" s="20" t="s">
        <v>208</v>
      </c>
      <c r="HB1" s="20" t="s">
        <v>209</v>
      </c>
      <c r="HC1" s="20" t="s">
        <v>210</v>
      </c>
      <c r="HD1" s="20" t="s">
        <v>211</v>
      </c>
      <c r="HE1" s="20" t="s">
        <v>212</v>
      </c>
      <c r="HF1" s="20" t="s">
        <v>213</v>
      </c>
      <c r="HG1" s="20" t="s">
        <v>214</v>
      </c>
      <c r="HH1" s="20" t="s">
        <v>215</v>
      </c>
      <c r="HI1" s="20" t="s">
        <v>216</v>
      </c>
      <c r="HJ1" s="20" t="s">
        <v>217</v>
      </c>
      <c r="HK1" s="20" t="s">
        <v>218</v>
      </c>
      <c r="HL1" s="20" t="s">
        <v>219</v>
      </c>
      <c r="HM1" s="20" t="s">
        <v>220</v>
      </c>
      <c r="HN1" s="20" t="s">
        <v>221</v>
      </c>
      <c r="HO1" s="20" t="s">
        <v>222</v>
      </c>
      <c r="HP1" s="20" t="s">
        <v>223</v>
      </c>
      <c r="HQ1" s="20" t="s">
        <v>224</v>
      </c>
      <c r="HR1" s="20" t="s">
        <v>225</v>
      </c>
      <c r="HS1" s="20" t="s">
        <v>226</v>
      </c>
      <c r="HT1" s="20" t="s">
        <v>227</v>
      </c>
      <c r="HU1" s="20" t="s">
        <v>228</v>
      </c>
      <c r="HV1" s="20" t="s">
        <v>229</v>
      </c>
      <c r="HW1" s="20" t="s">
        <v>230</v>
      </c>
      <c r="HX1" s="20" t="s">
        <v>231</v>
      </c>
      <c r="HY1" s="20" t="s">
        <v>232</v>
      </c>
      <c r="HZ1" s="20" t="s">
        <v>233</v>
      </c>
      <c r="IA1" s="20" t="s">
        <v>234</v>
      </c>
      <c r="IB1" s="20" t="s">
        <v>235</v>
      </c>
      <c r="IC1" s="20" t="s">
        <v>236</v>
      </c>
      <c r="ID1" s="20" t="s">
        <v>237</v>
      </c>
      <c r="IE1" s="20" t="s">
        <v>238</v>
      </c>
      <c r="IF1" s="20" t="s">
        <v>239</v>
      </c>
      <c r="IG1" s="20" t="s">
        <v>240</v>
      </c>
      <c r="IH1" s="20" t="s">
        <v>241</v>
      </c>
      <c r="II1" s="20" t="s">
        <v>242</v>
      </c>
      <c r="IJ1" s="20" t="s">
        <v>243</v>
      </c>
      <c r="IK1" s="20" t="s">
        <v>244</v>
      </c>
      <c r="IL1" s="20" t="s">
        <v>245</v>
      </c>
      <c r="IM1" s="20" t="s">
        <v>246</v>
      </c>
      <c r="IN1" s="20" t="s">
        <v>247</v>
      </c>
      <c r="IO1" s="20" t="s">
        <v>248</v>
      </c>
      <c r="IP1" s="20" t="s">
        <v>249</v>
      </c>
      <c r="IQ1" s="20" t="s">
        <v>250</v>
      </c>
      <c r="IR1" s="20" t="s">
        <v>251</v>
      </c>
      <c r="IS1" s="20" t="s">
        <v>252</v>
      </c>
      <c r="IT1" s="20" t="s">
        <v>253</v>
      </c>
      <c r="IU1" s="20" t="s">
        <v>254</v>
      </c>
      <c r="IV1" s="20" t="s">
        <v>255</v>
      </c>
      <c r="IW1" s="20" t="s">
        <v>256</v>
      </c>
      <c r="IX1" s="20" t="s">
        <v>257</v>
      </c>
      <c r="IY1" s="20" t="s">
        <v>258</v>
      </c>
      <c r="IZ1" s="20" t="s">
        <v>259</v>
      </c>
      <c r="JA1" s="20" t="s">
        <v>260</v>
      </c>
      <c r="JB1" s="20" t="s">
        <v>261</v>
      </c>
      <c r="JC1" s="20" t="s">
        <v>262</v>
      </c>
      <c r="JD1" s="20" t="s">
        <v>263</v>
      </c>
      <c r="JE1" s="20" t="s">
        <v>264</v>
      </c>
      <c r="JF1" s="20" t="s">
        <v>265</v>
      </c>
      <c r="JG1" s="20" t="s">
        <v>266</v>
      </c>
      <c r="JH1" s="20" t="s">
        <v>267</v>
      </c>
      <c r="JI1" s="20" t="s">
        <v>268</v>
      </c>
      <c r="JJ1" s="20" t="s">
        <v>269</v>
      </c>
      <c r="JK1" s="20" t="s">
        <v>270</v>
      </c>
      <c r="JL1" s="20" t="s">
        <v>271</v>
      </c>
      <c r="JM1" s="20" t="s">
        <v>272</v>
      </c>
      <c r="JN1" s="20" t="s">
        <v>273</v>
      </c>
      <c r="JO1" s="20" t="s">
        <v>274</v>
      </c>
      <c r="JP1" s="20" t="s">
        <v>275</v>
      </c>
      <c r="JQ1" s="20" t="s">
        <v>276</v>
      </c>
      <c r="JR1" s="20" t="s">
        <v>277</v>
      </c>
      <c r="JS1" s="20" t="s">
        <v>278</v>
      </c>
      <c r="JT1" s="20" t="s">
        <v>279</v>
      </c>
      <c r="JU1" s="20" t="s">
        <v>280</v>
      </c>
      <c r="JV1" s="20" t="s">
        <v>281</v>
      </c>
      <c r="JW1" s="20" t="s">
        <v>282</v>
      </c>
      <c r="JX1" s="20" t="s">
        <v>283</v>
      </c>
      <c r="JY1" s="20" t="s">
        <v>284</v>
      </c>
      <c r="JZ1" s="20" t="s">
        <v>285</v>
      </c>
      <c r="KA1" s="20" t="s">
        <v>286</v>
      </c>
      <c r="KB1" s="20" t="s">
        <v>287</v>
      </c>
      <c r="KC1" s="20" t="s">
        <v>288</v>
      </c>
      <c r="KD1" s="20" t="s">
        <v>289</v>
      </c>
      <c r="KE1" s="20" t="s">
        <v>290</v>
      </c>
      <c r="KF1" s="20" t="s">
        <v>291</v>
      </c>
      <c r="KG1" s="20" t="s">
        <v>292</v>
      </c>
      <c r="KH1" s="20" t="s">
        <v>293</v>
      </c>
      <c r="KI1" s="20" t="s">
        <v>294</v>
      </c>
      <c r="KJ1" s="20" t="s">
        <v>295</v>
      </c>
      <c r="KK1" s="20" t="s">
        <v>296</v>
      </c>
      <c r="KL1" s="20" t="s">
        <v>297</v>
      </c>
      <c r="KM1" s="20" t="s">
        <v>298</v>
      </c>
      <c r="KN1" s="20" t="s">
        <v>299</v>
      </c>
      <c r="KO1" s="20" t="s">
        <v>300</v>
      </c>
      <c r="KP1" s="20" t="s">
        <v>301</v>
      </c>
      <c r="KQ1" s="20" t="s">
        <v>302</v>
      </c>
      <c r="KR1" s="20" t="s">
        <v>303</v>
      </c>
      <c r="KS1" s="20" t="s">
        <v>304</v>
      </c>
      <c r="KT1" s="20" t="s">
        <v>305</v>
      </c>
      <c r="KU1" s="20" t="s">
        <v>306</v>
      </c>
      <c r="KV1" s="20" t="s">
        <v>307</v>
      </c>
      <c r="KW1" s="20" t="s">
        <v>308</v>
      </c>
      <c r="KX1" s="20" t="s">
        <v>309</v>
      </c>
      <c r="KY1" s="20" t="s">
        <v>310</v>
      </c>
      <c r="KZ1" s="20" t="s">
        <v>311</v>
      </c>
      <c r="LA1" s="20" t="s">
        <v>312</v>
      </c>
      <c r="LB1" s="20" t="s">
        <v>313</v>
      </c>
      <c r="LC1" s="20" t="s">
        <v>314</v>
      </c>
      <c r="LD1" s="20" t="s">
        <v>315</v>
      </c>
      <c r="LE1" s="20" t="s">
        <v>316</v>
      </c>
      <c r="LF1" s="20" t="s">
        <v>317</v>
      </c>
      <c r="LG1" s="20" t="s">
        <v>318</v>
      </c>
      <c r="LH1" s="20" t="s">
        <v>319</v>
      </c>
      <c r="LI1" s="20" t="s">
        <v>320</v>
      </c>
      <c r="LJ1" s="20" t="s">
        <v>321</v>
      </c>
      <c r="LK1" s="20" t="s">
        <v>322</v>
      </c>
      <c r="LL1" s="20" t="s">
        <v>323</v>
      </c>
      <c r="LM1" s="20" t="s">
        <v>324</v>
      </c>
      <c r="LN1" s="20" t="s">
        <v>325</v>
      </c>
      <c r="LO1" s="20" t="s">
        <v>326</v>
      </c>
      <c r="LP1" s="20" t="s">
        <v>327</v>
      </c>
      <c r="LQ1" s="20" t="s">
        <v>328</v>
      </c>
      <c r="LR1" s="20" t="s">
        <v>329</v>
      </c>
      <c r="LS1" s="20" t="s">
        <v>330</v>
      </c>
      <c r="LT1" s="20" t="s">
        <v>331</v>
      </c>
      <c r="LU1" s="20" t="s">
        <v>332</v>
      </c>
      <c r="LV1" s="20" t="s">
        <v>333</v>
      </c>
      <c r="LW1" s="20" t="s">
        <v>334</v>
      </c>
      <c r="LX1" s="20" t="s">
        <v>335</v>
      </c>
      <c r="LY1" s="20" t="s">
        <v>336</v>
      </c>
      <c r="LZ1" s="20" t="s">
        <v>337</v>
      </c>
      <c r="MA1" s="20" t="s">
        <v>338</v>
      </c>
      <c r="MB1" s="20" t="s">
        <v>339</v>
      </c>
      <c r="MC1" s="20" t="s">
        <v>340</v>
      </c>
      <c r="MD1" s="20" t="s">
        <v>341</v>
      </c>
      <c r="ME1" s="20" t="s">
        <v>342</v>
      </c>
      <c r="MF1" s="20" t="s">
        <v>343</v>
      </c>
      <c r="MG1" s="20" t="s">
        <v>344</v>
      </c>
      <c r="MH1" s="20" t="s">
        <v>345</v>
      </c>
      <c r="MI1" s="20" t="s">
        <v>346</v>
      </c>
      <c r="MJ1" s="20" t="s">
        <v>347</v>
      </c>
      <c r="MK1" s="20" t="s">
        <v>348</v>
      </c>
      <c r="ML1" s="20" t="s">
        <v>349</v>
      </c>
      <c r="MM1" s="20" t="s">
        <v>350</v>
      </c>
      <c r="MN1" s="20" t="s">
        <v>351</v>
      </c>
      <c r="MO1" s="20" t="s">
        <v>352</v>
      </c>
      <c r="MP1" s="20" t="s">
        <v>353</v>
      </c>
      <c r="MQ1" s="20" t="s">
        <v>354</v>
      </c>
      <c r="MR1" s="20" t="s">
        <v>355</v>
      </c>
      <c r="MS1" s="20" t="s">
        <v>356</v>
      </c>
      <c r="MT1" s="20" t="s">
        <v>357</v>
      </c>
      <c r="MU1" s="20" t="s">
        <v>358</v>
      </c>
      <c r="MV1" s="20" t="s">
        <v>359</v>
      </c>
      <c r="MW1" s="20" t="s">
        <v>360</v>
      </c>
      <c r="MX1" s="20" t="s">
        <v>361</v>
      </c>
      <c r="MY1" s="20" t="s">
        <v>362</v>
      </c>
      <c r="MZ1" s="20" t="s">
        <v>363</v>
      </c>
      <c r="NA1" s="20" t="s">
        <v>364</v>
      </c>
      <c r="NB1" s="20" t="s">
        <v>365</v>
      </c>
      <c r="NC1" s="20" t="s">
        <v>366</v>
      </c>
      <c r="ND1" s="20" t="s">
        <v>367</v>
      </c>
      <c r="NE1" s="20" t="s">
        <v>368</v>
      </c>
      <c r="NF1" s="20" t="s">
        <v>369</v>
      </c>
    </row>
    <row r="2" spans="1:370" x14ac:dyDescent="0.35">
      <c r="A2" t="s">
        <v>370</v>
      </c>
      <c r="B2" t="s">
        <v>395</v>
      </c>
      <c r="C2" s="1" t="s">
        <v>912</v>
      </c>
      <c r="D2" t="s">
        <v>396</v>
      </c>
      <c r="E2" t="s">
        <v>376</v>
      </c>
      <c r="F2" t="s">
        <v>374</v>
      </c>
      <c r="G2" s="2">
        <v>8.5</v>
      </c>
      <c r="H2" s="2">
        <v>9.5</v>
      </c>
      <c r="I2" s="2">
        <v>10</v>
      </c>
      <c r="J2" s="2">
        <v>11</v>
      </c>
      <c r="K2" s="2">
        <v>11</v>
      </c>
      <c r="L2" s="2">
        <v>11</v>
      </c>
      <c r="M2" s="2">
        <v>11</v>
      </c>
      <c r="N2" s="2">
        <v>11</v>
      </c>
      <c r="O2" s="2">
        <v>11</v>
      </c>
      <c r="P2" s="2">
        <v>11</v>
      </c>
      <c r="Q2" s="2">
        <v>11</v>
      </c>
      <c r="R2" s="2">
        <v>11</v>
      </c>
      <c r="S2" s="2">
        <v>11</v>
      </c>
      <c r="T2" s="2">
        <v>10.5</v>
      </c>
      <c r="U2" s="2">
        <v>10.5</v>
      </c>
      <c r="V2" s="2">
        <v>12.25</v>
      </c>
      <c r="W2" s="2">
        <v>12.25</v>
      </c>
      <c r="X2" s="2">
        <v>11.25</v>
      </c>
      <c r="Y2" s="2">
        <v>10.5</v>
      </c>
      <c r="Z2" s="2">
        <v>9.5</v>
      </c>
      <c r="AA2" s="2">
        <v>8.5</v>
      </c>
      <c r="AB2" s="2">
        <v>8.5</v>
      </c>
      <c r="AC2" s="2">
        <v>9.75</v>
      </c>
      <c r="AD2" s="2">
        <v>10.42</v>
      </c>
      <c r="AE2" s="2">
        <v>11.75</v>
      </c>
      <c r="AF2" s="2">
        <v>11.246</v>
      </c>
      <c r="AG2" s="2">
        <v>11.75</v>
      </c>
      <c r="AH2" s="2">
        <v>13.38</v>
      </c>
      <c r="AI2" s="2">
        <v>14.7821</v>
      </c>
      <c r="AJ2" s="2">
        <v>14.875500000000001</v>
      </c>
      <c r="AK2" s="2">
        <v>14.887600000000001</v>
      </c>
      <c r="AL2" s="2">
        <v>14.9682</v>
      </c>
      <c r="AM2" s="2">
        <v>13.8888</v>
      </c>
      <c r="AN2" s="2">
        <v>13.0457</v>
      </c>
      <c r="AO2" s="2">
        <v>12.624599999999999</v>
      </c>
      <c r="AP2" s="2">
        <v>14.7041</v>
      </c>
      <c r="AQ2" s="2">
        <v>14.5939</v>
      </c>
      <c r="AR2" s="2">
        <v>13.457599999999999</v>
      </c>
      <c r="AS2" s="2">
        <v>12.612399999999999</v>
      </c>
      <c r="AT2" s="2">
        <v>10.9634</v>
      </c>
      <c r="AU2" s="2">
        <v>9.9275400000000005</v>
      </c>
      <c r="AV2" s="2">
        <v>10.075900000000001</v>
      </c>
      <c r="AW2" s="2">
        <v>11.2349</v>
      </c>
      <c r="AX2" s="2">
        <v>11.254099999999999</v>
      </c>
      <c r="AY2" s="2">
        <v>11.47</v>
      </c>
      <c r="AZ2" s="2">
        <v>10.51</v>
      </c>
      <c r="BA2" s="2">
        <v>13.08</v>
      </c>
      <c r="BB2" s="2">
        <v>12.19</v>
      </c>
      <c r="BC2" s="2">
        <v>13.25</v>
      </c>
      <c r="BD2" s="2">
        <v>14.26</v>
      </c>
      <c r="BE2" s="2">
        <v>13.06</v>
      </c>
      <c r="BF2" s="2">
        <v>13.01</v>
      </c>
      <c r="BG2" s="2">
        <v>13</v>
      </c>
      <c r="BH2" s="2">
        <v>11.06</v>
      </c>
      <c r="BI2" s="2">
        <v>11.04</v>
      </c>
      <c r="BJ2" s="2">
        <v>12.32</v>
      </c>
      <c r="BK2" s="2">
        <v>12.32</v>
      </c>
      <c r="BL2" s="2">
        <v>11.28</v>
      </c>
      <c r="BM2" s="2">
        <v>11.28</v>
      </c>
      <c r="BN2" s="2">
        <v>10.34</v>
      </c>
      <c r="BO2" s="2">
        <v>10.26</v>
      </c>
      <c r="BP2" s="2">
        <v>9.7799999999999994</v>
      </c>
      <c r="BQ2" s="2">
        <v>11.54</v>
      </c>
      <c r="BR2" s="2">
        <v>12.75</v>
      </c>
      <c r="BS2" s="2">
        <v>13.46</v>
      </c>
      <c r="BT2" s="2">
        <v>13.43</v>
      </c>
      <c r="BU2" s="2">
        <v>13.48</v>
      </c>
      <c r="BV2" s="2">
        <v>14.44</v>
      </c>
      <c r="BW2" s="2">
        <v>15.24</v>
      </c>
      <c r="BX2" s="2">
        <v>15.25</v>
      </c>
      <c r="BY2" s="2">
        <v>15.25</v>
      </c>
      <c r="BZ2" s="2">
        <v>14.34</v>
      </c>
      <c r="CA2" s="2">
        <v>14.24</v>
      </c>
      <c r="CB2" s="2">
        <v>12.75</v>
      </c>
      <c r="CC2" s="2">
        <v>11.82</v>
      </c>
      <c r="CD2" s="2">
        <v>11.39</v>
      </c>
      <c r="CE2" s="2">
        <v>10.96</v>
      </c>
      <c r="CF2" s="2">
        <v>10.82</v>
      </c>
      <c r="CG2" s="2">
        <v>10.6</v>
      </c>
      <c r="CH2" s="2">
        <v>8.98</v>
      </c>
      <c r="CI2" s="2">
        <v>8.0399999999999991</v>
      </c>
      <c r="CJ2" s="2">
        <v>8.01</v>
      </c>
      <c r="CK2" s="2">
        <v>8</v>
      </c>
      <c r="CL2" s="2">
        <v>7.94</v>
      </c>
      <c r="CM2" s="2">
        <v>7.66</v>
      </c>
      <c r="CN2" s="2">
        <v>7.61</v>
      </c>
      <c r="CO2" s="2">
        <v>7.57</v>
      </c>
      <c r="CP2" s="2">
        <v>7.84</v>
      </c>
      <c r="CQ2" s="2">
        <v>8</v>
      </c>
      <c r="CR2" s="2">
        <v>7.95</v>
      </c>
      <c r="CS2" s="2">
        <v>7.9</v>
      </c>
      <c r="CT2" s="2">
        <v>7.48</v>
      </c>
      <c r="CU2" s="2">
        <v>7.03</v>
      </c>
      <c r="CV2" s="2">
        <v>6.71</v>
      </c>
      <c r="CW2" s="2">
        <v>6.45</v>
      </c>
      <c r="CX2" s="2">
        <v>6.51</v>
      </c>
      <c r="CY2" s="2">
        <v>6.66</v>
      </c>
      <c r="CZ2" s="2">
        <v>6.98</v>
      </c>
      <c r="DA2" s="2">
        <v>7.5</v>
      </c>
      <c r="DB2" s="2">
        <v>7.58</v>
      </c>
      <c r="DC2" s="2">
        <v>7.77</v>
      </c>
      <c r="DD2" s="2">
        <v>7.78</v>
      </c>
      <c r="DE2" s="2">
        <v>7.99</v>
      </c>
      <c r="DF2" s="2">
        <v>7.29</v>
      </c>
      <c r="DG2" s="2">
        <v>7.17</v>
      </c>
      <c r="DH2" s="2">
        <v>6.74</v>
      </c>
      <c r="DI2" s="2">
        <v>6.6166669999999996</v>
      </c>
      <c r="DJ2" s="2">
        <v>6.7566670000000002</v>
      </c>
      <c r="DK2" s="2">
        <v>7.056667</v>
      </c>
      <c r="DL2" s="2">
        <v>7.1433330000000002</v>
      </c>
      <c r="DM2" s="2">
        <v>7.1133329999999999</v>
      </c>
      <c r="DN2" s="2">
        <v>7.056667</v>
      </c>
      <c r="DO2" s="2">
        <v>6.9366659999999998</v>
      </c>
      <c r="DP2" s="2">
        <v>6.6133329999999999</v>
      </c>
      <c r="DQ2" s="2">
        <v>6.35</v>
      </c>
      <c r="DR2" s="2">
        <v>5.8466670000000001</v>
      </c>
      <c r="DS2" s="2">
        <v>5.5133330000000003</v>
      </c>
      <c r="DT2" s="2">
        <v>5.4366659999999998</v>
      </c>
      <c r="DU2" s="2">
        <v>5.3133340000000002</v>
      </c>
      <c r="DV2" s="2">
        <v>5.2966670000000002</v>
      </c>
      <c r="DW2" s="2">
        <v>5.1733330000000004</v>
      </c>
      <c r="DX2" s="2">
        <v>5.01</v>
      </c>
      <c r="DY2" s="2">
        <v>4.8499999999999996</v>
      </c>
      <c r="DZ2" s="2">
        <v>4.806667</v>
      </c>
      <c r="EA2" s="2">
        <v>4.983333</v>
      </c>
      <c r="EB2" s="2">
        <v>5.1033330000000001</v>
      </c>
      <c r="EC2" s="2">
        <v>5.4633330000000004</v>
      </c>
      <c r="ED2" s="2">
        <v>5.5733329999999999</v>
      </c>
      <c r="EE2" s="2">
        <v>5.53</v>
      </c>
      <c r="EF2" s="2">
        <v>5.5033339999999997</v>
      </c>
      <c r="EG2" s="2">
        <v>5.4766659999999998</v>
      </c>
      <c r="EH2" s="2">
        <v>5.35</v>
      </c>
      <c r="EI2" s="2">
        <v>5.3266669999999996</v>
      </c>
      <c r="EJ2" s="2">
        <v>5.31</v>
      </c>
      <c r="EK2" s="2">
        <v>5.33</v>
      </c>
      <c r="EL2" s="2">
        <v>5.45</v>
      </c>
      <c r="EM2" s="2">
        <v>5.6233329999999997</v>
      </c>
      <c r="EN2" s="2">
        <v>5.7033329999999998</v>
      </c>
      <c r="EO2" s="2">
        <v>5.8833330000000004</v>
      </c>
      <c r="EP2" s="2">
        <v>5.95</v>
      </c>
      <c r="EQ2" s="2">
        <v>5.8566669999999998</v>
      </c>
      <c r="ER2" s="2">
        <v>5.7633330000000003</v>
      </c>
      <c r="ES2" s="2">
        <v>5.7966670000000002</v>
      </c>
      <c r="ET2" s="2">
        <v>5.3866670000000001</v>
      </c>
      <c r="EU2" s="2">
        <v>4.0833329999999997</v>
      </c>
      <c r="EV2" s="2">
        <v>3.6</v>
      </c>
      <c r="EW2" s="2">
        <v>3.576667</v>
      </c>
      <c r="EX2" s="2">
        <v>3.5733329999999999</v>
      </c>
      <c r="EY2" s="2">
        <v>3.6666669999999999</v>
      </c>
      <c r="EZ2" s="2">
        <v>3.66</v>
      </c>
      <c r="FA2" s="2">
        <v>3.57</v>
      </c>
      <c r="FB2" s="2">
        <v>3.5066670000000002</v>
      </c>
      <c r="FC2" s="2">
        <v>3.496667</v>
      </c>
      <c r="FD2" s="2">
        <v>3.47</v>
      </c>
      <c r="FE2" s="2">
        <v>3.4</v>
      </c>
      <c r="FF2" s="2">
        <v>3.3666670000000001</v>
      </c>
      <c r="FG2" s="2">
        <v>3.3666670000000001</v>
      </c>
      <c r="FH2" s="2">
        <v>3.38</v>
      </c>
      <c r="FI2" s="2">
        <v>3.3733330000000001</v>
      </c>
      <c r="FJ2" s="2">
        <v>3.38</v>
      </c>
      <c r="FK2" s="2">
        <v>3.3666670000000001</v>
      </c>
      <c r="FL2" s="2">
        <v>3.3433329999999999</v>
      </c>
      <c r="FM2" s="2">
        <v>3.3166669999999998</v>
      </c>
      <c r="FN2" s="2">
        <v>3.28</v>
      </c>
      <c r="FO2" s="2">
        <v>3.25</v>
      </c>
      <c r="FP2" s="2">
        <v>3.233333</v>
      </c>
      <c r="FQ2" s="2">
        <v>3.213333</v>
      </c>
      <c r="FR2" s="2">
        <v>3.1866669999999999</v>
      </c>
      <c r="FS2" s="2">
        <v>3.1533329999999999</v>
      </c>
      <c r="FT2" s="2">
        <v>3.1066669999999998</v>
      </c>
      <c r="FU2" s="2">
        <v>3.056667</v>
      </c>
      <c r="FV2" s="2">
        <v>3.01</v>
      </c>
      <c r="FW2" s="2">
        <v>2.95</v>
      </c>
      <c r="FX2" s="2">
        <v>2.9033329999999999</v>
      </c>
      <c r="FY2" s="2">
        <v>2.82</v>
      </c>
      <c r="FZ2" s="2">
        <v>2.6866669999999999</v>
      </c>
      <c r="GA2" s="2">
        <v>2.6266669999999999</v>
      </c>
      <c r="GB2" s="2">
        <v>2.5866669999999998</v>
      </c>
      <c r="GC2" s="2">
        <v>2.5333329999999998</v>
      </c>
      <c r="GD2" s="2">
        <v>2.516667</v>
      </c>
      <c r="GE2" s="2">
        <v>2.52</v>
      </c>
      <c r="GF2" s="2">
        <v>2.483333</v>
      </c>
      <c r="GG2" s="2">
        <v>2.48</v>
      </c>
      <c r="GH2" s="2">
        <v>2.4933329999999998</v>
      </c>
      <c r="GI2" s="2">
        <v>2.463333</v>
      </c>
      <c r="GJ2" s="2">
        <v>2.4366669999999999</v>
      </c>
      <c r="GK2" s="2">
        <v>2.4133330000000002</v>
      </c>
      <c r="GL2" s="2">
        <v>2.3866670000000001</v>
      </c>
      <c r="GM2" s="2">
        <v>2.3566669999999998</v>
      </c>
      <c r="GN2" s="2">
        <v>2.1833330000000002</v>
      </c>
      <c r="GO2" s="2">
        <v>2.1433330000000002</v>
      </c>
      <c r="GP2" s="2">
        <v>2.12</v>
      </c>
      <c r="GQ2" s="2">
        <v>2.09</v>
      </c>
      <c r="GR2" s="2">
        <v>2.0733329999999999</v>
      </c>
      <c r="GS2" s="2">
        <v>2.0533329999999999</v>
      </c>
      <c r="GT2" s="2">
        <v>2.02</v>
      </c>
      <c r="GU2" s="2">
        <v>2.0266670000000002</v>
      </c>
      <c r="GV2" s="2">
        <v>2.0833330000000001</v>
      </c>
      <c r="GW2" s="2">
        <v>2.1866669999999999</v>
      </c>
      <c r="GX2" s="2">
        <v>2.3966669999999999</v>
      </c>
      <c r="GY2" s="2">
        <v>2.65</v>
      </c>
      <c r="GZ2" s="2">
        <v>2.84</v>
      </c>
      <c r="HA2" s="2">
        <v>3.07</v>
      </c>
      <c r="HB2" s="2">
        <v>3.29</v>
      </c>
      <c r="HC2" s="2">
        <v>3.4733329999999998</v>
      </c>
      <c r="HD2" s="2">
        <v>3.62</v>
      </c>
      <c r="HE2" s="2">
        <v>3.726667</v>
      </c>
      <c r="HF2" s="2">
        <v>3.8</v>
      </c>
      <c r="HG2" s="2">
        <v>3.8466670000000001</v>
      </c>
      <c r="HH2" s="3">
        <v>3.8733330000000001</v>
      </c>
      <c r="HI2" s="3">
        <v>3.8546209999999999</v>
      </c>
      <c r="HJ2" s="3">
        <v>3.855985</v>
      </c>
      <c r="HK2" s="3">
        <v>3.88</v>
      </c>
      <c r="HL2" s="3">
        <v>3.8953850000000001</v>
      </c>
      <c r="HM2" s="3">
        <v>3.9440819999999999</v>
      </c>
      <c r="HN2" s="3">
        <v>3.99024</v>
      </c>
      <c r="HO2" s="3">
        <v>4.0212690000000002</v>
      </c>
      <c r="HP2" s="3">
        <v>4.0294509999999999</v>
      </c>
      <c r="HQ2" s="3">
        <v>4.0106210000000004</v>
      </c>
      <c r="HR2" s="3">
        <v>3.9302739999999998</v>
      </c>
      <c r="HS2" s="3">
        <v>3.8858609999999998</v>
      </c>
      <c r="HT2" s="3">
        <v>3.845469</v>
      </c>
      <c r="HU2" s="3">
        <v>3.7748840000000001</v>
      </c>
      <c r="HV2" s="3">
        <v>3.7265229999999998</v>
      </c>
      <c r="HW2" s="3">
        <v>3.694598</v>
      </c>
      <c r="HX2" s="3">
        <v>3.6628050000000001</v>
      </c>
      <c r="HY2" s="3">
        <v>3.6443569999999998</v>
      </c>
      <c r="HZ2" s="3">
        <v>3.631113</v>
      </c>
      <c r="IA2" s="3">
        <v>3.6140819999999998</v>
      </c>
      <c r="IB2" s="3">
        <v>3.6019670000000001</v>
      </c>
      <c r="IC2" s="3">
        <v>3.5926830000000001</v>
      </c>
      <c r="ID2" s="3">
        <v>3.5836459999999999</v>
      </c>
      <c r="IE2" s="3">
        <v>3.5754860000000002</v>
      </c>
      <c r="IF2" s="3">
        <v>3.5587550000000001</v>
      </c>
      <c r="IG2" s="3">
        <v>3.542548</v>
      </c>
      <c r="IH2" s="3">
        <v>3.5274220000000001</v>
      </c>
      <c r="II2" s="3">
        <v>3.5137299999999998</v>
      </c>
      <c r="IJ2" s="3">
        <v>3.4999989999999999</v>
      </c>
      <c r="IK2" s="3">
        <v>3.4999989999999999</v>
      </c>
      <c r="IL2" s="3">
        <v>3.4999989999999999</v>
      </c>
      <c r="IM2" s="3">
        <v>3.5</v>
      </c>
      <c r="IN2" s="3">
        <v>3.5</v>
      </c>
      <c r="IO2" s="3">
        <v>3.5</v>
      </c>
      <c r="IP2" s="3">
        <v>3.5</v>
      </c>
      <c r="IQ2" s="3">
        <v>3.5</v>
      </c>
      <c r="IR2" s="3">
        <v>3.5</v>
      </c>
      <c r="IS2" s="3">
        <v>3.5</v>
      </c>
      <c r="IT2" s="3">
        <v>3.5</v>
      </c>
      <c r="IU2" s="3">
        <v>3.5</v>
      </c>
      <c r="IV2" s="3">
        <v>3.5</v>
      </c>
      <c r="IW2" s="3">
        <v>3.5</v>
      </c>
      <c r="IX2" s="3">
        <v>3.5</v>
      </c>
      <c r="IY2" s="3">
        <v>3.5</v>
      </c>
      <c r="IZ2" s="3">
        <v>3.5</v>
      </c>
      <c r="JA2" s="3">
        <v>3.5</v>
      </c>
      <c r="JB2" s="3">
        <v>3.5</v>
      </c>
      <c r="JC2" s="3">
        <v>3.5</v>
      </c>
      <c r="JD2" s="3">
        <v>3.4999989999999999</v>
      </c>
      <c r="JE2" s="3">
        <v>3.4999989999999999</v>
      </c>
      <c r="JF2" s="3">
        <v>3.4999989999999999</v>
      </c>
      <c r="JG2" s="3">
        <v>3.5</v>
      </c>
      <c r="JH2" s="3">
        <v>3.5</v>
      </c>
      <c r="JI2" s="3">
        <v>3.5</v>
      </c>
      <c r="JJ2" s="3">
        <v>3.5</v>
      </c>
      <c r="JK2" s="3">
        <v>3.5</v>
      </c>
      <c r="JL2" s="3">
        <v>3.5</v>
      </c>
      <c r="JM2" s="3">
        <v>3.5</v>
      </c>
      <c r="JN2" s="3">
        <v>3.4999989999999999</v>
      </c>
      <c r="JO2" s="3">
        <v>3.4999989999999999</v>
      </c>
      <c r="JP2" s="3">
        <v>3.4999989999999999</v>
      </c>
      <c r="JQ2" s="3">
        <v>3.5</v>
      </c>
      <c r="JR2" s="3">
        <v>3.5</v>
      </c>
      <c r="JS2" s="3">
        <v>3.5</v>
      </c>
      <c r="JT2" s="3">
        <v>3.5</v>
      </c>
      <c r="JU2" s="3">
        <v>3.5</v>
      </c>
      <c r="JV2" s="3">
        <v>3.5</v>
      </c>
      <c r="JW2" s="3">
        <v>3.5</v>
      </c>
      <c r="JX2" s="3">
        <v>3.5</v>
      </c>
      <c r="JY2" s="3">
        <v>3.5</v>
      </c>
      <c r="JZ2" s="3">
        <v>3.5</v>
      </c>
      <c r="KA2" s="3">
        <v>3.5</v>
      </c>
      <c r="KB2" s="3">
        <v>3.5</v>
      </c>
      <c r="KC2" s="3">
        <v>3.5</v>
      </c>
      <c r="KD2" s="3">
        <v>3.5</v>
      </c>
      <c r="KE2" s="3">
        <v>3.5</v>
      </c>
      <c r="KF2" s="3">
        <v>3.5</v>
      </c>
      <c r="KG2" s="3">
        <v>3.5</v>
      </c>
      <c r="KH2" s="3">
        <v>3.5</v>
      </c>
      <c r="KI2" s="3">
        <v>3.5</v>
      </c>
      <c r="KJ2" s="3">
        <v>3.5</v>
      </c>
      <c r="KK2" s="3">
        <v>3.5</v>
      </c>
      <c r="KL2" s="3">
        <v>3.5</v>
      </c>
      <c r="KM2" s="3">
        <v>3.5</v>
      </c>
      <c r="KN2" s="3">
        <v>3.5</v>
      </c>
      <c r="KO2" s="3">
        <v>3.5</v>
      </c>
      <c r="KP2" s="3">
        <v>3.5</v>
      </c>
      <c r="KQ2" s="3">
        <v>3.5</v>
      </c>
      <c r="KR2" s="3">
        <v>3.5</v>
      </c>
      <c r="KS2" s="3">
        <v>3.5</v>
      </c>
      <c r="KT2" s="3">
        <v>3.4999989999999999</v>
      </c>
      <c r="KU2" s="3">
        <v>3.4999989999999999</v>
      </c>
      <c r="KV2" s="3">
        <v>3.4999989999999999</v>
      </c>
      <c r="KW2" s="3">
        <v>3.4999989999999999</v>
      </c>
      <c r="KX2" s="3">
        <v>3.5</v>
      </c>
      <c r="KY2" s="3">
        <v>3.5</v>
      </c>
      <c r="KZ2" s="3">
        <v>3.5</v>
      </c>
      <c r="LA2" s="3">
        <v>3.5</v>
      </c>
      <c r="LB2" s="3">
        <v>3.5</v>
      </c>
      <c r="LC2" s="3">
        <v>3.5</v>
      </c>
      <c r="LD2" s="3">
        <v>3.5</v>
      </c>
      <c r="LE2" s="3">
        <v>3.5</v>
      </c>
      <c r="LF2" s="3">
        <v>3.5</v>
      </c>
      <c r="LG2" s="3">
        <v>3.5</v>
      </c>
      <c r="LH2" s="3">
        <v>3.5</v>
      </c>
      <c r="LI2" s="3">
        <v>3.5</v>
      </c>
      <c r="LJ2" s="3">
        <v>3.5</v>
      </c>
      <c r="LK2" s="3">
        <v>3.5</v>
      </c>
      <c r="LL2" s="3">
        <v>3.5</v>
      </c>
      <c r="LM2" s="3">
        <v>3.4999989999999999</v>
      </c>
      <c r="LN2" s="3">
        <v>3.4999989999999999</v>
      </c>
      <c r="LO2" s="3">
        <v>3.4999989999999999</v>
      </c>
      <c r="LP2" s="3">
        <v>3.4999989999999999</v>
      </c>
      <c r="LQ2" s="3">
        <v>3.4999989999999999</v>
      </c>
      <c r="LR2" s="3">
        <v>3.4999989999999999</v>
      </c>
      <c r="LS2" s="3">
        <v>3.4999989999999999</v>
      </c>
      <c r="LT2" s="3">
        <v>3.4999989999999999</v>
      </c>
      <c r="LU2" s="3">
        <v>3.4999989999999999</v>
      </c>
      <c r="LV2" s="3">
        <v>3.5</v>
      </c>
      <c r="LW2" s="3">
        <v>3.5</v>
      </c>
      <c r="LX2" s="3">
        <v>3.5</v>
      </c>
      <c r="LY2" s="3">
        <v>3.5</v>
      </c>
      <c r="LZ2" s="3">
        <v>3.5</v>
      </c>
      <c r="MA2" s="3">
        <v>3.5</v>
      </c>
      <c r="MB2" s="3">
        <v>3.5</v>
      </c>
      <c r="MC2" s="3">
        <v>3.5</v>
      </c>
      <c r="MD2" s="3">
        <v>3.5</v>
      </c>
      <c r="ME2" s="3">
        <v>3.5</v>
      </c>
      <c r="MF2" s="3">
        <v>3.5</v>
      </c>
      <c r="MG2" s="3">
        <v>3.5</v>
      </c>
      <c r="MH2" s="3">
        <v>3.5</v>
      </c>
      <c r="MI2" s="3">
        <v>3.5</v>
      </c>
      <c r="MJ2" s="3">
        <v>3.5</v>
      </c>
      <c r="MK2" s="3">
        <v>3.5</v>
      </c>
      <c r="ML2" s="3">
        <v>3.5</v>
      </c>
      <c r="MM2" s="3">
        <v>3.5</v>
      </c>
      <c r="MN2" s="3">
        <v>3.5</v>
      </c>
      <c r="MO2" s="3">
        <v>3.5</v>
      </c>
      <c r="MP2" s="3">
        <v>3.5</v>
      </c>
      <c r="MQ2" s="3">
        <v>3.5</v>
      </c>
      <c r="MR2" s="3">
        <v>3.5</v>
      </c>
      <c r="MS2" s="3">
        <v>3.5</v>
      </c>
      <c r="MT2" s="3">
        <v>3.5</v>
      </c>
      <c r="MU2" t="s">
        <v>397</v>
      </c>
      <c r="MV2" t="s">
        <v>913</v>
      </c>
      <c r="MW2" t="s">
        <v>376</v>
      </c>
      <c r="MX2" t="s">
        <v>376</v>
      </c>
      <c r="MY2" t="s">
        <v>914</v>
      </c>
      <c r="MZ2" t="s">
        <v>915</v>
      </c>
      <c r="NA2" t="s">
        <v>916</v>
      </c>
      <c r="NB2" t="s">
        <v>398</v>
      </c>
      <c r="NC2" t="s">
        <v>399</v>
      </c>
      <c r="ND2" t="s">
        <v>379</v>
      </c>
      <c r="NE2" t="s">
        <v>400</v>
      </c>
      <c r="NF2" t="s">
        <v>902</v>
      </c>
    </row>
    <row r="3" spans="1:370" x14ac:dyDescent="0.35">
      <c r="A3" t="s">
        <v>370</v>
      </c>
      <c r="B3" t="s">
        <v>901</v>
      </c>
      <c r="C3" s="1" t="s">
        <v>912</v>
      </c>
      <c r="D3" t="s">
        <v>396</v>
      </c>
      <c r="E3" t="s">
        <v>376</v>
      </c>
      <c r="F3" t="s">
        <v>374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  <c r="U3" s="2">
        <v>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1E-3</v>
      </c>
      <c r="AD3" s="2">
        <v>1E-3</v>
      </c>
      <c r="AE3" s="2">
        <v>1E-3</v>
      </c>
      <c r="AF3" s="2">
        <v>1E-3</v>
      </c>
      <c r="AG3" s="2">
        <v>1E-3</v>
      </c>
      <c r="AH3" s="2">
        <v>1E-3</v>
      </c>
      <c r="AI3" s="2">
        <v>21.73742</v>
      </c>
      <c r="AJ3" s="2">
        <v>21.10538</v>
      </c>
      <c r="AK3" s="2">
        <v>20.08708</v>
      </c>
      <c r="AL3" s="2">
        <v>20.07705</v>
      </c>
      <c r="AM3" s="2">
        <v>20.839510000000001</v>
      </c>
      <c r="AN3" s="2">
        <v>21.336120000000001</v>
      </c>
      <c r="AO3" s="2">
        <v>22.99147</v>
      </c>
      <c r="AP3" s="2">
        <v>23.603459999999998</v>
      </c>
      <c r="AQ3" s="2">
        <v>22.098590000000002</v>
      </c>
      <c r="AR3" s="2">
        <v>20.678999999999998</v>
      </c>
      <c r="AS3" s="2">
        <v>18.48189</v>
      </c>
      <c r="AT3" s="2">
        <v>16.29983</v>
      </c>
      <c r="AU3" s="2">
        <v>17.09741</v>
      </c>
      <c r="AV3" s="2">
        <v>15.8584</v>
      </c>
      <c r="AW3" s="2">
        <v>16.405169999999998</v>
      </c>
      <c r="AX3" s="2">
        <v>15.682840000000001</v>
      </c>
      <c r="AY3" s="2">
        <v>16.209540000000001</v>
      </c>
      <c r="AZ3" s="2">
        <v>16.982040000000001</v>
      </c>
      <c r="BA3" s="2">
        <v>17.41845</v>
      </c>
      <c r="BB3" s="2">
        <v>16.415199999999999</v>
      </c>
      <c r="BC3" s="2">
        <v>17.15258</v>
      </c>
      <c r="BD3" s="2">
        <v>16.73122</v>
      </c>
      <c r="BE3" s="2">
        <v>16.129270000000002</v>
      </c>
      <c r="BF3" s="2">
        <v>16.054030000000001</v>
      </c>
      <c r="BG3" s="2">
        <v>15.7982</v>
      </c>
      <c r="BH3" s="2">
        <v>13.816789999999999</v>
      </c>
      <c r="BI3" s="2">
        <v>14.830069999999999</v>
      </c>
      <c r="BJ3" s="2">
        <v>16.540610000000001</v>
      </c>
      <c r="BK3" s="2">
        <v>14.734769999999999</v>
      </c>
      <c r="BL3" s="2">
        <v>13.495760000000001</v>
      </c>
      <c r="BM3" s="2">
        <v>14.875220000000001</v>
      </c>
      <c r="BN3" s="2">
        <v>14.554180000000001</v>
      </c>
      <c r="BO3" s="2">
        <v>14.27829</v>
      </c>
      <c r="BP3" s="2">
        <v>14.10774</v>
      </c>
      <c r="BQ3" s="2">
        <v>14.985580000000001</v>
      </c>
      <c r="BR3" s="2">
        <v>14.89528</v>
      </c>
      <c r="BS3" s="2">
        <v>14.840109999999999</v>
      </c>
      <c r="BT3" s="2">
        <v>15.50726</v>
      </c>
      <c r="BU3" s="2">
        <v>15.191240000000001</v>
      </c>
      <c r="BV3" s="2">
        <v>15.8283</v>
      </c>
      <c r="BW3" s="2">
        <v>17.3733</v>
      </c>
      <c r="BX3" s="2">
        <v>18.5471</v>
      </c>
      <c r="BY3" s="2">
        <v>18.1157</v>
      </c>
      <c r="BZ3" s="2">
        <v>16.83296</v>
      </c>
      <c r="CA3" s="2">
        <v>16.06035</v>
      </c>
      <c r="CB3" s="2">
        <v>15.97467</v>
      </c>
      <c r="CC3" s="2">
        <v>15.401059999999999</v>
      </c>
      <c r="CD3" s="2">
        <v>14.88809</v>
      </c>
      <c r="CE3" s="2">
        <v>14.374610000000001</v>
      </c>
      <c r="CF3" s="2">
        <v>13.85318</v>
      </c>
      <c r="CG3" s="2">
        <v>13.697089999999999</v>
      </c>
      <c r="CH3" s="2">
        <v>12.964449999999999</v>
      </c>
      <c r="CI3" s="2">
        <v>12.44909</v>
      </c>
      <c r="CJ3" s="2">
        <v>12.377179999999999</v>
      </c>
      <c r="CK3" s="2">
        <v>11.09389</v>
      </c>
      <c r="CL3" s="2">
        <v>10.37208</v>
      </c>
      <c r="CM3" s="2">
        <v>10.67239</v>
      </c>
      <c r="CN3" s="2">
        <v>13.02328</v>
      </c>
      <c r="CO3" s="2">
        <v>13.479229999999999</v>
      </c>
      <c r="CP3" s="2">
        <v>13.42821</v>
      </c>
      <c r="CQ3" s="2">
        <v>13.264250000000001</v>
      </c>
      <c r="CR3" s="2">
        <v>12.6335</v>
      </c>
      <c r="CS3" s="2">
        <v>12.50264</v>
      </c>
      <c r="CT3" s="2">
        <v>12.12017</v>
      </c>
      <c r="CU3" s="2">
        <v>12.16099</v>
      </c>
      <c r="CV3" s="2">
        <v>12.53063</v>
      </c>
      <c r="CW3" s="2">
        <v>12.217919999999999</v>
      </c>
      <c r="CX3" s="2">
        <v>11.709759999999999</v>
      </c>
      <c r="CY3" s="2">
        <v>11.4412</v>
      </c>
      <c r="CZ3" s="2">
        <v>11.31494</v>
      </c>
      <c r="DA3" s="2">
        <v>10.79616</v>
      </c>
      <c r="DB3" s="2">
        <v>10.06452</v>
      </c>
      <c r="DC3" s="2">
        <v>9.4787649999999992</v>
      </c>
      <c r="DD3" s="2">
        <v>9.1545380000000005</v>
      </c>
      <c r="DE3" s="2">
        <v>9.0303719999999998</v>
      </c>
      <c r="DF3" s="2">
        <v>8.4876970000000007</v>
      </c>
      <c r="DG3" s="2">
        <v>7.7266659999999998</v>
      </c>
      <c r="DH3" s="2">
        <v>7.1033330000000001</v>
      </c>
      <c r="DI3" s="2">
        <v>7.0533330000000003</v>
      </c>
      <c r="DJ3" s="2">
        <v>7.2</v>
      </c>
      <c r="DK3" s="2">
        <v>7.6066669999999998</v>
      </c>
      <c r="DL3" s="2">
        <v>7.75</v>
      </c>
      <c r="DM3" s="2">
        <v>7.7533329999999996</v>
      </c>
      <c r="DN3" s="2">
        <v>7.6466669999999999</v>
      </c>
      <c r="DO3" s="2">
        <v>7.4766659999999998</v>
      </c>
      <c r="DP3" s="2">
        <v>7.16</v>
      </c>
      <c r="DQ3" s="2">
        <v>6.8566669999999998</v>
      </c>
      <c r="DR3" s="2">
        <v>6.22</v>
      </c>
      <c r="DS3" s="2">
        <v>5.8833330000000004</v>
      </c>
      <c r="DT3" s="2">
        <v>5.8833330000000004</v>
      </c>
      <c r="DU3" s="2">
        <v>5.8566669999999998</v>
      </c>
      <c r="DV3" s="2">
        <v>5.86</v>
      </c>
      <c r="DW3" s="2">
        <v>5.7166670000000002</v>
      </c>
      <c r="DX3" s="2">
        <v>5.6066669999999998</v>
      </c>
      <c r="DY3" s="2">
        <v>5.4666670000000002</v>
      </c>
      <c r="DZ3" s="2">
        <v>5.5666669999999998</v>
      </c>
      <c r="EA3" s="2">
        <v>5.6066669999999998</v>
      </c>
      <c r="EB3" s="2">
        <v>5.89</v>
      </c>
      <c r="EC3" s="2">
        <v>6.32</v>
      </c>
      <c r="ED3" s="2">
        <v>6.2566670000000002</v>
      </c>
      <c r="EE3" s="2">
        <v>6.2433329999999998</v>
      </c>
      <c r="EF3" s="2">
        <v>6.27</v>
      </c>
      <c r="EG3" s="2">
        <v>6.0866670000000003</v>
      </c>
      <c r="EH3" s="2">
        <v>6.0066670000000002</v>
      </c>
      <c r="EI3" s="2">
        <v>6.0866670000000003</v>
      </c>
      <c r="EJ3" s="2">
        <v>6.0866670000000003</v>
      </c>
      <c r="EK3" s="2">
        <v>6.23</v>
      </c>
      <c r="EL3" s="2">
        <v>6.46</v>
      </c>
      <c r="EM3" s="2">
        <v>6.66</v>
      </c>
      <c r="EN3" s="2">
        <v>6.8366670000000003</v>
      </c>
      <c r="EO3" s="2">
        <v>7.18</v>
      </c>
      <c r="EP3" s="2">
        <v>7.2766669999999998</v>
      </c>
      <c r="EQ3" s="2">
        <v>7.01</v>
      </c>
      <c r="ER3" s="2">
        <v>6.87</v>
      </c>
      <c r="ES3" s="2">
        <v>6.8166669999999998</v>
      </c>
      <c r="ET3" s="2">
        <v>6.0666669999999998</v>
      </c>
      <c r="EU3" s="2">
        <v>3.8166669999999998</v>
      </c>
      <c r="EV3" s="2">
        <v>2.9933329999999998</v>
      </c>
      <c r="EW3" s="2">
        <v>2.7766670000000002</v>
      </c>
      <c r="EX3" s="2">
        <v>2.6566670000000001</v>
      </c>
      <c r="EY3" s="2">
        <v>2.786667</v>
      </c>
      <c r="EZ3" s="2">
        <v>2.8633329999999999</v>
      </c>
      <c r="FA3" s="2">
        <v>2.8866670000000001</v>
      </c>
      <c r="FB3" s="2">
        <v>2.9033329999999999</v>
      </c>
      <c r="FC3" s="2">
        <v>2.9166669999999999</v>
      </c>
      <c r="FD3" s="2">
        <v>2.95</v>
      </c>
      <c r="FE3" s="2">
        <v>2.996667</v>
      </c>
      <c r="FF3" s="2">
        <v>3.05</v>
      </c>
      <c r="FG3" s="2">
        <v>3.2366670000000002</v>
      </c>
      <c r="FH3" s="2">
        <v>3.2366670000000002</v>
      </c>
      <c r="FI3" s="2">
        <v>3.18</v>
      </c>
      <c r="FJ3" s="2">
        <v>3.0866669999999998</v>
      </c>
      <c r="FK3" s="2">
        <v>3.1033330000000001</v>
      </c>
      <c r="FL3" s="2">
        <v>3.11</v>
      </c>
      <c r="FM3" s="2">
        <v>3.12</v>
      </c>
      <c r="FN3" s="2">
        <v>3.1133329999999999</v>
      </c>
      <c r="FO3" s="2">
        <v>3.1066669999999998</v>
      </c>
      <c r="FP3" s="2">
        <v>3.1366670000000001</v>
      </c>
      <c r="FQ3" s="2">
        <v>3.1433330000000002</v>
      </c>
      <c r="FR3" s="2">
        <v>3.1466669999999999</v>
      </c>
      <c r="FS3" s="2">
        <v>3.1533329999999999</v>
      </c>
      <c r="FT3" s="2">
        <v>3.1366670000000001</v>
      </c>
      <c r="FU3" s="2">
        <v>3.13</v>
      </c>
      <c r="FV3" s="2">
        <v>3.1233330000000001</v>
      </c>
      <c r="FW3" s="2">
        <v>3.1466669999999999</v>
      </c>
      <c r="FX3" s="2">
        <v>3.1333329999999999</v>
      </c>
      <c r="FY3" s="2">
        <v>3.05</v>
      </c>
      <c r="FZ3" s="2">
        <v>2.9533330000000002</v>
      </c>
      <c r="GA3" s="2">
        <v>2.93</v>
      </c>
      <c r="GB3" s="2">
        <v>2.8866670000000001</v>
      </c>
      <c r="GC3" s="2">
        <v>2.7933330000000001</v>
      </c>
      <c r="GD3" s="2">
        <v>2.8966669999999999</v>
      </c>
      <c r="GE3" s="2">
        <v>3.0666669999999998</v>
      </c>
      <c r="GF3" s="2">
        <v>3.1966670000000001</v>
      </c>
      <c r="GG3" s="2">
        <v>3.253333</v>
      </c>
      <c r="GH3" s="2">
        <v>3.2933330000000001</v>
      </c>
      <c r="GI3" s="2">
        <v>3.3433329999999999</v>
      </c>
      <c r="GJ3" s="2">
        <v>3.3233329999999999</v>
      </c>
      <c r="GK3" s="2">
        <v>3.28</v>
      </c>
      <c r="GL3" s="2">
        <v>3.26</v>
      </c>
      <c r="GM3" s="2">
        <v>3.266667</v>
      </c>
      <c r="GN3" s="2">
        <v>2.8766669999999999</v>
      </c>
      <c r="GO3" s="2">
        <v>2.57</v>
      </c>
      <c r="GP3" s="2">
        <v>2.4533330000000002</v>
      </c>
      <c r="GQ3" s="2">
        <v>2.4266670000000001</v>
      </c>
      <c r="GR3" s="2">
        <v>2.4900000000000002</v>
      </c>
      <c r="GS3" s="2">
        <v>2.6166670000000001</v>
      </c>
      <c r="GT3" s="2">
        <v>2.7033330000000002</v>
      </c>
      <c r="GU3" s="2">
        <v>2.9366669999999999</v>
      </c>
      <c r="GV3" s="2">
        <v>3.326667</v>
      </c>
      <c r="GW3" s="2">
        <v>3.8366669999999998</v>
      </c>
      <c r="GX3" s="2">
        <v>4.7633330000000003</v>
      </c>
      <c r="GY3" s="2">
        <v>5.58</v>
      </c>
      <c r="GZ3" s="2">
        <v>6.09</v>
      </c>
      <c r="HA3" s="2">
        <v>6.6766670000000001</v>
      </c>
      <c r="HB3" s="2">
        <v>6.8</v>
      </c>
      <c r="HC3" s="2">
        <v>6.8566669999999998</v>
      </c>
      <c r="HD3" s="2">
        <v>6.89</v>
      </c>
      <c r="HE3" s="2">
        <v>6.806667</v>
      </c>
      <c r="HF3" s="2">
        <v>6.6466669999999999</v>
      </c>
      <c r="HG3" s="2">
        <v>6.41</v>
      </c>
      <c r="HH3" s="3">
        <v>6.2166670000000002</v>
      </c>
      <c r="HI3" s="3">
        <v>6.0230079999999999</v>
      </c>
      <c r="HJ3" s="3">
        <v>5.8119050000000003</v>
      </c>
      <c r="HK3" s="3">
        <v>5.6060660000000002</v>
      </c>
      <c r="HL3" s="3">
        <v>5.398326</v>
      </c>
      <c r="HM3" s="3">
        <v>5.2507599999999996</v>
      </c>
      <c r="HN3" s="3">
        <v>5.0834590000000004</v>
      </c>
      <c r="HO3" s="3">
        <v>4.9436739999999997</v>
      </c>
      <c r="HP3" s="3">
        <v>4.7827789999999997</v>
      </c>
      <c r="HQ3" s="3">
        <v>4.6491040000000003</v>
      </c>
      <c r="HR3" s="3">
        <v>4.4935419999999997</v>
      </c>
      <c r="HS3" s="3">
        <v>4.3715590000000004</v>
      </c>
      <c r="HT3" s="3">
        <v>4.3</v>
      </c>
      <c r="HU3" s="3">
        <v>4.3</v>
      </c>
      <c r="HV3" s="3">
        <v>4.3</v>
      </c>
      <c r="HW3" s="3">
        <v>4.3</v>
      </c>
      <c r="HX3" s="3">
        <v>4.3</v>
      </c>
      <c r="HY3" s="3">
        <v>4.3</v>
      </c>
      <c r="HZ3" s="3">
        <v>4.3</v>
      </c>
      <c r="IA3" s="3">
        <v>4.3</v>
      </c>
      <c r="IB3" s="3">
        <v>4.3</v>
      </c>
      <c r="IC3" s="3">
        <v>4.3</v>
      </c>
      <c r="ID3" s="3">
        <v>4.3</v>
      </c>
      <c r="IE3" s="3">
        <v>4.3</v>
      </c>
      <c r="IF3" s="3">
        <v>4.3</v>
      </c>
      <c r="IG3" s="3">
        <v>4.3</v>
      </c>
      <c r="IH3" s="3">
        <v>4.3</v>
      </c>
      <c r="II3" s="3">
        <v>4.3</v>
      </c>
      <c r="IJ3" s="3">
        <v>4.3</v>
      </c>
      <c r="IK3" s="3">
        <v>4.3</v>
      </c>
      <c r="IL3" s="3">
        <v>4.3</v>
      </c>
      <c r="IM3" s="3">
        <v>4.3</v>
      </c>
      <c r="IN3" s="3">
        <v>4.3</v>
      </c>
      <c r="IO3" s="3">
        <v>4.3</v>
      </c>
      <c r="IP3" s="3">
        <v>4.3</v>
      </c>
      <c r="IQ3" s="3">
        <v>4.3</v>
      </c>
      <c r="IR3" s="3">
        <v>4.3</v>
      </c>
      <c r="IS3" s="3">
        <v>4.3</v>
      </c>
      <c r="IT3" s="3">
        <v>4.3</v>
      </c>
      <c r="IU3" s="3">
        <v>4.3</v>
      </c>
      <c r="IV3" s="3">
        <v>4.3</v>
      </c>
      <c r="IW3" s="3">
        <v>4.3</v>
      </c>
      <c r="IX3" s="3">
        <v>4.3</v>
      </c>
      <c r="IY3" s="3">
        <v>4.3</v>
      </c>
      <c r="IZ3" s="3">
        <v>4.3</v>
      </c>
      <c r="JA3" s="3">
        <v>4.3</v>
      </c>
      <c r="JB3" s="3">
        <v>4.3</v>
      </c>
      <c r="JC3" s="3">
        <v>4.3</v>
      </c>
      <c r="JD3" s="3">
        <v>4.3</v>
      </c>
      <c r="JE3" s="3">
        <v>4.3</v>
      </c>
      <c r="JF3" s="3">
        <v>4.3</v>
      </c>
      <c r="JG3" s="3">
        <v>4.3</v>
      </c>
      <c r="JH3" s="3">
        <v>4.3</v>
      </c>
      <c r="JI3" s="3">
        <v>4.3</v>
      </c>
      <c r="JJ3" s="3">
        <v>4.3</v>
      </c>
      <c r="JK3" s="3">
        <v>4.3</v>
      </c>
      <c r="JL3" s="3">
        <v>4.3</v>
      </c>
      <c r="JM3" s="3">
        <v>4.3</v>
      </c>
      <c r="JN3" s="3">
        <v>4.3</v>
      </c>
      <c r="JO3" s="3">
        <v>4.3</v>
      </c>
      <c r="JP3" s="3">
        <v>4.3</v>
      </c>
      <c r="JQ3" s="3">
        <v>4.3</v>
      </c>
      <c r="JR3" s="3">
        <v>4.3</v>
      </c>
      <c r="JS3" s="3">
        <v>4.3</v>
      </c>
      <c r="JT3" s="3">
        <v>4.3</v>
      </c>
      <c r="JU3" s="3">
        <v>4.3</v>
      </c>
      <c r="JV3" s="3">
        <v>4.3</v>
      </c>
      <c r="JW3" s="3">
        <v>4.3</v>
      </c>
      <c r="JX3" s="3">
        <v>4.3</v>
      </c>
      <c r="JY3" s="3">
        <v>4.3</v>
      </c>
      <c r="JZ3" s="3">
        <v>4.3</v>
      </c>
      <c r="KA3" s="3">
        <v>4.3</v>
      </c>
      <c r="KB3" s="3">
        <v>4.3</v>
      </c>
      <c r="KC3" s="3">
        <v>4.3</v>
      </c>
      <c r="KD3" s="3">
        <v>4.3</v>
      </c>
      <c r="KE3" s="3">
        <v>4.3</v>
      </c>
      <c r="KF3" s="3">
        <v>4.3</v>
      </c>
      <c r="KG3" s="3">
        <v>4.3</v>
      </c>
      <c r="KH3" s="3">
        <v>4.3</v>
      </c>
      <c r="KI3" s="3">
        <v>4.3</v>
      </c>
      <c r="KJ3" s="3">
        <v>4.3</v>
      </c>
      <c r="KK3" s="3">
        <v>4.3</v>
      </c>
      <c r="KL3" s="3">
        <v>4.3</v>
      </c>
      <c r="KM3" s="3">
        <v>4.3</v>
      </c>
      <c r="KN3" s="3">
        <v>4.3</v>
      </c>
      <c r="KO3" s="3">
        <v>4.3</v>
      </c>
      <c r="KP3" s="3">
        <v>4.3</v>
      </c>
      <c r="KQ3" s="3">
        <v>4.3</v>
      </c>
      <c r="KR3" s="3">
        <v>4.3</v>
      </c>
      <c r="KS3" s="3">
        <v>4.3</v>
      </c>
      <c r="KT3" s="3">
        <v>4.3</v>
      </c>
      <c r="KU3" s="3">
        <v>4.3</v>
      </c>
      <c r="KV3" s="3">
        <v>4.3</v>
      </c>
      <c r="KW3" s="3">
        <v>4.3</v>
      </c>
      <c r="KX3" s="3">
        <v>4.3</v>
      </c>
      <c r="KY3" s="3">
        <v>4.3</v>
      </c>
      <c r="KZ3" s="3">
        <v>4.3</v>
      </c>
      <c r="LA3" s="3">
        <v>4.3</v>
      </c>
      <c r="LB3" s="3">
        <v>4.3</v>
      </c>
      <c r="LC3" s="3">
        <v>4.3</v>
      </c>
      <c r="LD3" s="3">
        <v>4.3</v>
      </c>
      <c r="LE3" s="3">
        <v>4.3</v>
      </c>
      <c r="LF3" s="3">
        <v>4.3</v>
      </c>
      <c r="LG3" s="3">
        <v>4.3</v>
      </c>
      <c r="LH3" s="3">
        <v>4.3</v>
      </c>
      <c r="LI3" s="3">
        <v>4.3</v>
      </c>
      <c r="LJ3" s="3">
        <v>4.3</v>
      </c>
      <c r="LK3" s="3">
        <v>4.3</v>
      </c>
      <c r="LL3" s="3">
        <v>4.3</v>
      </c>
      <c r="LM3" s="3">
        <v>4.3</v>
      </c>
      <c r="LN3" s="3">
        <v>4.3</v>
      </c>
      <c r="LO3" s="3">
        <v>4.3</v>
      </c>
      <c r="LP3" s="3">
        <v>4.3</v>
      </c>
      <c r="LQ3" s="3">
        <v>4.3</v>
      </c>
      <c r="LR3" s="3">
        <v>4.3</v>
      </c>
      <c r="LS3" s="3">
        <v>4.3</v>
      </c>
      <c r="LT3" s="3">
        <v>4.3</v>
      </c>
      <c r="LU3" s="3">
        <v>4.3</v>
      </c>
      <c r="LV3" s="3">
        <v>4.3</v>
      </c>
      <c r="LW3" s="3">
        <v>4.3</v>
      </c>
      <c r="LX3" s="3">
        <v>4.3</v>
      </c>
      <c r="LY3" s="3">
        <v>4.3</v>
      </c>
      <c r="LZ3" s="3">
        <v>4.3</v>
      </c>
      <c r="MA3" s="3">
        <v>4.3</v>
      </c>
      <c r="MB3" s="3">
        <v>4.3</v>
      </c>
      <c r="MC3" s="3">
        <v>4.3</v>
      </c>
      <c r="MD3" s="3">
        <v>4.3</v>
      </c>
      <c r="ME3" s="3">
        <v>4.3</v>
      </c>
      <c r="MF3" s="3">
        <v>4.3</v>
      </c>
      <c r="MG3" s="3">
        <v>4.3</v>
      </c>
      <c r="MH3" s="3">
        <v>4.3</v>
      </c>
      <c r="MI3" s="3">
        <v>4.3</v>
      </c>
      <c r="MJ3" s="3">
        <v>4.3</v>
      </c>
      <c r="MK3" s="3">
        <v>4.3</v>
      </c>
      <c r="ML3" s="3">
        <v>4.3</v>
      </c>
      <c r="MM3" s="3">
        <v>4.3</v>
      </c>
      <c r="MN3" s="3">
        <v>4.3</v>
      </c>
      <c r="MO3" s="3">
        <v>4.3</v>
      </c>
      <c r="MP3" s="3">
        <v>4.3</v>
      </c>
      <c r="MQ3" s="3">
        <v>4.3</v>
      </c>
      <c r="MR3" s="3">
        <v>4.3</v>
      </c>
      <c r="MS3" s="3">
        <v>4.3</v>
      </c>
      <c r="MT3" s="3">
        <v>4.3</v>
      </c>
      <c r="MU3" t="s">
        <v>397</v>
      </c>
      <c r="MV3" t="s">
        <v>913</v>
      </c>
      <c r="MW3" t="s">
        <v>376</v>
      </c>
      <c r="MX3" t="s">
        <v>376</v>
      </c>
      <c r="MY3" t="s">
        <v>914</v>
      </c>
      <c r="MZ3" t="s">
        <v>915</v>
      </c>
      <c r="NA3" t="s">
        <v>916</v>
      </c>
      <c r="NB3" t="s">
        <v>896</v>
      </c>
      <c r="NC3" t="s">
        <v>899</v>
      </c>
      <c r="ND3" t="s">
        <v>379</v>
      </c>
      <c r="NE3" t="s">
        <v>900</v>
      </c>
      <c r="NF3" t="s">
        <v>902</v>
      </c>
    </row>
    <row r="4" spans="1:370" x14ac:dyDescent="0.35">
      <c r="A4" t="s">
        <v>370</v>
      </c>
      <c r="B4" s="1" t="s">
        <v>419</v>
      </c>
      <c r="C4" s="1" t="s">
        <v>912</v>
      </c>
      <c r="D4" t="s">
        <v>396</v>
      </c>
      <c r="E4" t="s">
        <v>376</v>
      </c>
      <c r="F4" t="s">
        <v>374</v>
      </c>
      <c r="G4" s="2">
        <v>1E-3</v>
      </c>
      <c r="H4" s="2">
        <v>1E-3</v>
      </c>
      <c r="I4" s="2">
        <v>1E-3</v>
      </c>
      <c r="J4" s="2">
        <v>1E-3</v>
      </c>
      <c r="K4" s="2">
        <v>1E-3</v>
      </c>
      <c r="L4" s="2">
        <v>1E-3</v>
      </c>
      <c r="M4" s="2">
        <v>1E-3</v>
      </c>
      <c r="N4" s="2">
        <v>1E-3</v>
      </c>
      <c r="O4" s="2">
        <v>1E-3</v>
      </c>
      <c r="P4" s="2">
        <v>1E-3</v>
      </c>
      <c r="Q4" s="2">
        <v>1E-3</v>
      </c>
      <c r="R4" s="2">
        <v>1E-3</v>
      </c>
      <c r="S4" s="2">
        <v>1E-3</v>
      </c>
      <c r="T4" s="2">
        <v>1E-3</v>
      </c>
      <c r="U4" s="2">
        <v>1E-3</v>
      </c>
      <c r="V4" s="2">
        <v>1E-3</v>
      </c>
      <c r="W4" s="2">
        <v>1E-3</v>
      </c>
      <c r="X4" s="2">
        <v>1E-3</v>
      </c>
      <c r="Y4" s="2">
        <v>1E-3</v>
      </c>
      <c r="Z4" s="2">
        <v>1E-3</v>
      </c>
      <c r="AA4" s="2">
        <v>1E-3</v>
      </c>
      <c r="AB4" s="2">
        <v>1E-3</v>
      </c>
      <c r="AC4" s="2">
        <v>1E-3</v>
      </c>
      <c r="AD4" s="2">
        <v>1E-3</v>
      </c>
      <c r="AE4" s="2">
        <v>1E-3</v>
      </c>
      <c r="AF4" s="2">
        <v>1E-3</v>
      </c>
      <c r="AG4" s="2">
        <v>1E-3</v>
      </c>
      <c r="AH4" s="2">
        <v>1E-3</v>
      </c>
      <c r="AI4" s="2">
        <v>1E-3</v>
      </c>
      <c r="AJ4" s="2">
        <v>1E-3</v>
      </c>
      <c r="AK4" s="2">
        <v>1E-3</v>
      </c>
      <c r="AL4" s="2">
        <v>1E-3</v>
      </c>
      <c r="AM4" s="2">
        <v>1E-3</v>
      </c>
      <c r="AN4" s="2">
        <v>1E-3</v>
      </c>
      <c r="AO4" s="2">
        <v>1E-3</v>
      </c>
      <c r="AP4" s="2">
        <v>1E-3</v>
      </c>
      <c r="AQ4" s="2">
        <v>1E-3</v>
      </c>
      <c r="AR4" s="2">
        <v>1E-3</v>
      </c>
      <c r="AS4" s="2">
        <v>1E-3</v>
      </c>
      <c r="AT4" s="2">
        <v>1E-3</v>
      </c>
      <c r="AU4" s="2">
        <v>1E-3</v>
      </c>
      <c r="AV4" s="2">
        <v>1E-3</v>
      </c>
      <c r="AW4" s="2">
        <v>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1E-3</v>
      </c>
      <c r="BK4" s="2">
        <v>1E-3</v>
      </c>
      <c r="BL4" s="2">
        <v>1E-3</v>
      </c>
      <c r="BM4" s="2">
        <v>1E-3</v>
      </c>
      <c r="BN4" s="2">
        <v>1E-3</v>
      </c>
      <c r="BO4" s="2">
        <v>1E-3</v>
      </c>
      <c r="BP4" s="2">
        <v>1E-3</v>
      </c>
      <c r="BQ4" s="2">
        <v>1E-3</v>
      </c>
      <c r="BR4" s="2">
        <v>1E-3</v>
      </c>
      <c r="BS4" s="2">
        <v>1E-3</v>
      </c>
      <c r="BT4" s="2">
        <v>1E-3</v>
      </c>
      <c r="BU4" s="2">
        <v>1E-3</v>
      </c>
      <c r="BV4" s="2">
        <v>1E-3</v>
      </c>
      <c r="BW4" s="2">
        <v>1E-3</v>
      </c>
      <c r="BX4" s="2">
        <v>1E-3</v>
      </c>
      <c r="BY4" s="2">
        <v>1E-3</v>
      </c>
      <c r="BZ4" s="2">
        <v>1E-3</v>
      </c>
      <c r="CA4" s="2">
        <v>1E-3</v>
      </c>
      <c r="CB4" s="2">
        <v>1E-3</v>
      </c>
      <c r="CC4" s="2">
        <v>1E-3</v>
      </c>
      <c r="CD4" s="2">
        <v>1E-3</v>
      </c>
      <c r="CE4" s="2">
        <v>1E-3</v>
      </c>
      <c r="CF4" s="2">
        <v>1E-3</v>
      </c>
      <c r="CG4" s="2">
        <v>1E-3</v>
      </c>
      <c r="CH4" s="2">
        <v>1E-3</v>
      </c>
      <c r="CI4" s="2">
        <v>1E-3</v>
      </c>
      <c r="CJ4" s="2">
        <v>1E-3</v>
      </c>
      <c r="CK4" s="2">
        <v>1E-3</v>
      </c>
      <c r="CL4" s="2">
        <v>1E-3</v>
      </c>
      <c r="CM4" s="2">
        <v>1E-3</v>
      </c>
      <c r="CN4" s="2">
        <v>1E-3</v>
      </c>
      <c r="CO4" s="2">
        <v>1E-3</v>
      </c>
      <c r="CP4" s="2">
        <v>1E-3</v>
      </c>
      <c r="CQ4" s="2">
        <v>1E-3</v>
      </c>
      <c r="CR4" s="2">
        <v>1E-3</v>
      </c>
      <c r="CS4" s="2">
        <v>1E-3</v>
      </c>
      <c r="CT4" s="2">
        <v>1E-3</v>
      </c>
      <c r="CU4" s="2">
        <v>1E-3</v>
      </c>
      <c r="CV4" s="2">
        <v>1E-3</v>
      </c>
      <c r="CW4" s="2">
        <v>1E-3</v>
      </c>
      <c r="CX4" s="2">
        <v>1E-3</v>
      </c>
      <c r="CY4" s="2">
        <v>1E-3</v>
      </c>
      <c r="CZ4" s="2">
        <v>1E-3</v>
      </c>
      <c r="DA4" s="2">
        <v>1E-3</v>
      </c>
      <c r="DB4" s="2">
        <v>1E-3</v>
      </c>
      <c r="DC4" s="2">
        <v>1E-3</v>
      </c>
      <c r="DD4" s="2">
        <v>1E-3</v>
      </c>
      <c r="DE4" s="2">
        <v>1E-3</v>
      </c>
      <c r="DF4" s="2">
        <v>1E-3</v>
      </c>
      <c r="DG4" s="2">
        <v>1E-3</v>
      </c>
      <c r="DH4" s="2">
        <v>1E-3</v>
      </c>
      <c r="DI4" s="2">
        <v>1E-3</v>
      </c>
      <c r="DJ4" s="2">
        <v>1E-3</v>
      </c>
      <c r="DK4" s="2">
        <v>1E-3</v>
      </c>
      <c r="DL4" s="2">
        <v>1E-3</v>
      </c>
      <c r="DM4" s="2">
        <v>1E-3</v>
      </c>
      <c r="DN4" s="2">
        <v>1E-3</v>
      </c>
      <c r="DO4" s="2">
        <v>1E-3</v>
      </c>
      <c r="DP4" s="2">
        <v>1E-3</v>
      </c>
      <c r="DQ4" s="2">
        <v>1E-3</v>
      </c>
      <c r="DR4" s="2">
        <v>1E-3</v>
      </c>
      <c r="DS4" s="2">
        <v>1E-3</v>
      </c>
      <c r="DT4" s="2">
        <v>1E-3</v>
      </c>
      <c r="DU4" s="2">
        <v>1E-3</v>
      </c>
      <c r="DV4" s="2">
        <v>1E-3</v>
      </c>
      <c r="DW4" s="2">
        <v>1E-3</v>
      </c>
      <c r="DX4" s="2">
        <v>1E-3</v>
      </c>
      <c r="DY4" s="2">
        <v>1E-3</v>
      </c>
      <c r="DZ4" s="2">
        <v>1E-3</v>
      </c>
      <c r="EA4" s="2">
        <v>1E-3</v>
      </c>
      <c r="EB4" s="2">
        <v>1E-3</v>
      </c>
      <c r="EC4" s="2">
        <v>1E-3</v>
      </c>
      <c r="ED4" s="2">
        <v>1E-3</v>
      </c>
      <c r="EE4" s="2">
        <v>1E-3</v>
      </c>
      <c r="EF4" s="2">
        <v>1E-3</v>
      </c>
      <c r="EG4" s="2">
        <v>1E-3</v>
      </c>
      <c r="EH4" s="2">
        <v>1E-3</v>
      </c>
      <c r="EI4" s="2">
        <v>1E-3</v>
      </c>
      <c r="EJ4" s="2">
        <v>1E-3</v>
      </c>
      <c r="EK4" s="2">
        <v>1E-3</v>
      </c>
      <c r="EL4" s="2">
        <v>1E-3</v>
      </c>
      <c r="EM4" s="2">
        <v>1E-3</v>
      </c>
      <c r="EN4" s="2">
        <v>1E-3</v>
      </c>
      <c r="EO4" s="2">
        <v>5.8152299999999997</v>
      </c>
      <c r="EP4" s="2">
        <v>5.2973499999999998</v>
      </c>
      <c r="EQ4" s="2">
        <v>4.6163600000000002</v>
      </c>
      <c r="ER4" s="2">
        <v>5.0938999999999997</v>
      </c>
      <c r="ES4" s="2">
        <v>4.8329899999999997</v>
      </c>
      <c r="ET4" s="2">
        <v>2.4878300000000002</v>
      </c>
      <c r="EU4" s="2">
        <v>1.107</v>
      </c>
      <c r="EV4" s="2">
        <v>1.3100099999999999</v>
      </c>
      <c r="EW4" s="2">
        <v>1.5602100000000001</v>
      </c>
      <c r="EX4" s="2">
        <v>1.43008</v>
      </c>
      <c r="EY4" s="2">
        <v>1.2319599999999999</v>
      </c>
      <c r="EZ4" s="2">
        <v>1.0097</v>
      </c>
      <c r="FA4" s="2">
        <v>0.80574999999999997</v>
      </c>
      <c r="FB4" s="2">
        <v>0.83750999999999998</v>
      </c>
      <c r="FC4" s="2">
        <v>1.29715</v>
      </c>
      <c r="FD4" s="2">
        <v>1.04826</v>
      </c>
      <c r="FE4" s="2">
        <v>0.57635999999999998</v>
      </c>
      <c r="FF4" s="2">
        <v>0.52529000000000003</v>
      </c>
      <c r="FG4" s="2">
        <v>0.51646999999999998</v>
      </c>
      <c r="FH4" s="2">
        <v>0.47708</v>
      </c>
      <c r="FI4" s="2">
        <v>0.31757999999999997</v>
      </c>
      <c r="FJ4" s="2">
        <v>0.36157</v>
      </c>
      <c r="FK4" s="2">
        <v>0.37318000000000001</v>
      </c>
      <c r="FL4" s="2">
        <v>0.39372000000000001</v>
      </c>
      <c r="FM4" s="2">
        <v>0.50307999999999997</v>
      </c>
      <c r="FN4" s="2">
        <v>0.58089999999999997</v>
      </c>
      <c r="FO4" s="2">
        <v>0.72970999999999997</v>
      </c>
      <c r="FP4" s="2">
        <v>0.90707000000000004</v>
      </c>
      <c r="FQ4" s="2">
        <v>0.97910770000000003</v>
      </c>
      <c r="FR4" s="2">
        <v>0.77225880000000002</v>
      </c>
      <c r="FS4" s="2">
        <v>0.65256449999999999</v>
      </c>
      <c r="FT4" s="2">
        <v>0.72182809999999997</v>
      </c>
      <c r="FU4" s="2">
        <v>0.79340460000000002</v>
      </c>
      <c r="FV4" s="2">
        <v>0.70783030000000002</v>
      </c>
      <c r="FW4" s="2">
        <v>0.4868692</v>
      </c>
      <c r="FX4" s="2">
        <v>0.42560619999999999</v>
      </c>
      <c r="FY4" s="2">
        <v>0.1208545</v>
      </c>
      <c r="FZ4" s="2">
        <v>0.25840619999999997</v>
      </c>
      <c r="GA4" s="2">
        <v>0.31564920000000002</v>
      </c>
      <c r="GB4" s="2">
        <v>0.3102123</v>
      </c>
      <c r="GC4" s="2">
        <v>0.44710460000000002</v>
      </c>
      <c r="GD4" s="2">
        <v>0.67998899999999995</v>
      </c>
      <c r="GE4" s="2">
        <v>0.83303119999999997</v>
      </c>
      <c r="GF4" s="2">
        <v>0.81829079999999998</v>
      </c>
      <c r="GG4" s="2">
        <v>0.87234769999999995</v>
      </c>
      <c r="GH4" s="2">
        <v>0.91356660000000001</v>
      </c>
      <c r="GI4" s="2">
        <v>0.83282659999999997</v>
      </c>
      <c r="GJ4" s="2">
        <v>0.73666160000000003</v>
      </c>
      <c r="GK4" s="2">
        <v>0.50933790000000001</v>
      </c>
      <c r="GL4" s="2">
        <v>0.56899089999999997</v>
      </c>
      <c r="GM4" s="2">
        <v>0.40063850000000001</v>
      </c>
      <c r="GN4" s="2">
        <v>4.8140000000000002E-2</v>
      </c>
      <c r="GO4" s="2">
        <v>-4.6777300000000001E-2</v>
      </c>
      <c r="GP4" s="2">
        <v>-3.1698499999999998E-2</v>
      </c>
      <c r="GQ4" s="2">
        <v>2.943438E-2</v>
      </c>
      <c r="GR4" s="2">
        <v>0.14078309999999999</v>
      </c>
      <c r="GS4" s="2">
        <v>0.27432119999999999</v>
      </c>
      <c r="GT4" s="2">
        <v>0.86002880000000004</v>
      </c>
      <c r="GU4" s="2">
        <v>1.562864</v>
      </c>
      <c r="GV4" s="2">
        <v>2.3736320000000002</v>
      </c>
      <c r="GW4" s="2">
        <v>3.443794</v>
      </c>
      <c r="GX4" s="2">
        <v>4.5538879999999997</v>
      </c>
      <c r="GY4" s="2">
        <v>4.2135749999999996</v>
      </c>
      <c r="GZ4" s="2">
        <v>4.8666429999999998</v>
      </c>
      <c r="HA4" s="2">
        <v>5.5906320000000003</v>
      </c>
      <c r="HB4" s="2">
        <v>4.760923</v>
      </c>
      <c r="HC4" s="2">
        <v>4.4109689999999997</v>
      </c>
      <c r="HD4" s="2">
        <v>4.6002789999999996</v>
      </c>
      <c r="HE4" s="2">
        <v>4.1328630000000004</v>
      </c>
      <c r="HF4" s="2">
        <v>4.1531359999999999</v>
      </c>
      <c r="HG4" s="2">
        <v>4.1325640000000003</v>
      </c>
      <c r="HH4" s="2">
        <v>3.7606660000000001</v>
      </c>
      <c r="HI4" s="3">
        <v>3.6128390000000001</v>
      </c>
      <c r="HJ4" s="3">
        <v>3.5609190000000002</v>
      </c>
      <c r="HK4" s="3">
        <v>3.4349630000000002</v>
      </c>
      <c r="HL4" s="3">
        <v>3.3147099999999998</v>
      </c>
      <c r="HM4" s="3">
        <v>3.2005970000000001</v>
      </c>
      <c r="HN4" s="3">
        <v>3.0723389999999999</v>
      </c>
      <c r="HO4" s="3">
        <v>2.9613079999999998</v>
      </c>
      <c r="HP4" s="3">
        <v>2.8316499999999998</v>
      </c>
      <c r="HQ4" s="3">
        <v>2.715522</v>
      </c>
      <c r="HR4" s="3">
        <v>2.6242019999999999</v>
      </c>
      <c r="HS4" s="3">
        <v>2.6042749999999999</v>
      </c>
      <c r="HT4" s="3">
        <v>2.6</v>
      </c>
      <c r="HU4" s="3">
        <v>2.6</v>
      </c>
      <c r="HV4" s="3">
        <v>2.6</v>
      </c>
      <c r="HW4" s="3">
        <v>2.6</v>
      </c>
      <c r="HX4" s="3">
        <v>2.6</v>
      </c>
      <c r="HY4" s="3">
        <v>2.6</v>
      </c>
      <c r="HZ4" s="3">
        <v>2.6</v>
      </c>
      <c r="IA4" s="3">
        <v>2.6</v>
      </c>
      <c r="IB4" s="3">
        <v>2.6</v>
      </c>
      <c r="IC4" s="3">
        <v>2.6</v>
      </c>
      <c r="ID4" s="3">
        <v>2.6</v>
      </c>
      <c r="IE4" s="3">
        <v>2.6</v>
      </c>
      <c r="IF4" s="3">
        <v>2.6</v>
      </c>
      <c r="IG4" s="3">
        <v>2.6</v>
      </c>
      <c r="IH4" s="3">
        <v>2.6</v>
      </c>
      <c r="II4" s="3">
        <v>2.6</v>
      </c>
      <c r="IJ4" s="3">
        <v>2.6</v>
      </c>
      <c r="IK4" s="3">
        <v>2.6</v>
      </c>
      <c r="IL4" s="3">
        <v>2.6</v>
      </c>
      <c r="IM4" s="3">
        <v>2.6</v>
      </c>
      <c r="IN4" s="3">
        <v>2.6</v>
      </c>
      <c r="IO4" s="3">
        <v>2.6</v>
      </c>
      <c r="IP4" s="3">
        <v>2.6</v>
      </c>
      <c r="IQ4" s="3">
        <v>2.6</v>
      </c>
      <c r="IR4" s="3">
        <v>2.6</v>
      </c>
      <c r="IS4" s="3">
        <v>2.6</v>
      </c>
      <c r="IT4" s="3">
        <v>2.6</v>
      </c>
      <c r="IU4" s="3">
        <v>2.6</v>
      </c>
      <c r="IV4" s="3">
        <v>2.6</v>
      </c>
      <c r="IW4" s="3">
        <v>2.6</v>
      </c>
      <c r="IX4" s="3">
        <v>2.6</v>
      </c>
      <c r="IY4" s="3">
        <v>2.6</v>
      </c>
      <c r="IZ4" s="3">
        <v>2.6</v>
      </c>
      <c r="JA4" s="3">
        <v>2.6</v>
      </c>
      <c r="JB4" s="3">
        <v>2.6</v>
      </c>
      <c r="JC4" s="3">
        <v>2.6</v>
      </c>
      <c r="JD4" s="3">
        <v>2.6</v>
      </c>
      <c r="JE4" s="3">
        <v>2.6</v>
      </c>
      <c r="JF4" s="3">
        <v>2.6</v>
      </c>
      <c r="JG4" s="3">
        <v>2.6</v>
      </c>
      <c r="JH4" s="3">
        <v>2.6</v>
      </c>
      <c r="JI4" s="3">
        <v>2.6</v>
      </c>
      <c r="JJ4" s="3">
        <v>2.6</v>
      </c>
      <c r="JK4" s="3">
        <v>2.6</v>
      </c>
      <c r="JL4" s="3">
        <v>2.6</v>
      </c>
      <c r="JM4" s="3">
        <v>2.6</v>
      </c>
      <c r="JN4" s="3">
        <v>2.6</v>
      </c>
      <c r="JO4" s="3">
        <v>2.6</v>
      </c>
      <c r="JP4" s="3">
        <v>2.6</v>
      </c>
      <c r="JQ4" s="3">
        <v>2.6</v>
      </c>
      <c r="JR4" s="3">
        <v>2.6</v>
      </c>
      <c r="JS4" s="3">
        <v>2.6</v>
      </c>
      <c r="JT4" s="3">
        <v>2.6</v>
      </c>
      <c r="JU4" s="3">
        <v>2.6</v>
      </c>
      <c r="JV4" s="3">
        <v>2.6</v>
      </c>
      <c r="JW4" s="3">
        <v>2.6</v>
      </c>
      <c r="JX4" s="3">
        <v>2.6</v>
      </c>
      <c r="JY4" s="3">
        <v>2.6</v>
      </c>
      <c r="JZ4" s="3">
        <v>2.6</v>
      </c>
      <c r="KA4" s="3">
        <v>2.6</v>
      </c>
      <c r="KB4" s="3">
        <v>2.6</v>
      </c>
      <c r="KC4" s="3">
        <v>2.6</v>
      </c>
      <c r="KD4" s="3">
        <v>2.6</v>
      </c>
      <c r="KE4" s="3">
        <v>2.6</v>
      </c>
      <c r="KF4" s="3">
        <v>2.6</v>
      </c>
      <c r="KG4" s="3">
        <v>2.6</v>
      </c>
      <c r="KH4" s="3">
        <v>2.6</v>
      </c>
      <c r="KI4" s="3">
        <v>2.6</v>
      </c>
      <c r="KJ4" s="3">
        <v>2.6</v>
      </c>
      <c r="KK4" s="3">
        <v>2.6</v>
      </c>
      <c r="KL4" s="3">
        <v>2.6</v>
      </c>
      <c r="KM4" s="3">
        <v>2.6</v>
      </c>
      <c r="KN4" s="3">
        <v>2.6</v>
      </c>
      <c r="KO4" s="3">
        <v>2.6</v>
      </c>
      <c r="KP4" s="3">
        <v>2.6</v>
      </c>
      <c r="KQ4" s="3">
        <v>2.6</v>
      </c>
      <c r="KR4" s="3">
        <v>2.6</v>
      </c>
      <c r="KS4" s="3">
        <v>2.6</v>
      </c>
      <c r="KT4" s="3">
        <v>2.6</v>
      </c>
      <c r="KU4" s="3">
        <v>2.6</v>
      </c>
      <c r="KV4" s="3">
        <v>2.6</v>
      </c>
      <c r="KW4" s="3">
        <v>2.6</v>
      </c>
      <c r="KX4" s="3">
        <v>2.6</v>
      </c>
      <c r="KY4" s="3">
        <v>2.6</v>
      </c>
      <c r="KZ4" s="3">
        <v>2.6</v>
      </c>
      <c r="LA4" s="3">
        <v>2.6</v>
      </c>
      <c r="LB4" s="3">
        <v>2.6</v>
      </c>
      <c r="LC4" s="3">
        <v>2.6</v>
      </c>
      <c r="LD4" s="3">
        <v>2.6</v>
      </c>
      <c r="LE4" s="3">
        <v>2.6</v>
      </c>
      <c r="LF4" s="3">
        <v>2.6</v>
      </c>
      <c r="LG4" s="3">
        <v>2.6</v>
      </c>
      <c r="LH4" s="3">
        <v>2.6</v>
      </c>
      <c r="LI4" s="3">
        <v>2.6</v>
      </c>
      <c r="LJ4" s="3">
        <v>2.6</v>
      </c>
      <c r="LK4" s="3">
        <v>2.6</v>
      </c>
      <c r="LL4" s="3">
        <v>2.6</v>
      </c>
      <c r="LM4" s="3">
        <v>2.6</v>
      </c>
      <c r="LN4" s="3">
        <v>2.6</v>
      </c>
      <c r="LO4" s="3">
        <v>2.6</v>
      </c>
      <c r="LP4" s="3">
        <v>2.6</v>
      </c>
      <c r="LQ4" s="3">
        <v>2.6</v>
      </c>
      <c r="LR4" s="3">
        <v>2.6</v>
      </c>
      <c r="LS4" s="3">
        <v>2.6</v>
      </c>
      <c r="LT4" s="3">
        <v>2.6</v>
      </c>
      <c r="LU4" s="3">
        <v>2.6</v>
      </c>
      <c r="LV4" s="3">
        <v>2.6</v>
      </c>
      <c r="LW4" s="3">
        <v>2.6</v>
      </c>
      <c r="LX4" s="3">
        <v>2.6</v>
      </c>
      <c r="LY4" s="3">
        <v>2.6</v>
      </c>
      <c r="LZ4" s="3">
        <v>2.6</v>
      </c>
      <c r="MA4" s="3">
        <v>2.6</v>
      </c>
      <c r="MB4" s="3">
        <v>2.6</v>
      </c>
      <c r="MC4" s="3">
        <v>2.6</v>
      </c>
      <c r="MD4" s="3">
        <v>2.6</v>
      </c>
      <c r="ME4" s="3">
        <v>2.6</v>
      </c>
      <c r="MF4" s="3">
        <v>2.6</v>
      </c>
      <c r="MG4" s="3">
        <v>2.6</v>
      </c>
      <c r="MH4" s="3">
        <v>2.6</v>
      </c>
      <c r="MI4" s="3">
        <v>2.6</v>
      </c>
      <c r="MJ4" s="3">
        <v>2.6</v>
      </c>
      <c r="MK4" s="3">
        <v>2.6</v>
      </c>
      <c r="ML4" s="3">
        <v>2.6</v>
      </c>
      <c r="MM4" s="3">
        <v>2.6</v>
      </c>
      <c r="MN4" s="3">
        <v>2.6</v>
      </c>
      <c r="MO4" s="3">
        <v>2.6</v>
      </c>
      <c r="MP4" s="3">
        <v>2.6</v>
      </c>
      <c r="MQ4" s="3">
        <v>2.6</v>
      </c>
      <c r="MR4" s="3">
        <v>2.6</v>
      </c>
      <c r="MS4" s="3">
        <v>2.6</v>
      </c>
      <c r="MT4" s="3">
        <v>2.6</v>
      </c>
      <c r="MU4" s="1" t="s">
        <v>420</v>
      </c>
      <c r="MV4" t="s">
        <v>913</v>
      </c>
      <c r="MW4" t="s">
        <v>376</v>
      </c>
      <c r="MX4" t="s">
        <v>376</v>
      </c>
      <c r="MY4" t="s">
        <v>914</v>
      </c>
      <c r="MZ4" t="s">
        <v>917</v>
      </c>
      <c r="NA4" t="s">
        <v>916</v>
      </c>
      <c r="NB4" s="1" t="s">
        <v>421</v>
      </c>
      <c r="NC4" s="1" t="s">
        <v>422</v>
      </c>
      <c r="ND4" t="s">
        <v>379</v>
      </c>
      <c r="NE4" s="1" t="s">
        <v>423</v>
      </c>
      <c r="NF4" t="s">
        <v>902</v>
      </c>
    </row>
    <row r="5" spans="1:370" x14ac:dyDescent="0.35">
      <c r="A5" t="s">
        <v>370</v>
      </c>
      <c r="B5" s="1" t="s">
        <v>424</v>
      </c>
      <c r="C5" s="1" t="s">
        <v>912</v>
      </c>
      <c r="D5" t="s">
        <v>396</v>
      </c>
      <c r="E5" t="s">
        <v>376</v>
      </c>
      <c r="F5" t="s">
        <v>374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1E-3</v>
      </c>
      <c r="BL5" s="2">
        <v>1E-3</v>
      </c>
      <c r="BM5" s="2">
        <v>1E-3</v>
      </c>
      <c r="BN5" s="2">
        <v>1E-3</v>
      </c>
      <c r="BO5" s="2">
        <v>1E-3</v>
      </c>
      <c r="BP5" s="2">
        <v>1E-3</v>
      </c>
      <c r="BQ5" s="2">
        <v>1E-3</v>
      </c>
      <c r="BR5" s="2">
        <v>1E-3</v>
      </c>
      <c r="BS5" s="2">
        <v>1E-3</v>
      </c>
      <c r="BT5" s="2">
        <v>1E-3</v>
      </c>
      <c r="BU5" s="2">
        <v>1E-3</v>
      </c>
      <c r="BV5" s="2">
        <v>1E-3</v>
      </c>
      <c r="BW5" s="2">
        <v>1E-3</v>
      </c>
      <c r="BX5" s="2">
        <v>1E-3</v>
      </c>
      <c r="BY5" s="2">
        <v>1E-3</v>
      </c>
      <c r="BZ5" s="2">
        <v>1E-3</v>
      </c>
      <c r="CA5" s="2">
        <v>1E-3</v>
      </c>
      <c r="CB5" s="2">
        <v>1E-3</v>
      </c>
      <c r="CC5" s="2">
        <v>1E-3</v>
      </c>
      <c r="CD5" s="2">
        <v>1E-3</v>
      </c>
      <c r="CE5" s="2">
        <v>1E-3</v>
      </c>
      <c r="CF5" s="2">
        <v>1E-3</v>
      </c>
      <c r="CG5" s="2">
        <v>1E-3</v>
      </c>
      <c r="CH5" s="2">
        <v>1E-3</v>
      </c>
      <c r="CI5" s="2">
        <v>1E-3</v>
      </c>
      <c r="CJ5" s="2">
        <v>1E-3</v>
      </c>
      <c r="CK5" s="2">
        <v>1E-3</v>
      </c>
      <c r="CL5" s="2">
        <v>1E-3</v>
      </c>
      <c r="CM5" s="2">
        <v>1E-3</v>
      </c>
      <c r="CN5" s="2">
        <v>1E-3</v>
      </c>
      <c r="CO5" s="2">
        <v>1E-3</v>
      </c>
      <c r="CP5" s="2">
        <v>1E-3</v>
      </c>
      <c r="CQ5" s="2">
        <v>1E-3</v>
      </c>
      <c r="CR5" s="2">
        <v>1E-3</v>
      </c>
      <c r="CS5" s="2">
        <v>1E-3</v>
      </c>
      <c r="CT5" s="2">
        <v>1E-3</v>
      </c>
      <c r="CU5" s="2">
        <v>1E-3</v>
      </c>
      <c r="CV5" s="2">
        <v>1E-3</v>
      </c>
      <c r="CW5" s="2">
        <v>1E-3</v>
      </c>
      <c r="CX5" s="2">
        <v>1E-3</v>
      </c>
      <c r="CY5" s="2">
        <v>1E-3</v>
      </c>
      <c r="CZ5" s="2">
        <v>1E-3</v>
      </c>
      <c r="DA5" s="2">
        <v>1E-3</v>
      </c>
      <c r="DB5" s="2">
        <v>1E-3</v>
      </c>
      <c r="DC5" s="2">
        <v>1E-3</v>
      </c>
      <c r="DD5" s="2">
        <v>1E-3</v>
      </c>
      <c r="DE5" s="2">
        <v>1E-3</v>
      </c>
      <c r="DF5" s="2">
        <v>1E-3</v>
      </c>
      <c r="DG5" s="2">
        <v>1E-3</v>
      </c>
      <c r="DH5" s="2">
        <v>1E-3</v>
      </c>
      <c r="DI5" s="2">
        <v>1E-3</v>
      </c>
      <c r="DJ5" s="2">
        <v>1E-3</v>
      </c>
      <c r="DK5" s="2">
        <v>1E-3</v>
      </c>
      <c r="DL5" s="2">
        <v>1E-3</v>
      </c>
      <c r="DM5" s="2">
        <v>1E-3</v>
      </c>
      <c r="DN5" s="2">
        <v>1E-3</v>
      </c>
      <c r="DO5" s="2">
        <v>1E-3</v>
      </c>
      <c r="DP5" s="2">
        <v>1E-3</v>
      </c>
      <c r="DQ5" s="2">
        <v>1E-3</v>
      </c>
      <c r="DR5" s="2">
        <v>1E-3</v>
      </c>
      <c r="DS5" s="2">
        <v>1E-3</v>
      </c>
      <c r="DT5" s="2">
        <v>1E-3</v>
      </c>
      <c r="DU5" s="2">
        <v>1E-3</v>
      </c>
      <c r="DV5" s="2">
        <v>1E-3</v>
      </c>
      <c r="DW5" s="2">
        <v>1E-3</v>
      </c>
      <c r="DX5" s="2">
        <v>1E-3</v>
      </c>
      <c r="DY5" s="2">
        <v>1E-3</v>
      </c>
      <c r="DZ5" s="2">
        <v>1E-3</v>
      </c>
      <c r="EA5" s="2">
        <v>1E-3</v>
      </c>
      <c r="EB5" s="2">
        <v>1E-3</v>
      </c>
      <c r="EC5" s="2">
        <v>1E-3</v>
      </c>
      <c r="ED5" s="2">
        <v>1E-3</v>
      </c>
      <c r="EE5" s="2">
        <v>1E-3</v>
      </c>
      <c r="EF5" s="2">
        <v>1E-3</v>
      </c>
      <c r="EG5" s="2">
        <v>1E-3</v>
      </c>
      <c r="EH5" s="2">
        <v>1E-3</v>
      </c>
      <c r="EI5" s="2">
        <v>1E-3</v>
      </c>
      <c r="EJ5" s="2">
        <v>1E-3</v>
      </c>
      <c r="EK5" s="2">
        <v>1E-3</v>
      </c>
      <c r="EL5" s="2">
        <v>1E-3</v>
      </c>
      <c r="EM5" s="2">
        <v>1E-3</v>
      </c>
      <c r="EN5" s="2">
        <v>1E-3</v>
      </c>
      <c r="EO5" s="2">
        <v>1E-3</v>
      </c>
      <c r="EP5" s="2">
        <v>1E-3</v>
      </c>
      <c r="EQ5" s="2">
        <v>1E-3</v>
      </c>
      <c r="ER5" s="2">
        <v>1E-3</v>
      </c>
      <c r="ES5" s="2">
        <v>1E-3</v>
      </c>
      <c r="ET5" s="2">
        <v>1E-3</v>
      </c>
      <c r="EU5" s="2">
        <v>1E-3</v>
      </c>
      <c r="EV5" s="2">
        <v>1E-3</v>
      </c>
      <c r="EW5" s="2">
        <v>1E-3</v>
      </c>
      <c r="EX5" s="2">
        <v>1E-3</v>
      </c>
      <c r="EY5" s="2">
        <v>1E-3</v>
      </c>
      <c r="EZ5" s="2">
        <v>1E-3</v>
      </c>
      <c r="FA5" s="2">
        <v>1E-3</v>
      </c>
      <c r="FB5" s="2">
        <v>1E-3</v>
      </c>
      <c r="FC5" s="2">
        <v>1E-3</v>
      </c>
      <c r="FD5" s="2">
        <v>1E-3</v>
      </c>
      <c r="FE5" s="2">
        <v>1E-3</v>
      </c>
      <c r="FF5" s="2">
        <v>1E-3</v>
      </c>
      <c r="FG5" s="2">
        <v>1E-3</v>
      </c>
      <c r="FH5" s="2">
        <v>1E-3</v>
      </c>
      <c r="FI5" s="2">
        <v>1E-3</v>
      </c>
      <c r="FJ5" s="2">
        <v>1E-3</v>
      </c>
      <c r="FK5" s="2">
        <v>1E-3</v>
      </c>
      <c r="FL5" s="2">
        <v>1E-3</v>
      </c>
      <c r="FM5" s="2">
        <v>1E-3</v>
      </c>
      <c r="FN5" s="2">
        <v>1E-3</v>
      </c>
      <c r="FO5" s="2">
        <v>1E-3</v>
      </c>
      <c r="FP5" s="2">
        <v>1E-3</v>
      </c>
      <c r="FQ5" s="2">
        <v>1.6628039999999999</v>
      </c>
      <c r="FR5" s="2">
        <v>1.3238080000000001</v>
      </c>
      <c r="FS5" s="2">
        <v>1.0758099999999999</v>
      </c>
      <c r="FT5" s="2">
        <v>1.2271669999999999</v>
      </c>
      <c r="FU5" s="2">
        <v>1.3077449999999999</v>
      </c>
      <c r="FV5" s="2">
        <v>1.1407590000000001</v>
      </c>
      <c r="FW5" s="2">
        <v>0.7460831</v>
      </c>
      <c r="FX5" s="2">
        <v>0.61635689999999999</v>
      </c>
      <c r="FY5" s="2">
        <v>0.20009389999999999</v>
      </c>
      <c r="FZ5" s="2">
        <v>0.51158150000000002</v>
      </c>
      <c r="GA5" s="2">
        <v>0.5734416</v>
      </c>
      <c r="GB5" s="2">
        <v>0.51767390000000002</v>
      </c>
      <c r="GC5" s="2">
        <v>0.67274920000000005</v>
      </c>
      <c r="GD5" s="2">
        <v>0.89198120000000003</v>
      </c>
      <c r="GE5" s="2">
        <v>1.092973</v>
      </c>
      <c r="GF5" s="2">
        <v>1.0622720000000001</v>
      </c>
      <c r="GG5" s="2">
        <v>1.0784629999999999</v>
      </c>
      <c r="GH5" s="2">
        <v>1.117405</v>
      </c>
      <c r="GI5" s="2">
        <v>0.98093589999999997</v>
      </c>
      <c r="GJ5" s="2">
        <v>0.83509840000000002</v>
      </c>
      <c r="GK5" s="2">
        <v>0.48114400000000002</v>
      </c>
      <c r="GL5" s="2">
        <v>0.57794239999999997</v>
      </c>
      <c r="GM5" s="2">
        <v>0.43880459999999999</v>
      </c>
      <c r="GN5" s="2">
        <v>0.1120569</v>
      </c>
      <c r="GO5" s="2">
        <v>-2.2577300000000002E-2</v>
      </c>
      <c r="GP5" s="2">
        <v>2.346061E-2</v>
      </c>
      <c r="GQ5" s="2">
        <v>0.2252266</v>
      </c>
      <c r="GR5" s="2">
        <v>0.45630769999999998</v>
      </c>
      <c r="GS5" s="2">
        <v>0.47962579999999999</v>
      </c>
      <c r="GT5" s="2">
        <v>0.94125300000000001</v>
      </c>
      <c r="GU5" s="2">
        <v>1.5181469999999999</v>
      </c>
      <c r="GV5" s="2">
        <v>2.2661720000000001</v>
      </c>
      <c r="GW5" s="2">
        <v>3.0635319999999999</v>
      </c>
      <c r="GX5" s="2">
        <v>4.1811449999999999</v>
      </c>
      <c r="GY5" s="2">
        <v>3.7578680000000002</v>
      </c>
      <c r="GZ5" s="2">
        <v>4.2907570000000002</v>
      </c>
      <c r="HA5" s="2">
        <v>4.8693939999999998</v>
      </c>
      <c r="HB5" s="2">
        <v>4.2015229999999999</v>
      </c>
      <c r="HC5" s="2">
        <v>3.8337020000000002</v>
      </c>
      <c r="HD5" s="2">
        <v>4.0494620000000001</v>
      </c>
      <c r="HE5" s="2">
        <v>3.7190509999999999</v>
      </c>
      <c r="HF5" s="2">
        <v>3.9221520000000001</v>
      </c>
      <c r="HG5" s="2">
        <v>4.0268189999999997</v>
      </c>
      <c r="HH5" s="2">
        <v>3.781371</v>
      </c>
      <c r="HI5" s="3">
        <v>3.6890369999999999</v>
      </c>
      <c r="HJ5" s="3">
        <v>3.7009850000000002</v>
      </c>
      <c r="HK5" s="3">
        <v>3.6724060000000001</v>
      </c>
      <c r="HL5" s="3">
        <v>3.6057959999999998</v>
      </c>
      <c r="HM5" s="3">
        <v>3.5387209999999998</v>
      </c>
      <c r="HN5" s="3">
        <v>3.4534479999999999</v>
      </c>
      <c r="HO5" s="3">
        <v>3.3567130000000001</v>
      </c>
      <c r="HP5" s="3">
        <v>3.2420270000000002</v>
      </c>
      <c r="HQ5" s="3">
        <v>3.1217830000000002</v>
      </c>
      <c r="HR5" s="3">
        <v>3.0148779999999999</v>
      </c>
      <c r="HS5" s="3">
        <v>2.9650069999999999</v>
      </c>
      <c r="HT5" s="3">
        <v>2.94</v>
      </c>
      <c r="HU5" s="3">
        <v>2.94</v>
      </c>
      <c r="HV5" s="3">
        <v>2.94</v>
      </c>
      <c r="HW5" s="3">
        <v>2.94</v>
      </c>
      <c r="HX5" s="3">
        <v>2.94</v>
      </c>
      <c r="HY5" s="3">
        <v>2.94</v>
      </c>
      <c r="HZ5" s="3">
        <v>2.94</v>
      </c>
      <c r="IA5" s="3">
        <v>2.94</v>
      </c>
      <c r="IB5" s="3">
        <v>2.94</v>
      </c>
      <c r="IC5" s="3">
        <v>2.94</v>
      </c>
      <c r="ID5" s="3">
        <v>2.94</v>
      </c>
      <c r="IE5" s="3">
        <v>2.94</v>
      </c>
      <c r="IF5" s="3">
        <v>2.94</v>
      </c>
      <c r="IG5" s="3">
        <v>2.94</v>
      </c>
      <c r="IH5" s="3">
        <v>2.94</v>
      </c>
      <c r="II5" s="3">
        <v>2.94</v>
      </c>
      <c r="IJ5" s="3">
        <v>2.94</v>
      </c>
      <c r="IK5" s="3">
        <v>2.94</v>
      </c>
      <c r="IL5" s="3">
        <v>2.94</v>
      </c>
      <c r="IM5" s="3">
        <v>2.94</v>
      </c>
      <c r="IN5" s="3">
        <v>2.94</v>
      </c>
      <c r="IO5" s="3">
        <v>2.94</v>
      </c>
      <c r="IP5" s="3">
        <v>2.94</v>
      </c>
      <c r="IQ5" s="3">
        <v>2.94</v>
      </c>
      <c r="IR5" s="3">
        <v>2.94</v>
      </c>
      <c r="IS5" s="3">
        <v>2.94</v>
      </c>
      <c r="IT5" s="3">
        <v>2.94</v>
      </c>
      <c r="IU5" s="3">
        <v>2.94</v>
      </c>
      <c r="IV5" s="3">
        <v>2.94</v>
      </c>
      <c r="IW5" s="3">
        <v>2.94</v>
      </c>
      <c r="IX5" s="3">
        <v>2.94</v>
      </c>
      <c r="IY5" s="3">
        <v>2.94</v>
      </c>
      <c r="IZ5" s="3">
        <v>2.94</v>
      </c>
      <c r="JA5" s="3">
        <v>2.94</v>
      </c>
      <c r="JB5" s="3">
        <v>2.94</v>
      </c>
      <c r="JC5" s="3">
        <v>2.94</v>
      </c>
      <c r="JD5" s="3">
        <v>2.94</v>
      </c>
      <c r="JE5" s="3">
        <v>2.94</v>
      </c>
      <c r="JF5" s="3">
        <v>2.94</v>
      </c>
      <c r="JG5" s="3">
        <v>2.94</v>
      </c>
      <c r="JH5" s="3">
        <v>2.94</v>
      </c>
      <c r="JI5" s="3">
        <v>2.94</v>
      </c>
      <c r="JJ5" s="3">
        <v>2.94</v>
      </c>
      <c r="JK5" s="3">
        <v>2.94</v>
      </c>
      <c r="JL5" s="3">
        <v>2.94</v>
      </c>
      <c r="JM5" s="3">
        <v>2.94</v>
      </c>
      <c r="JN5" s="3">
        <v>2.94</v>
      </c>
      <c r="JO5" s="3">
        <v>2.94</v>
      </c>
      <c r="JP5" s="3">
        <v>2.94</v>
      </c>
      <c r="JQ5" s="3">
        <v>2.94</v>
      </c>
      <c r="JR5" s="3">
        <v>2.94</v>
      </c>
      <c r="JS5" s="3">
        <v>2.94</v>
      </c>
      <c r="JT5" s="3">
        <v>2.94</v>
      </c>
      <c r="JU5" s="3">
        <v>2.94</v>
      </c>
      <c r="JV5" s="3">
        <v>2.94</v>
      </c>
      <c r="JW5" s="3">
        <v>2.94</v>
      </c>
      <c r="JX5" s="3">
        <v>2.94</v>
      </c>
      <c r="JY5" s="3">
        <v>2.94</v>
      </c>
      <c r="JZ5" s="3">
        <v>2.94</v>
      </c>
      <c r="KA5" s="3">
        <v>2.94</v>
      </c>
      <c r="KB5" s="3">
        <v>2.94</v>
      </c>
      <c r="KC5" s="3">
        <v>2.94</v>
      </c>
      <c r="KD5" s="3">
        <v>2.94</v>
      </c>
      <c r="KE5" s="3">
        <v>2.94</v>
      </c>
      <c r="KF5" s="3">
        <v>2.94</v>
      </c>
      <c r="KG5" s="3">
        <v>2.94</v>
      </c>
      <c r="KH5" s="3">
        <v>2.94</v>
      </c>
      <c r="KI5" s="3">
        <v>2.94</v>
      </c>
      <c r="KJ5" s="3">
        <v>2.94</v>
      </c>
      <c r="KK5" s="3">
        <v>2.94</v>
      </c>
      <c r="KL5" s="3">
        <v>2.94</v>
      </c>
      <c r="KM5" s="3">
        <v>2.94</v>
      </c>
      <c r="KN5" s="3">
        <v>2.94</v>
      </c>
      <c r="KO5" s="3">
        <v>2.94</v>
      </c>
      <c r="KP5" s="3">
        <v>2.94</v>
      </c>
      <c r="KQ5" s="3">
        <v>2.94</v>
      </c>
      <c r="KR5" s="3">
        <v>2.94</v>
      </c>
      <c r="KS5" s="3">
        <v>2.94</v>
      </c>
      <c r="KT5" s="3">
        <v>2.94</v>
      </c>
      <c r="KU5" s="3">
        <v>2.94</v>
      </c>
      <c r="KV5" s="3">
        <v>2.94</v>
      </c>
      <c r="KW5" s="3">
        <v>2.94</v>
      </c>
      <c r="KX5" s="3">
        <v>2.94</v>
      </c>
      <c r="KY5" s="3">
        <v>2.94</v>
      </c>
      <c r="KZ5" s="3">
        <v>2.94</v>
      </c>
      <c r="LA5" s="3">
        <v>2.94</v>
      </c>
      <c r="LB5" s="3">
        <v>2.94</v>
      </c>
      <c r="LC5" s="3">
        <v>2.94</v>
      </c>
      <c r="LD5" s="3">
        <v>2.94</v>
      </c>
      <c r="LE5" s="3">
        <v>2.94</v>
      </c>
      <c r="LF5" s="3">
        <v>2.94</v>
      </c>
      <c r="LG5" s="3">
        <v>2.94</v>
      </c>
      <c r="LH5" s="3">
        <v>2.94</v>
      </c>
      <c r="LI5" s="3">
        <v>2.94</v>
      </c>
      <c r="LJ5" s="3">
        <v>2.94</v>
      </c>
      <c r="LK5" s="3">
        <v>2.94</v>
      </c>
      <c r="LL5" s="3">
        <v>2.94</v>
      </c>
      <c r="LM5" s="3">
        <v>2.94</v>
      </c>
      <c r="LN5" s="3">
        <v>2.94</v>
      </c>
      <c r="LO5" s="3">
        <v>2.94</v>
      </c>
      <c r="LP5" s="3">
        <v>2.94</v>
      </c>
      <c r="LQ5" s="3">
        <v>2.94</v>
      </c>
      <c r="LR5" s="3">
        <v>2.94</v>
      </c>
      <c r="LS5" s="3">
        <v>2.94</v>
      </c>
      <c r="LT5" s="3">
        <v>2.94</v>
      </c>
      <c r="LU5" s="3">
        <v>2.94</v>
      </c>
      <c r="LV5" s="3">
        <v>2.94</v>
      </c>
      <c r="LW5" s="3">
        <v>2.94</v>
      </c>
      <c r="LX5" s="3">
        <v>2.94</v>
      </c>
      <c r="LY5" s="3">
        <v>2.94</v>
      </c>
      <c r="LZ5" s="3">
        <v>2.94</v>
      </c>
      <c r="MA5" s="3">
        <v>2.94</v>
      </c>
      <c r="MB5" s="3">
        <v>2.94</v>
      </c>
      <c r="MC5" s="3">
        <v>2.94</v>
      </c>
      <c r="MD5" s="3">
        <v>2.94</v>
      </c>
      <c r="ME5" s="3">
        <v>2.94</v>
      </c>
      <c r="MF5" s="3">
        <v>2.94</v>
      </c>
      <c r="MG5" s="3">
        <v>2.94</v>
      </c>
      <c r="MH5" s="3">
        <v>2.94</v>
      </c>
      <c r="MI5" s="3">
        <v>2.94</v>
      </c>
      <c r="MJ5" s="3">
        <v>2.94</v>
      </c>
      <c r="MK5" s="3">
        <v>2.94</v>
      </c>
      <c r="ML5" s="3">
        <v>2.94</v>
      </c>
      <c r="MM5" s="3">
        <v>2.94</v>
      </c>
      <c r="MN5" s="3">
        <v>2.94</v>
      </c>
      <c r="MO5" s="3">
        <v>2.94</v>
      </c>
      <c r="MP5" s="3">
        <v>2.94</v>
      </c>
      <c r="MQ5" s="3">
        <v>2.94</v>
      </c>
      <c r="MR5" s="3">
        <v>2.94</v>
      </c>
      <c r="MS5" s="3">
        <v>2.94</v>
      </c>
      <c r="MT5" s="3">
        <v>2.94</v>
      </c>
      <c r="MU5" s="1" t="s">
        <v>425</v>
      </c>
      <c r="MV5" t="s">
        <v>913</v>
      </c>
      <c r="MW5" t="s">
        <v>376</v>
      </c>
      <c r="MX5" t="s">
        <v>376</v>
      </c>
      <c r="MY5" t="s">
        <v>914</v>
      </c>
      <c r="MZ5" t="s">
        <v>917</v>
      </c>
      <c r="NA5" t="s">
        <v>916</v>
      </c>
      <c r="NB5" s="1" t="s">
        <v>426</v>
      </c>
      <c r="NC5" s="1" t="s">
        <v>427</v>
      </c>
      <c r="ND5" t="s">
        <v>379</v>
      </c>
      <c r="NE5" s="1" t="s">
        <v>428</v>
      </c>
      <c r="NF5" t="s">
        <v>902</v>
      </c>
    </row>
    <row r="6" spans="1:370" x14ac:dyDescent="0.35">
      <c r="A6" t="s">
        <v>370</v>
      </c>
      <c r="B6" s="1" t="s">
        <v>410</v>
      </c>
      <c r="C6" s="1" t="s">
        <v>912</v>
      </c>
      <c r="D6" t="s">
        <v>396</v>
      </c>
      <c r="E6" t="s">
        <v>376</v>
      </c>
      <c r="F6" t="s">
        <v>374</v>
      </c>
      <c r="G6" s="2">
        <v>1E-3</v>
      </c>
      <c r="H6" s="2">
        <v>1E-3</v>
      </c>
      <c r="I6" s="2">
        <v>1E-3</v>
      </c>
      <c r="J6" s="2">
        <v>1E-3</v>
      </c>
      <c r="K6" s="2">
        <v>1E-3</v>
      </c>
      <c r="L6" s="2">
        <v>1E-3</v>
      </c>
      <c r="M6" s="2">
        <v>1E-3</v>
      </c>
      <c r="N6" s="2">
        <v>1E-3</v>
      </c>
      <c r="O6" s="2">
        <v>1E-3</v>
      </c>
      <c r="P6" s="2">
        <v>1E-3</v>
      </c>
      <c r="Q6" s="2">
        <v>1E-3</v>
      </c>
      <c r="R6" s="2">
        <v>1E-3</v>
      </c>
      <c r="S6" s="2">
        <v>1E-3</v>
      </c>
      <c r="T6" s="2">
        <v>1E-3</v>
      </c>
      <c r="U6" s="2">
        <v>1E-3</v>
      </c>
      <c r="V6" s="2">
        <v>1E-3</v>
      </c>
      <c r="W6" s="2">
        <v>1E-3</v>
      </c>
      <c r="X6" s="2">
        <v>1E-3</v>
      </c>
      <c r="Y6" s="2">
        <v>1E-3</v>
      </c>
      <c r="Z6" s="2">
        <v>1E-3</v>
      </c>
      <c r="AA6" s="2">
        <v>1E-3</v>
      </c>
      <c r="AB6" s="2">
        <v>1E-3</v>
      </c>
      <c r="AC6" s="2">
        <v>1E-3</v>
      </c>
      <c r="AD6" s="2">
        <v>1E-3</v>
      </c>
      <c r="AE6" s="2">
        <v>1E-3</v>
      </c>
      <c r="AF6" s="2">
        <v>1E-3</v>
      </c>
      <c r="AG6" s="2">
        <v>1E-3</v>
      </c>
      <c r="AH6" s="2">
        <v>1E-3</v>
      </c>
      <c r="AI6" s="2">
        <v>1E-3</v>
      </c>
      <c r="AJ6" s="2">
        <v>1E-3</v>
      </c>
      <c r="AK6" s="2">
        <v>1E-3</v>
      </c>
      <c r="AL6" s="2">
        <v>1E-3</v>
      </c>
      <c r="AM6" s="2">
        <v>1E-3</v>
      </c>
      <c r="AN6" s="2">
        <v>1E-3</v>
      </c>
      <c r="AO6" s="2">
        <v>1E-3</v>
      </c>
      <c r="AP6" s="2">
        <v>1E-3</v>
      </c>
      <c r="AQ6" s="2">
        <v>1E-3</v>
      </c>
      <c r="AR6" s="2">
        <v>1E-3</v>
      </c>
      <c r="AS6" s="2">
        <v>1E-3</v>
      </c>
      <c r="AT6" s="2">
        <v>1E-3</v>
      </c>
      <c r="AU6" s="2">
        <v>1E-3</v>
      </c>
      <c r="AV6" s="2">
        <v>1E-3</v>
      </c>
      <c r="AW6" s="2">
        <v>1E-3</v>
      </c>
      <c r="AX6" s="2">
        <v>1E-3</v>
      </c>
      <c r="AY6" s="2">
        <v>10.65</v>
      </c>
      <c r="AZ6" s="2">
        <v>11.7</v>
      </c>
      <c r="BA6" s="2">
        <v>11.03</v>
      </c>
      <c r="BB6" s="2">
        <v>11.07</v>
      </c>
      <c r="BC6" s="2">
        <v>11.09</v>
      </c>
      <c r="BD6" s="2">
        <v>11.05</v>
      </c>
      <c r="BE6" s="2">
        <v>10.55</v>
      </c>
      <c r="BF6" s="2">
        <v>10.83</v>
      </c>
      <c r="BG6" s="2">
        <v>9.14</v>
      </c>
      <c r="BH6" s="2">
        <v>9.5500000000000007</v>
      </c>
      <c r="BI6" s="2">
        <v>10.86</v>
      </c>
      <c r="BJ6" s="2">
        <v>10.57</v>
      </c>
      <c r="BK6" s="2">
        <v>9.18</v>
      </c>
      <c r="BL6" s="2">
        <v>9.1999999999999993</v>
      </c>
      <c r="BM6" s="2">
        <v>10.26</v>
      </c>
      <c r="BN6" s="2">
        <v>9.61</v>
      </c>
      <c r="BO6" s="2">
        <v>9.09</v>
      </c>
      <c r="BP6" s="2">
        <v>9.8000000000000007</v>
      </c>
      <c r="BQ6" s="2">
        <v>9.8800000000000008</v>
      </c>
      <c r="BR6" s="2">
        <v>10.11</v>
      </c>
      <c r="BS6" s="2">
        <v>10</v>
      </c>
      <c r="BT6" s="2">
        <v>10.41</v>
      </c>
      <c r="BU6" s="2">
        <v>10.46</v>
      </c>
      <c r="BV6" s="2">
        <v>10.41</v>
      </c>
      <c r="BW6" s="2">
        <v>12.52</v>
      </c>
      <c r="BX6" s="2">
        <v>11.65</v>
      </c>
      <c r="BY6" s="2">
        <v>12.14</v>
      </c>
      <c r="BZ6" s="2">
        <v>11.04</v>
      </c>
      <c r="CA6" s="2">
        <v>10.14</v>
      </c>
      <c r="CB6" s="2">
        <v>10.56</v>
      </c>
      <c r="CC6" s="2">
        <v>9.58</v>
      </c>
      <c r="CD6" s="2">
        <v>9.73</v>
      </c>
      <c r="CE6" s="2">
        <v>9.9</v>
      </c>
      <c r="CF6" s="2">
        <v>9.11</v>
      </c>
      <c r="CG6" s="2">
        <v>8.9600000000000009</v>
      </c>
      <c r="CH6" s="2">
        <v>8.17</v>
      </c>
      <c r="CI6" s="2">
        <v>7.8</v>
      </c>
      <c r="CJ6" s="2">
        <v>7.7</v>
      </c>
      <c r="CK6" s="2">
        <v>6.96</v>
      </c>
      <c r="CL6" s="2">
        <v>6.2390999999999996</v>
      </c>
      <c r="CM6" s="2">
        <v>7.5</v>
      </c>
      <c r="CN6" s="2">
        <v>8.59</v>
      </c>
      <c r="CO6" s="2">
        <v>8.8000000000000007</v>
      </c>
      <c r="CP6" s="2">
        <v>8.6999999999999993</v>
      </c>
      <c r="CQ6" s="2">
        <v>8.49</v>
      </c>
      <c r="CR6" s="2">
        <v>8.48</v>
      </c>
      <c r="CS6" s="2">
        <v>8.1199999999999992</v>
      </c>
      <c r="CT6" s="2">
        <v>7.43</v>
      </c>
      <c r="CU6" s="2">
        <v>8.15</v>
      </c>
      <c r="CV6" s="2">
        <v>7.88</v>
      </c>
      <c r="CW6" s="2">
        <v>7.65</v>
      </c>
      <c r="CX6" s="2">
        <v>7.51</v>
      </c>
      <c r="CY6" s="2">
        <v>7.62</v>
      </c>
      <c r="CZ6" s="2">
        <v>7.09</v>
      </c>
      <c r="DA6" s="2">
        <v>6.44</v>
      </c>
      <c r="DB6" s="2">
        <v>6.29</v>
      </c>
      <c r="DC6" s="2">
        <v>5.9</v>
      </c>
      <c r="DD6" s="2">
        <v>5.84</v>
      </c>
      <c r="DE6" s="2">
        <v>4.8899999999999997</v>
      </c>
      <c r="DF6" s="2">
        <v>4.3600000000000003</v>
      </c>
      <c r="DG6" s="2">
        <v>4.58</v>
      </c>
      <c r="DH6" s="2">
        <v>5.0599999999999996</v>
      </c>
      <c r="DI6" s="2">
        <v>5.62</v>
      </c>
      <c r="DJ6" s="2">
        <v>5.48</v>
      </c>
      <c r="DK6" s="2">
        <v>5.25</v>
      </c>
      <c r="DL6" s="2">
        <v>5.17</v>
      </c>
      <c r="DM6" s="2">
        <v>5.2</v>
      </c>
      <c r="DN6" s="2">
        <v>4.8899999999999997</v>
      </c>
      <c r="DO6" s="2">
        <v>4.87</v>
      </c>
      <c r="DP6" s="2">
        <v>5.29</v>
      </c>
      <c r="DQ6" s="2">
        <v>4.88</v>
      </c>
      <c r="DR6" s="2">
        <v>5.07</v>
      </c>
      <c r="DS6" s="2">
        <v>5.3</v>
      </c>
      <c r="DT6" s="2">
        <v>5.0199999999999996</v>
      </c>
      <c r="DU6" s="2">
        <v>4.3899999999999997</v>
      </c>
      <c r="DV6" s="2">
        <v>4.38</v>
      </c>
      <c r="DW6" s="2">
        <v>4.29</v>
      </c>
      <c r="DX6" s="2">
        <v>4.17</v>
      </c>
      <c r="DY6" s="2">
        <v>4.54</v>
      </c>
      <c r="DZ6" s="2">
        <v>4.7699999999999996</v>
      </c>
      <c r="EA6" s="2">
        <v>4.75</v>
      </c>
      <c r="EB6" s="2">
        <v>5.0999999999999996</v>
      </c>
      <c r="EC6" s="2">
        <v>4.83</v>
      </c>
      <c r="ED6" s="2">
        <v>4.54</v>
      </c>
      <c r="EE6" s="2">
        <v>4.6900000000000004</v>
      </c>
      <c r="EF6" s="2">
        <v>4.17</v>
      </c>
      <c r="EG6" s="2">
        <v>4.29</v>
      </c>
      <c r="EH6" s="2">
        <v>4.09</v>
      </c>
      <c r="EI6" s="2">
        <v>4.4000000000000004</v>
      </c>
      <c r="EJ6" s="2">
        <v>4.7</v>
      </c>
      <c r="EK6" s="2">
        <v>4.5199999999999996</v>
      </c>
      <c r="EL6" s="2">
        <v>4.74</v>
      </c>
      <c r="EM6" s="2">
        <v>4.9400000000000004</v>
      </c>
      <c r="EN6" s="2">
        <v>5.46</v>
      </c>
      <c r="EO6" s="2">
        <v>5.04</v>
      </c>
      <c r="EP6" s="2">
        <v>4.57</v>
      </c>
      <c r="EQ6" s="2">
        <v>4.3499999999999996</v>
      </c>
      <c r="ER6" s="2">
        <v>5.13</v>
      </c>
      <c r="ES6" s="2">
        <v>4.45</v>
      </c>
      <c r="ET6" s="2">
        <v>3.02</v>
      </c>
      <c r="EU6" s="2">
        <v>3.16</v>
      </c>
      <c r="EV6" s="2">
        <v>3.69</v>
      </c>
      <c r="EW6" s="2">
        <v>3.59</v>
      </c>
      <c r="EX6" s="2">
        <v>4.01</v>
      </c>
      <c r="EY6" s="2">
        <v>3.95</v>
      </c>
      <c r="EZ6" s="2">
        <v>3.36</v>
      </c>
      <c r="FA6" s="2">
        <v>2.95</v>
      </c>
      <c r="FB6" s="2">
        <v>3.4</v>
      </c>
      <c r="FC6" s="2">
        <v>3.69</v>
      </c>
      <c r="FD6" s="2">
        <v>3.39</v>
      </c>
      <c r="FE6" s="2">
        <v>2.42</v>
      </c>
      <c r="FF6" s="2">
        <v>1.98</v>
      </c>
      <c r="FG6" s="2">
        <v>2.2000000000000002</v>
      </c>
      <c r="FH6" s="2">
        <v>1.73</v>
      </c>
      <c r="FI6" s="2">
        <v>1.72</v>
      </c>
      <c r="FJ6" s="2">
        <v>1.85</v>
      </c>
      <c r="FK6" s="2">
        <v>1.78</v>
      </c>
      <c r="FL6" s="2">
        <v>2.44</v>
      </c>
      <c r="FM6" s="2">
        <v>2.73</v>
      </c>
      <c r="FN6" s="2">
        <v>3.04</v>
      </c>
      <c r="FO6" s="2">
        <v>2.73</v>
      </c>
      <c r="FP6" s="2">
        <v>2.68</v>
      </c>
      <c r="FQ6" s="2">
        <v>2.4300000000000002</v>
      </c>
      <c r="FR6" s="2">
        <v>1.76</v>
      </c>
      <c r="FS6" s="2">
        <v>1.58</v>
      </c>
      <c r="FT6" s="2">
        <v>2.0099999999999998</v>
      </c>
      <c r="FU6" s="2">
        <v>1.76</v>
      </c>
      <c r="FV6" s="2">
        <v>1.96</v>
      </c>
      <c r="FW6" s="2">
        <v>1.43</v>
      </c>
      <c r="FX6" s="2">
        <v>0.89</v>
      </c>
      <c r="FY6" s="2">
        <v>0.76</v>
      </c>
      <c r="FZ6" s="2">
        <v>1.24</v>
      </c>
      <c r="GA6" s="2">
        <v>1.1399999999999999</v>
      </c>
      <c r="GB6" s="2">
        <v>1.26</v>
      </c>
      <c r="GC6" s="2">
        <v>1.38</v>
      </c>
      <c r="GD6" s="2">
        <v>1.19</v>
      </c>
      <c r="GE6" s="2">
        <v>1.34</v>
      </c>
      <c r="GF6" s="2">
        <v>1.28</v>
      </c>
      <c r="GG6" s="2">
        <v>1.57</v>
      </c>
      <c r="GH6" s="2">
        <v>1.27</v>
      </c>
      <c r="GI6" s="2">
        <v>0.99</v>
      </c>
      <c r="GJ6" s="2">
        <v>0.84</v>
      </c>
      <c r="GK6" s="2">
        <v>0.49</v>
      </c>
      <c r="GL6" s="2">
        <v>0.83</v>
      </c>
      <c r="GM6" s="2">
        <v>0.34</v>
      </c>
      <c r="GN6" s="2">
        <v>0.17</v>
      </c>
      <c r="GO6" s="2">
        <v>0.23</v>
      </c>
      <c r="GP6" s="2">
        <v>0.2</v>
      </c>
      <c r="GQ6" s="2">
        <v>0.85</v>
      </c>
      <c r="GR6" s="2">
        <v>0.72</v>
      </c>
      <c r="GS6" s="2">
        <v>1.02</v>
      </c>
      <c r="GT6" s="2">
        <v>0.97</v>
      </c>
      <c r="GU6" s="2">
        <v>1.6</v>
      </c>
      <c r="GV6" s="2">
        <v>2.2200000000000002</v>
      </c>
      <c r="GW6" s="2">
        <v>4.08</v>
      </c>
      <c r="GX6" s="2">
        <v>3.67</v>
      </c>
      <c r="GY6" s="2">
        <v>3.47</v>
      </c>
      <c r="GZ6" s="2">
        <v>4.3899999999999997</v>
      </c>
      <c r="HA6" s="2">
        <v>4.46</v>
      </c>
      <c r="HB6" s="2">
        <v>3.54</v>
      </c>
      <c r="HC6" s="2">
        <v>3.95</v>
      </c>
      <c r="HD6" s="2">
        <v>4.17</v>
      </c>
      <c r="HE6" s="2">
        <v>4</v>
      </c>
      <c r="HF6" s="2">
        <v>4.57</v>
      </c>
      <c r="HG6" s="2">
        <v>4.7</v>
      </c>
      <c r="HH6" s="2">
        <v>4.4800000000000004</v>
      </c>
      <c r="HI6" s="3">
        <v>4.5999999999999996</v>
      </c>
      <c r="HJ6" s="3">
        <v>4.536295</v>
      </c>
      <c r="HK6" s="3">
        <v>4.4623629999999999</v>
      </c>
      <c r="HL6" s="3">
        <v>4.3381970000000001</v>
      </c>
      <c r="HM6" s="3">
        <v>4.188987</v>
      </c>
      <c r="HN6" s="3">
        <v>4.0306749999999996</v>
      </c>
      <c r="HO6" s="3">
        <v>3.8720720000000002</v>
      </c>
      <c r="HP6" s="3">
        <v>3.7212969999999999</v>
      </c>
      <c r="HQ6" s="3">
        <v>3.583097</v>
      </c>
      <c r="HR6" s="3">
        <v>3.4656950000000002</v>
      </c>
      <c r="HS6" s="3">
        <v>3.3825090000000002</v>
      </c>
      <c r="HT6" s="3">
        <v>3.35</v>
      </c>
      <c r="HU6" s="3">
        <v>3.35</v>
      </c>
      <c r="HV6" s="3">
        <v>3.35</v>
      </c>
      <c r="HW6" s="3">
        <v>3.35</v>
      </c>
      <c r="HX6" s="3">
        <v>3.35</v>
      </c>
      <c r="HY6" s="3">
        <v>3.35</v>
      </c>
      <c r="HZ6" s="3">
        <v>3.35</v>
      </c>
      <c r="IA6" s="3">
        <v>3.35</v>
      </c>
      <c r="IB6" s="3">
        <v>3.35</v>
      </c>
      <c r="IC6" s="3">
        <v>3.35</v>
      </c>
      <c r="ID6" s="3">
        <v>3.35</v>
      </c>
      <c r="IE6" s="3">
        <v>3.35</v>
      </c>
      <c r="IF6" s="3">
        <v>3.35</v>
      </c>
      <c r="IG6" s="3">
        <v>3.35</v>
      </c>
      <c r="IH6" s="3">
        <v>3.35</v>
      </c>
      <c r="II6" s="3">
        <v>3.35</v>
      </c>
      <c r="IJ6" s="3">
        <v>3.35</v>
      </c>
      <c r="IK6" s="3">
        <v>3.35</v>
      </c>
      <c r="IL6" s="3">
        <v>3.35</v>
      </c>
      <c r="IM6" s="3">
        <v>3.35</v>
      </c>
      <c r="IN6" s="3">
        <v>3.35</v>
      </c>
      <c r="IO6" s="3">
        <v>3.35</v>
      </c>
      <c r="IP6" s="3">
        <v>3.35</v>
      </c>
      <c r="IQ6" s="3">
        <v>3.35</v>
      </c>
      <c r="IR6" s="3">
        <v>3.35</v>
      </c>
      <c r="IS6" s="3">
        <v>3.35</v>
      </c>
      <c r="IT6" s="3">
        <v>3.35</v>
      </c>
      <c r="IU6" s="3">
        <v>3.35</v>
      </c>
      <c r="IV6" s="3">
        <v>3.35</v>
      </c>
      <c r="IW6" s="3">
        <v>3.35</v>
      </c>
      <c r="IX6" s="3">
        <v>3.35</v>
      </c>
      <c r="IY6" s="3">
        <v>3.35</v>
      </c>
      <c r="IZ6" s="3">
        <v>3.35</v>
      </c>
      <c r="JA6" s="3">
        <v>3.35</v>
      </c>
      <c r="JB6" s="3">
        <v>3.35</v>
      </c>
      <c r="JC6" s="3">
        <v>3.35</v>
      </c>
      <c r="JD6" s="3">
        <v>3.35</v>
      </c>
      <c r="JE6" s="3">
        <v>3.35</v>
      </c>
      <c r="JF6" s="3">
        <v>3.35</v>
      </c>
      <c r="JG6" s="3">
        <v>3.35</v>
      </c>
      <c r="JH6" s="3">
        <v>3.35</v>
      </c>
      <c r="JI6" s="3">
        <v>3.35</v>
      </c>
      <c r="JJ6" s="3">
        <v>3.35</v>
      </c>
      <c r="JK6" s="3">
        <v>3.35</v>
      </c>
      <c r="JL6" s="3">
        <v>3.35</v>
      </c>
      <c r="JM6" s="3">
        <v>3.35</v>
      </c>
      <c r="JN6" s="3">
        <v>3.35</v>
      </c>
      <c r="JO6" s="3">
        <v>3.35</v>
      </c>
      <c r="JP6" s="3">
        <v>3.35</v>
      </c>
      <c r="JQ6" s="3">
        <v>3.35</v>
      </c>
      <c r="JR6" s="3">
        <v>3.35</v>
      </c>
      <c r="JS6" s="3">
        <v>3.35</v>
      </c>
      <c r="JT6" s="3">
        <v>3.35</v>
      </c>
      <c r="JU6" s="3">
        <v>3.35</v>
      </c>
      <c r="JV6" s="3">
        <v>3.35</v>
      </c>
      <c r="JW6" s="3">
        <v>3.35</v>
      </c>
      <c r="JX6" s="3">
        <v>3.35</v>
      </c>
      <c r="JY6" s="3">
        <v>3.35</v>
      </c>
      <c r="JZ6" s="3">
        <v>3.35</v>
      </c>
      <c r="KA6" s="3">
        <v>3.35</v>
      </c>
      <c r="KB6" s="3">
        <v>3.35</v>
      </c>
      <c r="KC6" s="3">
        <v>3.35</v>
      </c>
      <c r="KD6" s="3">
        <v>3.35</v>
      </c>
      <c r="KE6" s="3">
        <v>3.35</v>
      </c>
      <c r="KF6" s="3">
        <v>3.35</v>
      </c>
      <c r="KG6" s="3">
        <v>3.35</v>
      </c>
      <c r="KH6" s="3">
        <v>3.35</v>
      </c>
      <c r="KI6" s="3">
        <v>3.35</v>
      </c>
      <c r="KJ6" s="3">
        <v>3.35</v>
      </c>
      <c r="KK6" s="3">
        <v>3.35</v>
      </c>
      <c r="KL6" s="3">
        <v>3.35</v>
      </c>
      <c r="KM6" s="3">
        <v>3.35</v>
      </c>
      <c r="KN6" s="3">
        <v>3.35</v>
      </c>
      <c r="KO6" s="3">
        <v>3.35</v>
      </c>
      <c r="KP6" s="3">
        <v>3.35</v>
      </c>
      <c r="KQ6" s="3">
        <v>3.35</v>
      </c>
      <c r="KR6" s="3">
        <v>3.35</v>
      </c>
      <c r="KS6" s="3">
        <v>3.35</v>
      </c>
      <c r="KT6" s="3">
        <v>3.35</v>
      </c>
      <c r="KU6" s="3">
        <v>3.35</v>
      </c>
      <c r="KV6" s="3">
        <v>3.35</v>
      </c>
      <c r="KW6" s="3">
        <v>3.35</v>
      </c>
      <c r="KX6" s="3">
        <v>3.35</v>
      </c>
      <c r="KY6" s="3">
        <v>3.35</v>
      </c>
      <c r="KZ6" s="3">
        <v>3.35</v>
      </c>
      <c r="LA6" s="3">
        <v>3.35</v>
      </c>
      <c r="LB6" s="3">
        <v>3.35</v>
      </c>
      <c r="LC6" s="3">
        <v>3.35</v>
      </c>
      <c r="LD6" s="3">
        <v>3.35</v>
      </c>
      <c r="LE6" s="3">
        <v>3.35</v>
      </c>
      <c r="LF6" s="3">
        <v>3.35</v>
      </c>
      <c r="LG6" s="3">
        <v>3.35</v>
      </c>
      <c r="LH6" s="3">
        <v>3.35</v>
      </c>
      <c r="LI6" s="3">
        <v>3.35</v>
      </c>
      <c r="LJ6" s="3">
        <v>3.35</v>
      </c>
      <c r="LK6" s="3">
        <v>3.35</v>
      </c>
      <c r="LL6" s="3">
        <v>3.35</v>
      </c>
      <c r="LM6" s="3">
        <v>3.35</v>
      </c>
      <c r="LN6" s="3">
        <v>3.35</v>
      </c>
      <c r="LO6" s="3">
        <v>3.35</v>
      </c>
      <c r="LP6" s="3">
        <v>3.35</v>
      </c>
      <c r="LQ6" s="3">
        <v>3.35</v>
      </c>
      <c r="LR6" s="3">
        <v>3.35</v>
      </c>
      <c r="LS6" s="3">
        <v>3.35</v>
      </c>
      <c r="LT6" s="3">
        <v>3.35</v>
      </c>
      <c r="LU6" s="3">
        <v>3.35</v>
      </c>
      <c r="LV6" s="3">
        <v>3.35</v>
      </c>
      <c r="LW6" s="3">
        <v>3.35</v>
      </c>
      <c r="LX6" s="3">
        <v>3.35</v>
      </c>
      <c r="LY6" s="3">
        <v>3.35</v>
      </c>
      <c r="LZ6" s="3">
        <v>3.35</v>
      </c>
      <c r="MA6" s="3">
        <v>3.35</v>
      </c>
      <c r="MB6" s="3">
        <v>3.35</v>
      </c>
      <c r="MC6" s="3">
        <v>3.35</v>
      </c>
      <c r="MD6" s="3">
        <v>3.35</v>
      </c>
      <c r="ME6" s="3">
        <v>3.35</v>
      </c>
      <c r="MF6" s="3">
        <v>3.35</v>
      </c>
      <c r="MG6" s="3">
        <v>3.35</v>
      </c>
      <c r="MH6" s="3">
        <v>3.35</v>
      </c>
      <c r="MI6" s="3">
        <v>3.35</v>
      </c>
      <c r="MJ6" s="3">
        <v>3.35</v>
      </c>
      <c r="MK6" s="3">
        <v>3.35</v>
      </c>
      <c r="ML6" s="3">
        <v>3.35</v>
      </c>
      <c r="MM6" s="3">
        <v>3.35</v>
      </c>
      <c r="MN6" s="3">
        <v>3.35</v>
      </c>
      <c r="MO6" s="3">
        <v>3.35</v>
      </c>
      <c r="MP6" s="3">
        <v>3.35</v>
      </c>
      <c r="MQ6" s="3">
        <v>3.35</v>
      </c>
      <c r="MR6" s="3">
        <v>3.35</v>
      </c>
      <c r="MS6" s="3">
        <v>3.35</v>
      </c>
      <c r="MT6" s="3">
        <v>3.35</v>
      </c>
      <c r="MU6" t="s">
        <v>411</v>
      </c>
      <c r="MV6" t="s">
        <v>913</v>
      </c>
      <c r="MW6" t="s">
        <v>376</v>
      </c>
      <c r="MX6" t="s">
        <v>376</v>
      </c>
      <c r="MY6" t="s">
        <v>914</v>
      </c>
      <c r="MZ6" t="s">
        <v>917</v>
      </c>
      <c r="NA6" t="s">
        <v>916</v>
      </c>
      <c r="NB6" s="1" t="s">
        <v>412</v>
      </c>
      <c r="NC6" s="1" t="s">
        <v>413</v>
      </c>
      <c r="ND6" t="s">
        <v>379</v>
      </c>
      <c r="NE6" t="s">
        <v>414</v>
      </c>
      <c r="NF6" t="s">
        <v>902</v>
      </c>
    </row>
    <row r="7" spans="1:370" x14ac:dyDescent="0.35">
      <c r="A7" t="s">
        <v>370</v>
      </c>
      <c r="B7" s="1" t="s">
        <v>415</v>
      </c>
      <c r="C7" s="1" t="s">
        <v>912</v>
      </c>
      <c r="D7" t="s">
        <v>396</v>
      </c>
      <c r="E7" t="s">
        <v>376</v>
      </c>
      <c r="F7" t="s">
        <v>374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2.075863E-2</v>
      </c>
      <c r="AJ7" s="2">
        <v>-0.91097589999999995</v>
      </c>
      <c r="AK7" s="2">
        <v>-1.420909</v>
      </c>
      <c r="AL7" s="2">
        <v>-1.4832350000000001</v>
      </c>
      <c r="AM7" s="2">
        <v>-2.038527E-2</v>
      </c>
      <c r="AN7" s="2">
        <v>0.58966640000000003</v>
      </c>
      <c r="AO7" s="2">
        <v>0.92205910000000002</v>
      </c>
      <c r="AP7" s="2">
        <v>1.0286120000000001</v>
      </c>
      <c r="AQ7" s="2">
        <v>1.0721350000000001</v>
      </c>
      <c r="AR7" s="2">
        <v>1.2115359999999999</v>
      </c>
      <c r="AS7" s="2">
        <v>1.195357</v>
      </c>
      <c r="AT7" s="2">
        <v>0.873498</v>
      </c>
      <c r="AU7" s="2">
        <v>1.250138</v>
      </c>
      <c r="AV7" s="2">
        <v>1.348236</v>
      </c>
      <c r="AW7" s="2">
        <v>2.2519870000000002</v>
      </c>
      <c r="AX7" s="2">
        <v>2.2812860000000001</v>
      </c>
      <c r="AY7" s="2">
        <v>2.8667340000000001</v>
      </c>
      <c r="AZ7" s="2">
        <v>3.3574989999999998</v>
      </c>
      <c r="BA7" s="2">
        <v>2.798276</v>
      </c>
      <c r="BB7" s="2">
        <v>2.6306050000000001</v>
      </c>
      <c r="BC7" s="2">
        <v>1.6388860000000001</v>
      </c>
      <c r="BD7" s="2">
        <v>1.3737490000000001</v>
      </c>
      <c r="BE7" s="2">
        <v>1.315304</v>
      </c>
      <c r="BF7" s="2">
        <v>1.3065329999999999</v>
      </c>
      <c r="BG7" s="2">
        <v>0.85120079999999998</v>
      </c>
      <c r="BH7" s="2">
        <v>0.71883609999999998</v>
      </c>
      <c r="BI7" s="2">
        <v>1.619958</v>
      </c>
      <c r="BJ7" s="2">
        <v>2.3359450000000002</v>
      </c>
      <c r="BK7" s="2">
        <v>1.459951</v>
      </c>
      <c r="BL7" s="2">
        <v>1.4273979999999999</v>
      </c>
      <c r="BM7" s="2">
        <v>2.163983</v>
      </c>
      <c r="BN7" s="2">
        <v>2.320271</v>
      </c>
      <c r="BO7" s="2">
        <v>2.2752490000000001</v>
      </c>
      <c r="BP7" s="2">
        <v>2.3465910000000001</v>
      </c>
      <c r="BQ7" s="2">
        <v>1.367612</v>
      </c>
      <c r="BR7" s="2">
        <v>0.63946800000000004</v>
      </c>
      <c r="BS7" s="2">
        <v>0.16053819999999999</v>
      </c>
      <c r="BT7" s="2">
        <v>0.18153569999999999</v>
      </c>
      <c r="BU7" s="2">
        <v>-0.41115190000000001</v>
      </c>
      <c r="BV7" s="2">
        <v>-0.64583919999999995</v>
      </c>
      <c r="BW7" s="2">
        <v>0.175952</v>
      </c>
      <c r="BX7" s="2">
        <v>0.83596709999999996</v>
      </c>
      <c r="BY7" s="2">
        <v>0.49826189999999998</v>
      </c>
      <c r="BZ7" s="2">
        <v>0.21089649999999999</v>
      </c>
      <c r="CA7" s="2">
        <v>-0.4351583</v>
      </c>
      <c r="CB7" s="2">
        <v>0.27104660000000003</v>
      </c>
      <c r="CC7" s="2">
        <v>0.27523950000000003</v>
      </c>
      <c r="CD7" s="2">
        <v>0.16029450000000001</v>
      </c>
      <c r="CE7" s="2">
        <v>-1.8569950000000002E-2</v>
      </c>
      <c r="CF7" s="2">
        <v>5.0922870000000002E-2</v>
      </c>
      <c r="CG7" s="2">
        <v>0.50038079999999996</v>
      </c>
      <c r="CH7" s="2">
        <v>1.3421989999999999</v>
      </c>
      <c r="CI7" s="2">
        <v>1.8084020000000001</v>
      </c>
      <c r="CJ7" s="2">
        <v>2.2855989999999999</v>
      </c>
      <c r="CK7" s="2">
        <v>1.8866449999999999</v>
      </c>
      <c r="CL7" s="2">
        <v>1.6736899999999999</v>
      </c>
      <c r="CM7" s="2">
        <v>2.160304</v>
      </c>
      <c r="CN7" s="2">
        <v>3.4526469999999998</v>
      </c>
      <c r="CO7" s="2">
        <v>3.7260390000000001</v>
      </c>
      <c r="CP7" s="2">
        <v>3.376331</v>
      </c>
      <c r="CQ7" s="2">
        <v>3.0336810000000001</v>
      </c>
      <c r="CR7" s="2">
        <v>2.5201470000000001</v>
      </c>
      <c r="CS7" s="2">
        <v>2.3175530000000002</v>
      </c>
      <c r="CT7" s="2">
        <v>1.9821569999999999</v>
      </c>
      <c r="CU7" s="2">
        <v>2.1554829999999998</v>
      </c>
      <c r="CV7" s="2">
        <v>2.579135</v>
      </c>
      <c r="CW7" s="2">
        <v>2.4281350000000002</v>
      </c>
      <c r="CX7" s="2">
        <v>1.869014</v>
      </c>
      <c r="CY7" s="2">
        <v>1.670947</v>
      </c>
      <c r="CZ7" s="2">
        <v>1.5661389999999999</v>
      </c>
      <c r="DA7" s="2">
        <v>0.98926159999999996</v>
      </c>
      <c r="DB7" s="2">
        <v>0.39346690000000001</v>
      </c>
      <c r="DC7" s="2">
        <v>-3.460884E-3</v>
      </c>
      <c r="DD7" s="2">
        <v>-0.1501055</v>
      </c>
      <c r="DE7" s="2">
        <v>-0.41086719999999999</v>
      </c>
      <c r="DF7" s="2">
        <v>-0.58777550000000001</v>
      </c>
      <c r="DG7" s="2">
        <v>-0.30801820000000002</v>
      </c>
      <c r="DH7" s="2">
        <v>0.21766830000000001</v>
      </c>
      <c r="DI7" s="2">
        <v>0.81384129999999999</v>
      </c>
      <c r="DJ7" s="2">
        <v>0.65017800000000003</v>
      </c>
      <c r="DK7" s="2">
        <v>0.60108819999999996</v>
      </c>
      <c r="DL7" s="2">
        <v>0.33327689999999999</v>
      </c>
      <c r="DM7" s="2">
        <v>0.43587399999999998</v>
      </c>
      <c r="DN7" s="2">
        <v>0.29210570000000002</v>
      </c>
      <c r="DO7" s="2">
        <v>0.26841910000000002</v>
      </c>
      <c r="DP7" s="2">
        <v>0.65973649999999995</v>
      </c>
      <c r="DQ7" s="2">
        <v>0.65138280000000004</v>
      </c>
      <c r="DR7" s="2">
        <v>0.87857189999999996</v>
      </c>
      <c r="DS7" s="2">
        <v>1.1068020000000001</v>
      </c>
      <c r="DT7" s="2">
        <v>1.2230719999999999</v>
      </c>
      <c r="DU7" s="2">
        <v>0.77082289999999998</v>
      </c>
      <c r="DV7" s="2">
        <v>0.62307500000000005</v>
      </c>
      <c r="DW7" s="2">
        <v>0.42960979999999999</v>
      </c>
      <c r="DX7" s="2">
        <v>0.47782560000000002</v>
      </c>
      <c r="DY7" s="2">
        <v>0.84533190000000002</v>
      </c>
      <c r="DZ7" s="2">
        <v>1.08209</v>
      </c>
      <c r="EA7" s="2">
        <v>0.83046249999999999</v>
      </c>
      <c r="EB7" s="2">
        <v>0.9005647</v>
      </c>
      <c r="EC7" s="2">
        <v>0.62939230000000002</v>
      </c>
      <c r="ED7" s="2">
        <v>0.27666160000000001</v>
      </c>
      <c r="EE7" s="2">
        <v>0.24115610000000001</v>
      </c>
      <c r="EF7" s="2">
        <v>-3.6690710000000001E-2</v>
      </c>
      <c r="EG7" s="2">
        <v>-0.2788255</v>
      </c>
      <c r="EH7" s="2">
        <v>-6.8325280000000002E-2</v>
      </c>
      <c r="EI7" s="2">
        <v>-0.3262429</v>
      </c>
      <c r="EJ7" s="2">
        <v>-4.600477E-2</v>
      </c>
      <c r="EK7" s="2">
        <v>-0.247916</v>
      </c>
      <c r="EL7" s="2">
        <v>-0.39461259999999998</v>
      </c>
      <c r="EM7" s="2">
        <v>-0.3468561</v>
      </c>
      <c r="EN7" s="2">
        <v>-0.1685653</v>
      </c>
      <c r="EO7" s="2">
        <v>-0.2017658</v>
      </c>
      <c r="EP7" s="2">
        <v>-0.38414999999999999</v>
      </c>
      <c r="EQ7" s="2">
        <v>-0.50819519999999996</v>
      </c>
      <c r="ER7" s="2">
        <v>-0.1072443</v>
      </c>
      <c r="ES7" s="2">
        <v>-0.38425140000000002</v>
      </c>
      <c r="ET7" s="2">
        <v>8.2242250000000003E-2</v>
      </c>
      <c r="EU7" s="2">
        <v>0.51060320000000003</v>
      </c>
      <c r="EV7" s="2">
        <v>1.0065090000000001</v>
      </c>
      <c r="EW7" s="2">
        <v>1.3545560000000001</v>
      </c>
      <c r="EX7" s="2">
        <v>1.4354769999999999</v>
      </c>
      <c r="EY7" s="2">
        <v>1.7987310000000001</v>
      </c>
      <c r="EZ7" s="2">
        <v>1.573323</v>
      </c>
      <c r="FA7" s="2">
        <v>1.1212880000000001</v>
      </c>
      <c r="FB7" s="2">
        <v>1.2164969999999999</v>
      </c>
      <c r="FC7" s="2">
        <v>1.495052</v>
      </c>
      <c r="FD7" s="2">
        <v>1.1338619999999999</v>
      </c>
      <c r="FE7" s="2">
        <v>0.1843071</v>
      </c>
      <c r="FF7" s="2">
        <v>-0.3969607</v>
      </c>
      <c r="FG7" s="2">
        <v>-0.54393009999999997</v>
      </c>
      <c r="FH7" s="2">
        <v>-0.82860290000000003</v>
      </c>
      <c r="FI7" s="2">
        <v>-1.064422</v>
      </c>
      <c r="FJ7" s="2">
        <v>-0.86109670000000005</v>
      </c>
      <c r="FK7" s="2">
        <v>-0.56070969999999998</v>
      </c>
      <c r="FL7" s="2">
        <v>-0.63210330000000003</v>
      </c>
      <c r="FM7" s="2">
        <v>0.13838929999999999</v>
      </c>
      <c r="FN7" s="2">
        <v>0.41121220000000003</v>
      </c>
      <c r="FO7" s="2">
        <v>0.4743984</v>
      </c>
      <c r="FP7" s="2">
        <v>0.43059350000000002</v>
      </c>
      <c r="FQ7" s="2">
        <v>0.36929810000000002</v>
      </c>
      <c r="FR7" s="2">
        <v>5.602062E-2</v>
      </c>
      <c r="FS7" s="2">
        <v>-0.1912934</v>
      </c>
      <c r="FT7" s="2">
        <v>0.21976889999999999</v>
      </c>
      <c r="FU7" s="2">
        <v>0.45909519999999998</v>
      </c>
      <c r="FV7" s="2">
        <v>0.48688880000000001</v>
      </c>
      <c r="FW7" s="2">
        <v>0.24884519999999999</v>
      </c>
      <c r="FX7" s="2">
        <v>0.15291389999999999</v>
      </c>
      <c r="FY7" s="2">
        <v>-0.40276709999999999</v>
      </c>
      <c r="FZ7" s="2">
        <v>0.16905680000000001</v>
      </c>
      <c r="GA7" s="2">
        <v>3.8618800000000002E-2</v>
      </c>
      <c r="GB7" s="2">
        <v>-0.37930009999999997</v>
      </c>
      <c r="GC7" s="2">
        <v>-0.45884849999999999</v>
      </c>
      <c r="GD7" s="2">
        <v>-0.54320469999999998</v>
      </c>
      <c r="GE7" s="2">
        <v>-0.49937749999999997</v>
      </c>
      <c r="GF7" s="2">
        <v>-0.67541850000000003</v>
      </c>
      <c r="GG7" s="2">
        <v>-0.92320380000000002</v>
      </c>
      <c r="GH7" s="2">
        <v>-0.98357419999999995</v>
      </c>
      <c r="GI7" s="2">
        <v>-1.1850909999999999</v>
      </c>
      <c r="GJ7" s="2">
        <v>-1.3730869999999999</v>
      </c>
      <c r="GK7" s="2">
        <v>-1.728907</v>
      </c>
      <c r="GL7" s="2">
        <v>-1.522122</v>
      </c>
      <c r="GM7" s="2">
        <v>-1.418604</v>
      </c>
      <c r="GN7" s="2">
        <v>-0.46744570000000002</v>
      </c>
      <c r="GO7" s="2">
        <v>0.29795729999999998</v>
      </c>
      <c r="GP7" s="2">
        <v>0.89635370000000003</v>
      </c>
      <c r="GQ7" s="2">
        <v>1.7044729999999999</v>
      </c>
      <c r="GR7" s="2">
        <v>1.3997379999999999</v>
      </c>
      <c r="GS7" s="2">
        <v>0.83061620000000003</v>
      </c>
      <c r="GT7" s="2">
        <v>0.720198</v>
      </c>
      <c r="GU7" s="2">
        <v>0.2984501</v>
      </c>
      <c r="GV7" s="2">
        <v>-0.82274250000000004</v>
      </c>
      <c r="GW7" s="2">
        <v>-1.996774</v>
      </c>
      <c r="GX7" s="2">
        <v>-2.5242119999999999</v>
      </c>
      <c r="GY7" s="2">
        <v>-4.018078</v>
      </c>
      <c r="GZ7" s="2">
        <v>-3.6078760000000001</v>
      </c>
      <c r="HA7" s="2">
        <v>-3.3853719999999998</v>
      </c>
      <c r="HB7" s="2">
        <v>-3.3493529999999998</v>
      </c>
      <c r="HC7" s="2">
        <v>-3.1414339999999998</v>
      </c>
      <c r="HD7" s="2">
        <v>-2.4769060000000001</v>
      </c>
      <c r="HE7" s="2">
        <v>-2.2508819999999998</v>
      </c>
      <c r="HF7" s="2">
        <v>-1.34798</v>
      </c>
      <c r="HG7" s="2">
        <v>-0.54217839999999995</v>
      </c>
      <c r="HH7" s="2">
        <v>-0.20579720000000001</v>
      </c>
      <c r="HI7" s="2">
        <v>0.1298831</v>
      </c>
      <c r="HJ7" s="2">
        <v>0.29187010000000002</v>
      </c>
      <c r="HK7" s="2">
        <v>0.40570929999999999</v>
      </c>
      <c r="HL7" s="2">
        <v>0.42855690000000002</v>
      </c>
      <c r="HM7" s="2">
        <v>0.43942999999999999</v>
      </c>
      <c r="HN7" s="2">
        <v>0.41140149999999998</v>
      </c>
      <c r="HO7" s="2">
        <v>0.36811490000000002</v>
      </c>
      <c r="HP7" s="2">
        <v>0.3621202</v>
      </c>
      <c r="HQ7" s="2">
        <v>0.36278939999999998</v>
      </c>
      <c r="HR7" s="2">
        <v>0.3817642</v>
      </c>
      <c r="HS7" s="2">
        <v>0.35519149999999999</v>
      </c>
      <c r="HT7" s="2">
        <v>0.30237560000000002</v>
      </c>
      <c r="HU7" s="2">
        <v>0.30536089999999999</v>
      </c>
      <c r="HV7" s="2">
        <v>0.3303992</v>
      </c>
      <c r="HW7" s="2">
        <v>0.34702739999999999</v>
      </c>
      <c r="HX7" s="2">
        <v>0.3601335</v>
      </c>
      <c r="HY7" s="2">
        <v>0.36923830000000002</v>
      </c>
      <c r="HZ7" s="2">
        <v>0.37347910000000001</v>
      </c>
      <c r="IA7" s="2">
        <v>0.37877430000000001</v>
      </c>
      <c r="IB7" s="2">
        <v>0.38284750000000001</v>
      </c>
      <c r="IC7" s="2">
        <v>0.38644149999999999</v>
      </c>
      <c r="ID7" s="2">
        <v>0.38931670000000002</v>
      </c>
      <c r="IE7" s="2">
        <v>0.3922638</v>
      </c>
      <c r="IF7" s="2">
        <v>0.39516289999999998</v>
      </c>
      <c r="IG7" s="2">
        <v>0.39741530000000003</v>
      </c>
      <c r="IH7" s="2">
        <v>0.39830169999999998</v>
      </c>
      <c r="II7" s="2">
        <v>0.39717560000000002</v>
      </c>
      <c r="IJ7" s="2">
        <v>0.39358159999999998</v>
      </c>
      <c r="IK7" s="2">
        <v>0.38828649999999998</v>
      </c>
      <c r="IL7" s="2">
        <v>0.38260810000000001</v>
      </c>
      <c r="IM7" s="2">
        <v>0.3756834</v>
      </c>
      <c r="IN7" s="2">
        <v>0.3683517</v>
      </c>
      <c r="IO7" s="2">
        <v>0.36104389999999997</v>
      </c>
      <c r="IP7" s="2">
        <v>0.35615619999999998</v>
      </c>
      <c r="IQ7" s="2">
        <v>0.35306539999999997</v>
      </c>
      <c r="IR7" s="2">
        <v>0.35174749999999999</v>
      </c>
      <c r="IS7" s="2">
        <v>0.35150799999999999</v>
      </c>
      <c r="IT7" s="2">
        <v>0.3516996</v>
      </c>
      <c r="IU7" s="2">
        <v>0.35352050000000002</v>
      </c>
      <c r="IV7" s="2">
        <v>0.35488629999999999</v>
      </c>
      <c r="IW7" s="2">
        <v>0.35558099999999998</v>
      </c>
      <c r="IX7" s="2">
        <v>0.35572480000000001</v>
      </c>
      <c r="IY7" s="2">
        <v>0.35409560000000001</v>
      </c>
      <c r="IZ7" s="2">
        <v>0.35249029999999998</v>
      </c>
      <c r="JA7" s="2">
        <v>0.35148390000000002</v>
      </c>
      <c r="JB7" s="2">
        <v>0.34851290000000001</v>
      </c>
      <c r="JC7" s="2">
        <v>0.34434389999999998</v>
      </c>
      <c r="JD7" s="2">
        <v>0.34122920000000001</v>
      </c>
      <c r="JE7" s="2">
        <v>0.34029470000000001</v>
      </c>
      <c r="JF7" s="2">
        <v>0.33753919999999998</v>
      </c>
      <c r="JG7" s="2">
        <v>0.3350474</v>
      </c>
      <c r="JH7" s="2">
        <v>0.33308270000000001</v>
      </c>
      <c r="JI7" s="2">
        <v>0.33154919999999999</v>
      </c>
      <c r="JJ7" s="2">
        <v>0.33063880000000001</v>
      </c>
      <c r="JK7" s="2">
        <v>0.32963249999999999</v>
      </c>
      <c r="JL7" s="2">
        <v>0.3287699</v>
      </c>
      <c r="JM7" s="2">
        <v>0.32781139999999998</v>
      </c>
      <c r="JN7" s="2">
        <v>0.326853</v>
      </c>
      <c r="JO7" s="2">
        <v>0.32594260000000003</v>
      </c>
      <c r="JP7" s="2">
        <v>0.32491239999999999</v>
      </c>
      <c r="JQ7" s="2">
        <v>0.3240498</v>
      </c>
      <c r="JR7" s="2">
        <v>0.32321119999999998</v>
      </c>
      <c r="JS7" s="2">
        <v>0.32174960000000002</v>
      </c>
      <c r="JT7" s="2">
        <v>0.31980900000000001</v>
      </c>
      <c r="JU7" s="2">
        <v>0.31717319999999999</v>
      </c>
      <c r="JV7" s="2">
        <v>0.31389070000000002</v>
      </c>
      <c r="JW7" s="2">
        <v>0.31065609999999999</v>
      </c>
      <c r="JX7" s="2">
        <v>0.30737379999999997</v>
      </c>
      <c r="JY7" s="2">
        <v>0.3046662</v>
      </c>
      <c r="JZ7" s="2">
        <v>0.30248570000000002</v>
      </c>
      <c r="KA7" s="2">
        <v>0.3014077</v>
      </c>
      <c r="KB7" s="2">
        <v>0.30143150000000002</v>
      </c>
      <c r="KC7" s="2">
        <v>0.30279719999999999</v>
      </c>
      <c r="KD7" s="2">
        <v>0.30555260000000001</v>
      </c>
      <c r="KE7" s="2">
        <v>0.30907489999999999</v>
      </c>
      <c r="KF7" s="2">
        <v>0.31343559999999998</v>
      </c>
      <c r="KG7" s="2">
        <v>0.31851489999999999</v>
      </c>
      <c r="KH7" s="2">
        <v>0.32421739999999999</v>
      </c>
      <c r="KI7" s="2">
        <v>0.3306868</v>
      </c>
      <c r="KJ7" s="2">
        <v>0.33782679999999998</v>
      </c>
      <c r="KK7" s="2">
        <v>0.34491880000000003</v>
      </c>
      <c r="KL7" s="2">
        <v>0.35196319999999998</v>
      </c>
      <c r="KM7" s="2">
        <v>0.3589116</v>
      </c>
      <c r="KN7" s="2">
        <v>0.36581190000000002</v>
      </c>
      <c r="KO7" s="2">
        <v>0.37161040000000001</v>
      </c>
      <c r="KP7" s="2">
        <v>0.37635429999999997</v>
      </c>
      <c r="KQ7" s="2">
        <v>0.3800442</v>
      </c>
      <c r="KR7" s="2">
        <v>0.38253609999999999</v>
      </c>
      <c r="KS7" s="2">
        <v>0.38495600000000002</v>
      </c>
      <c r="KT7" s="2">
        <v>0.38723220000000003</v>
      </c>
      <c r="KU7" s="2">
        <v>0.38931670000000002</v>
      </c>
      <c r="KV7" s="2">
        <v>0.3914012</v>
      </c>
      <c r="KW7" s="2">
        <v>0.3935575</v>
      </c>
      <c r="KX7" s="2">
        <v>0.39585769999999998</v>
      </c>
      <c r="KY7" s="2">
        <v>0.39834960000000003</v>
      </c>
      <c r="KZ7" s="2">
        <v>0.40096120000000002</v>
      </c>
      <c r="LA7" s="2">
        <v>0.40371659999999998</v>
      </c>
      <c r="LB7" s="2">
        <v>0.40668769999999999</v>
      </c>
      <c r="LC7" s="2">
        <v>0.40975450000000002</v>
      </c>
      <c r="LD7" s="2">
        <v>0.41296519999999998</v>
      </c>
      <c r="LE7" s="2">
        <v>0.41622379999999998</v>
      </c>
      <c r="LF7" s="2">
        <v>0.41955409999999999</v>
      </c>
      <c r="LG7" s="2">
        <v>0.42298039999999998</v>
      </c>
      <c r="LH7" s="2">
        <v>0.42638280000000001</v>
      </c>
      <c r="LI7" s="2">
        <v>0.4296893</v>
      </c>
      <c r="LJ7" s="2">
        <v>0.43270829999999999</v>
      </c>
      <c r="LK7" s="2">
        <v>0.43548750000000003</v>
      </c>
      <c r="LL7" s="2">
        <v>0.43812319999999999</v>
      </c>
      <c r="LM7" s="2">
        <v>0.44099840000000001</v>
      </c>
      <c r="LN7" s="2">
        <v>0.44425690000000001</v>
      </c>
      <c r="LO7" s="2">
        <v>0.44785079999999999</v>
      </c>
      <c r="LP7" s="2">
        <v>0.45182840000000002</v>
      </c>
      <c r="LQ7" s="2">
        <v>0.45556619999999998</v>
      </c>
      <c r="LR7" s="2">
        <v>0.45906419999999998</v>
      </c>
      <c r="LS7" s="2">
        <v>0.46241870000000002</v>
      </c>
      <c r="LT7" s="2">
        <v>0.46543770000000001</v>
      </c>
      <c r="LU7" s="2">
        <v>0.46826489999999998</v>
      </c>
      <c r="LV7" s="2">
        <v>0.47085250000000001</v>
      </c>
      <c r="LW7" s="2">
        <v>0.47310479999999999</v>
      </c>
      <c r="LX7" s="2">
        <v>0.47516520000000001</v>
      </c>
      <c r="LY7" s="2">
        <v>0.47736970000000001</v>
      </c>
      <c r="LZ7" s="2">
        <v>0.47971770000000002</v>
      </c>
      <c r="MA7" s="2">
        <v>0.48230529999999999</v>
      </c>
      <c r="MB7" s="2">
        <v>0.48503679999999999</v>
      </c>
      <c r="MC7" s="2">
        <v>0.48762450000000002</v>
      </c>
      <c r="MD7" s="2">
        <v>0.49006840000000002</v>
      </c>
      <c r="ME7" s="2">
        <v>0.49227270000000001</v>
      </c>
      <c r="MF7" s="2">
        <v>0.49428529999999998</v>
      </c>
      <c r="MG7" s="2">
        <v>0.49589070000000002</v>
      </c>
      <c r="MH7" s="2">
        <v>0.4971604</v>
      </c>
      <c r="MI7" s="2">
        <v>0.49811899999999998</v>
      </c>
      <c r="MJ7" s="2">
        <v>0.49867</v>
      </c>
      <c r="MK7" s="2">
        <v>0.499365</v>
      </c>
      <c r="ML7" s="2">
        <v>0.50010750000000004</v>
      </c>
      <c r="MM7" s="2">
        <v>0.50092230000000004</v>
      </c>
      <c r="MN7" s="2">
        <v>0.50190460000000003</v>
      </c>
      <c r="MO7" s="2">
        <v>0.5028629</v>
      </c>
      <c r="MP7" s="2">
        <v>0.50382150000000003</v>
      </c>
      <c r="MQ7" s="2">
        <v>0.5047798</v>
      </c>
      <c r="MR7" s="2">
        <v>0.50569030000000004</v>
      </c>
      <c r="MS7" s="2">
        <v>0.50655289999999997</v>
      </c>
      <c r="MT7" s="2">
        <v>0.5072238</v>
      </c>
      <c r="MU7" t="s">
        <v>416</v>
      </c>
      <c r="MV7" t="s">
        <v>913</v>
      </c>
      <c r="MW7" t="s">
        <v>376</v>
      </c>
      <c r="MX7" t="s">
        <v>376</v>
      </c>
      <c r="MY7" t="s">
        <v>376</v>
      </c>
      <c r="MZ7" t="s">
        <v>376</v>
      </c>
      <c r="NA7" t="s">
        <v>916</v>
      </c>
      <c r="NB7" t="s">
        <v>417</v>
      </c>
      <c r="NC7" t="s">
        <v>376</v>
      </c>
      <c r="ND7" t="s">
        <v>379</v>
      </c>
      <c r="NE7" t="s">
        <v>418</v>
      </c>
      <c r="NF7" t="s">
        <v>902</v>
      </c>
    </row>
    <row r="8" spans="1:370" x14ac:dyDescent="0.35">
      <c r="A8" t="s">
        <v>370</v>
      </c>
      <c r="B8" t="s">
        <v>401</v>
      </c>
      <c r="C8" s="1" t="s">
        <v>912</v>
      </c>
      <c r="D8" t="s">
        <v>396</v>
      </c>
      <c r="E8" t="s">
        <v>376</v>
      </c>
      <c r="F8" t="s">
        <v>374</v>
      </c>
      <c r="G8" s="2">
        <v>8.7884620000000009</v>
      </c>
      <c r="H8" s="2">
        <v>7.9961539999999998</v>
      </c>
      <c r="I8" s="2">
        <v>10.38461</v>
      </c>
      <c r="J8" s="2">
        <v>12.23485</v>
      </c>
      <c r="K8" s="2">
        <v>12.60938</v>
      </c>
      <c r="L8" s="2">
        <v>11.96923</v>
      </c>
      <c r="M8" s="2">
        <v>11.727270000000001</v>
      </c>
      <c r="N8" s="2">
        <v>11.5</v>
      </c>
      <c r="O8" s="2">
        <v>10.773440000000001</v>
      </c>
      <c r="P8" s="2">
        <v>9.9615379999999991</v>
      </c>
      <c r="Q8" s="2">
        <v>10.712120000000001</v>
      </c>
      <c r="R8" s="2">
        <v>11.731059999999999</v>
      </c>
      <c r="S8" s="2">
        <v>9.8384619999999998</v>
      </c>
      <c r="T8" s="2">
        <v>10.538460000000001</v>
      </c>
      <c r="U8" s="2">
        <v>11.81818</v>
      </c>
      <c r="V8" s="2">
        <v>14.715909999999999</v>
      </c>
      <c r="W8" s="2">
        <v>12.26172</v>
      </c>
      <c r="X8" s="2">
        <v>8.4115380000000002</v>
      </c>
      <c r="Y8" s="2">
        <v>7.2424239999999998</v>
      </c>
      <c r="Z8" s="2">
        <v>5.8846150000000002</v>
      </c>
      <c r="AA8" s="2">
        <v>6.538462</v>
      </c>
      <c r="AB8" s="2">
        <v>8.5576930000000004</v>
      </c>
      <c r="AC8" s="2">
        <v>10</v>
      </c>
      <c r="AD8" s="2">
        <v>11.423080000000001</v>
      </c>
      <c r="AE8" s="2">
        <v>13.01538</v>
      </c>
      <c r="AF8" s="2">
        <v>12.446149999999999</v>
      </c>
      <c r="AG8" s="2">
        <v>14</v>
      </c>
      <c r="AH8" s="2">
        <v>15.5</v>
      </c>
      <c r="AI8" s="2">
        <v>17</v>
      </c>
      <c r="AJ8" s="2">
        <v>17</v>
      </c>
      <c r="AK8" s="2">
        <v>16.0303</v>
      </c>
      <c r="AL8" s="2">
        <v>15.18182</v>
      </c>
      <c r="AM8" s="2">
        <v>13.53125</v>
      </c>
      <c r="AN8" s="2">
        <v>12</v>
      </c>
      <c r="AO8" s="2">
        <v>12.51989</v>
      </c>
      <c r="AP8" s="2">
        <v>14.60417</v>
      </c>
      <c r="AQ8" s="2">
        <v>13.785159999999999</v>
      </c>
      <c r="AR8" s="2">
        <v>13.01346</v>
      </c>
      <c r="AS8" s="2">
        <v>11.3428</v>
      </c>
      <c r="AT8" s="2">
        <v>9.6856059999999999</v>
      </c>
      <c r="AU8" s="2">
        <v>10.80176</v>
      </c>
      <c r="AV8" s="2">
        <v>10.024039999999999</v>
      </c>
      <c r="AW8" s="2">
        <v>9.5606059999999999</v>
      </c>
      <c r="AX8" s="2">
        <v>9.0625</v>
      </c>
      <c r="AY8" s="2">
        <v>8.9432690000000008</v>
      </c>
      <c r="AZ8" s="2">
        <v>8.8442310000000006</v>
      </c>
      <c r="BA8" s="2">
        <v>10.89615</v>
      </c>
      <c r="BB8" s="2">
        <v>9.969697</v>
      </c>
      <c r="BC8" s="2">
        <v>12.86914</v>
      </c>
      <c r="BD8" s="2">
        <v>12.48269</v>
      </c>
      <c r="BE8" s="2">
        <v>11.579549999999999</v>
      </c>
      <c r="BF8" s="2">
        <v>11.375</v>
      </c>
      <c r="BG8" s="2">
        <v>12.07813</v>
      </c>
      <c r="BH8" s="2">
        <v>10.328849999999999</v>
      </c>
      <c r="BI8" s="2">
        <v>9.875</v>
      </c>
      <c r="BJ8" s="2">
        <v>10.72348</v>
      </c>
      <c r="BK8" s="2">
        <v>10.664059999999999</v>
      </c>
      <c r="BL8" s="2">
        <v>9.228847</v>
      </c>
      <c r="BM8" s="2">
        <v>9.4810610000000004</v>
      </c>
      <c r="BN8" s="2">
        <v>9.0189389999999996</v>
      </c>
      <c r="BO8" s="2">
        <v>8.6288459999999993</v>
      </c>
      <c r="BP8" s="2">
        <v>7.9673080000000001</v>
      </c>
      <c r="BQ8" s="2">
        <v>10.920450000000001</v>
      </c>
      <c r="BR8" s="2">
        <v>12.275</v>
      </c>
      <c r="BS8" s="2">
        <v>12.875</v>
      </c>
      <c r="BT8" s="2">
        <v>13.23846</v>
      </c>
      <c r="BU8" s="2">
        <v>13.760579999999999</v>
      </c>
      <c r="BV8" s="2">
        <v>14.805770000000001</v>
      </c>
      <c r="BW8" s="2">
        <v>14.875</v>
      </c>
      <c r="BX8" s="2">
        <v>14.875</v>
      </c>
      <c r="BY8" s="2">
        <v>14.875</v>
      </c>
      <c r="BZ8" s="2">
        <v>13.950760000000001</v>
      </c>
      <c r="CA8" s="2">
        <v>13.39063</v>
      </c>
      <c r="CB8" s="2">
        <v>11.74423</v>
      </c>
      <c r="CC8" s="2">
        <v>10.799239999999999</v>
      </c>
      <c r="CD8" s="2">
        <v>10.375</v>
      </c>
      <c r="CE8" s="2">
        <v>10.375</v>
      </c>
      <c r="CF8" s="2">
        <v>10.059620000000001</v>
      </c>
      <c r="CG8" s="2">
        <v>9.7689389999999996</v>
      </c>
      <c r="CH8" s="2">
        <v>7.5113640000000004</v>
      </c>
      <c r="CI8" s="2">
        <v>6.140625</v>
      </c>
      <c r="CJ8" s="2">
        <v>5.875</v>
      </c>
      <c r="CK8" s="2">
        <v>5.875</v>
      </c>
      <c r="CL8" s="2">
        <v>5.655303</v>
      </c>
      <c r="CM8" s="2">
        <v>5.2265629999999996</v>
      </c>
      <c r="CN8" s="2">
        <v>5.125</v>
      </c>
      <c r="CO8" s="2">
        <v>5.2386359999999996</v>
      </c>
      <c r="CP8" s="2">
        <v>5.7634619999999996</v>
      </c>
      <c r="CQ8" s="2">
        <v>6.4480769999999996</v>
      </c>
      <c r="CR8" s="2">
        <v>6.625</v>
      </c>
      <c r="CS8" s="2">
        <v>6.625</v>
      </c>
      <c r="CT8" s="2">
        <v>6.5750000000000002</v>
      </c>
      <c r="CU8" s="2">
        <v>6.1288460000000002</v>
      </c>
      <c r="CV8" s="2">
        <v>5.8721160000000001</v>
      </c>
      <c r="CW8" s="2">
        <v>5.6875</v>
      </c>
      <c r="CX8" s="2">
        <v>5.8579549999999996</v>
      </c>
      <c r="CY8" s="2">
        <v>5.9375</v>
      </c>
      <c r="CZ8" s="2">
        <v>6.1951919999999996</v>
      </c>
      <c r="DA8" s="2">
        <v>6.8712119999999999</v>
      </c>
      <c r="DB8" s="2">
        <v>7.1515149999999998</v>
      </c>
      <c r="DC8" s="2">
        <v>7.25</v>
      </c>
      <c r="DD8" s="2">
        <v>7.3230769999999996</v>
      </c>
      <c r="DE8" s="2">
        <v>7.5</v>
      </c>
      <c r="DF8" s="2">
        <v>6.8371209999999998</v>
      </c>
      <c r="DG8" s="2">
        <v>5.703125</v>
      </c>
      <c r="DH8" s="2">
        <v>5.211538</v>
      </c>
      <c r="DI8" s="2">
        <v>5.0643940000000001</v>
      </c>
      <c r="DJ8" s="2">
        <v>5.4090910000000001</v>
      </c>
      <c r="DK8" s="2">
        <v>5.8615380000000004</v>
      </c>
      <c r="DL8" s="2">
        <v>6</v>
      </c>
      <c r="DM8" s="2">
        <v>6</v>
      </c>
      <c r="DN8" s="2">
        <v>6</v>
      </c>
      <c r="DO8" s="2">
        <v>5.8576920000000001</v>
      </c>
      <c r="DP8" s="2">
        <v>5.3692310000000001</v>
      </c>
      <c r="DQ8" s="2">
        <v>5.0538460000000001</v>
      </c>
      <c r="DR8" s="2">
        <v>4.2234850000000002</v>
      </c>
      <c r="DS8" s="2">
        <v>4</v>
      </c>
      <c r="DT8" s="2">
        <v>4</v>
      </c>
      <c r="DU8" s="2">
        <v>4</v>
      </c>
      <c r="DV8" s="2">
        <v>4</v>
      </c>
      <c r="DW8" s="2">
        <v>3.8515630000000001</v>
      </c>
      <c r="DX8" s="2">
        <v>3.75</v>
      </c>
      <c r="DY8" s="2">
        <v>3.5265149999999998</v>
      </c>
      <c r="DZ8" s="2">
        <v>3.6515149999999998</v>
      </c>
      <c r="EA8" s="2">
        <v>3.9038460000000001</v>
      </c>
      <c r="EB8" s="2">
        <v>4.211538</v>
      </c>
      <c r="EC8" s="2">
        <v>4.655303</v>
      </c>
      <c r="ED8" s="2">
        <v>4.75</v>
      </c>
      <c r="EE8" s="2">
        <v>4.75</v>
      </c>
      <c r="EF8" s="2">
        <v>4.75</v>
      </c>
      <c r="EG8" s="2">
        <v>4.5909089999999999</v>
      </c>
      <c r="EH8" s="2">
        <v>4.5</v>
      </c>
      <c r="EI8" s="2">
        <v>4.5</v>
      </c>
      <c r="EJ8" s="2">
        <v>4.5</v>
      </c>
      <c r="EK8" s="2">
        <v>4.6615390000000003</v>
      </c>
      <c r="EL8" s="2">
        <v>4.8923079999999999</v>
      </c>
      <c r="EM8" s="2">
        <v>5.2192309999999997</v>
      </c>
      <c r="EN8" s="2">
        <v>5.3923079999999999</v>
      </c>
      <c r="EO8" s="2">
        <v>5.738461</v>
      </c>
      <c r="EP8" s="2">
        <v>5.6818179999999998</v>
      </c>
      <c r="EQ8" s="2">
        <v>5.3538459999999999</v>
      </c>
      <c r="ER8" s="2">
        <v>5.026923</v>
      </c>
      <c r="ES8" s="2">
        <v>5</v>
      </c>
      <c r="ET8" s="2">
        <v>3.325758</v>
      </c>
      <c r="EU8" s="2">
        <v>1.0859380000000001</v>
      </c>
      <c r="EV8" s="2">
        <v>0.5</v>
      </c>
      <c r="EW8" s="2">
        <v>0.5</v>
      </c>
      <c r="EX8" s="2">
        <v>0.5</v>
      </c>
      <c r="EY8" s="2">
        <v>0.5</v>
      </c>
      <c r="EZ8" s="2">
        <v>0.5</v>
      </c>
      <c r="FA8" s="2">
        <v>0.5</v>
      </c>
      <c r="FB8" s="2">
        <v>0.5</v>
      </c>
      <c r="FC8" s="2">
        <v>0.5</v>
      </c>
      <c r="FD8" s="2">
        <v>0.5</v>
      </c>
      <c r="FE8" s="2">
        <v>0.5</v>
      </c>
      <c r="FF8" s="2">
        <v>0.5</v>
      </c>
      <c r="FG8" s="2">
        <v>0.5</v>
      </c>
      <c r="FH8" s="2">
        <v>0.5</v>
      </c>
      <c r="FI8" s="2">
        <v>0.5</v>
      </c>
      <c r="FJ8" s="2">
        <v>0.5</v>
      </c>
      <c r="FK8" s="2">
        <v>0.5</v>
      </c>
      <c r="FL8" s="2">
        <v>0.5</v>
      </c>
      <c r="FM8" s="2">
        <v>0.5</v>
      </c>
      <c r="FN8" s="2">
        <v>0.5</v>
      </c>
      <c r="FO8" s="2">
        <v>0.5</v>
      </c>
      <c r="FP8" s="2">
        <v>0.5</v>
      </c>
      <c r="FQ8" s="2">
        <v>0.5</v>
      </c>
      <c r="FR8" s="2">
        <v>0.5</v>
      </c>
      <c r="FS8" s="2">
        <v>0.5</v>
      </c>
      <c r="FT8" s="2">
        <v>0.5</v>
      </c>
      <c r="FU8" s="2">
        <v>0.5</v>
      </c>
      <c r="FV8" s="2">
        <v>0.5</v>
      </c>
      <c r="FW8" s="2">
        <v>0.5</v>
      </c>
      <c r="FX8" s="2">
        <v>0.5</v>
      </c>
      <c r="FY8" s="2">
        <v>0.34090910000000002</v>
      </c>
      <c r="FZ8" s="2">
        <v>0.25</v>
      </c>
      <c r="GA8" s="2">
        <v>0.25</v>
      </c>
      <c r="GB8" s="2">
        <v>0.25</v>
      </c>
      <c r="GC8" s="2">
        <v>0.25</v>
      </c>
      <c r="GD8" s="2">
        <v>0.41153849999999997</v>
      </c>
      <c r="GE8" s="2">
        <v>0.5</v>
      </c>
      <c r="GF8" s="2">
        <v>0.5</v>
      </c>
      <c r="GG8" s="2">
        <v>0.66153850000000003</v>
      </c>
      <c r="GH8" s="2">
        <v>0.75</v>
      </c>
      <c r="GI8" s="2">
        <v>0.75</v>
      </c>
      <c r="GJ8" s="2">
        <v>0.75</v>
      </c>
      <c r="GK8" s="2">
        <v>0.75</v>
      </c>
      <c r="GL8" s="2">
        <v>0.75</v>
      </c>
      <c r="GM8" s="2">
        <v>0.61384620000000001</v>
      </c>
      <c r="GN8" s="2">
        <v>0.1</v>
      </c>
      <c r="GO8" s="2">
        <v>0.1</v>
      </c>
      <c r="GP8" s="2">
        <v>0.1</v>
      </c>
      <c r="GQ8" s="2">
        <v>0.1</v>
      </c>
      <c r="GR8" s="2">
        <v>0.1</v>
      </c>
      <c r="GS8" s="2">
        <v>0.1</v>
      </c>
      <c r="GT8" s="2">
        <v>0.12727269999999999</v>
      </c>
      <c r="GU8" s="2">
        <v>0.453125</v>
      </c>
      <c r="GV8" s="2">
        <v>0.95</v>
      </c>
      <c r="GW8" s="2">
        <v>1.6212120000000001</v>
      </c>
      <c r="GX8" s="2">
        <v>2.8269229999999999</v>
      </c>
      <c r="GY8" s="2">
        <v>3.85</v>
      </c>
      <c r="GZ8" s="2">
        <v>4.4461539999999999</v>
      </c>
      <c r="HA8" s="2">
        <v>5.1615390000000003</v>
      </c>
      <c r="HB8" s="2">
        <v>5.25</v>
      </c>
      <c r="HC8" s="2">
        <v>5.25</v>
      </c>
      <c r="HD8" s="2">
        <v>5.25</v>
      </c>
      <c r="HE8" s="2">
        <v>5.0871209999999998</v>
      </c>
      <c r="HF8" s="2">
        <v>4.8522730000000003</v>
      </c>
      <c r="HG8" s="2">
        <v>4.6015629999999996</v>
      </c>
      <c r="HH8" s="2">
        <v>4.3538459999999999</v>
      </c>
      <c r="HI8" s="3">
        <v>4.1022730000000003</v>
      </c>
      <c r="HJ8" s="3">
        <v>3.8484850000000002</v>
      </c>
      <c r="HK8" s="3">
        <v>3.5976560000000002</v>
      </c>
      <c r="HL8" s="3">
        <v>3.35</v>
      </c>
      <c r="HM8" s="3">
        <v>3.25</v>
      </c>
      <c r="HN8" s="3">
        <v>3.094697</v>
      </c>
      <c r="HO8" s="3">
        <v>3</v>
      </c>
      <c r="HP8" s="3">
        <v>2.8461539999999999</v>
      </c>
      <c r="HQ8" s="3">
        <v>2.75</v>
      </c>
      <c r="HR8" s="3">
        <v>2.5909089999999999</v>
      </c>
      <c r="HS8" s="3">
        <v>2.5</v>
      </c>
      <c r="HT8" s="3">
        <v>2.5</v>
      </c>
      <c r="HU8" s="3">
        <v>2.5</v>
      </c>
      <c r="HV8" s="3">
        <v>2.5</v>
      </c>
      <c r="HW8" s="3">
        <v>2.5</v>
      </c>
      <c r="HX8" s="3">
        <v>2.5</v>
      </c>
      <c r="HY8" s="3">
        <v>2.5</v>
      </c>
      <c r="HZ8" s="3">
        <v>2.5</v>
      </c>
      <c r="IA8" s="3">
        <v>2.5</v>
      </c>
      <c r="IB8" s="3">
        <v>2.5</v>
      </c>
      <c r="IC8" s="3">
        <v>2.5</v>
      </c>
      <c r="ID8" s="3">
        <v>2.5</v>
      </c>
      <c r="IE8" s="3">
        <v>2.5</v>
      </c>
      <c r="IF8" s="3">
        <v>2.5</v>
      </c>
      <c r="IG8" s="3">
        <v>2.5</v>
      </c>
      <c r="IH8" s="3">
        <v>2.5</v>
      </c>
      <c r="II8" s="3">
        <v>2.5</v>
      </c>
      <c r="IJ8" s="3">
        <v>2.5</v>
      </c>
      <c r="IK8" s="3">
        <v>2.5</v>
      </c>
      <c r="IL8" s="3">
        <v>2.5</v>
      </c>
      <c r="IM8" s="3">
        <v>2.5</v>
      </c>
      <c r="IN8" s="3">
        <v>2.5</v>
      </c>
      <c r="IO8" s="3">
        <v>2.5</v>
      </c>
      <c r="IP8" s="3">
        <v>2.5</v>
      </c>
      <c r="IQ8" s="3">
        <v>2.5</v>
      </c>
      <c r="IR8" s="3">
        <v>2.5</v>
      </c>
      <c r="IS8" s="3">
        <v>2.5</v>
      </c>
      <c r="IT8" s="3">
        <v>2.5</v>
      </c>
      <c r="IU8" s="3">
        <v>2.5</v>
      </c>
      <c r="IV8" s="3">
        <v>2.5</v>
      </c>
      <c r="IW8" s="3">
        <v>2.5</v>
      </c>
      <c r="IX8" s="3">
        <v>2.5</v>
      </c>
      <c r="IY8" s="3">
        <v>2.5</v>
      </c>
      <c r="IZ8" s="3">
        <v>2.5</v>
      </c>
      <c r="JA8" s="3">
        <v>2.5</v>
      </c>
      <c r="JB8" s="3">
        <v>2.5</v>
      </c>
      <c r="JC8" s="3">
        <v>2.5</v>
      </c>
      <c r="JD8" s="3">
        <v>2.5</v>
      </c>
      <c r="JE8" s="3">
        <v>2.5</v>
      </c>
      <c r="JF8" s="3">
        <v>2.5</v>
      </c>
      <c r="JG8" s="3">
        <v>2.5</v>
      </c>
      <c r="JH8" s="3">
        <v>2.5</v>
      </c>
      <c r="JI8" s="3">
        <v>2.5</v>
      </c>
      <c r="JJ8" s="3">
        <v>2.5</v>
      </c>
      <c r="JK8" s="3">
        <v>2.5</v>
      </c>
      <c r="JL8" s="3">
        <v>2.5</v>
      </c>
      <c r="JM8" s="3">
        <v>2.5</v>
      </c>
      <c r="JN8" s="3">
        <v>2.5</v>
      </c>
      <c r="JO8" s="3">
        <v>2.5</v>
      </c>
      <c r="JP8" s="3">
        <v>2.5</v>
      </c>
      <c r="JQ8" s="3">
        <v>2.5</v>
      </c>
      <c r="JR8" s="3">
        <v>2.5</v>
      </c>
      <c r="JS8" s="3">
        <v>2.5</v>
      </c>
      <c r="JT8" s="3">
        <v>2.5</v>
      </c>
      <c r="JU8" s="3">
        <v>2.5</v>
      </c>
      <c r="JV8" s="3">
        <v>2.5</v>
      </c>
      <c r="JW8" s="3">
        <v>2.5</v>
      </c>
      <c r="JX8" s="3">
        <v>2.5</v>
      </c>
      <c r="JY8" s="3">
        <v>2.5</v>
      </c>
      <c r="JZ8" s="3">
        <v>2.5</v>
      </c>
      <c r="KA8" s="3">
        <v>2.5</v>
      </c>
      <c r="KB8" s="3">
        <v>2.5</v>
      </c>
      <c r="KC8" s="3">
        <v>2.5</v>
      </c>
      <c r="KD8" s="3">
        <v>2.5</v>
      </c>
      <c r="KE8" s="3">
        <v>2.5</v>
      </c>
      <c r="KF8" s="3">
        <v>2.5</v>
      </c>
      <c r="KG8" s="3">
        <v>2.5</v>
      </c>
      <c r="KH8" s="3">
        <v>2.5</v>
      </c>
      <c r="KI8" s="3">
        <v>2.5</v>
      </c>
      <c r="KJ8" s="3">
        <v>2.5</v>
      </c>
      <c r="KK8" s="3">
        <v>2.5</v>
      </c>
      <c r="KL8" s="3">
        <v>2.5</v>
      </c>
      <c r="KM8" s="3">
        <v>2.5</v>
      </c>
      <c r="KN8" s="3">
        <v>2.5</v>
      </c>
      <c r="KO8" s="3">
        <v>2.5</v>
      </c>
      <c r="KP8" s="3">
        <v>2.5</v>
      </c>
      <c r="KQ8" s="3">
        <v>2.5</v>
      </c>
      <c r="KR8" s="3">
        <v>2.5</v>
      </c>
      <c r="KS8" s="3">
        <v>2.5</v>
      </c>
      <c r="KT8" s="3">
        <v>2.5</v>
      </c>
      <c r="KU8" s="3">
        <v>2.5</v>
      </c>
      <c r="KV8" s="3">
        <v>2.5</v>
      </c>
      <c r="KW8" s="3">
        <v>2.5</v>
      </c>
      <c r="KX8" s="3">
        <v>2.5</v>
      </c>
      <c r="KY8" s="3">
        <v>2.5</v>
      </c>
      <c r="KZ8" s="3">
        <v>2.5</v>
      </c>
      <c r="LA8" s="3">
        <v>2.5</v>
      </c>
      <c r="LB8" s="3">
        <v>2.5</v>
      </c>
      <c r="LC8" s="3">
        <v>2.5</v>
      </c>
      <c r="LD8" s="3">
        <v>2.5</v>
      </c>
      <c r="LE8" s="3">
        <v>2.5</v>
      </c>
      <c r="LF8" s="3">
        <v>2.5</v>
      </c>
      <c r="LG8" s="3">
        <v>2.5</v>
      </c>
      <c r="LH8" s="3">
        <v>2.5</v>
      </c>
      <c r="LI8" s="3">
        <v>2.5</v>
      </c>
      <c r="LJ8" s="3">
        <v>2.5</v>
      </c>
      <c r="LK8" s="3">
        <v>2.5</v>
      </c>
      <c r="LL8" s="3">
        <v>2.5</v>
      </c>
      <c r="LM8" s="3">
        <v>2.5</v>
      </c>
      <c r="LN8" s="3">
        <v>2.5</v>
      </c>
      <c r="LO8" s="3">
        <v>2.5</v>
      </c>
      <c r="LP8" s="3">
        <v>2.5</v>
      </c>
      <c r="LQ8" s="3">
        <v>2.5</v>
      </c>
      <c r="LR8" s="3">
        <v>2.5</v>
      </c>
      <c r="LS8" s="3">
        <v>2.5</v>
      </c>
      <c r="LT8" s="3">
        <v>2.5</v>
      </c>
      <c r="LU8" s="3">
        <v>2.5</v>
      </c>
      <c r="LV8" s="3">
        <v>2.5</v>
      </c>
      <c r="LW8" s="3">
        <v>2.5</v>
      </c>
      <c r="LX8" s="3">
        <v>2.5</v>
      </c>
      <c r="LY8" s="3">
        <v>2.5</v>
      </c>
      <c r="LZ8" s="3">
        <v>2.5</v>
      </c>
      <c r="MA8" s="3">
        <v>2.5</v>
      </c>
      <c r="MB8" s="3">
        <v>2.5</v>
      </c>
      <c r="MC8" s="3">
        <v>2.5</v>
      </c>
      <c r="MD8" s="3">
        <v>2.5</v>
      </c>
      <c r="ME8" s="3">
        <v>2.5</v>
      </c>
      <c r="MF8" s="3">
        <v>2.5</v>
      </c>
      <c r="MG8" s="3">
        <v>2.5</v>
      </c>
      <c r="MH8" s="3">
        <v>2.5</v>
      </c>
      <c r="MI8" s="3">
        <v>2.5</v>
      </c>
      <c r="MJ8" s="3">
        <v>2.5</v>
      </c>
      <c r="MK8" s="3">
        <v>2.5</v>
      </c>
      <c r="ML8" s="3">
        <v>2.5</v>
      </c>
      <c r="MM8" s="3">
        <v>2.5</v>
      </c>
      <c r="MN8" s="3">
        <v>2.5</v>
      </c>
      <c r="MO8" s="3">
        <v>2.5</v>
      </c>
      <c r="MP8" s="3">
        <v>2.5</v>
      </c>
      <c r="MQ8" s="3">
        <v>2.5</v>
      </c>
      <c r="MR8" s="3">
        <v>2.5</v>
      </c>
      <c r="MS8" s="3">
        <v>2.5</v>
      </c>
      <c r="MT8" s="3">
        <v>2.5</v>
      </c>
      <c r="MU8" t="s">
        <v>402</v>
      </c>
      <c r="MV8" t="s">
        <v>913</v>
      </c>
      <c r="MW8" t="s">
        <v>376</v>
      </c>
      <c r="MX8" t="s">
        <v>376</v>
      </c>
      <c r="MY8" t="s">
        <v>914</v>
      </c>
      <c r="MZ8" t="s">
        <v>917</v>
      </c>
      <c r="NA8" t="s">
        <v>916</v>
      </c>
      <c r="NB8" s="1" t="s">
        <v>403</v>
      </c>
      <c r="NC8" t="s">
        <v>404</v>
      </c>
      <c r="ND8" t="s">
        <v>379</v>
      </c>
      <c r="NE8" t="s">
        <v>405</v>
      </c>
      <c r="NF8" t="s">
        <v>902</v>
      </c>
    </row>
    <row r="9" spans="1:370" x14ac:dyDescent="0.35">
      <c r="A9" t="s">
        <v>370</v>
      </c>
      <c r="B9" t="s">
        <v>406</v>
      </c>
      <c r="C9" s="1" t="s">
        <v>912</v>
      </c>
      <c r="D9" t="s">
        <v>396</v>
      </c>
      <c r="E9" t="s">
        <v>376</v>
      </c>
      <c r="F9" t="s">
        <v>374</v>
      </c>
      <c r="G9" s="2">
        <v>8.5</v>
      </c>
      <c r="H9" s="2">
        <v>7.5</v>
      </c>
      <c r="I9" s="2">
        <v>11.5</v>
      </c>
      <c r="J9" s="2">
        <v>13</v>
      </c>
      <c r="K9" s="2">
        <v>12.5</v>
      </c>
      <c r="L9" s="2">
        <v>11.75</v>
      </c>
      <c r="M9" s="2">
        <v>11.5</v>
      </c>
      <c r="N9" s="2">
        <v>11.5</v>
      </c>
      <c r="O9" s="2">
        <v>10</v>
      </c>
      <c r="P9" s="2">
        <v>10</v>
      </c>
      <c r="Q9" s="2">
        <v>11</v>
      </c>
      <c r="R9" s="2">
        <v>11.25</v>
      </c>
      <c r="S9" s="2">
        <v>9</v>
      </c>
      <c r="T9" s="2">
        <v>11.5</v>
      </c>
      <c r="U9" s="2">
        <v>13</v>
      </c>
      <c r="V9" s="2">
        <v>14.25</v>
      </c>
      <c r="W9" s="2">
        <v>9.5</v>
      </c>
      <c r="X9" s="2">
        <v>8</v>
      </c>
      <c r="Y9" s="2">
        <v>6</v>
      </c>
      <c r="Z9" s="2">
        <v>7</v>
      </c>
      <c r="AA9" s="2">
        <v>6.5</v>
      </c>
      <c r="AB9" s="2">
        <v>10</v>
      </c>
      <c r="AC9" s="2">
        <v>10</v>
      </c>
      <c r="AD9" s="2">
        <v>12.5</v>
      </c>
      <c r="AE9" s="2">
        <v>13</v>
      </c>
      <c r="AF9" s="2">
        <v>14</v>
      </c>
      <c r="AG9" s="2">
        <v>14</v>
      </c>
      <c r="AH9" s="2">
        <v>17</v>
      </c>
      <c r="AI9" s="2">
        <v>17</v>
      </c>
      <c r="AJ9" s="2">
        <v>17</v>
      </c>
      <c r="AK9" s="2">
        <v>16</v>
      </c>
      <c r="AL9" s="2">
        <v>14</v>
      </c>
      <c r="AM9" s="2">
        <v>12</v>
      </c>
      <c r="AN9" s="2">
        <v>12</v>
      </c>
      <c r="AO9" s="2">
        <v>14</v>
      </c>
      <c r="AP9" s="2">
        <v>14.375</v>
      </c>
      <c r="AQ9" s="2">
        <v>13.25</v>
      </c>
      <c r="AR9" s="2">
        <v>12.625</v>
      </c>
      <c r="AS9" s="2">
        <v>10.125</v>
      </c>
      <c r="AT9" s="2">
        <v>10</v>
      </c>
      <c r="AU9" s="2">
        <v>10.5625</v>
      </c>
      <c r="AV9" s="2">
        <v>9.5625</v>
      </c>
      <c r="AW9" s="2">
        <v>9.5625</v>
      </c>
      <c r="AX9" s="2">
        <v>9.0625</v>
      </c>
      <c r="AY9" s="2">
        <v>8.5625</v>
      </c>
      <c r="AZ9" s="2">
        <v>8.875</v>
      </c>
      <c r="BA9" s="2">
        <v>10.5</v>
      </c>
      <c r="BB9" s="2">
        <v>9.5</v>
      </c>
      <c r="BC9" s="2">
        <v>12.875</v>
      </c>
      <c r="BD9" s="2">
        <v>12.375</v>
      </c>
      <c r="BE9" s="2">
        <v>11.375</v>
      </c>
      <c r="BF9" s="2">
        <v>11.375</v>
      </c>
      <c r="BG9" s="2">
        <v>11.375</v>
      </c>
      <c r="BH9" s="2">
        <v>9.875</v>
      </c>
      <c r="BI9" s="2">
        <v>9.875</v>
      </c>
      <c r="BJ9" s="2">
        <v>10.875</v>
      </c>
      <c r="BK9" s="2">
        <v>9.875</v>
      </c>
      <c r="BL9" s="2">
        <v>8.875</v>
      </c>
      <c r="BM9" s="2">
        <v>9.875</v>
      </c>
      <c r="BN9" s="2">
        <v>8.375</v>
      </c>
      <c r="BO9" s="2">
        <v>8.375</v>
      </c>
      <c r="BP9" s="2">
        <v>8.875</v>
      </c>
      <c r="BQ9" s="2">
        <v>11.875</v>
      </c>
      <c r="BR9" s="2">
        <v>12.875</v>
      </c>
      <c r="BS9" s="2">
        <v>12.875</v>
      </c>
      <c r="BT9" s="2">
        <v>13.75</v>
      </c>
      <c r="BU9" s="2">
        <v>13.75</v>
      </c>
      <c r="BV9" s="2">
        <v>14.875</v>
      </c>
      <c r="BW9" s="2">
        <v>14.875</v>
      </c>
      <c r="BX9" s="2">
        <v>14.875</v>
      </c>
      <c r="BY9" s="2">
        <v>14.875</v>
      </c>
      <c r="BZ9" s="2">
        <v>13.875</v>
      </c>
      <c r="CA9" s="2">
        <v>12.375</v>
      </c>
      <c r="CB9" s="2">
        <v>11.375</v>
      </c>
      <c r="CC9" s="2">
        <v>10.375</v>
      </c>
      <c r="CD9" s="2">
        <v>10.375</v>
      </c>
      <c r="CE9" s="2">
        <v>10.375</v>
      </c>
      <c r="CF9" s="2">
        <v>9.875</v>
      </c>
      <c r="CG9" s="2">
        <v>8.875</v>
      </c>
      <c r="CH9" s="2">
        <v>6.875</v>
      </c>
      <c r="CI9" s="2">
        <v>5.875</v>
      </c>
      <c r="CJ9" s="2">
        <v>5.875</v>
      </c>
      <c r="CK9" s="2">
        <v>5.875</v>
      </c>
      <c r="CL9" s="2">
        <v>5.375</v>
      </c>
      <c r="CM9" s="2">
        <v>5.125</v>
      </c>
      <c r="CN9" s="2">
        <v>5.125</v>
      </c>
      <c r="CO9" s="2">
        <v>5.625</v>
      </c>
      <c r="CP9" s="2">
        <v>6.125</v>
      </c>
      <c r="CQ9" s="2">
        <v>6.625</v>
      </c>
      <c r="CR9" s="2">
        <v>6.625</v>
      </c>
      <c r="CS9" s="2">
        <v>6.625</v>
      </c>
      <c r="CT9" s="2">
        <v>6.375</v>
      </c>
      <c r="CU9" s="2">
        <v>5.9375</v>
      </c>
      <c r="CV9" s="2">
        <v>5.6875</v>
      </c>
      <c r="CW9" s="2">
        <v>5.6875</v>
      </c>
      <c r="CX9" s="2">
        <v>5.9375</v>
      </c>
      <c r="CY9" s="2">
        <v>5.9375</v>
      </c>
      <c r="CZ9" s="2">
        <v>6.5</v>
      </c>
      <c r="DA9" s="2">
        <v>7</v>
      </c>
      <c r="DB9" s="2">
        <v>7.25</v>
      </c>
      <c r="DC9" s="2">
        <v>7.25</v>
      </c>
      <c r="DD9" s="2">
        <v>7.5</v>
      </c>
      <c r="DE9" s="2">
        <v>7.5</v>
      </c>
      <c r="DF9" s="2">
        <v>6.25</v>
      </c>
      <c r="DG9" s="2">
        <v>5.5</v>
      </c>
      <c r="DH9" s="2">
        <v>5</v>
      </c>
      <c r="DI9" s="2">
        <v>5.25</v>
      </c>
      <c r="DJ9" s="2">
        <v>5.5</v>
      </c>
      <c r="DK9" s="2">
        <v>6</v>
      </c>
      <c r="DL9" s="2">
        <v>6</v>
      </c>
      <c r="DM9" s="2">
        <v>6</v>
      </c>
      <c r="DN9" s="2">
        <v>6</v>
      </c>
      <c r="DO9" s="2">
        <v>5.75</v>
      </c>
      <c r="DP9" s="2">
        <v>5.25</v>
      </c>
      <c r="DQ9" s="2">
        <v>4.75</v>
      </c>
      <c r="DR9" s="2">
        <v>4</v>
      </c>
      <c r="DS9" s="2">
        <v>4</v>
      </c>
      <c r="DT9" s="2">
        <v>4</v>
      </c>
      <c r="DU9" s="2">
        <v>4</v>
      </c>
      <c r="DV9" s="2">
        <v>4</v>
      </c>
      <c r="DW9" s="2">
        <v>3.75</v>
      </c>
      <c r="DX9" s="2">
        <v>3.75</v>
      </c>
      <c r="DY9" s="2">
        <v>3.5</v>
      </c>
      <c r="DZ9" s="2">
        <v>3.75</v>
      </c>
      <c r="EA9" s="2">
        <v>4</v>
      </c>
      <c r="EB9" s="2">
        <v>4.5</v>
      </c>
      <c r="EC9" s="2">
        <v>4.75</v>
      </c>
      <c r="ED9" s="2">
        <v>4.75</v>
      </c>
      <c r="EE9" s="2">
        <v>4.75</v>
      </c>
      <c r="EF9" s="2">
        <v>4.75</v>
      </c>
      <c r="EG9" s="2">
        <v>4.5</v>
      </c>
      <c r="EH9" s="2">
        <v>4.5</v>
      </c>
      <c r="EI9" s="2">
        <v>4.5</v>
      </c>
      <c r="EJ9" s="2">
        <v>4.5</v>
      </c>
      <c r="EK9" s="2">
        <v>4.75</v>
      </c>
      <c r="EL9" s="2">
        <v>5</v>
      </c>
      <c r="EM9" s="2">
        <v>5.25</v>
      </c>
      <c r="EN9" s="2">
        <v>5.5</v>
      </c>
      <c r="EO9" s="2">
        <v>5.75</v>
      </c>
      <c r="EP9" s="2">
        <v>5.5</v>
      </c>
      <c r="EQ9" s="2">
        <v>5.25</v>
      </c>
      <c r="ER9" s="2">
        <v>5</v>
      </c>
      <c r="ES9" s="2">
        <v>5</v>
      </c>
      <c r="ET9" s="2">
        <v>2</v>
      </c>
      <c r="EU9" s="2">
        <v>0.5</v>
      </c>
      <c r="EV9" s="2">
        <v>0.5</v>
      </c>
      <c r="EW9" s="2">
        <v>0.5</v>
      </c>
      <c r="EX9" s="2">
        <v>0.5</v>
      </c>
      <c r="EY9" s="2">
        <v>0.5</v>
      </c>
      <c r="EZ9" s="2">
        <v>0.5</v>
      </c>
      <c r="FA9" s="2">
        <v>0.5</v>
      </c>
      <c r="FB9" s="2">
        <v>0.5</v>
      </c>
      <c r="FC9" s="2">
        <v>0.5</v>
      </c>
      <c r="FD9" s="2">
        <v>0.5</v>
      </c>
      <c r="FE9" s="2">
        <v>0.5</v>
      </c>
      <c r="FF9" s="2">
        <v>0.5</v>
      </c>
      <c r="FG9" s="2">
        <v>0.5</v>
      </c>
      <c r="FH9" s="2">
        <v>0.5</v>
      </c>
      <c r="FI9" s="2">
        <v>0.5</v>
      </c>
      <c r="FJ9" s="2">
        <v>0.5</v>
      </c>
      <c r="FK9" s="2">
        <v>0.5</v>
      </c>
      <c r="FL9" s="2">
        <v>0.5</v>
      </c>
      <c r="FM9" s="2">
        <v>0.5</v>
      </c>
      <c r="FN9" s="2">
        <v>0.5</v>
      </c>
      <c r="FO9" s="2">
        <v>0.5</v>
      </c>
      <c r="FP9" s="2">
        <v>0.5</v>
      </c>
      <c r="FQ9" s="2">
        <v>0.5</v>
      </c>
      <c r="FR9" s="2">
        <v>0.5</v>
      </c>
      <c r="FS9" s="2">
        <v>0.5</v>
      </c>
      <c r="FT9" s="2">
        <v>0.5</v>
      </c>
      <c r="FU9" s="2">
        <v>0.5</v>
      </c>
      <c r="FV9" s="2">
        <v>0.5</v>
      </c>
      <c r="FW9" s="2">
        <v>0.5</v>
      </c>
      <c r="FX9" s="2">
        <v>0.5</v>
      </c>
      <c r="FY9" s="2">
        <v>0.25</v>
      </c>
      <c r="FZ9" s="2">
        <v>0.25</v>
      </c>
      <c r="GA9" s="2">
        <v>0.25</v>
      </c>
      <c r="GB9" s="2">
        <v>0.25</v>
      </c>
      <c r="GC9" s="2">
        <v>0.25</v>
      </c>
      <c r="GD9" s="2">
        <v>0.5</v>
      </c>
      <c r="GE9" s="2">
        <v>0.5</v>
      </c>
      <c r="GF9" s="2">
        <v>0.5</v>
      </c>
      <c r="GG9" s="2">
        <v>0.75</v>
      </c>
      <c r="GH9" s="2">
        <v>0.75</v>
      </c>
      <c r="GI9" s="2">
        <v>0.75</v>
      </c>
      <c r="GJ9" s="2">
        <v>0.75</v>
      </c>
      <c r="GK9" s="2">
        <v>0.75</v>
      </c>
      <c r="GL9" s="2">
        <v>0.75</v>
      </c>
      <c r="GM9" s="2">
        <v>0.1</v>
      </c>
      <c r="GN9" s="2">
        <v>0.1</v>
      </c>
      <c r="GO9" s="2">
        <v>0.1</v>
      </c>
      <c r="GP9" s="2">
        <v>0.1</v>
      </c>
      <c r="GQ9" s="2">
        <v>0.1</v>
      </c>
      <c r="GR9" s="2">
        <v>0.1</v>
      </c>
      <c r="GS9" s="2">
        <v>0.1</v>
      </c>
      <c r="GT9" s="2">
        <v>0.25</v>
      </c>
      <c r="GU9" s="2">
        <v>0.75</v>
      </c>
      <c r="GV9" s="2">
        <v>1.25</v>
      </c>
      <c r="GW9" s="2">
        <v>2.25</v>
      </c>
      <c r="GX9" s="2">
        <v>3.5</v>
      </c>
      <c r="GY9" s="2">
        <v>4.25</v>
      </c>
      <c r="GZ9" s="2">
        <v>5</v>
      </c>
      <c r="HA9" s="2">
        <v>5.25</v>
      </c>
      <c r="HB9" s="2">
        <v>5.25</v>
      </c>
      <c r="HC9" s="2">
        <v>5.25</v>
      </c>
      <c r="HD9" s="2">
        <v>5.25</v>
      </c>
      <c r="HE9" s="2">
        <v>5</v>
      </c>
      <c r="HF9" s="2">
        <v>4.75</v>
      </c>
      <c r="HG9" s="2">
        <v>4.5</v>
      </c>
      <c r="HH9" s="2">
        <v>4.25</v>
      </c>
      <c r="HI9" s="3">
        <v>4</v>
      </c>
      <c r="HJ9" s="3">
        <v>3.75</v>
      </c>
      <c r="HK9" s="3">
        <v>3.5</v>
      </c>
      <c r="HL9" s="3">
        <v>3.25</v>
      </c>
      <c r="HM9" s="3">
        <v>3.25</v>
      </c>
      <c r="HN9" s="3">
        <v>3</v>
      </c>
      <c r="HO9" s="3">
        <v>3</v>
      </c>
      <c r="HP9" s="3">
        <v>2.75</v>
      </c>
      <c r="HQ9" s="3">
        <v>2.75</v>
      </c>
      <c r="HR9" s="3">
        <v>2.5</v>
      </c>
      <c r="HS9" s="3">
        <v>2.5</v>
      </c>
      <c r="HT9" s="3">
        <v>2.5</v>
      </c>
      <c r="HU9" s="3">
        <v>2.5</v>
      </c>
      <c r="HV9" s="3">
        <v>2.5</v>
      </c>
      <c r="HW9" s="3">
        <v>2.5</v>
      </c>
      <c r="HX9" s="3">
        <v>2.5</v>
      </c>
      <c r="HY9" s="3">
        <v>2.5</v>
      </c>
      <c r="HZ9" s="3">
        <v>2.5</v>
      </c>
      <c r="IA9" s="3">
        <v>2.5</v>
      </c>
      <c r="IB9" s="3">
        <v>2.5</v>
      </c>
      <c r="IC9" s="3">
        <v>2.5</v>
      </c>
      <c r="ID9" s="3">
        <v>2.5</v>
      </c>
      <c r="IE9" s="3">
        <v>2.5</v>
      </c>
      <c r="IF9" s="3">
        <v>2.5</v>
      </c>
      <c r="IG9" s="3">
        <v>2.5</v>
      </c>
      <c r="IH9" s="3">
        <v>2.5</v>
      </c>
      <c r="II9" s="3">
        <v>2.5</v>
      </c>
      <c r="IJ9" s="3">
        <v>2.5</v>
      </c>
      <c r="IK9" s="3">
        <v>2.5</v>
      </c>
      <c r="IL9" s="3">
        <v>2.5</v>
      </c>
      <c r="IM9" s="3">
        <v>2.5</v>
      </c>
      <c r="IN9" s="3">
        <v>2.5</v>
      </c>
      <c r="IO9" s="3">
        <v>2.5</v>
      </c>
      <c r="IP9" s="3">
        <v>2.5</v>
      </c>
      <c r="IQ9" s="3">
        <v>2.5</v>
      </c>
      <c r="IR9" s="3">
        <v>2.5</v>
      </c>
      <c r="IS9" s="3">
        <v>2.5</v>
      </c>
      <c r="IT9" s="3">
        <v>2.5</v>
      </c>
      <c r="IU9" s="3">
        <v>2.5</v>
      </c>
      <c r="IV9" s="3">
        <v>2.5</v>
      </c>
      <c r="IW9" s="3">
        <v>2.5</v>
      </c>
      <c r="IX9" s="3">
        <v>2.5</v>
      </c>
      <c r="IY9" s="3">
        <v>2.5</v>
      </c>
      <c r="IZ9" s="3">
        <v>2.5</v>
      </c>
      <c r="JA9" s="3">
        <v>2.5</v>
      </c>
      <c r="JB9" s="3">
        <v>2.5</v>
      </c>
      <c r="JC9" s="3">
        <v>2.5</v>
      </c>
      <c r="JD9" s="3">
        <v>2.5</v>
      </c>
      <c r="JE9" s="3">
        <v>2.5</v>
      </c>
      <c r="JF9" s="3">
        <v>2.5</v>
      </c>
      <c r="JG9" s="3">
        <v>2.5</v>
      </c>
      <c r="JH9" s="3">
        <v>2.5</v>
      </c>
      <c r="JI9" s="3">
        <v>2.5</v>
      </c>
      <c r="JJ9" s="3">
        <v>2.5</v>
      </c>
      <c r="JK9" s="3">
        <v>2.5</v>
      </c>
      <c r="JL9" s="3">
        <v>2.5</v>
      </c>
      <c r="JM9" s="3">
        <v>2.5</v>
      </c>
      <c r="JN9" s="3">
        <v>2.5</v>
      </c>
      <c r="JO9" s="3">
        <v>2.5</v>
      </c>
      <c r="JP9" s="3">
        <v>2.5</v>
      </c>
      <c r="JQ9" s="3">
        <v>2.5</v>
      </c>
      <c r="JR9" s="3">
        <v>2.5</v>
      </c>
      <c r="JS9" s="3">
        <v>2.5</v>
      </c>
      <c r="JT9" s="3">
        <v>2.5</v>
      </c>
      <c r="JU9" s="3">
        <v>2.5</v>
      </c>
      <c r="JV9" s="3">
        <v>2.5</v>
      </c>
      <c r="JW9" s="3">
        <v>2.5</v>
      </c>
      <c r="JX9" s="3">
        <v>2.5</v>
      </c>
      <c r="JY9" s="3">
        <v>2.5</v>
      </c>
      <c r="JZ9" s="3">
        <v>2.5</v>
      </c>
      <c r="KA9" s="3">
        <v>2.5</v>
      </c>
      <c r="KB9" s="3">
        <v>2.5</v>
      </c>
      <c r="KC9" s="3">
        <v>2.5</v>
      </c>
      <c r="KD9" s="3">
        <v>2.5</v>
      </c>
      <c r="KE9" s="3">
        <v>2.5</v>
      </c>
      <c r="KF9" s="3">
        <v>2.5</v>
      </c>
      <c r="KG9" s="3">
        <v>2.5</v>
      </c>
      <c r="KH9" s="3">
        <v>2.5</v>
      </c>
      <c r="KI9" s="3">
        <v>2.5</v>
      </c>
      <c r="KJ9" s="3">
        <v>2.5</v>
      </c>
      <c r="KK9" s="3">
        <v>2.5</v>
      </c>
      <c r="KL9" s="3">
        <v>2.5</v>
      </c>
      <c r="KM9" s="3">
        <v>2.5</v>
      </c>
      <c r="KN9" s="3">
        <v>2.5</v>
      </c>
      <c r="KO9" s="3">
        <v>2.5</v>
      </c>
      <c r="KP9" s="3">
        <v>2.5</v>
      </c>
      <c r="KQ9" s="3">
        <v>2.5</v>
      </c>
      <c r="KR9" s="3">
        <v>2.5</v>
      </c>
      <c r="KS9" s="3">
        <v>2.5</v>
      </c>
      <c r="KT9" s="3">
        <v>2.5</v>
      </c>
      <c r="KU9" s="3">
        <v>2.5</v>
      </c>
      <c r="KV9" s="3">
        <v>2.5</v>
      </c>
      <c r="KW9" s="3">
        <v>2.5</v>
      </c>
      <c r="KX9" s="3">
        <v>2.5</v>
      </c>
      <c r="KY9" s="3">
        <v>2.5</v>
      </c>
      <c r="KZ9" s="3">
        <v>2.5</v>
      </c>
      <c r="LA9" s="3">
        <v>2.5</v>
      </c>
      <c r="LB9" s="3">
        <v>2.5</v>
      </c>
      <c r="LC9" s="3">
        <v>2.5</v>
      </c>
      <c r="LD9" s="3">
        <v>2.5</v>
      </c>
      <c r="LE9" s="3">
        <v>2.5</v>
      </c>
      <c r="LF9" s="3">
        <v>2.5</v>
      </c>
      <c r="LG9" s="3">
        <v>2.5</v>
      </c>
      <c r="LH9" s="3">
        <v>2.5</v>
      </c>
      <c r="LI9" s="3">
        <v>2.5</v>
      </c>
      <c r="LJ9" s="3">
        <v>2.5</v>
      </c>
      <c r="LK9" s="3">
        <v>2.5</v>
      </c>
      <c r="LL9" s="3">
        <v>2.5</v>
      </c>
      <c r="LM9" s="3">
        <v>2.5</v>
      </c>
      <c r="LN9" s="3">
        <v>2.5</v>
      </c>
      <c r="LO9" s="3">
        <v>2.5</v>
      </c>
      <c r="LP9" s="3">
        <v>2.5</v>
      </c>
      <c r="LQ9" s="3">
        <v>2.5</v>
      </c>
      <c r="LR9" s="3">
        <v>2.5</v>
      </c>
      <c r="LS9" s="3">
        <v>2.5</v>
      </c>
      <c r="LT9" s="3">
        <v>2.5</v>
      </c>
      <c r="LU9" s="3">
        <v>2.5</v>
      </c>
      <c r="LV9" s="3">
        <v>2.5</v>
      </c>
      <c r="LW9" s="3">
        <v>2.5</v>
      </c>
      <c r="LX9" s="3">
        <v>2.5</v>
      </c>
      <c r="LY9" s="3">
        <v>2.5</v>
      </c>
      <c r="LZ9" s="3">
        <v>2.5</v>
      </c>
      <c r="MA9" s="3">
        <v>2.5</v>
      </c>
      <c r="MB9" s="3">
        <v>2.5</v>
      </c>
      <c r="MC9" s="3">
        <v>2.5</v>
      </c>
      <c r="MD9" s="3">
        <v>2.5</v>
      </c>
      <c r="ME9" s="3">
        <v>2.5</v>
      </c>
      <c r="MF9" s="3">
        <v>2.5</v>
      </c>
      <c r="MG9" s="3">
        <v>2.5</v>
      </c>
      <c r="MH9" s="3">
        <v>2.5</v>
      </c>
      <c r="MI9" s="3">
        <v>2.5</v>
      </c>
      <c r="MJ9" s="3">
        <v>2.5</v>
      </c>
      <c r="MK9" s="3">
        <v>2.5</v>
      </c>
      <c r="ML9" s="3">
        <v>2.5</v>
      </c>
      <c r="MM9" s="3">
        <v>2.5</v>
      </c>
      <c r="MN9" s="3">
        <v>2.5</v>
      </c>
      <c r="MO9" s="3">
        <v>2.5</v>
      </c>
      <c r="MP9" s="3">
        <v>2.5</v>
      </c>
      <c r="MQ9" s="3">
        <v>2.5</v>
      </c>
      <c r="MR9" s="3">
        <v>2.5</v>
      </c>
      <c r="MS9" s="3">
        <v>2.5</v>
      </c>
      <c r="MT9" s="3">
        <v>2.5</v>
      </c>
      <c r="MU9" t="s">
        <v>402</v>
      </c>
      <c r="MV9" t="s">
        <v>913</v>
      </c>
      <c r="MW9" t="s">
        <v>376</v>
      </c>
      <c r="MX9" t="s">
        <v>376</v>
      </c>
      <c r="MY9" t="s">
        <v>914</v>
      </c>
      <c r="MZ9" t="s">
        <v>917</v>
      </c>
      <c r="NA9" t="s">
        <v>916</v>
      </c>
      <c r="NB9" s="1" t="s">
        <v>407</v>
      </c>
      <c r="NC9" t="s">
        <v>408</v>
      </c>
      <c r="ND9" t="s">
        <v>379</v>
      </c>
      <c r="NE9" t="s">
        <v>409</v>
      </c>
      <c r="NF9" t="s">
        <v>902</v>
      </c>
    </row>
    <row r="10" spans="1:370" x14ac:dyDescent="0.35">
      <c r="A10" t="s">
        <v>370</v>
      </c>
      <c r="B10" t="s">
        <v>381</v>
      </c>
      <c r="C10" s="1" t="s">
        <v>912</v>
      </c>
      <c r="D10" t="s">
        <v>372</v>
      </c>
      <c r="E10" t="s">
        <v>373</v>
      </c>
      <c r="F10" t="s">
        <v>374</v>
      </c>
      <c r="G10" s="2">
        <v>1E-3</v>
      </c>
      <c r="H10" s="2">
        <v>1E-3</v>
      </c>
      <c r="I10" s="2">
        <v>1E-3</v>
      </c>
      <c r="J10" s="2">
        <v>1E-3</v>
      </c>
      <c r="K10" s="2">
        <v>1E-3</v>
      </c>
      <c r="L10" s="2">
        <v>1E-3</v>
      </c>
      <c r="M10" s="2">
        <v>1E-3</v>
      </c>
      <c r="N10" s="2">
        <v>1E-3</v>
      </c>
      <c r="O10" s="2">
        <v>1E-3</v>
      </c>
      <c r="P10" s="2">
        <v>1E-3</v>
      </c>
      <c r="Q10" s="2">
        <v>1E-3</v>
      </c>
      <c r="R10" s="2">
        <v>1E-3</v>
      </c>
      <c r="S10" s="2">
        <v>1E-3</v>
      </c>
      <c r="T10" s="2">
        <v>1E-3</v>
      </c>
      <c r="U10" s="2">
        <v>1E-3</v>
      </c>
      <c r="V10" s="2">
        <v>1E-3</v>
      </c>
      <c r="W10" s="2">
        <v>1E-3</v>
      </c>
      <c r="X10" s="2">
        <v>1E-3</v>
      </c>
      <c r="Y10" s="2">
        <v>1E-3</v>
      </c>
      <c r="Z10" s="2">
        <v>1E-3</v>
      </c>
      <c r="AA10" s="2">
        <v>1E-3</v>
      </c>
      <c r="AB10" s="2">
        <v>1E-3</v>
      </c>
      <c r="AC10" s="2">
        <v>1E-3</v>
      </c>
      <c r="AD10" s="2">
        <v>1E-3</v>
      </c>
      <c r="AE10" s="2">
        <v>1E-3</v>
      </c>
      <c r="AF10" s="2">
        <v>1E-3</v>
      </c>
      <c r="AG10" s="2">
        <v>1E-3</v>
      </c>
      <c r="AH10" s="2">
        <v>1E-3</v>
      </c>
      <c r="AI10" s="2">
        <v>1E-3</v>
      </c>
      <c r="AJ10" s="2">
        <v>1E-3</v>
      </c>
      <c r="AK10" s="2">
        <v>1E-3</v>
      </c>
      <c r="AL10" s="2">
        <v>1E-3</v>
      </c>
      <c r="AM10" s="2">
        <v>1E-3</v>
      </c>
      <c r="AN10" s="2">
        <v>1E-3</v>
      </c>
      <c r="AO10" s="2">
        <v>1E-3</v>
      </c>
      <c r="AP10" s="2">
        <v>1E-3</v>
      </c>
      <c r="AQ10" s="2">
        <v>1E-3</v>
      </c>
      <c r="AR10" s="2">
        <v>1E-3</v>
      </c>
      <c r="AS10" s="2">
        <v>1E-3</v>
      </c>
      <c r="AT10" s="2">
        <v>1E-3</v>
      </c>
      <c r="AU10" s="2">
        <v>1E-3</v>
      </c>
      <c r="AV10" s="2">
        <v>1E-3</v>
      </c>
      <c r="AW10" s="2">
        <v>1E-3</v>
      </c>
      <c r="AX10" s="2">
        <v>1E-3</v>
      </c>
      <c r="AY10" s="2">
        <v>1E-3</v>
      </c>
      <c r="AZ10" s="2">
        <v>1E-3</v>
      </c>
      <c r="BA10" s="2">
        <v>1E-3</v>
      </c>
      <c r="BB10" s="2">
        <v>1E-3</v>
      </c>
      <c r="BC10" s="2">
        <v>1E-3</v>
      </c>
      <c r="BD10" s="2">
        <v>1E-3</v>
      </c>
      <c r="BE10" s="2">
        <v>1E-3</v>
      </c>
      <c r="BF10" s="2">
        <v>1E-3</v>
      </c>
      <c r="BG10" s="2">
        <v>1E-3</v>
      </c>
      <c r="BH10" s="2">
        <v>1E-3</v>
      </c>
      <c r="BI10" s="2">
        <v>1E-3</v>
      </c>
      <c r="BJ10" s="2">
        <v>1E-3</v>
      </c>
      <c r="BK10" s="2">
        <v>6357</v>
      </c>
      <c r="BL10" s="2">
        <v>6287</v>
      </c>
      <c r="BM10" s="2">
        <v>6587</v>
      </c>
      <c r="BN10" s="2">
        <v>7170</v>
      </c>
      <c r="BO10" s="2">
        <v>6637</v>
      </c>
      <c r="BP10" s="2">
        <v>6806</v>
      </c>
      <c r="BQ10" s="2">
        <v>7710</v>
      </c>
      <c r="BR10" s="2">
        <v>8784</v>
      </c>
      <c r="BS10" s="2">
        <v>9692</v>
      </c>
      <c r="BT10" s="2">
        <v>10649</v>
      </c>
      <c r="BU10" s="2">
        <v>10881</v>
      </c>
      <c r="BV10" s="2">
        <v>11595</v>
      </c>
      <c r="BW10" s="2">
        <v>12502</v>
      </c>
      <c r="BX10" s="2">
        <v>13402</v>
      </c>
      <c r="BY10" s="2">
        <v>13746</v>
      </c>
      <c r="BZ10" s="2">
        <v>13298</v>
      </c>
      <c r="CA10" s="2">
        <v>13298</v>
      </c>
      <c r="CB10" s="2">
        <v>12592</v>
      </c>
      <c r="CC10" s="2">
        <v>11972</v>
      </c>
      <c r="CD10" s="2">
        <v>11596</v>
      </c>
      <c r="CE10" s="2">
        <v>12466</v>
      </c>
      <c r="CF10" s="2">
        <v>11383</v>
      </c>
      <c r="CG10" s="2">
        <v>11075</v>
      </c>
      <c r="CH10" s="2">
        <v>10240</v>
      </c>
      <c r="CI10" s="2">
        <v>9225</v>
      </c>
      <c r="CJ10" s="2">
        <v>8905</v>
      </c>
      <c r="CK10" s="2">
        <v>8860</v>
      </c>
      <c r="CL10" s="2">
        <v>8936</v>
      </c>
      <c r="CM10" s="2">
        <v>8891</v>
      </c>
      <c r="CN10" s="2">
        <v>9343</v>
      </c>
      <c r="CO10" s="2">
        <v>9086</v>
      </c>
      <c r="CP10" s="2">
        <v>9357</v>
      </c>
      <c r="CQ10" s="2">
        <v>9868</v>
      </c>
      <c r="CR10" s="2">
        <v>10163</v>
      </c>
      <c r="CS10" s="2">
        <v>10060</v>
      </c>
      <c r="CT10" s="2">
        <v>9867</v>
      </c>
      <c r="CU10" s="2">
        <v>9831</v>
      </c>
      <c r="CV10" s="2">
        <v>9604</v>
      </c>
      <c r="CW10" s="2">
        <v>9382</v>
      </c>
      <c r="CX10" s="2">
        <v>9346</v>
      </c>
      <c r="CY10" s="2">
        <v>9701</v>
      </c>
      <c r="CZ10" s="2">
        <v>9854</v>
      </c>
      <c r="DA10" s="2">
        <v>10600</v>
      </c>
      <c r="DB10" s="2">
        <v>11308</v>
      </c>
      <c r="DC10" s="2">
        <v>10912</v>
      </c>
      <c r="DD10" s="2">
        <v>11401</v>
      </c>
      <c r="DE10" s="2">
        <v>12066</v>
      </c>
      <c r="DF10" s="2">
        <v>11966</v>
      </c>
      <c r="DG10" s="2">
        <v>11508</v>
      </c>
      <c r="DH10" s="2">
        <v>11374</v>
      </c>
      <c r="DI10" s="2">
        <v>10963</v>
      </c>
      <c r="DJ10" s="2">
        <v>11851</v>
      </c>
      <c r="DK10" s="2">
        <v>12576</v>
      </c>
      <c r="DL10" s="2">
        <v>13036</v>
      </c>
      <c r="DM10" s="2">
        <v>13014</v>
      </c>
      <c r="DN10" s="2">
        <v>13200</v>
      </c>
      <c r="DO10" s="2">
        <v>13292</v>
      </c>
      <c r="DP10" s="2">
        <v>13032</v>
      </c>
      <c r="DQ10" s="2">
        <v>12681</v>
      </c>
      <c r="DR10" s="2">
        <v>12358</v>
      </c>
      <c r="DS10" s="2">
        <v>12166</v>
      </c>
      <c r="DT10" s="2">
        <v>12278</v>
      </c>
      <c r="DU10" s="2">
        <v>12463</v>
      </c>
      <c r="DV10" s="2">
        <v>12837</v>
      </c>
      <c r="DW10" s="2">
        <v>12803</v>
      </c>
      <c r="DX10" s="2">
        <v>12837</v>
      </c>
      <c r="DY10" s="2">
        <v>12786</v>
      </c>
      <c r="DZ10" s="2">
        <v>13144</v>
      </c>
      <c r="EA10" s="2">
        <v>14142</v>
      </c>
      <c r="EB10" s="2">
        <v>15019</v>
      </c>
      <c r="EC10" s="2">
        <v>16209</v>
      </c>
      <c r="ED10" s="2">
        <v>17013</v>
      </c>
      <c r="EE10" s="2">
        <v>17757</v>
      </c>
      <c r="EF10" s="2">
        <v>18326</v>
      </c>
      <c r="EG10" s="2">
        <v>18490</v>
      </c>
      <c r="EH10" s="2">
        <v>18710</v>
      </c>
      <c r="EI10" s="2">
        <v>19010</v>
      </c>
      <c r="EJ10" s="2">
        <v>19457</v>
      </c>
      <c r="EK10" s="2">
        <v>20199</v>
      </c>
      <c r="EL10" s="2">
        <v>21189</v>
      </c>
      <c r="EM10" s="2">
        <v>22405</v>
      </c>
      <c r="EN10" s="2">
        <v>23235</v>
      </c>
      <c r="EO10" s="2">
        <v>24167</v>
      </c>
      <c r="EP10" s="2">
        <v>24599</v>
      </c>
      <c r="EQ10" s="2">
        <v>24853</v>
      </c>
      <c r="ER10" s="2">
        <v>24469</v>
      </c>
      <c r="ES10" s="2">
        <v>24892</v>
      </c>
      <c r="ET10" s="2">
        <v>24063</v>
      </c>
      <c r="EU10" s="2">
        <v>19293</v>
      </c>
      <c r="EV10" s="2">
        <v>17688</v>
      </c>
      <c r="EW10" s="2">
        <v>17528</v>
      </c>
      <c r="EX10" s="2">
        <v>17230</v>
      </c>
      <c r="EY10" s="2">
        <v>16457</v>
      </c>
      <c r="EZ10" s="2">
        <v>16329</v>
      </c>
      <c r="FA10" s="2">
        <v>16005</v>
      </c>
      <c r="FB10" s="2">
        <v>15827</v>
      </c>
      <c r="FC10" s="2">
        <v>15816</v>
      </c>
      <c r="FD10" s="2">
        <v>15576</v>
      </c>
      <c r="FE10" s="2">
        <v>15289</v>
      </c>
      <c r="FF10" s="2">
        <v>15311</v>
      </c>
      <c r="FG10" s="2">
        <v>15463</v>
      </c>
      <c r="FH10" s="2">
        <v>15351</v>
      </c>
      <c r="FI10" s="2">
        <v>15308</v>
      </c>
      <c r="FJ10" s="2">
        <v>15384</v>
      </c>
      <c r="FK10" s="2">
        <v>15257</v>
      </c>
      <c r="FL10" s="2">
        <v>15377</v>
      </c>
      <c r="FM10" s="2">
        <v>15294</v>
      </c>
      <c r="FN10" s="2">
        <v>15190</v>
      </c>
      <c r="FO10" s="2">
        <v>15119</v>
      </c>
      <c r="FP10" s="2">
        <v>14992</v>
      </c>
      <c r="FQ10" s="2">
        <v>14958</v>
      </c>
      <c r="FR10" s="2">
        <v>14774</v>
      </c>
      <c r="FS10" s="2">
        <v>14468</v>
      </c>
      <c r="FT10" s="2">
        <v>14432</v>
      </c>
      <c r="FU10" s="2">
        <v>14350</v>
      </c>
      <c r="FV10" s="2">
        <v>14363</v>
      </c>
      <c r="FW10" s="2">
        <v>14564</v>
      </c>
      <c r="FX10" s="2">
        <v>14435</v>
      </c>
      <c r="FY10" s="2">
        <v>14389</v>
      </c>
      <c r="FZ10" s="2">
        <v>14141</v>
      </c>
      <c r="GA10" s="2">
        <v>13900</v>
      </c>
      <c r="GB10" s="2">
        <v>14045</v>
      </c>
      <c r="GC10" s="2">
        <v>13887</v>
      </c>
      <c r="GD10" s="2">
        <v>13832</v>
      </c>
      <c r="GE10" s="2">
        <v>14042</v>
      </c>
      <c r="GF10" s="2">
        <v>14070</v>
      </c>
      <c r="GG10" s="2">
        <v>14173</v>
      </c>
      <c r="GH10" s="2">
        <v>14376</v>
      </c>
      <c r="GI10" s="2">
        <v>14287</v>
      </c>
      <c r="GJ10" s="2">
        <v>14229</v>
      </c>
      <c r="GK10" s="2">
        <v>14327</v>
      </c>
      <c r="GL10" s="2">
        <v>14388</v>
      </c>
      <c r="GM10" s="2">
        <v>14469</v>
      </c>
      <c r="GN10" s="2">
        <v>13345</v>
      </c>
      <c r="GO10" s="2">
        <v>13269</v>
      </c>
      <c r="GP10" s="2">
        <v>13344</v>
      </c>
      <c r="GQ10" s="2">
        <v>13138</v>
      </c>
      <c r="GR10" s="2">
        <v>13029</v>
      </c>
      <c r="GS10" s="2">
        <v>13066</v>
      </c>
      <c r="GT10" s="2">
        <v>13013</v>
      </c>
      <c r="GU10" s="2">
        <v>13221</v>
      </c>
      <c r="GV10" s="2">
        <v>13918</v>
      </c>
      <c r="GW10" s="2">
        <v>14468</v>
      </c>
      <c r="GX10" s="2">
        <v>15462</v>
      </c>
      <c r="GY10" s="2">
        <v>16806</v>
      </c>
      <c r="GZ10" s="2">
        <v>18307</v>
      </c>
      <c r="HA10" s="2">
        <v>19665</v>
      </c>
      <c r="HB10" s="2">
        <v>20813</v>
      </c>
      <c r="HC10" s="2">
        <v>21827</v>
      </c>
      <c r="HD10" s="2">
        <v>22358</v>
      </c>
      <c r="HE10" s="2">
        <v>23002</v>
      </c>
      <c r="HF10" s="2">
        <v>23474</v>
      </c>
      <c r="HG10" s="2">
        <v>23464</v>
      </c>
      <c r="HH10" s="3">
        <v>23714.01</v>
      </c>
      <c r="HI10" s="3">
        <v>23848.3</v>
      </c>
      <c r="HJ10" s="3">
        <v>23957.06</v>
      </c>
      <c r="HK10" s="3">
        <v>24149.41</v>
      </c>
      <c r="HL10" s="3">
        <v>24312.45</v>
      </c>
      <c r="HM10" s="3">
        <v>24625.51</v>
      </c>
      <c r="HN10" s="3">
        <v>24950.39</v>
      </c>
      <c r="HO10" s="3">
        <v>25235.43</v>
      </c>
      <c r="HP10" s="3">
        <v>25439.51</v>
      </c>
      <c r="HQ10" s="3">
        <v>25530.07</v>
      </c>
      <c r="HR10" s="3">
        <v>25386.57</v>
      </c>
      <c r="HS10" s="3">
        <v>25429.68</v>
      </c>
      <c r="HT10" s="3">
        <v>25535.06</v>
      </c>
      <c r="HU10" s="3">
        <v>25524.67</v>
      </c>
      <c r="HV10" s="3">
        <v>25604.34</v>
      </c>
      <c r="HW10" s="3">
        <v>25760.51</v>
      </c>
      <c r="HX10" s="3">
        <v>25924.55</v>
      </c>
      <c r="HY10" s="3">
        <v>26155.01</v>
      </c>
      <c r="HZ10" s="3">
        <v>26416.02</v>
      </c>
      <c r="IA10" s="3">
        <v>26666.1</v>
      </c>
      <c r="IB10" s="3">
        <v>26943.439999999999</v>
      </c>
      <c r="IC10" s="3">
        <v>27226.07</v>
      </c>
      <c r="ID10" s="3">
        <v>27517.69</v>
      </c>
      <c r="IE10" s="3">
        <v>27801.47</v>
      </c>
      <c r="IF10" s="3">
        <v>28047.94</v>
      </c>
      <c r="IG10" s="3">
        <v>28296.69</v>
      </c>
      <c r="IH10" s="3">
        <v>28551.13</v>
      </c>
      <c r="II10" s="3">
        <v>28812.240000000002</v>
      </c>
      <c r="IJ10" s="3">
        <v>29076.69</v>
      </c>
      <c r="IK10" s="3">
        <v>29405.56</v>
      </c>
      <c r="IL10" s="3">
        <v>29734.3</v>
      </c>
      <c r="IM10" s="3">
        <v>30062.66</v>
      </c>
      <c r="IN10" s="3">
        <v>30390.53</v>
      </c>
      <c r="IO10" s="3">
        <v>30717.98</v>
      </c>
      <c r="IP10" s="3">
        <v>31044.799999999999</v>
      </c>
      <c r="IQ10" s="3">
        <v>31370.86</v>
      </c>
      <c r="IR10" s="3">
        <v>31696.25</v>
      </c>
      <c r="IS10" s="3">
        <v>32021.18</v>
      </c>
      <c r="IT10" s="3">
        <v>32345.58</v>
      </c>
      <c r="IU10" s="3">
        <v>32669.41</v>
      </c>
      <c r="IV10" s="3">
        <v>32992.769999999997</v>
      </c>
      <c r="IW10" s="3">
        <v>33315.919999999998</v>
      </c>
      <c r="IX10" s="3">
        <v>33638.81</v>
      </c>
      <c r="IY10" s="3">
        <v>33961.19</v>
      </c>
      <c r="IZ10" s="3">
        <v>34282.94</v>
      </c>
      <c r="JA10" s="3">
        <v>34603.980000000003</v>
      </c>
      <c r="JB10" s="3">
        <v>34924.160000000003</v>
      </c>
      <c r="JC10" s="3">
        <v>35243.4</v>
      </c>
      <c r="JD10" s="3">
        <v>35561.629999999997</v>
      </c>
      <c r="JE10" s="3">
        <v>35878.79</v>
      </c>
      <c r="JF10" s="3">
        <v>36194.839999999997</v>
      </c>
      <c r="JG10" s="3">
        <v>36509.800000000003</v>
      </c>
      <c r="JH10" s="3">
        <v>36823.64</v>
      </c>
      <c r="JI10" s="3">
        <v>37136.379999999997</v>
      </c>
      <c r="JJ10" s="3">
        <v>37448.03</v>
      </c>
      <c r="JK10" s="3">
        <v>37758.660000000003</v>
      </c>
      <c r="JL10" s="3">
        <v>38068.29</v>
      </c>
      <c r="JM10" s="3">
        <v>38376.94</v>
      </c>
      <c r="JN10" s="3">
        <v>38684.699999999997</v>
      </c>
      <c r="JO10" s="3">
        <v>38991.620000000003</v>
      </c>
      <c r="JP10" s="3">
        <v>39297.75</v>
      </c>
      <c r="JQ10" s="3">
        <v>39603.18</v>
      </c>
      <c r="JR10" s="3">
        <v>39907.94</v>
      </c>
      <c r="JS10" s="3">
        <v>40212.129999999997</v>
      </c>
      <c r="JT10" s="3">
        <v>40515.81</v>
      </c>
      <c r="JU10" s="3">
        <v>40819.160000000003</v>
      </c>
      <c r="JV10" s="3">
        <v>41122.239999999998</v>
      </c>
      <c r="JW10" s="3">
        <v>41425.17</v>
      </c>
      <c r="JX10" s="3">
        <v>41727.99</v>
      </c>
      <c r="JY10" s="3">
        <v>42030.79</v>
      </c>
      <c r="JZ10" s="3">
        <v>42333.63</v>
      </c>
      <c r="KA10" s="3">
        <v>42636.5</v>
      </c>
      <c r="KB10" s="3">
        <v>42939.45</v>
      </c>
      <c r="KC10" s="3">
        <v>43242.55</v>
      </c>
      <c r="KD10" s="3">
        <v>43545.86</v>
      </c>
      <c r="KE10" s="3">
        <v>43849.33</v>
      </c>
      <c r="KF10" s="3">
        <v>44153.02</v>
      </c>
      <c r="KG10" s="3">
        <v>44456.99</v>
      </c>
      <c r="KH10" s="3">
        <v>44761.29</v>
      </c>
      <c r="KI10" s="3">
        <v>45065.78</v>
      </c>
      <c r="KJ10" s="3">
        <v>45370.49</v>
      </c>
      <c r="KK10" s="3">
        <v>45675.48</v>
      </c>
      <c r="KL10" s="3">
        <v>45980.83</v>
      </c>
      <c r="KM10" s="3">
        <v>46286.49</v>
      </c>
      <c r="KN10" s="3">
        <v>46592.51</v>
      </c>
      <c r="KO10" s="3">
        <v>46898.94</v>
      </c>
      <c r="KP10" s="3">
        <v>47205.84</v>
      </c>
      <c r="KQ10" s="3">
        <v>47513.27</v>
      </c>
      <c r="KR10" s="3">
        <v>47821.279999999999</v>
      </c>
      <c r="KS10" s="3">
        <v>48129.93</v>
      </c>
      <c r="KT10" s="3">
        <v>48439.29</v>
      </c>
      <c r="KU10" s="3">
        <v>48749.32</v>
      </c>
      <c r="KV10" s="3">
        <v>49060.08</v>
      </c>
      <c r="KW10" s="3">
        <v>49371.61</v>
      </c>
      <c r="KX10" s="3">
        <v>49683.98</v>
      </c>
      <c r="KY10" s="3">
        <v>49997.17</v>
      </c>
      <c r="KZ10" s="3">
        <v>50311.27</v>
      </c>
      <c r="LA10" s="3">
        <v>50626.28</v>
      </c>
      <c r="LB10" s="3">
        <v>50942.26</v>
      </c>
      <c r="LC10" s="3">
        <v>51259.17</v>
      </c>
      <c r="LD10" s="3">
        <v>51577.03</v>
      </c>
      <c r="LE10" s="3">
        <v>51895.94</v>
      </c>
      <c r="LF10" s="3">
        <v>52215.94</v>
      </c>
      <c r="LG10" s="3">
        <v>52537.03</v>
      </c>
      <c r="LH10" s="3">
        <v>52859.23</v>
      </c>
      <c r="LI10" s="3">
        <v>53182.61</v>
      </c>
      <c r="LJ10" s="3">
        <v>53507.19</v>
      </c>
      <c r="LK10" s="3">
        <v>53832.959999999999</v>
      </c>
      <c r="LL10" s="3">
        <v>54159.96</v>
      </c>
      <c r="LM10" s="3">
        <v>54488.19</v>
      </c>
      <c r="LN10" s="3">
        <v>54817.74</v>
      </c>
      <c r="LO10" s="3">
        <v>55148.5</v>
      </c>
      <c r="LP10" s="3">
        <v>55480.51</v>
      </c>
      <c r="LQ10" s="3">
        <v>55813.78</v>
      </c>
      <c r="LR10" s="3">
        <v>56148.36</v>
      </c>
      <c r="LS10" s="3">
        <v>56484.28</v>
      </c>
      <c r="LT10" s="3">
        <v>56821.56</v>
      </c>
      <c r="LU10" s="3">
        <v>57160.23</v>
      </c>
      <c r="LV10" s="3">
        <v>57500.35</v>
      </c>
      <c r="LW10" s="3">
        <v>57841.88</v>
      </c>
      <c r="LX10" s="3">
        <v>58184.86</v>
      </c>
      <c r="LY10" s="3">
        <v>58529.32</v>
      </c>
      <c r="LZ10" s="3">
        <v>58875.28</v>
      </c>
      <c r="MA10" s="3">
        <v>59222.74</v>
      </c>
      <c r="MB10" s="3">
        <v>59571.7</v>
      </c>
      <c r="MC10" s="3">
        <v>59922.2</v>
      </c>
      <c r="MD10" s="3">
        <v>60274.29</v>
      </c>
      <c r="ME10" s="3">
        <v>60627.95</v>
      </c>
      <c r="MF10" s="3">
        <v>60983.26</v>
      </c>
      <c r="MG10" s="3">
        <v>61340.2</v>
      </c>
      <c r="MH10" s="3">
        <v>61698.84</v>
      </c>
      <c r="MI10" s="3">
        <v>62059.24</v>
      </c>
      <c r="MJ10" s="3">
        <v>62421.41</v>
      </c>
      <c r="MK10" s="3">
        <v>62785.39</v>
      </c>
      <c r="ML10" s="3">
        <v>63151.21</v>
      </c>
      <c r="MM10" s="3">
        <v>63518.86</v>
      </c>
      <c r="MN10" s="3">
        <v>63888.38</v>
      </c>
      <c r="MO10" s="3">
        <v>64259.78</v>
      </c>
      <c r="MP10" s="3">
        <v>64633.08</v>
      </c>
      <c r="MQ10" s="3">
        <v>65008.36</v>
      </c>
      <c r="MR10" s="3">
        <v>65385.65</v>
      </c>
      <c r="MS10" s="3">
        <v>65764.95</v>
      </c>
      <c r="MT10" s="3">
        <v>66146.34</v>
      </c>
      <c r="MU10" s="1" t="s">
        <v>382</v>
      </c>
      <c r="MV10" t="s">
        <v>918</v>
      </c>
      <c r="MW10" t="s">
        <v>376</v>
      </c>
      <c r="MX10" t="s">
        <v>376</v>
      </c>
      <c r="MY10" t="s">
        <v>914</v>
      </c>
      <c r="MZ10" t="s">
        <v>915</v>
      </c>
      <c r="NA10" t="s">
        <v>916</v>
      </c>
      <c r="NB10" s="1" t="s">
        <v>383</v>
      </c>
      <c r="NC10" t="s">
        <v>384</v>
      </c>
      <c r="ND10" t="s">
        <v>379</v>
      </c>
      <c r="NE10" t="s">
        <v>385</v>
      </c>
      <c r="NF10" t="s">
        <v>902</v>
      </c>
    </row>
    <row r="11" spans="1:370" x14ac:dyDescent="0.35">
      <c r="A11" t="s">
        <v>370</v>
      </c>
      <c r="B11" t="s">
        <v>390</v>
      </c>
      <c r="C11" s="1" t="s">
        <v>912</v>
      </c>
      <c r="D11" t="s">
        <v>372</v>
      </c>
      <c r="E11" t="s">
        <v>373</v>
      </c>
      <c r="F11" t="s">
        <v>374</v>
      </c>
      <c r="G11" s="2">
        <v>1E-3</v>
      </c>
      <c r="H11" s="2">
        <v>1E-3</v>
      </c>
      <c r="I11" s="2">
        <v>1E-3</v>
      </c>
      <c r="J11" s="2">
        <v>1E-3</v>
      </c>
      <c r="K11" s="2">
        <v>1E-3</v>
      </c>
      <c r="L11" s="2">
        <v>1E-3</v>
      </c>
      <c r="M11" s="2">
        <v>1E-3</v>
      </c>
      <c r="N11" s="2">
        <v>1E-3</v>
      </c>
      <c r="O11" s="2">
        <v>1E-3</v>
      </c>
      <c r="P11" s="2">
        <v>1E-3</v>
      </c>
      <c r="Q11" s="2">
        <v>1E-3</v>
      </c>
      <c r="R11" s="2">
        <v>1E-3</v>
      </c>
      <c r="S11" s="2">
        <v>1E-3</v>
      </c>
      <c r="T11" s="2">
        <v>1E-3</v>
      </c>
      <c r="U11" s="2">
        <v>1E-3</v>
      </c>
      <c r="V11" s="2">
        <v>1E-3</v>
      </c>
      <c r="W11" s="2">
        <v>1E-3</v>
      </c>
      <c r="X11" s="2">
        <v>1E-3</v>
      </c>
      <c r="Y11" s="2">
        <v>1E-3</v>
      </c>
      <c r="Z11" s="2">
        <v>1E-3</v>
      </c>
      <c r="AA11" s="2">
        <v>1E-3</v>
      </c>
      <c r="AB11" s="2">
        <v>1E-3</v>
      </c>
      <c r="AC11" s="2">
        <v>1E-3</v>
      </c>
      <c r="AD11" s="2">
        <v>1E-3</v>
      </c>
      <c r="AE11" s="2">
        <v>1E-3</v>
      </c>
      <c r="AF11" s="2">
        <v>1E-3</v>
      </c>
      <c r="AG11" s="2">
        <v>1E-3</v>
      </c>
      <c r="AH11" s="2">
        <v>1E-3</v>
      </c>
      <c r="AI11" s="2">
        <v>1E-3</v>
      </c>
      <c r="AJ11" s="2">
        <v>1E-3</v>
      </c>
      <c r="AK11" s="2">
        <v>1E-3</v>
      </c>
      <c r="AL11" s="2">
        <v>1E-3</v>
      </c>
      <c r="AM11" s="2">
        <v>1E-3</v>
      </c>
      <c r="AN11" s="2">
        <v>1E-3</v>
      </c>
      <c r="AO11" s="2">
        <v>1E-3</v>
      </c>
      <c r="AP11" s="2">
        <v>1E-3</v>
      </c>
      <c r="AQ11" s="2">
        <v>1E-3</v>
      </c>
      <c r="AR11" s="2">
        <v>1E-3</v>
      </c>
      <c r="AS11" s="2">
        <v>1E-3</v>
      </c>
      <c r="AT11" s="2">
        <v>1E-3</v>
      </c>
      <c r="AU11" s="2">
        <v>1E-3</v>
      </c>
      <c r="AV11" s="2">
        <v>1E-3</v>
      </c>
      <c r="AW11" s="2">
        <v>1E-3</v>
      </c>
      <c r="AX11" s="2">
        <v>1E-3</v>
      </c>
      <c r="AY11" s="2">
        <v>1E-3</v>
      </c>
      <c r="AZ11" s="2">
        <v>1E-3</v>
      </c>
      <c r="BA11" s="2">
        <v>1E-3</v>
      </c>
      <c r="BB11" s="2">
        <v>1E-3</v>
      </c>
      <c r="BC11" s="2">
        <v>1E-3</v>
      </c>
      <c r="BD11" s="2">
        <v>1E-3</v>
      </c>
      <c r="BE11" s="2">
        <v>1E-3</v>
      </c>
      <c r="BF11" s="2">
        <v>1E-3</v>
      </c>
      <c r="BG11" s="2">
        <v>1E-3</v>
      </c>
      <c r="BH11" s="2">
        <v>1E-3</v>
      </c>
      <c r="BI11" s="2">
        <v>1E-3</v>
      </c>
      <c r="BJ11" s="2">
        <v>1E-3</v>
      </c>
      <c r="BK11" s="2">
        <v>5125</v>
      </c>
      <c r="BL11" s="2">
        <v>5318</v>
      </c>
      <c r="BM11" s="2">
        <v>5384</v>
      </c>
      <c r="BN11" s="2">
        <v>4897</v>
      </c>
      <c r="BO11" s="2">
        <v>5033</v>
      </c>
      <c r="BP11" s="2">
        <v>5100</v>
      </c>
      <c r="BQ11" s="2">
        <v>5343</v>
      </c>
      <c r="BR11" s="2">
        <v>6323</v>
      </c>
      <c r="BS11" s="2">
        <v>6880</v>
      </c>
      <c r="BT11" s="2">
        <v>7550</v>
      </c>
      <c r="BU11" s="2">
        <v>7721</v>
      </c>
      <c r="BV11" s="2">
        <v>8337</v>
      </c>
      <c r="BW11" s="2">
        <v>8663</v>
      </c>
      <c r="BX11" s="2">
        <v>9207</v>
      </c>
      <c r="BY11" s="2">
        <v>9914</v>
      </c>
      <c r="BZ11" s="2">
        <v>9670</v>
      </c>
      <c r="CA11" s="2">
        <v>10252</v>
      </c>
      <c r="CB11" s="2">
        <v>8706</v>
      </c>
      <c r="CC11" s="2">
        <v>8821</v>
      </c>
      <c r="CD11" s="2">
        <v>7822</v>
      </c>
      <c r="CE11" s="2">
        <v>10088</v>
      </c>
      <c r="CF11" s="2">
        <v>7880</v>
      </c>
      <c r="CG11" s="2">
        <v>7774</v>
      </c>
      <c r="CH11" s="2">
        <v>6753</v>
      </c>
      <c r="CI11" s="2">
        <v>5846</v>
      </c>
      <c r="CJ11" s="2">
        <v>5963</v>
      </c>
      <c r="CK11" s="2">
        <v>5830</v>
      </c>
      <c r="CL11" s="2">
        <v>5957</v>
      </c>
      <c r="CM11" s="2">
        <v>5390</v>
      </c>
      <c r="CN11" s="2">
        <v>5714</v>
      </c>
      <c r="CO11" s="2">
        <v>5337</v>
      </c>
      <c r="CP11" s="2">
        <v>5749</v>
      </c>
      <c r="CQ11" s="2">
        <v>6546</v>
      </c>
      <c r="CR11" s="2">
        <v>6787</v>
      </c>
      <c r="CS11" s="2">
        <v>6608</v>
      </c>
      <c r="CT11" s="2">
        <v>6634</v>
      </c>
      <c r="CU11" s="2">
        <v>6041</v>
      </c>
      <c r="CV11" s="2">
        <v>6035</v>
      </c>
      <c r="CW11" s="2">
        <v>6087</v>
      </c>
      <c r="CX11" s="2">
        <v>5828</v>
      </c>
      <c r="CY11" s="2">
        <v>6177</v>
      </c>
      <c r="CZ11" s="2">
        <v>5779</v>
      </c>
      <c r="DA11" s="2">
        <v>6453</v>
      </c>
      <c r="DB11" s="2">
        <v>6549</v>
      </c>
      <c r="DC11" s="2">
        <v>6585</v>
      </c>
      <c r="DD11" s="2">
        <v>6910</v>
      </c>
      <c r="DE11" s="2">
        <v>7079</v>
      </c>
      <c r="DF11" s="2">
        <v>7164</v>
      </c>
      <c r="DG11" s="2">
        <v>5632</v>
      </c>
      <c r="DH11" s="2">
        <v>5579</v>
      </c>
      <c r="DI11" s="2">
        <v>5446</v>
      </c>
      <c r="DJ11" s="2">
        <v>5819</v>
      </c>
      <c r="DK11" s="2">
        <v>6266</v>
      </c>
      <c r="DL11" s="2">
        <v>6547</v>
      </c>
      <c r="DM11" s="2">
        <v>6808</v>
      </c>
      <c r="DN11" s="2">
        <v>6800</v>
      </c>
      <c r="DO11" s="2">
        <v>6950</v>
      </c>
      <c r="DP11" s="2">
        <v>6496</v>
      </c>
      <c r="DQ11" s="2">
        <v>6074</v>
      </c>
      <c r="DR11" s="2">
        <v>5580</v>
      </c>
      <c r="DS11" s="2">
        <v>4720</v>
      </c>
      <c r="DT11" s="2">
        <v>5048</v>
      </c>
      <c r="DU11" s="2">
        <v>4882</v>
      </c>
      <c r="DV11" s="2">
        <v>4791</v>
      </c>
      <c r="DW11" s="2">
        <v>4824</v>
      </c>
      <c r="DX11" s="2">
        <v>4971</v>
      </c>
      <c r="DY11" s="2">
        <v>4646</v>
      </c>
      <c r="DZ11" s="2">
        <v>4870</v>
      </c>
      <c r="EA11" s="2">
        <v>5373</v>
      </c>
      <c r="EB11" s="2">
        <v>5936</v>
      </c>
      <c r="EC11" s="2">
        <v>6800</v>
      </c>
      <c r="ED11" s="2">
        <v>7392</v>
      </c>
      <c r="EE11" s="2">
        <v>7527</v>
      </c>
      <c r="EF11" s="2">
        <v>7726</v>
      </c>
      <c r="EG11" s="2">
        <v>8180</v>
      </c>
      <c r="EH11" s="2">
        <v>7574</v>
      </c>
      <c r="EI11" s="2">
        <v>8006</v>
      </c>
      <c r="EJ11" s="2">
        <v>8152</v>
      </c>
      <c r="EK11" s="2">
        <v>8784</v>
      </c>
      <c r="EL11" s="2">
        <v>9265</v>
      </c>
      <c r="EM11" s="2">
        <v>9971</v>
      </c>
      <c r="EN11" s="2">
        <v>10702</v>
      </c>
      <c r="EO11" s="2">
        <v>11166</v>
      </c>
      <c r="EP11" s="2">
        <v>11601</v>
      </c>
      <c r="EQ11" s="2">
        <v>11005</v>
      </c>
      <c r="ER11" s="2">
        <v>10959</v>
      </c>
      <c r="ES11" s="2">
        <v>11290</v>
      </c>
      <c r="ET11" s="2">
        <v>9604</v>
      </c>
      <c r="EU11" s="2">
        <v>5672</v>
      </c>
      <c r="EV11" s="2">
        <v>4933</v>
      </c>
      <c r="EW11" s="2">
        <v>4770</v>
      </c>
      <c r="EX11" s="2">
        <v>4712</v>
      </c>
      <c r="EY11" s="2">
        <v>4755</v>
      </c>
      <c r="EZ11" s="2">
        <v>4851</v>
      </c>
      <c r="FA11" s="2">
        <v>4778</v>
      </c>
      <c r="FB11" s="2">
        <v>4714</v>
      </c>
      <c r="FC11" s="2">
        <v>5041</v>
      </c>
      <c r="FD11" s="2">
        <v>5172</v>
      </c>
      <c r="FE11" s="2">
        <v>5177</v>
      </c>
      <c r="FF11" s="2">
        <v>5409</v>
      </c>
      <c r="FG11" s="2">
        <v>5389</v>
      </c>
      <c r="FH11" s="2">
        <v>5617</v>
      </c>
      <c r="FI11" s="2">
        <v>5560</v>
      </c>
      <c r="FJ11" s="2">
        <v>5693</v>
      </c>
      <c r="FK11" s="2">
        <v>5478</v>
      </c>
      <c r="FL11" s="2">
        <v>5173</v>
      </c>
      <c r="FM11" s="2">
        <v>4796</v>
      </c>
      <c r="FN11" s="2">
        <v>4584</v>
      </c>
      <c r="FO11" s="2">
        <v>4321</v>
      </c>
      <c r="FP11" s="2">
        <v>4138</v>
      </c>
      <c r="FQ11" s="2">
        <v>3945</v>
      </c>
      <c r="FR11" s="2">
        <v>3789</v>
      </c>
      <c r="FS11" s="2">
        <v>3677</v>
      </c>
      <c r="FT11" s="2">
        <v>3718</v>
      </c>
      <c r="FU11" s="2">
        <v>3746</v>
      </c>
      <c r="FV11" s="2">
        <v>3688</v>
      </c>
      <c r="FW11" s="2">
        <v>3686</v>
      </c>
      <c r="FX11" s="2">
        <v>3566</v>
      </c>
      <c r="FY11" s="2">
        <v>3443</v>
      </c>
      <c r="FZ11" s="2">
        <v>3046</v>
      </c>
      <c r="GA11" s="2">
        <v>2732</v>
      </c>
      <c r="GB11" s="2">
        <v>2713</v>
      </c>
      <c r="GC11" s="2">
        <v>2680</v>
      </c>
      <c r="GD11" s="2">
        <v>2737</v>
      </c>
      <c r="GE11" s="2">
        <v>2986</v>
      </c>
      <c r="GF11" s="2">
        <v>2891</v>
      </c>
      <c r="GG11" s="2">
        <v>3044</v>
      </c>
      <c r="GH11" s="2">
        <v>3192</v>
      </c>
      <c r="GI11" s="2">
        <v>3148</v>
      </c>
      <c r="GJ11" s="2">
        <v>3299</v>
      </c>
      <c r="GK11" s="2">
        <v>3224</v>
      </c>
      <c r="GL11" s="2">
        <v>3151</v>
      </c>
      <c r="GM11" s="2">
        <v>3049</v>
      </c>
      <c r="GN11" s="2">
        <v>2429</v>
      </c>
      <c r="GO11" s="2">
        <v>2114</v>
      </c>
      <c r="GP11" s="2">
        <v>1830</v>
      </c>
      <c r="GQ11" s="2">
        <v>1701</v>
      </c>
      <c r="GR11" s="2">
        <v>1714</v>
      </c>
      <c r="GS11" s="2">
        <v>1639</v>
      </c>
      <c r="GT11" s="2">
        <v>1763</v>
      </c>
      <c r="GU11" s="2">
        <v>1900</v>
      </c>
      <c r="GV11" s="2">
        <v>2676</v>
      </c>
      <c r="GW11" s="2">
        <v>3259</v>
      </c>
      <c r="GX11" s="2">
        <v>5360</v>
      </c>
      <c r="GY11" s="2">
        <v>7223</v>
      </c>
      <c r="GZ11" s="2">
        <v>9055</v>
      </c>
      <c r="HA11" s="2">
        <v>11134</v>
      </c>
      <c r="HB11" s="2">
        <v>12833</v>
      </c>
      <c r="HC11" s="2">
        <v>13589</v>
      </c>
      <c r="HD11" s="2">
        <v>13865</v>
      </c>
      <c r="HE11" s="2">
        <v>14314</v>
      </c>
      <c r="HF11" s="2">
        <v>14211</v>
      </c>
      <c r="HG11" s="2">
        <v>13125</v>
      </c>
      <c r="HH11" s="3">
        <v>13003.82</v>
      </c>
      <c r="HI11" s="3">
        <v>13058.77</v>
      </c>
      <c r="HJ11" s="3">
        <v>12877.62</v>
      </c>
      <c r="HK11" s="3">
        <v>12669.71</v>
      </c>
      <c r="HL11" s="3">
        <v>12533.04</v>
      </c>
      <c r="HM11" s="3">
        <v>12576.13</v>
      </c>
      <c r="HN11" s="3">
        <v>12527.03</v>
      </c>
      <c r="HO11" s="3">
        <v>12577.11</v>
      </c>
      <c r="HP11" s="3">
        <v>12517.21</v>
      </c>
      <c r="HQ11" s="3">
        <v>12550.4</v>
      </c>
      <c r="HR11" s="3">
        <v>12533.86</v>
      </c>
      <c r="HS11" s="3">
        <v>12599.93</v>
      </c>
      <c r="HT11" s="3">
        <v>12784.36</v>
      </c>
      <c r="HU11" s="3">
        <v>13082.46</v>
      </c>
      <c r="HV11" s="3">
        <v>13387.72</v>
      </c>
      <c r="HW11" s="3">
        <v>13700.11</v>
      </c>
      <c r="HX11" s="3">
        <v>14018.34</v>
      </c>
      <c r="HY11" s="3">
        <v>14341.86</v>
      </c>
      <c r="HZ11" s="3">
        <v>14672.96</v>
      </c>
      <c r="IA11" s="3">
        <v>15012.49</v>
      </c>
      <c r="IB11" s="3">
        <v>15362.31</v>
      </c>
      <c r="IC11" s="3">
        <v>15720.75</v>
      </c>
      <c r="ID11" s="3">
        <v>16087.51</v>
      </c>
      <c r="IE11" s="3">
        <v>16321.9</v>
      </c>
      <c r="IF11" s="3">
        <v>16561.009999999998</v>
      </c>
      <c r="IG11" s="3">
        <v>16800.82</v>
      </c>
      <c r="IH11" s="3">
        <v>17042.46</v>
      </c>
      <c r="II11" s="3">
        <v>17285.72</v>
      </c>
      <c r="IJ11" s="3">
        <v>17528.650000000001</v>
      </c>
      <c r="IK11" s="3">
        <v>17767.419999999998</v>
      </c>
      <c r="IL11" s="3">
        <v>18001.84</v>
      </c>
      <c r="IM11" s="3">
        <v>18232.59</v>
      </c>
      <c r="IN11" s="3">
        <v>18461.03</v>
      </c>
      <c r="IO11" s="3">
        <v>18684.8</v>
      </c>
      <c r="IP11" s="3">
        <v>18903.46</v>
      </c>
      <c r="IQ11" s="3">
        <v>19118.349999999999</v>
      </c>
      <c r="IR11" s="3">
        <v>19331.61</v>
      </c>
      <c r="IS11" s="3">
        <v>19540.740000000002</v>
      </c>
      <c r="IT11" s="3">
        <v>19745.78</v>
      </c>
      <c r="IU11" s="3">
        <v>19947.28</v>
      </c>
      <c r="IV11" s="3">
        <v>20147.75</v>
      </c>
      <c r="IW11" s="3">
        <v>20344.990000000002</v>
      </c>
      <c r="IX11" s="3">
        <v>20538.71</v>
      </c>
      <c r="IY11" s="3">
        <v>20729.84</v>
      </c>
      <c r="IZ11" s="3">
        <v>20919.599999999999</v>
      </c>
      <c r="JA11" s="3">
        <v>21108.31</v>
      </c>
      <c r="JB11" s="3">
        <v>21296.07</v>
      </c>
      <c r="JC11" s="3">
        <v>21482.89</v>
      </c>
      <c r="JD11" s="3">
        <v>21668.81</v>
      </c>
      <c r="JE11" s="3">
        <v>21853.9</v>
      </c>
      <c r="JF11" s="3">
        <v>22038.19</v>
      </c>
      <c r="JG11" s="3">
        <v>22221.08</v>
      </c>
      <c r="JH11" s="3">
        <v>22402.68</v>
      </c>
      <c r="JI11" s="3">
        <v>22583.06</v>
      </c>
      <c r="JJ11" s="3">
        <v>22762.3</v>
      </c>
      <c r="JK11" s="3">
        <v>22940.47</v>
      </c>
      <c r="JL11" s="3">
        <v>23117.58</v>
      </c>
      <c r="JM11" s="3">
        <v>23293.72</v>
      </c>
      <c r="JN11" s="3">
        <v>23468.97</v>
      </c>
      <c r="JO11" s="3">
        <v>23643.360000000001</v>
      </c>
      <c r="JP11" s="3">
        <v>23816.89</v>
      </c>
      <c r="JQ11" s="3">
        <v>23989.66</v>
      </c>
      <c r="JR11" s="3">
        <v>24161.69</v>
      </c>
      <c r="JS11" s="3">
        <v>24332.959999999999</v>
      </c>
      <c r="JT11" s="3">
        <v>24504.01</v>
      </c>
      <c r="JU11" s="3">
        <v>24674.67</v>
      </c>
      <c r="JV11" s="3">
        <v>24844.65</v>
      </c>
      <c r="JW11" s="3">
        <v>25013.94</v>
      </c>
      <c r="JX11" s="3">
        <v>25182.560000000001</v>
      </c>
      <c r="JY11" s="3">
        <v>25350.53</v>
      </c>
      <c r="JZ11" s="3">
        <v>25517.48</v>
      </c>
      <c r="KA11" s="3">
        <v>25683.71</v>
      </c>
      <c r="KB11" s="3">
        <v>25849.360000000001</v>
      </c>
      <c r="KC11" s="3">
        <v>26014.55</v>
      </c>
      <c r="KD11" s="3">
        <v>26178.69</v>
      </c>
      <c r="KE11" s="3">
        <v>26342.18</v>
      </c>
      <c r="KF11" s="3">
        <v>26505.15</v>
      </c>
      <c r="KG11" s="3">
        <v>26667.68</v>
      </c>
      <c r="KH11" s="3">
        <v>26828.84</v>
      </c>
      <c r="KI11" s="3">
        <v>26992.560000000001</v>
      </c>
      <c r="KJ11" s="3">
        <v>27160.240000000002</v>
      </c>
      <c r="KK11" s="3">
        <v>27332.35</v>
      </c>
      <c r="KL11" s="3">
        <v>27508.5</v>
      </c>
      <c r="KM11" s="3">
        <v>27686.17</v>
      </c>
      <c r="KN11" s="3">
        <v>27864.31</v>
      </c>
      <c r="KO11" s="3">
        <v>28042.57</v>
      </c>
      <c r="KP11" s="3">
        <v>28220.83</v>
      </c>
      <c r="KQ11" s="3">
        <v>28399.83</v>
      </c>
      <c r="KR11" s="3">
        <v>28579.64</v>
      </c>
      <c r="KS11" s="3">
        <v>28760.33</v>
      </c>
      <c r="KT11" s="3">
        <v>28941.55</v>
      </c>
      <c r="KU11" s="3">
        <v>29123.98</v>
      </c>
      <c r="KV11" s="3">
        <v>29307.66</v>
      </c>
      <c r="KW11" s="3">
        <v>29492.58</v>
      </c>
      <c r="KX11" s="3">
        <v>29678.54</v>
      </c>
      <c r="KY11" s="3">
        <v>29865.65</v>
      </c>
      <c r="KZ11" s="3">
        <v>30053.919999999998</v>
      </c>
      <c r="LA11" s="3">
        <v>30243.31</v>
      </c>
      <c r="LB11" s="3">
        <v>30433.27</v>
      </c>
      <c r="LC11" s="3">
        <v>30624.31</v>
      </c>
      <c r="LD11" s="3">
        <v>30816.76</v>
      </c>
      <c r="LE11" s="3">
        <v>31010.48</v>
      </c>
      <c r="LF11" s="3">
        <v>31205.29</v>
      </c>
      <c r="LG11" s="3">
        <v>31401.26</v>
      </c>
      <c r="LH11" s="3">
        <v>31598.41</v>
      </c>
      <c r="LI11" s="3">
        <v>31796.79</v>
      </c>
      <c r="LJ11" s="3">
        <v>31996.04</v>
      </c>
      <c r="LK11" s="3">
        <v>32195.98</v>
      </c>
      <c r="LL11" s="3">
        <v>32396.55</v>
      </c>
      <c r="LM11" s="3">
        <v>32597.69</v>
      </c>
      <c r="LN11" s="3">
        <v>32799.14</v>
      </c>
      <c r="LO11" s="3">
        <v>33001.22</v>
      </c>
      <c r="LP11" s="3">
        <v>33204.019999999997</v>
      </c>
      <c r="LQ11" s="3">
        <v>33407.61</v>
      </c>
      <c r="LR11" s="3">
        <v>33611.99</v>
      </c>
      <c r="LS11" s="3">
        <v>33817.15</v>
      </c>
      <c r="LT11" s="3">
        <v>34023.06</v>
      </c>
      <c r="LU11" s="3">
        <v>34229.79</v>
      </c>
      <c r="LV11" s="3">
        <v>34437.18</v>
      </c>
      <c r="LW11" s="3">
        <v>34645.4</v>
      </c>
      <c r="LX11" s="3">
        <v>34854.53</v>
      </c>
      <c r="LY11" s="3">
        <v>35064.5</v>
      </c>
      <c r="LZ11" s="3">
        <v>35275.29</v>
      </c>
      <c r="MA11" s="3">
        <v>35487.06</v>
      </c>
      <c r="MB11" s="3">
        <v>35699.82</v>
      </c>
      <c r="MC11" s="3">
        <v>35913.67</v>
      </c>
      <c r="MD11" s="3">
        <v>36128.54</v>
      </c>
      <c r="ME11" s="3">
        <v>36344.370000000003</v>
      </c>
      <c r="MF11" s="3">
        <v>36561.199999999997</v>
      </c>
      <c r="MG11" s="3">
        <v>36778.99</v>
      </c>
      <c r="MH11" s="3">
        <v>36997.82</v>
      </c>
      <c r="MI11" s="3">
        <v>37217.620000000003</v>
      </c>
      <c r="MJ11" s="3">
        <v>37438.379999999997</v>
      </c>
      <c r="MK11" s="3">
        <v>37660</v>
      </c>
      <c r="ML11" s="3">
        <v>37882.51</v>
      </c>
      <c r="MM11" s="3">
        <v>38105.980000000003</v>
      </c>
      <c r="MN11" s="3">
        <v>38330.51</v>
      </c>
      <c r="MO11" s="3">
        <v>38556.089999999997</v>
      </c>
      <c r="MP11" s="3">
        <v>38782.839999999997</v>
      </c>
      <c r="MQ11" s="3">
        <v>39010.61</v>
      </c>
      <c r="MR11" s="3">
        <v>39239.370000000003</v>
      </c>
      <c r="MS11" s="3">
        <v>39469.050000000003</v>
      </c>
      <c r="MT11" s="3">
        <v>39699.78</v>
      </c>
      <c r="MU11" s="1" t="s">
        <v>391</v>
      </c>
      <c r="MV11" t="s">
        <v>918</v>
      </c>
      <c r="MW11" t="s">
        <v>376</v>
      </c>
      <c r="MX11" t="s">
        <v>376</v>
      </c>
      <c r="MY11" t="s">
        <v>914</v>
      </c>
      <c r="MZ11" t="s">
        <v>915</v>
      </c>
      <c r="NA11" t="s">
        <v>916</v>
      </c>
      <c r="NB11" s="1" t="s">
        <v>392</v>
      </c>
      <c r="NC11" t="s">
        <v>393</v>
      </c>
      <c r="ND11" t="s">
        <v>379</v>
      </c>
      <c r="NE11" t="s">
        <v>394</v>
      </c>
      <c r="NF11" t="s">
        <v>902</v>
      </c>
    </row>
    <row r="12" spans="1:370" x14ac:dyDescent="0.35">
      <c r="A12" t="s">
        <v>370</v>
      </c>
      <c r="B12" t="s">
        <v>371</v>
      </c>
      <c r="C12" s="1" t="s">
        <v>912</v>
      </c>
      <c r="D12" t="s">
        <v>372</v>
      </c>
      <c r="E12" t="s">
        <v>373</v>
      </c>
      <c r="F12" t="s">
        <v>374</v>
      </c>
      <c r="G12" s="2">
        <v>1E-3</v>
      </c>
      <c r="H12" s="2">
        <v>1E-3</v>
      </c>
      <c r="I12" s="2">
        <v>1E-3</v>
      </c>
      <c r="J12" s="2">
        <v>1E-3</v>
      </c>
      <c r="K12" s="2">
        <v>1E-3</v>
      </c>
      <c r="L12" s="2">
        <v>1E-3</v>
      </c>
      <c r="M12" s="2">
        <v>1E-3</v>
      </c>
      <c r="N12" s="2">
        <v>1E-3</v>
      </c>
      <c r="O12" s="2">
        <v>1E-3</v>
      </c>
      <c r="P12" s="2">
        <v>1E-3</v>
      </c>
      <c r="Q12" s="2">
        <v>1E-3</v>
      </c>
      <c r="R12" s="2">
        <v>1E-3</v>
      </c>
      <c r="S12" s="2">
        <v>1E-3</v>
      </c>
      <c r="T12" s="2">
        <v>1E-3</v>
      </c>
      <c r="U12" s="2">
        <v>1E-3</v>
      </c>
      <c r="V12" s="2">
        <v>1E-3</v>
      </c>
      <c r="W12" s="2">
        <v>1E-3</v>
      </c>
      <c r="X12" s="2">
        <v>1E-3</v>
      </c>
      <c r="Y12" s="2">
        <v>1E-3</v>
      </c>
      <c r="Z12" s="2">
        <v>1E-3</v>
      </c>
      <c r="AA12" s="2">
        <v>1E-3</v>
      </c>
      <c r="AB12" s="2">
        <v>1E-3</v>
      </c>
      <c r="AC12" s="2">
        <v>1E-3</v>
      </c>
      <c r="AD12" s="2">
        <v>1E-3</v>
      </c>
      <c r="AE12" s="2">
        <v>1E-3</v>
      </c>
      <c r="AF12" s="2">
        <v>1E-3</v>
      </c>
      <c r="AG12" s="2">
        <v>1E-3</v>
      </c>
      <c r="AH12" s="2">
        <v>1E-3</v>
      </c>
      <c r="AI12" s="2">
        <v>1E-3</v>
      </c>
      <c r="AJ12" s="2">
        <v>1E-3</v>
      </c>
      <c r="AK12" s="2">
        <v>1E-3</v>
      </c>
      <c r="AL12" s="2">
        <v>1E-3</v>
      </c>
      <c r="AM12" s="2">
        <v>1E-3</v>
      </c>
      <c r="AN12" s="2">
        <v>1E-3</v>
      </c>
      <c r="AO12" s="2">
        <v>1E-3</v>
      </c>
      <c r="AP12" s="2">
        <v>1E-3</v>
      </c>
      <c r="AQ12" s="2">
        <v>1E-3</v>
      </c>
      <c r="AR12" s="2">
        <v>1E-3</v>
      </c>
      <c r="AS12" s="2">
        <v>1E-3</v>
      </c>
      <c r="AT12" s="2">
        <v>1E-3</v>
      </c>
      <c r="AU12" s="2">
        <v>1E-3</v>
      </c>
      <c r="AV12" s="2">
        <v>1E-3</v>
      </c>
      <c r="AW12" s="2">
        <v>1E-3</v>
      </c>
      <c r="AX12" s="2">
        <v>1E-3</v>
      </c>
      <c r="AY12" s="2">
        <v>1E-3</v>
      </c>
      <c r="AZ12" s="2">
        <v>1E-3</v>
      </c>
      <c r="BA12" s="2">
        <v>1E-3</v>
      </c>
      <c r="BB12" s="2">
        <v>1E-3</v>
      </c>
      <c r="BC12" s="2">
        <v>1E-3</v>
      </c>
      <c r="BD12" s="2">
        <v>1E-3</v>
      </c>
      <c r="BE12" s="2">
        <v>1E-3</v>
      </c>
      <c r="BF12" s="2">
        <v>1E-3</v>
      </c>
      <c r="BG12" s="2">
        <v>1E-3</v>
      </c>
      <c r="BH12" s="2">
        <v>1E-3</v>
      </c>
      <c r="BI12" s="2">
        <v>1E-3</v>
      </c>
      <c r="BJ12" s="2">
        <v>1E-3</v>
      </c>
      <c r="BK12" s="2">
        <v>5414</v>
      </c>
      <c r="BL12" s="2">
        <v>5168</v>
      </c>
      <c r="BM12" s="2">
        <v>5394</v>
      </c>
      <c r="BN12" s="2">
        <v>5967</v>
      </c>
      <c r="BO12" s="2">
        <v>5380</v>
      </c>
      <c r="BP12" s="2">
        <v>5508</v>
      </c>
      <c r="BQ12" s="2">
        <v>6312</v>
      </c>
      <c r="BR12" s="2">
        <v>7269</v>
      </c>
      <c r="BS12" s="2">
        <v>8124</v>
      </c>
      <c r="BT12" s="2">
        <v>9068</v>
      </c>
      <c r="BU12" s="2">
        <v>9245</v>
      </c>
      <c r="BV12" s="2">
        <v>9778</v>
      </c>
      <c r="BW12" s="2">
        <v>10584</v>
      </c>
      <c r="BX12" s="2">
        <v>11491</v>
      </c>
      <c r="BY12" s="2">
        <v>11880</v>
      </c>
      <c r="BZ12" s="2">
        <v>11492</v>
      </c>
      <c r="CA12" s="2">
        <v>11454</v>
      </c>
      <c r="CB12" s="2">
        <v>10793</v>
      </c>
      <c r="CC12" s="2">
        <v>10251</v>
      </c>
      <c r="CD12" s="2">
        <v>9965</v>
      </c>
      <c r="CE12" s="2">
        <v>11073</v>
      </c>
      <c r="CF12" s="2">
        <v>10082</v>
      </c>
      <c r="CG12" s="2">
        <v>9682</v>
      </c>
      <c r="CH12" s="2">
        <v>8436</v>
      </c>
      <c r="CI12" s="2">
        <v>7548</v>
      </c>
      <c r="CJ12" s="2">
        <v>7324</v>
      </c>
      <c r="CK12" s="2">
        <v>7370</v>
      </c>
      <c r="CL12" s="2">
        <v>7335</v>
      </c>
      <c r="CM12" s="2">
        <v>7287</v>
      </c>
      <c r="CN12" s="2">
        <v>7722</v>
      </c>
      <c r="CO12" s="2">
        <v>7486</v>
      </c>
      <c r="CP12" s="2">
        <v>7720</v>
      </c>
      <c r="CQ12" s="2">
        <v>8283</v>
      </c>
      <c r="CR12" s="2">
        <v>8575</v>
      </c>
      <c r="CS12" s="2">
        <v>8424</v>
      </c>
      <c r="CT12" s="2">
        <v>8145</v>
      </c>
      <c r="CU12" s="2">
        <v>8006</v>
      </c>
      <c r="CV12" s="2">
        <v>7771</v>
      </c>
      <c r="CW12" s="2">
        <v>7586</v>
      </c>
      <c r="CX12" s="2">
        <v>7442</v>
      </c>
      <c r="CY12" s="2">
        <v>7777</v>
      </c>
      <c r="CZ12" s="2">
        <v>7915</v>
      </c>
      <c r="DA12" s="2">
        <v>8565</v>
      </c>
      <c r="DB12" s="2">
        <v>9175</v>
      </c>
      <c r="DC12" s="2">
        <v>8666</v>
      </c>
      <c r="DD12" s="2">
        <v>9118</v>
      </c>
      <c r="DE12" s="2">
        <v>9637</v>
      </c>
      <c r="DF12" s="2">
        <v>9759</v>
      </c>
      <c r="DG12" s="2">
        <v>9118</v>
      </c>
      <c r="DH12" s="2">
        <v>9051</v>
      </c>
      <c r="DI12" s="2">
        <v>8086</v>
      </c>
      <c r="DJ12" s="2">
        <v>9064</v>
      </c>
      <c r="DK12" s="2">
        <v>10293</v>
      </c>
      <c r="DL12" s="2">
        <v>10693</v>
      </c>
      <c r="DM12" s="2">
        <v>10594</v>
      </c>
      <c r="DN12" s="2">
        <v>10714</v>
      </c>
      <c r="DO12" s="2">
        <v>10928</v>
      </c>
      <c r="DP12" s="2">
        <v>10417</v>
      </c>
      <c r="DQ12" s="2">
        <v>9901</v>
      </c>
      <c r="DR12" s="2">
        <v>8885</v>
      </c>
      <c r="DS12" s="2">
        <v>8869</v>
      </c>
      <c r="DT12" s="2">
        <v>9186</v>
      </c>
      <c r="DU12" s="2">
        <v>9389</v>
      </c>
      <c r="DV12" s="2">
        <v>9667</v>
      </c>
      <c r="DW12" s="2">
        <v>9783</v>
      </c>
      <c r="DX12" s="2">
        <v>9684</v>
      </c>
      <c r="DY12" s="2">
        <v>9380</v>
      </c>
      <c r="DZ12" s="2">
        <v>9776</v>
      </c>
      <c r="EA12" s="2">
        <v>10893</v>
      </c>
      <c r="EB12" s="2">
        <v>11972</v>
      </c>
      <c r="EC12" s="2">
        <v>13528</v>
      </c>
      <c r="ED12" s="2">
        <v>13991</v>
      </c>
      <c r="EE12" s="2">
        <v>13856</v>
      </c>
      <c r="EF12" s="2">
        <v>14772</v>
      </c>
      <c r="EG12" s="2">
        <v>14859</v>
      </c>
      <c r="EH12" s="2">
        <v>14939</v>
      </c>
      <c r="EI12" s="2">
        <v>15223</v>
      </c>
      <c r="EJ12" s="2">
        <v>15513</v>
      </c>
      <c r="EK12" s="2">
        <v>16282</v>
      </c>
      <c r="EL12" s="2">
        <v>17312</v>
      </c>
      <c r="EM12" s="2">
        <v>18398</v>
      </c>
      <c r="EN12" s="2">
        <v>19478</v>
      </c>
      <c r="EO12" s="2">
        <v>20406</v>
      </c>
      <c r="EP12" s="2">
        <v>22142</v>
      </c>
      <c r="EQ12" s="2">
        <v>23284</v>
      </c>
      <c r="ER12" s="2">
        <v>22703</v>
      </c>
      <c r="ES12" s="2">
        <v>22898</v>
      </c>
      <c r="ET12" s="2">
        <v>21935</v>
      </c>
      <c r="EU12" s="2">
        <v>11932</v>
      </c>
      <c r="EV12" s="2">
        <v>9127</v>
      </c>
      <c r="EW12" s="2">
        <v>7821</v>
      </c>
      <c r="EX12" s="2">
        <v>7276</v>
      </c>
      <c r="EY12" s="2">
        <v>5040</v>
      </c>
      <c r="EZ12" s="2">
        <v>5486</v>
      </c>
      <c r="FA12" s="2">
        <v>5317</v>
      </c>
      <c r="FB12" s="2">
        <v>6037</v>
      </c>
      <c r="FC12" s="2">
        <v>5808</v>
      </c>
      <c r="FD12" s="2">
        <v>5796</v>
      </c>
      <c r="FE12" s="2">
        <v>5851</v>
      </c>
      <c r="FF12" s="2">
        <v>6471</v>
      </c>
      <c r="FG12" s="2">
        <v>7183</v>
      </c>
      <c r="FH12" s="2">
        <v>6818</v>
      </c>
      <c r="FI12" s="2">
        <v>5954</v>
      </c>
      <c r="FJ12" s="2">
        <v>5688</v>
      </c>
      <c r="FK12" s="2">
        <v>6172</v>
      </c>
      <c r="FL12" s="2">
        <v>5864</v>
      </c>
      <c r="FM12" s="2">
        <v>5556</v>
      </c>
      <c r="FN12" s="2">
        <v>5019</v>
      </c>
      <c r="FO12" s="2">
        <v>6151</v>
      </c>
      <c r="FP12" s="2">
        <v>7292</v>
      </c>
      <c r="FQ12" s="2">
        <v>7395</v>
      </c>
      <c r="FR12" s="2">
        <v>7328</v>
      </c>
      <c r="FS12" s="2">
        <v>6860</v>
      </c>
      <c r="FT12" s="2">
        <v>7108</v>
      </c>
      <c r="FU12" s="2">
        <v>6986</v>
      </c>
      <c r="FV12" s="2">
        <v>7177</v>
      </c>
      <c r="FW12" s="2">
        <v>6854</v>
      </c>
      <c r="FX12" s="2">
        <v>7376</v>
      </c>
      <c r="FY12" s="2">
        <v>7320</v>
      </c>
      <c r="FZ12" s="2">
        <v>7133</v>
      </c>
      <c r="GA12" s="2">
        <v>6108</v>
      </c>
      <c r="GB12" s="2">
        <v>6097</v>
      </c>
      <c r="GC12" s="2">
        <v>5495</v>
      </c>
      <c r="GD12" s="2">
        <v>6078</v>
      </c>
      <c r="GE12" s="2">
        <v>6779</v>
      </c>
      <c r="GF12" s="2">
        <v>7442</v>
      </c>
      <c r="GG12" s="2">
        <v>7727</v>
      </c>
      <c r="GH12" s="2">
        <v>8288</v>
      </c>
      <c r="GI12" s="2">
        <v>7874</v>
      </c>
      <c r="GJ12" s="2">
        <v>6868</v>
      </c>
      <c r="GK12" s="2">
        <v>6617</v>
      </c>
      <c r="GL12" s="2">
        <v>6347</v>
      </c>
      <c r="GM12" s="2">
        <v>5789</v>
      </c>
      <c r="GN12" s="2">
        <v>4314</v>
      </c>
      <c r="GO12" s="2">
        <v>4477</v>
      </c>
      <c r="GP12" s="2">
        <v>4795</v>
      </c>
      <c r="GQ12" s="2">
        <v>5434</v>
      </c>
      <c r="GR12" s="2">
        <v>5323</v>
      </c>
      <c r="GS12" s="2">
        <v>5045</v>
      </c>
      <c r="GT12" s="2">
        <v>5673</v>
      </c>
      <c r="GU12" s="2">
        <v>7327</v>
      </c>
      <c r="GV12" s="2">
        <v>9213</v>
      </c>
      <c r="GW12" s="2">
        <v>11382</v>
      </c>
      <c r="GX12" s="2">
        <v>15233</v>
      </c>
      <c r="GY12" s="2">
        <v>19227</v>
      </c>
      <c r="GZ12" s="2">
        <v>20178</v>
      </c>
      <c r="HA12" s="2">
        <v>21789</v>
      </c>
      <c r="HB12" s="2">
        <v>22907</v>
      </c>
      <c r="HC12" s="2">
        <v>23970</v>
      </c>
      <c r="HD12" s="2">
        <v>22990</v>
      </c>
      <c r="HE12" s="2">
        <v>23153</v>
      </c>
      <c r="HF12" s="2">
        <v>23866</v>
      </c>
      <c r="HG12" s="2">
        <v>23347</v>
      </c>
      <c r="HH12" s="3">
        <v>23314.6</v>
      </c>
      <c r="HI12" s="3">
        <v>23021.57</v>
      </c>
      <c r="HJ12" s="3">
        <v>22700.48</v>
      </c>
      <c r="HK12" s="3">
        <v>22466.36</v>
      </c>
      <c r="HL12" s="3">
        <v>22206.54</v>
      </c>
      <c r="HM12" s="3">
        <v>22265.08</v>
      </c>
      <c r="HN12" s="3">
        <v>22272.400000000001</v>
      </c>
      <c r="HO12" s="3">
        <v>22308.959999999999</v>
      </c>
      <c r="HP12" s="3">
        <v>22197.14</v>
      </c>
      <c r="HQ12" s="3">
        <v>22037.57</v>
      </c>
      <c r="HR12" s="3">
        <v>21572.18</v>
      </c>
      <c r="HS12" s="3">
        <v>21371.14</v>
      </c>
      <c r="HT12" s="3">
        <v>21336.01</v>
      </c>
      <c r="HU12" s="3">
        <v>21185.11</v>
      </c>
      <c r="HV12" s="3">
        <v>21124.27</v>
      </c>
      <c r="HW12" s="3">
        <v>21139.93</v>
      </c>
      <c r="HX12" s="3">
        <v>21163.46</v>
      </c>
      <c r="HY12" s="3">
        <v>21253.41</v>
      </c>
      <c r="HZ12" s="3">
        <v>21373.91</v>
      </c>
      <c r="IA12" s="3">
        <v>21483.48</v>
      </c>
      <c r="IB12" s="3">
        <v>21620.31</v>
      </c>
      <c r="IC12" s="3">
        <v>21762.43</v>
      </c>
      <c r="ID12" s="3">
        <v>21913.54</v>
      </c>
      <c r="IE12" s="3">
        <v>22197.32</v>
      </c>
      <c r="IF12" s="3">
        <v>22443.79</v>
      </c>
      <c r="IG12" s="3">
        <v>22692.54</v>
      </c>
      <c r="IH12" s="3">
        <v>22946.98</v>
      </c>
      <c r="II12" s="3">
        <v>23208.09</v>
      </c>
      <c r="IJ12" s="3">
        <v>23472.54</v>
      </c>
      <c r="IK12" s="3">
        <v>23801.41</v>
      </c>
      <c r="IL12" s="3">
        <v>24130.15</v>
      </c>
      <c r="IM12" s="3">
        <v>24458.51</v>
      </c>
      <c r="IN12" s="3">
        <v>24786.38</v>
      </c>
      <c r="IO12" s="3">
        <v>25113.83</v>
      </c>
      <c r="IP12" s="3">
        <v>25440.65</v>
      </c>
      <c r="IQ12" s="3">
        <v>25766.71</v>
      </c>
      <c r="IR12" s="3">
        <v>26092.1</v>
      </c>
      <c r="IS12" s="3">
        <v>26417.03</v>
      </c>
      <c r="IT12" s="3">
        <v>26741.43</v>
      </c>
      <c r="IU12" s="3">
        <v>27065.26</v>
      </c>
      <c r="IV12" s="3">
        <v>27388.62</v>
      </c>
      <c r="IW12" s="3">
        <v>27711.77</v>
      </c>
      <c r="IX12" s="3">
        <v>28034.66</v>
      </c>
      <c r="IY12" s="3">
        <v>28357.040000000001</v>
      </c>
      <c r="IZ12" s="3">
        <v>28678.79</v>
      </c>
      <c r="JA12" s="3">
        <v>28999.83</v>
      </c>
      <c r="JB12" s="3">
        <v>29320.01</v>
      </c>
      <c r="JC12" s="3">
        <v>29639.25</v>
      </c>
      <c r="JD12" s="3">
        <v>29957.48</v>
      </c>
      <c r="JE12" s="3">
        <v>30274.63</v>
      </c>
      <c r="JF12" s="3">
        <v>30590.69</v>
      </c>
      <c r="JG12" s="3">
        <v>30905.65</v>
      </c>
      <c r="JH12" s="3">
        <v>31219.49</v>
      </c>
      <c r="JI12" s="3">
        <v>31532.23</v>
      </c>
      <c r="JJ12" s="3">
        <v>31843.88</v>
      </c>
      <c r="JK12" s="3">
        <v>32154.51</v>
      </c>
      <c r="JL12" s="3">
        <v>32464.13</v>
      </c>
      <c r="JM12" s="3">
        <v>32772.79</v>
      </c>
      <c r="JN12" s="3">
        <v>33080.550000000003</v>
      </c>
      <c r="JO12" s="3">
        <v>33387.47</v>
      </c>
      <c r="JP12" s="3">
        <v>33693.599999999999</v>
      </c>
      <c r="JQ12" s="3">
        <v>33999.03</v>
      </c>
      <c r="JR12" s="3">
        <v>34303.79</v>
      </c>
      <c r="JS12" s="3">
        <v>34607.980000000003</v>
      </c>
      <c r="JT12" s="3">
        <v>34911.660000000003</v>
      </c>
      <c r="JU12" s="3">
        <v>35215.01</v>
      </c>
      <c r="JV12" s="3">
        <v>35518.089999999997</v>
      </c>
      <c r="JW12" s="3">
        <v>35821.019999999997</v>
      </c>
      <c r="JX12" s="3">
        <v>36123.839999999997</v>
      </c>
      <c r="JY12" s="3">
        <v>36426.639999999999</v>
      </c>
      <c r="JZ12" s="3">
        <v>36729.480000000003</v>
      </c>
      <c r="KA12" s="3">
        <v>37032.35</v>
      </c>
      <c r="KB12" s="3">
        <v>37335.300000000003</v>
      </c>
      <c r="KC12" s="3">
        <v>37638.400000000001</v>
      </c>
      <c r="KD12" s="3">
        <v>37941.71</v>
      </c>
      <c r="KE12" s="3">
        <v>38245.18</v>
      </c>
      <c r="KF12" s="3">
        <v>38548.870000000003</v>
      </c>
      <c r="KG12" s="3">
        <v>38852.839999999997</v>
      </c>
      <c r="KH12" s="3">
        <v>39157.14</v>
      </c>
      <c r="KI12" s="3">
        <v>39461.629999999997</v>
      </c>
      <c r="KJ12" s="3">
        <v>39766.339999999997</v>
      </c>
      <c r="KK12" s="3">
        <v>40071.33</v>
      </c>
      <c r="KL12" s="3">
        <v>40376.68</v>
      </c>
      <c r="KM12" s="3">
        <v>40682.339999999997</v>
      </c>
      <c r="KN12" s="3">
        <v>40988.36</v>
      </c>
      <c r="KO12" s="3">
        <v>41294.79</v>
      </c>
      <c r="KP12" s="3">
        <v>41601.69</v>
      </c>
      <c r="KQ12" s="3">
        <v>41909.120000000003</v>
      </c>
      <c r="KR12" s="3">
        <v>42217.13</v>
      </c>
      <c r="KS12" s="3">
        <v>42525.78</v>
      </c>
      <c r="KT12" s="3">
        <v>42835.14</v>
      </c>
      <c r="KU12" s="3">
        <v>43145.17</v>
      </c>
      <c r="KV12" s="3">
        <v>43455.93</v>
      </c>
      <c r="KW12" s="3">
        <v>43767.46</v>
      </c>
      <c r="KX12" s="3">
        <v>44079.83</v>
      </c>
      <c r="KY12" s="3">
        <v>44393.02</v>
      </c>
      <c r="KZ12" s="3">
        <v>44707.12</v>
      </c>
      <c r="LA12" s="3">
        <v>45022.13</v>
      </c>
      <c r="LB12" s="3">
        <v>45338.11</v>
      </c>
      <c r="LC12" s="3">
        <v>45655.02</v>
      </c>
      <c r="LD12" s="3">
        <v>45972.88</v>
      </c>
      <c r="LE12" s="3">
        <v>46291.79</v>
      </c>
      <c r="LF12" s="3">
        <v>46611.79</v>
      </c>
      <c r="LG12" s="3">
        <v>46932.88</v>
      </c>
      <c r="LH12" s="3">
        <v>47255.08</v>
      </c>
      <c r="LI12" s="3">
        <v>47578.46</v>
      </c>
      <c r="LJ12" s="3">
        <v>47903.040000000001</v>
      </c>
      <c r="LK12" s="3">
        <v>48228.81</v>
      </c>
      <c r="LL12" s="3">
        <v>48555.81</v>
      </c>
      <c r="LM12" s="3">
        <v>48884.04</v>
      </c>
      <c r="LN12" s="3">
        <v>49213.59</v>
      </c>
      <c r="LO12" s="3">
        <v>49544.35</v>
      </c>
      <c r="LP12" s="3">
        <v>49876.36</v>
      </c>
      <c r="LQ12" s="3">
        <v>50209.63</v>
      </c>
      <c r="LR12" s="3">
        <v>50544.21</v>
      </c>
      <c r="LS12" s="3">
        <v>50880.13</v>
      </c>
      <c r="LT12" s="3">
        <v>51217.41</v>
      </c>
      <c r="LU12" s="3">
        <v>51556.08</v>
      </c>
      <c r="LV12" s="3">
        <v>51896.2</v>
      </c>
      <c r="LW12" s="3">
        <v>52237.73</v>
      </c>
      <c r="LX12" s="3">
        <v>52580.71</v>
      </c>
      <c r="LY12" s="3">
        <v>52925.17</v>
      </c>
      <c r="LZ12" s="3">
        <v>53271.13</v>
      </c>
      <c r="MA12" s="3">
        <v>53618.59</v>
      </c>
      <c r="MB12" s="3">
        <v>53967.55</v>
      </c>
      <c r="MC12" s="3">
        <v>54318.05</v>
      </c>
      <c r="MD12" s="3">
        <v>54670.14</v>
      </c>
      <c r="ME12" s="3">
        <v>55023.8</v>
      </c>
      <c r="MF12" s="3">
        <v>55379.11</v>
      </c>
      <c r="MG12" s="3">
        <v>55736.05</v>
      </c>
      <c r="MH12" s="3">
        <v>56094.69</v>
      </c>
      <c r="MI12" s="3">
        <v>56455.09</v>
      </c>
      <c r="MJ12" s="3">
        <v>56817.26</v>
      </c>
      <c r="MK12" s="3">
        <v>57181.24</v>
      </c>
      <c r="ML12" s="3">
        <v>57547.06</v>
      </c>
      <c r="MM12" s="3">
        <v>57914.71</v>
      </c>
      <c r="MN12" s="3">
        <v>58284.23</v>
      </c>
      <c r="MO12" s="3">
        <v>58655.63</v>
      </c>
      <c r="MP12" s="3">
        <v>59028.93</v>
      </c>
      <c r="MQ12" s="3">
        <v>59404.21</v>
      </c>
      <c r="MR12" s="3">
        <v>59781.5</v>
      </c>
      <c r="MS12" s="3">
        <v>60160.81</v>
      </c>
      <c r="MT12" s="3">
        <v>60542.18</v>
      </c>
      <c r="MU12" t="s">
        <v>375</v>
      </c>
      <c r="MV12" t="s">
        <v>918</v>
      </c>
      <c r="MW12" t="s">
        <v>376</v>
      </c>
      <c r="MX12" t="s">
        <v>376</v>
      </c>
      <c r="MY12" t="s">
        <v>914</v>
      </c>
      <c r="MZ12" t="s">
        <v>915</v>
      </c>
      <c r="NA12" t="s">
        <v>916</v>
      </c>
      <c r="NB12" t="s">
        <v>377</v>
      </c>
      <c r="NC12" t="s">
        <v>378</v>
      </c>
      <c r="ND12" t="s">
        <v>379</v>
      </c>
      <c r="NE12" t="s">
        <v>380</v>
      </c>
      <c r="NF12" t="s">
        <v>902</v>
      </c>
    </row>
    <row r="13" spans="1:370" x14ac:dyDescent="0.35">
      <c r="A13" t="s">
        <v>370</v>
      </c>
      <c r="B13" t="s">
        <v>386</v>
      </c>
      <c r="C13" s="1" t="s">
        <v>912</v>
      </c>
      <c r="D13" t="s">
        <v>372</v>
      </c>
      <c r="E13" t="s">
        <v>373</v>
      </c>
      <c r="F13" t="s">
        <v>374</v>
      </c>
      <c r="G13" s="2">
        <v>1E-3</v>
      </c>
      <c r="H13" s="2">
        <v>1E-3</v>
      </c>
      <c r="I13" s="2">
        <v>1E-3</v>
      </c>
      <c r="J13" s="2">
        <v>1E-3</v>
      </c>
      <c r="K13" s="2">
        <v>1E-3</v>
      </c>
      <c r="L13" s="2">
        <v>1E-3</v>
      </c>
      <c r="M13" s="2">
        <v>1E-3</v>
      </c>
      <c r="N13" s="2">
        <v>1E-3</v>
      </c>
      <c r="O13" s="2">
        <v>1E-3</v>
      </c>
      <c r="P13" s="2">
        <v>1E-3</v>
      </c>
      <c r="Q13" s="2">
        <v>1E-3</v>
      </c>
      <c r="R13" s="2">
        <v>1E-3</v>
      </c>
      <c r="S13" s="2">
        <v>1E-3</v>
      </c>
      <c r="T13" s="2">
        <v>1E-3</v>
      </c>
      <c r="U13" s="2">
        <v>1E-3</v>
      </c>
      <c r="V13" s="2">
        <v>1E-3</v>
      </c>
      <c r="W13" s="2">
        <v>1E-3</v>
      </c>
      <c r="X13" s="2">
        <v>1E-3</v>
      </c>
      <c r="Y13" s="2">
        <v>1E-3</v>
      </c>
      <c r="Z13" s="2">
        <v>1E-3</v>
      </c>
      <c r="AA13" s="2">
        <v>1E-3</v>
      </c>
      <c r="AB13" s="2">
        <v>1E-3</v>
      </c>
      <c r="AC13" s="2">
        <v>1E-3</v>
      </c>
      <c r="AD13" s="2">
        <v>1E-3</v>
      </c>
      <c r="AE13" s="2">
        <v>1E-3</v>
      </c>
      <c r="AF13" s="2">
        <v>1E-3</v>
      </c>
      <c r="AG13" s="2">
        <v>1E-3</v>
      </c>
      <c r="AH13" s="2">
        <v>1E-3</v>
      </c>
      <c r="AI13" s="2">
        <v>1E-3</v>
      </c>
      <c r="AJ13" s="2">
        <v>1E-3</v>
      </c>
      <c r="AK13" s="2">
        <v>1E-3</v>
      </c>
      <c r="AL13" s="2">
        <v>1E-3</v>
      </c>
      <c r="AM13" s="2">
        <v>1E-3</v>
      </c>
      <c r="AN13" s="2">
        <v>1E-3</v>
      </c>
      <c r="AO13" s="2">
        <v>1E-3</v>
      </c>
      <c r="AP13" s="2">
        <v>1E-3</v>
      </c>
      <c r="AQ13" s="2">
        <v>1E-3</v>
      </c>
      <c r="AR13" s="2">
        <v>1E-3</v>
      </c>
      <c r="AS13" s="2">
        <v>1E-3</v>
      </c>
      <c r="AT13" s="2">
        <v>1E-3</v>
      </c>
      <c r="AU13" s="2">
        <v>1E-3</v>
      </c>
      <c r="AV13" s="2">
        <v>1E-3</v>
      </c>
      <c r="AW13" s="2">
        <v>1E-3</v>
      </c>
      <c r="AX13" s="2">
        <v>1E-3</v>
      </c>
      <c r="AY13" s="2">
        <v>1E-3</v>
      </c>
      <c r="AZ13" s="2">
        <v>1E-3</v>
      </c>
      <c r="BA13" s="2">
        <v>1E-3</v>
      </c>
      <c r="BB13" s="2">
        <v>1E-3</v>
      </c>
      <c r="BC13" s="2">
        <v>1E-3</v>
      </c>
      <c r="BD13" s="2">
        <v>1E-3</v>
      </c>
      <c r="BE13" s="2">
        <v>1E-3</v>
      </c>
      <c r="BF13" s="2">
        <v>1E-3</v>
      </c>
      <c r="BG13" s="2">
        <v>1E-3</v>
      </c>
      <c r="BH13" s="2">
        <v>1E-3</v>
      </c>
      <c r="BI13" s="2">
        <v>1E-3</v>
      </c>
      <c r="BJ13" s="2">
        <v>1E-3</v>
      </c>
      <c r="BK13" s="2">
        <v>5926</v>
      </c>
      <c r="BL13" s="2">
        <v>6196</v>
      </c>
      <c r="BM13" s="2">
        <v>6307</v>
      </c>
      <c r="BN13" s="2">
        <v>5845</v>
      </c>
      <c r="BO13" s="2">
        <v>6039</v>
      </c>
      <c r="BP13" s="2">
        <v>6114</v>
      </c>
      <c r="BQ13" s="2">
        <v>6260</v>
      </c>
      <c r="BR13" s="2">
        <v>7228</v>
      </c>
      <c r="BS13" s="2">
        <v>7786</v>
      </c>
      <c r="BT13" s="2">
        <v>8510</v>
      </c>
      <c r="BU13" s="2">
        <v>8743</v>
      </c>
      <c r="BV13" s="2">
        <v>9453</v>
      </c>
      <c r="BW13" s="2">
        <v>9831</v>
      </c>
      <c r="BX13" s="2">
        <v>10412</v>
      </c>
      <c r="BY13" s="2">
        <v>11123</v>
      </c>
      <c r="BZ13" s="2">
        <v>10844</v>
      </c>
      <c r="CA13" s="2">
        <v>11404</v>
      </c>
      <c r="CB13" s="2">
        <v>9829</v>
      </c>
      <c r="CC13" s="2">
        <v>9917</v>
      </c>
      <c r="CD13" s="2">
        <v>8876</v>
      </c>
      <c r="CE13" s="2">
        <v>11087</v>
      </c>
      <c r="CF13" s="2">
        <v>8884</v>
      </c>
      <c r="CG13" s="2">
        <v>8875</v>
      </c>
      <c r="CH13" s="2">
        <v>8006</v>
      </c>
      <c r="CI13" s="2">
        <v>7122</v>
      </c>
      <c r="CJ13" s="2">
        <v>7185</v>
      </c>
      <c r="CK13" s="2">
        <v>7013</v>
      </c>
      <c r="CL13" s="2">
        <v>7142</v>
      </c>
      <c r="CM13" s="2">
        <v>6591</v>
      </c>
      <c r="CN13" s="2">
        <v>6903</v>
      </c>
      <c r="CO13" s="2">
        <v>6484</v>
      </c>
      <c r="CP13" s="2">
        <v>6909</v>
      </c>
      <c r="CQ13" s="2">
        <v>7697</v>
      </c>
      <c r="CR13" s="2">
        <v>7947</v>
      </c>
      <c r="CS13" s="2">
        <v>7881</v>
      </c>
      <c r="CT13" s="2">
        <v>8013</v>
      </c>
      <c r="CU13" s="2">
        <v>7475</v>
      </c>
      <c r="CV13" s="2">
        <v>7528</v>
      </c>
      <c r="CW13" s="2">
        <v>7628</v>
      </c>
      <c r="CX13" s="2">
        <v>7430</v>
      </c>
      <c r="CY13" s="2">
        <v>7767</v>
      </c>
      <c r="CZ13" s="2">
        <v>7714</v>
      </c>
      <c r="DA13" s="2">
        <v>8698</v>
      </c>
      <c r="DB13" s="2">
        <v>8809</v>
      </c>
      <c r="DC13" s="2">
        <v>8925</v>
      </c>
      <c r="DD13" s="2">
        <v>9229</v>
      </c>
      <c r="DE13" s="2">
        <v>9454</v>
      </c>
      <c r="DF13" s="2">
        <v>9424</v>
      </c>
      <c r="DG13" s="2">
        <v>8791</v>
      </c>
      <c r="DH13" s="2">
        <v>8031</v>
      </c>
      <c r="DI13" s="2">
        <v>6551</v>
      </c>
      <c r="DJ13" s="2">
        <v>7589</v>
      </c>
      <c r="DK13" s="2">
        <v>9542</v>
      </c>
      <c r="DL13" s="2">
        <v>9769</v>
      </c>
      <c r="DM13" s="2">
        <v>9767</v>
      </c>
      <c r="DN13" s="2">
        <v>8506</v>
      </c>
      <c r="DO13" s="2">
        <v>9853</v>
      </c>
      <c r="DP13" s="2">
        <v>8460</v>
      </c>
      <c r="DQ13" s="2">
        <v>7999</v>
      </c>
      <c r="DR13" s="2">
        <v>5951</v>
      </c>
      <c r="DS13" s="2">
        <v>6368</v>
      </c>
      <c r="DT13" s="2">
        <v>6728</v>
      </c>
      <c r="DU13" s="2">
        <v>6958</v>
      </c>
      <c r="DV13" s="2">
        <v>7066</v>
      </c>
      <c r="DW13" s="2">
        <v>7173</v>
      </c>
      <c r="DX13" s="2">
        <v>7238</v>
      </c>
      <c r="DY13" s="2">
        <v>6830</v>
      </c>
      <c r="DZ13" s="2">
        <v>7495</v>
      </c>
      <c r="EA13" s="2">
        <v>7981</v>
      </c>
      <c r="EB13" s="2">
        <v>9099</v>
      </c>
      <c r="EC13" s="2">
        <v>10669</v>
      </c>
      <c r="ED13" s="2">
        <v>10997</v>
      </c>
      <c r="EE13" s="2">
        <v>10247</v>
      </c>
      <c r="EF13" s="2">
        <v>10832</v>
      </c>
      <c r="EG13" s="2">
        <v>11362</v>
      </c>
      <c r="EH13" s="2">
        <v>10825</v>
      </c>
      <c r="EI13" s="2">
        <v>10976</v>
      </c>
      <c r="EJ13" s="2">
        <v>11066</v>
      </c>
      <c r="EK13" s="2">
        <v>12476</v>
      </c>
      <c r="EL13" s="2">
        <v>13093</v>
      </c>
      <c r="EM13" s="2">
        <v>13123</v>
      </c>
      <c r="EN13" s="2">
        <v>14129</v>
      </c>
      <c r="EO13" s="2">
        <v>15543</v>
      </c>
      <c r="EP13" s="2">
        <v>15224</v>
      </c>
      <c r="EQ13" s="2">
        <v>16801</v>
      </c>
      <c r="ER13" s="2">
        <v>16627</v>
      </c>
      <c r="ES13" s="2">
        <v>17039</v>
      </c>
      <c r="ET13" s="2">
        <v>15730</v>
      </c>
      <c r="EU13" s="2">
        <v>7511</v>
      </c>
      <c r="EV13" s="2">
        <v>5841</v>
      </c>
      <c r="EW13" s="2">
        <v>4964</v>
      </c>
      <c r="EX13" s="2">
        <v>4672</v>
      </c>
      <c r="EY13" s="2">
        <v>4045</v>
      </c>
      <c r="EZ13" s="2">
        <v>4513</v>
      </c>
      <c r="FA13" s="2">
        <v>4650</v>
      </c>
      <c r="FB13" s="2">
        <v>5102</v>
      </c>
      <c r="FC13" s="2">
        <v>5206</v>
      </c>
      <c r="FD13" s="2">
        <v>5058</v>
      </c>
      <c r="FE13" s="2">
        <v>5206</v>
      </c>
      <c r="FF13" s="2">
        <v>5766</v>
      </c>
      <c r="FG13" s="2">
        <v>6130</v>
      </c>
      <c r="FH13" s="2">
        <v>5911</v>
      </c>
      <c r="FI13" s="2">
        <v>5193</v>
      </c>
      <c r="FJ13" s="2">
        <v>5109</v>
      </c>
      <c r="FK13" s="2">
        <v>5297</v>
      </c>
      <c r="FL13" s="2">
        <v>5009</v>
      </c>
      <c r="FM13" s="2">
        <v>4742</v>
      </c>
      <c r="FN13" s="2">
        <v>4218</v>
      </c>
      <c r="FO13" s="2">
        <v>5189</v>
      </c>
      <c r="FP13" s="2">
        <v>6230</v>
      </c>
      <c r="FQ13" s="2">
        <v>6517</v>
      </c>
      <c r="FR13" s="2">
        <v>6482</v>
      </c>
      <c r="FS13" s="2">
        <v>5981</v>
      </c>
      <c r="FT13" s="2">
        <v>6387</v>
      </c>
      <c r="FU13" s="2">
        <v>6447</v>
      </c>
      <c r="FV13" s="2">
        <v>6497</v>
      </c>
      <c r="FW13" s="2">
        <v>5946</v>
      </c>
      <c r="FX13" s="2">
        <v>6466</v>
      </c>
      <c r="FY13" s="2">
        <v>6425</v>
      </c>
      <c r="FZ13" s="2">
        <v>6084</v>
      </c>
      <c r="GA13" s="2">
        <v>5216</v>
      </c>
      <c r="GB13" s="2">
        <v>5035</v>
      </c>
      <c r="GC13" s="2">
        <v>4684</v>
      </c>
      <c r="GD13" s="2">
        <v>5040</v>
      </c>
      <c r="GE13" s="2">
        <v>5847</v>
      </c>
      <c r="GF13" s="2">
        <v>6250</v>
      </c>
      <c r="GG13" s="2">
        <v>6775</v>
      </c>
      <c r="GH13" s="2">
        <v>7302</v>
      </c>
      <c r="GI13" s="2">
        <v>6574</v>
      </c>
      <c r="GJ13" s="2">
        <v>5831</v>
      </c>
      <c r="GK13" s="2">
        <v>5646</v>
      </c>
      <c r="GL13" s="2">
        <v>5633</v>
      </c>
      <c r="GM13" s="2">
        <v>4869</v>
      </c>
      <c r="GN13" s="2">
        <v>3575</v>
      </c>
      <c r="GO13" s="2">
        <v>4023</v>
      </c>
      <c r="GP13" s="2">
        <v>4009</v>
      </c>
      <c r="GQ13" s="2">
        <v>4677</v>
      </c>
      <c r="GR13" s="2">
        <v>4935</v>
      </c>
      <c r="GS13" s="2">
        <v>4922</v>
      </c>
      <c r="GT13" s="2">
        <v>5654</v>
      </c>
      <c r="GU13" s="2">
        <v>7415</v>
      </c>
      <c r="GV13" s="2">
        <v>9289</v>
      </c>
      <c r="GW13" s="2">
        <v>11477</v>
      </c>
      <c r="GX13" s="2">
        <v>16492</v>
      </c>
      <c r="GY13" s="2">
        <v>20417</v>
      </c>
      <c r="GZ13" s="2">
        <v>20973</v>
      </c>
      <c r="HA13" s="2">
        <v>22844</v>
      </c>
      <c r="HB13" s="2">
        <v>24288</v>
      </c>
      <c r="HC13" s="2">
        <v>25311</v>
      </c>
      <c r="HD13" s="2">
        <v>24573</v>
      </c>
      <c r="HE13" s="2">
        <v>25041</v>
      </c>
      <c r="HF13" s="2">
        <v>25708</v>
      </c>
      <c r="HG13" s="2">
        <v>24824</v>
      </c>
      <c r="HH13" s="3">
        <v>24704.57</v>
      </c>
      <c r="HI13" s="3">
        <v>24355.7</v>
      </c>
      <c r="HJ13" s="3">
        <v>23772.61</v>
      </c>
      <c r="HK13" s="3">
        <v>23162.880000000001</v>
      </c>
      <c r="HL13" s="3">
        <v>22623.82</v>
      </c>
      <c r="HM13" s="3">
        <v>22263.19</v>
      </c>
      <c r="HN13" s="3">
        <v>21810.959999999999</v>
      </c>
      <c r="HO13" s="3">
        <v>21457.200000000001</v>
      </c>
      <c r="HP13" s="3">
        <v>20994.16</v>
      </c>
      <c r="HQ13" s="3">
        <v>20623.57</v>
      </c>
      <c r="HR13" s="3">
        <v>20203.55</v>
      </c>
      <c r="HS13" s="3">
        <v>19865.61</v>
      </c>
      <c r="HT13" s="3">
        <v>19645.34</v>
      </c>
      <c r="HU13" s="3">
        <v>19538.12</v>
      </c>
      <c r="HV13" s="3">
        <v>19438.04</v>
      </c>
      <c r="HW13" s="3">
        <v>19345.099999999999</v>
      </c>
      <c r="HX13" s="3">
        <v>19258</v>
      </c>
      <c r="HY13" s="3">
        <v>19176.189999999999</v>
      </c>
      <c r="HZ13" s="3">
        <v>19101.96</v>
      </c>
      <c r="IA13" s="3">
        <v>19036.16</v>
      </c>
      <c r="IB13" s="3">
        <v>18980.64</v>
      </c>
      <c r="IC13" s="3">
        <v>18933.759999999998</v>
      </c>
      <c r="ID13" s="3">
        <v>18895.18</v>
      </c>
      <c r="IE13" s="3">
        <v>19129.580000000002</v>
      </c>
      <c r="IF13" s="3">
        <v>19368.68</v>
      </c>
      <c r="IG13" s="3">
        <v>19608.5</v>
      </c>
      <c r="IH13" s="3">
        <v>19850.13</v>
      </c>
      <c r="II13" s="3">
        <v>20093.39</v>
      </c>
      <c r="IJ13" s="3">
        <v>20336.32</v>
      </c>
      <c r="IK13" s="3">
        <v>20575.09</v>
      </c>
      <c r="IL13" s="3">
        <v>20809.52</v>
      </c>
      <c r="IM13" s="3">
        <v>21040.26</v>
      </c>
      <c r="IN13" s="3">
        <v>21268.7</v>
      </c>
      <c r="IO13" s="3">
        <v>21492.47</v>
      </c>
      <c r="IP13" s="3">
        <v>21711.13</v>
      </c>
      <c r="IQ13" s="3">
        <v>21926.02</v>
      </c>
      <c r="IR13" s="3">
        <v>22139.279999999999</v>
      </c>
      <c r="IS13" s="3">
        <v>22348.41</v>
      </c>
      <c r="IT13" s="3">
        <v>22553.45</v>
      </c>
      <c r="IU13" s="3">
        <v>22754.95</v>
      </c>
      <c r="IV13" s="3">
        <v>22955.42</v>
      </c>
      <c r="IW13" s="3">
        <v>23152.66</v>
      </c>
      <c r="IX13" s="3">
        <v>23346.38</v>
      </c>
      <c r="IY13" s="3">
        <v>23537.51</v>
      </c>
      <c r="IZ13" s="3">
        <v>23727.27</v>
      </c>
      <c r="JA13" s="3">
        <v>23915.98</v>
      </c>
      <c r="JB13" s="3">
        <v>24103.74</v>
      </c>
      <c r="JC13" s="3">
        <v>24290.560000000001</v>
      </c>
      <c r="JD13" s="3">
        <v>24476.48</v>
      </c>
      <c r="JE13" s="3">
        <v>24661.57</v>
      </c>
      <c r="JF13" s="3">
        <v>24845.86</v>
      </c>
      <c r="JG13" s="3">
        <v>25028.76</v>
      </c>
      <c r="JH13" s="3">
        <v>25210.35</v>
      </c>
      <c r="JI13" s="3">
        <v>25390.73</v>
      </c>
      <c r="JJ13" s="3">
        <v>25569.98</v>
      </c>
      <c r="JK13" s="3">
        <v>25748.14</v>
      </c>
      <c r="JL13" s="3">
        <v>25925.25</v>
      </c>
      <c r="JM13" s="3">
        <v>26101.4</v>
      </c>
      <c r="JN13" s="3">
        <v>26276.639999999999</v>
      </c>
      <c r="JO13" s="3">
        <v>26451.03</v>
      </c>
      <c r="JP13" s="3">
        <v>26624.560000000001</v>
      </c>
      <c r="JQ13" s="3">
        <v>26797.33</v>
      </c>
      <c r="JR13" s="3">
        <v>26969.360000000001</v>
      </c>
      <c r="JS13" s="3">
        <v>27140.63</v>
      </c>
      <c r="JT13" s="3">
        <v>27311.68</v>
      </c>
      <c r="JU13" s="3">
        <v>27482.34</v>
      </c>
      <c r="JV13" s="3">
        <v>27652.32</v>
      </c>
      <c r="JW13" s="3">
        <v>27821.61</v>
      </c>
      <c r="JX13" s="3">
        <v>27990.23</v>
      </c>
      <c r="JY13" s="3">
        <v>28158.2</v>
      </c>
      <c r="JZ13" s="3">
        <v>28325.15</v>
      </c>
      <c r="KA13" s="3">
        <v>28491.38</v>
      </c>
      <c r="KB13" s="3">
        <v>28657.040000000001</v>
      </c>
      <c r="KC13" s="3">
        <v>28822.22</v>
      </c>
      <c r="KD13" s="3">
        <v>28986.36</v>
      </c>
      <c r="KE13" s="3">
        <v>29149.85</v>
      </c>
      <c r="KF13" s="3">
        <v>29312.82</v>
      </c>
      <c r="KG13" s="3">
        <v>29475.360000000001</v>
      </c>
      <c r="KH13" s="3">
        <v>29636.52</v>
      </c>
      <c r="KI13" s="3">
        <v>29800.23</v>
      </c>
      <c r="KJ13" s="3">
        <v>29967.91</v>
      </c>
      <c r="KK13" s="3">
        <v>30140.02</v>
      </c>
      <c r="KL13" s="3">
        <v>30316.17</v>
      </c>
      <c r="KM13" s="3">
        <v>30493.84</v>
      </c>
      <c r="KN13" s="3">
        <v>30671.98</v>
      </c>
      <c r="KO13" s="3">
        <v>30850.240000000002</v>
      </c>
      <c r="KP13" s="3">
        <v>31028.5</v>
      </c>
      <c r="KQ13" s="3">
        <v>31207.5</v>
      </c>
      <c r="KR13" s="3">
        <v>31387.31</v>
      </c>
      <c r="KS13" s="3">
        <v>31568</v>
      </c>
      <c r="KT13" s="3">
        <v>31749.22</v>
      </c>
      <c r="KU13" s="3">
        <v>31931.65</v>
      </c>
      <c r="KV13" s="3">
        <v>32115.33</v>
      </c>
      <c r="KW13" s="3">
        <v>32300.25</v>
      </c>
      <c r="KX13" s="3">
        <v>32486.21</v>
      </c>
      <c r="KY13" s="3">
        <v>32673.32</v>
      </c>
      <c r="KZ13" s="3">
        <v>32861.589999999997</v>
      </c>
      <c r="LA13" s="3">
        <v>33050.980000000003</v>
      </c>
      <c r="LB13" s="3">
        <v>33240.94</v>
      </c>
      <c r="LC13" s="3">
        <v>33431.980000000003</v>
      </c>
      <c r="LD13" s="3">
        <v>33624.43</v>
      </c>
      <c r="LE13" s="3">
        <v>33818.160000000003</v>
      </c>
      <c r="LF13" s="3">
        <v>34012.959999999999</v>
      </c>
      <c r="LG13" s="3">
        <v>34208.93</v>
      </c>
      <c r="LH13" s="3">
        <v>34406.089999999997</v>
      </c>
      <c r="LI13" s="3">
        <v>34604.46</v>
      </c>
      <c r="LJ13" s="3">
        <v>34803.71</v>
      </c>
      <c r="LK13" s="3">
        <v>35003.660000000003</v>
      </c>
      <c r="LL13" s="3">
        <v>35204.230000000003</v>
      </c>
      <c r="LM13" s="3">
        <v>35405.360000000001</v>
      </c>
      <c r="LN13" s="3">
        <v>35606.81</v>
      </c>
      <c r="LO13" s="3">
        <v>35808.89</v>
      </c>
      <c r="LP13" s="3">
        <v>36011.69</v>
      </c>
      <c r="LQ13" s="3">
        <v>36215.279999999999</v>
      </c>
      <c r="LR13" s="3">
        <v>36419.660000000003</v>
      </c>
      <c r="LS13" s="3">
        <v>36624.82</v>
      </c>
      <c r="LT13" s="3">
        <v>36830.730000000003</v>
      </c>
      <c r="LU13" s="3">
        <v>37037.46</v>
      </c>
      <c r="LV13" s="3">
        <v>37244.85</v>
      </c>
      <c r="LW13" s="3">
        <v>37453.07</v>
      </c>
      <c r="LX13" s="3">
        <v>37662.199999999997</v>
      </c>
      <c r="LY13" s="3">
        <v>37872.17</v>
      </c>
      <c r="LZ13" s="3">
        <v>38082.959999999999</v>
      </c>
      <c r="MA13" s="3">
        <v>38294.730000000003</v>
      </c>
      <c r="MB13" s="3">
        <v>38507.49</v>
      </c>
      <c r="MC13" s="3">
        <v>38721.339999999997</v>
      </c>
      <c r="MD13" s="3">
        <v>38936.21</v>
      </c>
      <c r="ME13" s="3">
        <v>39152.04</v>
      </c>
      <c r="MF13" s="3">
        <v>39368.870000000003</v>
      </c>
      <c r="MG13" s="3">
        <v>39586.660000000003</v>
      </c>
      <c r="MH13" s="3">
        <v>39805.49</v>
      </c>
      <c r="MI13" s="3">
        <v>40025.300000000003</v>
      </c>
      <c r="MJ13" s="3">
        <v>40246.050000000003</v>
      </c>
      <c r="MK13" s="3">
        <v>40467.67</v>
      </c>
      <c r="ML13" s="3">
        <v>40690.18</v>
      </c>
      <c r="MM13" s="3">
        <v>40913.65</v>
      </c>
      <c r="MN13" s="3">
        <v>41138.18</v>
      </c>
      <c r="MO13" s="3">
        <v>41363.769999999997</v>
      </c>
      <c r="MP13" s="3">
        <v>41590.51</v>
      </c>
      <c r="MQ13" s="3">
        <v>41818.28</v>
      </c>
      <c r="MR13" s="3">
        <v>42047.040000000001</v>
      </c>
      <c r="MS13" s="3">
        <v>42276.73</v>
      </c>
      <c r="MT13" s="3">
        <v>42507.45</v>
      </c>
      <c r="MU13" s="1" t="s">
        <v>382</v>
      </c>
      <c r="MV13" t="s">
        <v>918</v>
      </c>
      <c r="MW13" t="s">
        <v>376</v>
      </c>
      <c r="MX13" t="s">
        <v>376</v>
      </c>
      <c r="MY13" t="s">
        <v>914</v>
      </c>
      <c r="MZ13" t="s">
        <v>915</v>
      </c>
      <c r="NA13" t="s">
        <v>916</v>
      </c>
      <c r="NB13" t="s">
        <v>387</v>
      </c>
      <c r="NC13" t="s">
        <v>388</v>
      </c>
      <c r="ND13" t="s">
        <v>379</v>
      </c>
      <c r="NE13" t="s">
        <v>389</v>
      </c>
      <c r="NF13" t="s">
        <v>902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&gt;&gt; CHARTS</vt:lpstr>
      <vt:lpstr>&gt;&gt; DATA</vt:lpstr>
      <vt:lpstr>Chart Data</vt:lpstr>
      <vt:lpstr>HAVERM</vt:lpstr>
      <vt:lpstr>Data</vt:lpstr>
      <vt:lpstr>GMW</vt:lpstr>
      <vt:lpstr>Quoted mortgage rates</vt:lpstr>
      <vt:lpstr>Change in fixed mort rate</vt:lpstr>
      <vt:lpstr>Change in mort rate inc SVR</vt:lpstr>
      <vt:lpstr>Interest rates change</vt:lpstr>
      <vt:lpstr>Int rates - mort &amp; corp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2025-05-12T13:14:59Z</dcterms:created>
  <dcterms:modified xsi:type="dcterms:W3CDTF">2025-07-10T21:56:09Z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2025-05-12T13:18:03Z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cde8d453-b7e4-4299-969b-8aec9b69bfb6</vt:lpwstr>
  </property>
  <property fmtid="{D5CDD505-2E9C-101B-9397-08002B2CF9AE}" pid="8" name="MSIP_Label_3b83b38b-8e91-4f17-8371-95d3d41e26c0_ContentBits">
    <vt:lpwstr>0</vt:lpwstr>
  </property>
</Properties>
</file>