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Z:\UK Team\UK Weekly\"/>
    </mc:Choice>
  </mc:AlternateContent>
  <xr:revisionPtr revIDLastSave="0" documentId="13_ncr:1_{251CEB99-E1DB-44D7-8D91-D5494599128C}" xr6:coauthVersionLast="47" xr6:coauthVersionMax="47" xr10:uidLastSave="{00000000-0000-0000-0000-000000000000}"/>
  <bookViews>
    <workbookView xWindow="-120" yWindow="-120" windowWidth="29040" windowHeight="15840" activeTab="1" xr2:uid="{36F22EF9-CDF1-4819-9484-679301A03A48}"/>
  </bookViews>
  <sheets>
    <sheet name="Chart1" sheetId="8" r:id="rId1"/>
    <sheet name="Chart2" sheetId="4" r:id="rId2"/>
    <sheet name="Chart Data" sheetId="3" r:id="rId3"/>
    <sheet name="HAVERM" sheetId="1" r:id="rId4"/>
    <sheet name="27. Median of pay growth (UK)" sheetId="2" r:id="rId5"/>
    <sheet name="Feb24 MPR - Chart 2.16" sheetId="6" r:id="rId6"/>
    <sheet name="May24 MPR Chart 3.10" sheetId="7" r:id="rId7"/>
  </sheets>
  <definedNames>
    <definedName name="_DLX1.INC">HAVERM!$A$1:$M$6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3" l="1"/>
  <c r="D32" i="3"/>
  <c r="D29" i="3"/>
  <c r="C35" i="3"/>
  <c r="C32" i="3"/>
  <c r="C29" i="3"/>
  <c r="B4" i="3"/>
  <c r="B5" i="3"/>
  <c r="B6" i="3"/>
  <c r="B7" i="3"/>
  <c r="B8" i="3"/>
  <c r="B9" i="3"/>
  <c r="B10" i="3"/>
  <c r="B11" i="3"/>
  <c r="B12" i="3"/>
  <c r="B13" i="3"/>
  <c r="B14" i="3"/>
  <c r="B15" i="3"/>
  <c r="B16" i="3"/>
  <c r="B17" i="3"/>
  <c r="B18" i="3"/>
  <c r="B19" i="3"/>
  <c r="B20" i="3"/>
  <c r="B21" i="3"/>
  <c r="B22" i="3"/>
  <c r="B23" i="3"/>
  <c r="B24" i="3"/>
  <c r="B25" i="3"/>
  <c r="B26" i="3"/>
  <c r="B27" i="3"/>
  <c r="B28" i="3"/>
  <c r="B29" i="3"/>
  <c r="B3" i="3"/>
  <c r="I8" i="3" l="1"/>
  <c r="I4" i="3"/>
  <c r="I5" i="3"/>
  <c r="I6" i="3"/>
  <c r="I7" i="3"/>
  <c r="I3"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9" i="3"/>
  <c r="G4" i="3"/>
  <c r="H4" i="3"/>
  <c r="G5" i="3"/>
  <c r="H5" i="3"/>
  <c r="G6" i="3"/>
  <c r="H6" i="3"/>
  <c r="G7" i="3"/>
  <c r="H7" i="3"/>
  <c r="G8" i="3"/>
  <c r="H8" i="3"/>
  <c r="G9" i="3"/>
  <c r="H9" i="3"/>
  <c r="G10" i="3"/>
  <c r="H10" i="3"/>
  <c r="G11" i="3"/>
  <c r="H11" i="3"/>
  <c r="G12" i="3"/>
  <c r="H12" i="3"/>
  <c r="G13" i="3"/>
  <c r="H13" i="3"/>
  <c r="G14" i="3"/>
  <c r="H14" i="3"/>
  <c r="G15" i="3"/>
  <c r="H15" i="3"/>
  <c r="G16" i="3"/>
  <c r="H16" i="3"/>
  <c r="G17" i="3"/>
  <c r="H17" i="3"/>
  <c r="G18" i="3"/>
  <c r="H18" i="3"/>
  <c r="G19" i="3"/>
  <c r="H19" i="3"/>
  <c r="G20" i="3"/>
  <c r="H20" i="3"/>
  <c r="G21" i="3"/>
  <c r="H21" i="3"/>
  <c r="G22" i="3"/>
  <c r="H22" i="3"/>
  <c r="G23" i="3"/>
  <c r="H23" i="3"/>
  <c r="G24" i="3"/>
  <c r="H24" i="3"/>
  <c r="G25" i="3"/>
  <c r="H25" i="3"/>
  <c r="G26" i="3"/>
  <c r="H26" i="3"/>
  <c r="G27" i="3"/>
  <c r="H27" i="3"/>
  <c r="G28" i="3"/>
  <c r="H28" i="3"/>
  <c r="G29" i="3"/>
  <c r="H29" i="3"/>
  <c r="G30" i="3"/>
  <c r="H30" i="3"/>
  <c r="G31" i="3"/>
  <c r="H31" i="3"/>
  <c r="G32" i="3"/>
  <c r="H32" i="3"/>
  <c r="G33" i="3"/>
  <c r="H33" i="3"/>
  <c r="G34" i="3"/>
  <c r="H34" i="3"/>
  <c r="G35" i="3"/>
  <c r="H35" i="3"/>
  <c r="G36" i="3"/>
  <c r="H36" i="3"/>
  <c r="G37" i="3"/>
  <c r="H37" i="3"/>
  <c r="G38" i="3"/>
  <c r="H38" i="3"/>
  <c r="G39" i="3"/>
  <c r="H39" i="3"/>
  <c r="G40" i="3"/>
  <c r="H40" i="3"/>
  <c r="G41" i="3"/>
  <c r="H41" i="3"/>
  <c r="G42" i="3"/>
  <c r="H42" i="3"/>
  <c r="G43" i="3"/>
  <c r="H43" i="3"/>
  <c r="G44" i="3"/>
  <c r="H44" i="3"/>
  <c r="G45" i="3"/>
  <c r="H45" i="3"/>
  <c r="G46" i="3"/>
  <c r="H46" i="3"/>
  <c r="G47" i="3"/>
  <c r="H47" i="3"/>
  <c r="G48" i="3"/>
  <c r="H48" i="3"/>
  <c r="G49" i="3"/>
  <c r="H49" i="3"/>
  <c r="G50" i="3"/>
  <c r="H50" i="3"/>
  <c r="G51" i="3"/>
  <c r="H51" i="3"/>
  <c r="G52" i="3"/>
  <c r="H52" i="3"/>
  <c r="G53" i="3"/>
  <c r="H53" i="3"/>
  <c r="G54" i="3"/>
  <c r="H54" i="3"/>
  <c r="G55" i="3"/>
  <c r="H55" i="3"/>
  <c r="G56" i="3"/>
  <c r="H56" i="3"/>
  <c r="G57" i="3"/>
  <c r="H57" i="3"/>
  <c r="G58" i="3"/>
  <c r="H58" i="3"/>
  <c r="G59" i="3"/>
  <c r="H59" i="3"/>
  <c r="G60" i="3"/>
  <c r="H60" i="3"/>
  <c r="G61" i="3"/>
  <c r="H61" i="3"/>
  <c r="G62" i="3"/>
  <c r="H62" i="3"/>
  <c r="G63" i="3"/>
  <c r="H63" i="3"/>
  <c r="G64" i="3"/>
  <c r="H64" i="3"/>
  <c r="G65" i="3"/>
  <c r="H65" i="3"/>
  <c r="G66" i="3"/>
  <c r="H66" i="3"/>
  <c r="G67" i="3"/>
  <c r="H67" i="3"/>
  <c r="G68" i="3"/>
  <c r="H68" i="3"/>
  <c r="G69" i="3"/>
  <c r="H69" i="3"/>
  <c r="G70" i="3"/>
  <c r="H70" i="3"/>
  <c r="G71" i="3"/>
  <c r="H71" i="3"/>
  <c r="G72" i="3"/>
  <c r="H72" i="3"/>
  <c r="G73" i="3"/>
  <c r="H73" i="3"/>
  <c r="G74" i="3"/>
  <c r="H74" i="3"/>
  <c r="G75" i="3"/>
  <c r="H75" i="3"/>
  <c r="G76" i="3"/>
  <c r="H76" i="3"/>
  <c r="G77" i="3"/>
  <c r="H77" i="3"/>
  <c r="G78" i="3"/>
  <c r="H78" i="3"/>
  <c r="G79" i="3"/>
  <c r="H79" i="3"/>
  <c r="G80" i="3"/>
  <c r="H80" i="3"/>
  <c r="G81" i="3"/>
  <c r="H81" i="3"/>
  <c r="G82" i="3"/>
  <c r="H82" i="3"/>
  <c r="G83" i="3"/>
  <c r="H83" i="3"/>
  <c r="G84" i="3"/>
  <c r="H84" i="3"/>
  <c r="G85" i="3"/>
  <c r="H85" i="3"/>
  <c r="G86" i="3"/>
  <c r="H86" i="3"/>
  <c r="G87" i="3"/>
  <c r="H87" i="3"/>
  <c r="G88" i="3"/>
  <c r="H88" i="3"/>
  <c r="G89" i="3"/>
  <c r="H89" i="3"/>
  <c r="G90" i="3"/>
  <c r="H90" i="3"/>
  <c r="G91" i="3"/>
  <c r="H91" i="3"/>
  <c r="G92" i="3"/>
  <c r="H92" i="3"/>
  <c r="G93" i="3"/>
  <c r="H93" i="3"/>
  <c r="G94" i="3"/>
  <c r="H94" i="3"/>
  <c r="G95" i="3"/>
  <c r="H95" i="3"/>
  <c r="G96" i="3"/>
  <c r="H96" i="3"/>
  <c r="G97" i="3"/>
  <c r="H97" i="3"/>
  <c r="G98" i="3"/>
  <c r="H98" i="3"/>
  <c r="G99" i="3"/>
  <c r="H99" i="3"/>
  <c r="G100" i="3"/>
  <c r="H100" i="3"/>
  <c r="G101" i="3"/>
  <c r="H101" i="3"/>
  <c r="G102" i="3"/>
  <c r="H102" i="3"/>
  <c r="G103" i="3"/>
  <c r="H103" i="3"/>
  <c r="G104" i="3"/>
  <c r="H104" i="3"/>
  <c r="G105" i="3"/>
  <c r="H105" i="3"/>
  <c r="G106" i="3"/>
  <c r="H106" i="3"/>
  <c r="G107" i="3"/>
  <c r="H107" i="3"/>
  <c r="G108" i="3"/>
  <c r="H108" i="3"/>
  <c r="G109" i="3"/>
  <c r="H109" i="3"/>
  <c r="G110" i="3"/>
  <c r="H110" i="3"/>
  <c r="G111" i="3"/>
  <c r="H111" i="3"/>
  <c r="G112" i="3"/>
  <c r="H112" i="3"/>
  <c r="G113" i="3"/>
  <c r="H113" i="3"/>
  <c r="H114" i="3"/>
  <c r="H3" i="3"/>
  <c r="G3" i="3"/>
</calcChain>
</file>

<file path=xl/sharedStrings.xml><?xml version="1.0" encoding="utf-8"?>
<sst xmlns="http://schemas.openxmlformats.org/spreadsheetml/2006/main" count="421" uniqueCount="363">
  <si>
    <t>27. Median of pay growth from PAYE RTI</t>
  </si>
  <si>
    <t>UK, all industries, seasonally adjusted</t>
  </si>
  <si>
    <t>Units</t>
  </si>
  <si>
    <t>%</t>
  </si>
  <si>
    <t>Additional notes</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</si>
  <si>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</si>
  <si>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Date</t>
  </si>
  <si>
    <t>Median of pay growth</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</si>
  <si>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</si>
  <si>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</si>
  <si>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</si>
  <si>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</si>
  <si>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</si>
  <si>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</si>
  <si>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</si>
  <si>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</si>
  <si>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</si>
  <si>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</si>
  <si>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</si>
  <si>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</si>
  <si>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</si>
  <si>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</si>
  <si>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</si>
  <si>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</si>
  <si>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</si>
  <si>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</si>
  <si>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</si>
  <si>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</si>
  <si>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</si>
  <si>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</si>
  <si>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</si>
  <si>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</si>
  <si>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</si>
  <si>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</si>
  <si>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</si>
  <si>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</si>
  <si>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</si>
  <si>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</si>
  <si>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</si>
  <si>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</si>
  <si>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</si>
  <si>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</si>
  <si>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</si>
  <si>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</si>
  <si>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</si>
  <si>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</si>
  <si>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</si>
  <si>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</si>
  <si>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</si>
  <si>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</si>
  <si>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</si>
  <si>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</si>
  <si>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</si>
  <si>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</si>
  <si>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</si>
  <si>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</si>
  <si>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</si>
  <si>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</si>
  <si>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</si>
  <si>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</si>
  <si>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</si>
  <si>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</si>
  <si>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</si>
  <si>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</si>
  <si>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</si>
  <si>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</si>
  <si>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</si>
  <si>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</si>
  <si>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</si>
  <si>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</si>
  <si>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</si>
  <si>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</si>
  <si>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</si>
  <si>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</si>
  <si>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</si>
  <si>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</si>
  <si>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</si>
  <si>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</si>
  <si>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</si>
  <si>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</si>
  <si>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</si>
  <si>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</si>
  <si>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</si>
  <si>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</si>
  <si>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</si>
  <si>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</si>
  <si>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</si>
  <si>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</si>
  <si>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</si>
  <si>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</si>
  <si>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</si>
  <si>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</si>
  <si>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</si>
  <si>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</si>
  <si>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</si>
  <si>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</si>
  <si>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</si>
  <si>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</si>
  <si>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</si>
  <si>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</si>
  <si>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</si>
  <si>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</si>
  <si>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</si>
  <si>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</si>
  <si>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</si>
  <si>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</si>
  <si>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</si>
  <si>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</si>
  <si>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</si>
  <si>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</si>
  <si>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</si>
  <si>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</si>
  <si>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</si>
  <si>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</si>
  <si>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UKSEPPM@UK</t>
  </si>
  <si>
    <t>UKSEPPD@UK</t>
  </si>
  <si>
    <t>201001 !M</t>
  </si>
  <si>
    <t>201001</t>
  </si>
  <si>
    <t>.DTLM</t>
  </si>
  <si>
    <t>.LSOURCE</t>
  </si>
  <si>
    <t>.TN</t>
  </si>
  <si>
    <t>.T1</t>
  </si>
  <si>
    <t>.DESC</t>
  </si>
  <si>
    <t>May-14-2024 07:09</t>
  </si>
  <si>
    <t>Office for National Statistics</t>
  </si>
  <si>
    <t>Mar-2024</t>
  </si>
  <si>
    <t>Jul-2014</t>
  </si>
  <si>
    <t>UK: Mean Monthly Pay: Pay As You Earn Real Time Information [RTI] (SA, Mil.GBP)</t>
  </si>
  <si>
    <t>May-14-2024 07:10</t>
  </si>
  <si>
    <t>Apr-2024</t>
  </si>
  <si>
    <t>UK: Median Monthly Pay: PAYE Real Time Information [RTI] (SA, GBP)</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</si>
  <si>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</si>
  <si>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</si>
  <si>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</si>
  <si>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</si>
  <si>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</si>
  <si>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</si>
  <si>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</si>
  <si>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</si>
  <si>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</si>
  <si>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</si>
  <si>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</si>
  <si>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</si>
  <si>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</si>
  <si>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</si>
  <si>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</si>
  <si>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</si>
  <si>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</si>
  <si>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</si>
  <si>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</si>
  <si>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</si>
  <si>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</si>
  <si>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</si>
  <si>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</si>
  <si>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</si>
  <si>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</si>
  <si>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</si>
  <si>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</si>
  <si>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</si>
  <si>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</si>
  <si>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</si>
  <si>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</si>
  <si>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</si>
  <si>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</si>
  <si>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</si>
  <si>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</si>
  <si>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</si>
  <si>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</si>
  <si>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</si>
  <si>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</si>
  <si>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</si>
  <si>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</si>
  <si>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</si>
  <si>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</si>
  <si>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</si>
  <si>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</si>
  <si>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</si>
  <si>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</si>
  <si>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</si>
  <si>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</si>
  <si>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</si>
  <si>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</si>
  <si>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</si>
  <si>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</si>
  <si>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</si>
  <si>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</si>
  <si>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</si>
  <si>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</si>
  <si>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</si>
  <si>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</si>
  <si>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</si>
  <si>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</si>
  <si>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</si>
  <si>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</si>
  <si>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</si>
  <si>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</si>
  <si>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</si>
  <si>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</si>
  <si>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</si>
  <si>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</si>
  <si>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</si>
  <si>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</si>
  <si>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</si>
  <si>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</si>
  <si>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</si>
  <si>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</si>
  <si>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</si>
  <si>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</si>
  <si>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</si>
  <si>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</si>
  <si>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</si>
  <si>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</si>
  <si>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</si>
  <si>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</si>
  <si>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</si>
  <si>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</si>
  <si>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</si>
  <si>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</si>
  <si>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</si>
  <si>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</si>
  <si>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</si>
  <si>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</si>
  <si>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</si>
  <si>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</si>
  <si>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</si>
  <si>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</si>
  <si>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</si>
  <si>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</si>
  <si>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</si>
  <si>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</si>
  <si>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</si>
  <si>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</si>
  <si>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</si>
  <si>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</si>
  <si>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</si>
  <si>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</si>
  <si>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</si>
  <si>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</si>
  <si>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</si>
  <si>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</si>
  <si>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</si>
  <si>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</si>
  <si>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</si>
  <si>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</si>
  <si>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</si>
  <si>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</si>
  <si>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</si>
  <si>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</si>
  <si>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</si>
  <si>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</si>
  <si>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</si>
  <si>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</si>
  <si>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</si>
  <si>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</si>
  <si>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</si>
  <si>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</si>
  <si>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</si>
  <si>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</si>
  <si>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</si>
  <si>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</si>
  <si>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</si>
  <si>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</si>
  <si>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</si>
  <si>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</si>
  <si>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</si>
  <si>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</si>
  <si>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</si>
  <si>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</si>
  <si>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</si>
  <si>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</si>
  <si>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</si>
  <si>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</si>
  <si>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</si>
  <si>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</si>
  <si>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</si>
  <si>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</si>
  <si>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</si>
  <si>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</si>
  <si>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</si>
  <si>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</si>
  <si>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</si>
  <si>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</si>
  <si>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</si>
  <si>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</si>
  <si>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</si>
  <si>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</si>
  <si>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</si>
  <si>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</si>
  <si>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</si>
  <si>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</si>
  <si>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</si>
  <si>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</si>
  <si>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</si>
  <si>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</si>
  <si>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</si>
  <si>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</si>
  <si>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</si>
  <si>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</si>
  <si>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</si>
  <si>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</si>
  <si>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</si>
  <si>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</si>
  <si>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KAB9@UK</t>
  </si>
  <si>
    <t>KAI7@UK</t>
  </si>
  <si>
    <t>May-14-2024 07:02</t>
  </si>
  <si>
    <t>Jan-2000</t>
  </si>
  <si>
    <t>Great Britain: AWE, Total Pay: Whole Economy (SA, GBP)</t>
  </si>
  <si>
    <t>Great Britain: AWE, Regular Pay: Whole Economy (SA, GBP)</t>
  </si>
  <si>
    <t>HMRC RTI vs AWE</t>
  </si>
  <si>
    <t>HMRC median pay</t>
  </si>
  <si>
    <t>ZERO LINE</t>
  </si>
  <si>
    <t>HMRC median of pay growth</t>
  </si>
  <si>
    <t>KAJ4@UK</t>
  </si>
  <si>
    <t>May-14-2024 07:04</t>
  </si>
  <si>
    <t>Mar-2001</t>
  </si>
  <si>
    <t>Great Britain: AWE, Regular Pay: Private Sector [3Mo Mvg Avg vs Yr Ago] (SA, %)</t>
  </si>
  <si>
    <t>Section 2: Current economic conditions</t>
  </si>
  <si>
    <t>Chart 2.16 - Measures of annual private sector wage growth</t>
  </si>
  <si>
    <t>ONS private sector regular pay</t>
  </si>
  <si>
    <t>KPMG/REC (advanced 12 months)</t>
  </si>
  <si>
    <t>HMRC RTI</t>
  </si>
  <si>
    <t>Indeed</t>
  </si>
  <si>
    <t>DMP</t>
  </si>
  <si>
    <t xml:space="preserve">Agents' pay survey </t>
  </si>
  <si>
    <t>No permission</t>
  </si>
  <si>
    <t>n.a.</t>
  </si>
  <si>
    <t>2024 Q1
(Bank staff projection)</t>
  </si>
  <si>
    <t>2024 Q2
(Bank staff projection)</t>
  </si>
  <si>
    <t>2024 Q3
(Bank staff projection)</t>
  </si>
  <si>
    <t>2024 Q4
(Bank staff projection)</t>
  </si>
  <si>
    <t>Section 3: Developments in the persistence of UK inflation</t>
  </si>
  <si>
    <t>Chart 3.10 - Projections for private sector regular average weekly earnings four-quarter growth</t>
  </si>
  <si>
    <t>Swathe of wage models</t>
  </si>
  <si>
    <t>May MPR</t>
  </si>
  <si>
    <t>Min</t>
  </si>
  <si>
    <t>Max</t>
  </si>
  <si>
    <t>2022 Q1</t>
  </si>
  <si>
    <t>2022 Q2</t>
  </si>
  <si>
    <t>2022 Q3</t>
  </si>
  <si>
    <t>2022 Q4</t>
  </si>
  <si>
    <t>2023 Q1</t>
  </si>
  <si>
    <t>2023 Q2</t>
  </si>
  <si>
    <t>2023 Q3</t>
  </si>
  <si>
    <t>2023 Q4</t>
  </si>
  <si>
    <t>2024 Q1
(Bank staff projections)</t>
  </si>
  <si>
    <t>2024 Q2
(Bank staff projections)</t>
  </si>
  <si>
    <t>2024 Q3
(Bank staff projections)</t>
  </si>
  <si>
    <t>2024 Q4
(Bank staff projections)</t>
  </si>
  <si>
    <t>2025 Q1
(Bank staff projections)</t>
  </si>
  <si>
    <t>2025 Q2
(Bank staff projections)</t>
  </si>
  <si>
    <t>2025 Q3
(Bank staff projections)</t>
  </si>
  <si>
    <t>2025 Q4
(Bank staff projections)</t>
  </si>
  <si>
    <t>2026 Q1
(Bank staff projections)</t>
  </si>
  <si>
    <t>2026 Q2
(Bank staff projections)</t>
  </si>
  <si>
    <t>2026 Q3
(Bank staff projections)</t>
  </si>
  <si>
    <t>2026 Q4
(Bank staff projections)</t>
  </si>
  <si>
    <t>2027 Q1
(Bank staff projections)</t>
  </si>
  <si>
    <t>2027 Q2
(Bank staff projections)</t>
  </si>
  <si>
    <t>Private sector pay growth</t>
  </si>
  <si>
    <t>Outturn</t>
  </si>
  <si>
    <t>BoE forecast (Feb24)</t>
  </si>
  <si>
    <t>BoE forecast (May24)</t>
  </si>
  <si>
    <t>Average Weekly Earnings total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</si>
</sst>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5" x14ac:knownFonts="1">
    <font>
      <sz val="11"/>
      <color theme="1"/>
      <name val="Calibri"/>
      <family val="2"/>
      <scheme val="minor"/>
    </font>
    <font>
      <b/>
      <sz val="11"/>
      <color theme="1"/>
      <name val="Calibri"/>
      <family val="2"/>
      <scheme val="minor"/>
    </font>
    <font>
      <sz val="11"/>
      <color indexed="8"/>
      <name val="Calibri"/>
      <family val="2"/>
      <scheme val="minor"/>
    </font>
    <font>
      <b/>
      <sz val="11"/>
      <name val="Calibri"/>
    </font>
    <font>
      <i/>
      <sz val="11"/>
      <name val="Calibri"/>
    </font>
    <font>
      <sz val="11"/>
      <color theme="1"/>
      <name val="Calibri"/>
      <family val="2"/>
      <scheme val="minor"/>
    </font>
    <font>
      <sz val="10"/>
      <name val="Arial"/>
      <family val="2"/>
    </font>
    <font>
      <b/>
      <sz val="11"/>
      <name val="Times New Roman"/>
      <family val="1"/>
    </font>
    <font>
      <sz val="11"/>
      <color theme="1"/>
      <name val="Times New Roman"/>
      <family val="1"/>
    </font>
    <font>
      <sz val="11"/>
      <color rgb="FFFF0000"/>
      <name val="Times New Roman"/>
      <family val="1"/>
    </font>
    <font>
      <sz val="12"/>
      <color theme="1"/>
      <name val="Arial"/>
      <family val="2"/>
    </font>
    <font>
      <sz val="11"/>
      <name val="Times New Roman"/>
      <family val="1"/>
    </font>
    <font>
      <b/>
      <sz val="11"/>
      <color indexed="10"/>
      <name val="Times New Roman"/>
      <family val="1"/>
    </font>
    <font>
      <sz val="11"/>
      <color indexed="12"/>
      <name val="Times New Roman"/>
      <family val="1"/>
    </font>
    <font>
      <sz val="11"/>
      <name val="Arial"/>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bottom style="thin">
        <color indexed="64"/>
      </bottom>
      <diagonal/>
    </border>
  </borders>
  <cellStyleXfs count="9">
    <xf numFmtId="0" fontId="0" fillId="0" borderId="0"/>
    <xf numFmtId="0" fontId="2" fillId="0" borderId="0"/>
    <xf numFmtId="0" fontId="6" fillId="0" borderId="0"/>
    <xf numFmtId="0" fontId="5" fillId="0" borderId="0"/>
    <xf numFmtId="0" fontId="10" fillId="0" borderId="0"/>
    <xf numFmtId="0" fontId="6" fillId="0" borderId="0"/>
    <xf numFmtId="0" fontId="6" fillId="0" borderId="0"/>
    <xf numFmtId="0" fontId="6" fillId="0" borderId="0"/>
    <xf numFmtId="0" fontId="6" fillId="0" borderId="0"/>
  </cellStyleXfs>
  <cellXfs count="43">
    <xf numFmtId="0" fontId="0" fillId="0" borderId="0" xfId="0"/>
    <xf numFmtId="0" fontId="3" fillId="0" borderId="0" xfId="1" applyFont="1"/>
    <xf numFmtId="0" fontId="2" fillId="0" borderId="0" xfId="1"/>
    <xf numFmtId="0" fontId="4" fillId="0" borderId="0" xfId="1" applyFont="1"/>
    <xf numFmtId="0" fontId="2" fillId="0" borderId="1" xfId="1" applyBorder="1" applyAlignment="1">
      <alignment horizontal="left" wrapText="1"/>
    </xf>
    <xf numFmtId="0" fontId="2" fillId="0" borderId="1" xfId="1" applyBorder="1" applyAlignment="1">
      <alignment horizontal="right" wrapText="1"/>
    </xf>
    <xf numFmtId="10" fontId="2" fillId="0" borderId="0" xfId="1" applyNumberFormat="1"/>
    <xf numFmtId="0" fontId="0" fillId="0" borderId="0" xfId="0" applyFill="1"/>
    <xf numFmtId="0" fontId="0" fillId="0" borderId="0" xfId="0" quotePrefix="1"/>
    <xf numFmtId="1" fontId="0" fillId="0" borderId="0" xfId="0" applyNumberFormat="1"/>
    <xf numFmtId="0" fontId="0" fillId="0" borderId="0" xfId="0" applyAlignment="1">
      <alignment wrapText="1"/>
    </xf>
    <xf numFmtId="0" fontId="1" fillId="0" borderId="0" xfId="0" applyFont="1"/>
    <xf numFmtId="14" fontId="0" fillId="0" borderId="0" xfId="0" applyNumberFormat="1"/>
    <xf numFmtId="164" fontId="0" fillId="0" borderId="0" xfId="0" applyNumberFormat="1"/>
    <xf numFmtId="15" fontId="7" fillId="0" borderId="0" xfId="2" applyNumberFormat="1" applyFont="1" applyAlignment="1">
      <alignment horizontal="left"/>
    </xf>
    <xf numFmtId="2" fontId="8" fillId="0" borderId="0" xfId="3" applyNumberFormat="1" applyFont="1"/>
    <xf numFmtId="0" fontId="9" fillId="0" borderId="0" xfId="3" applyFont="1"/>
    <xf numFmtId="0" fontId="8" fillId="0" borderId="0" xfId="4" applyFont="1"/>
    <xf numFmtId="0" fontId="10" fillId="0" borderId="0" xfId="4"/>
    <xf numFmtId="15" fontId="11" fillId="0" borderId="0" xfId="2" applyNumberFormat="1" applyFont="1" applyAlignment="1">
      <alignment horizontal="left"/>
    </xf>
    <xf numFmtId="0" fontId="8" fillId="0" borderId="0" xfId="3" applyFont="1"/>
    <xf numFmtId="15" fontId="12" fillId="0" borderId="0" xfId="2" applyNumberFormat="1" applyFont="1" applyAlignment="1">
      <alignment horizontal="left"/>
    </xf>
    <xf numFmtId="15" fontId="13" fillId="0" borderId="2" xfId="5" applyNumberFormat="1" applyFont="1" applyBorder="1" applyAlignment="1">
      <alignment horizontal="center" vertical="center" wrapText="1"/>
    </xf>
    <xf numFmtId="2" fontId="13" fillId="0" borderId="2" xfId="5" applyNumberFormat="1" applyFont="1" applyBorder="1" applyAlignment="1">
      <alignment horizontal="center" vertical="center" wrapText="1"/>
    </xf>
    <xf numFmtId="165" fontId="11" fillId="0" borderId="0" xfId="3" applyNumberFormat="1" applyFont="1" applyAlignment="1">
      <alignment horizontal="center"/>
    </xf>
    <xf numFmtId="164" fontId="8" fillId="0" borderId="0" xfId="3" applyNumberFormat="1" applyFont="1" applyAlignment="1">
      <alignment horizontal="center"/>
    </xf>
    <xf numFmtId="165" fontId="11" fillId="0" borderId="0" xfId="3" applyNumberFormat="1" applyFont="1" applyAlignment="1">
      <alignment horizontal="center" wrapText="1"/>
    </xf>
    <xf numFmtId="15" fontId="7" fillId="0" borderId="0" xfId="6" applyNumberFormat="1" applyFont="1" applyAlignment="1">
      <alignment horizontal="left" vertical="center"/>
    </xf>
    <xf numFmtId="0" fontId="14" fillId="0" borderId="0" xfId="7" applyFont="1"/>
    <xf numFmtId="0" fontId="5" fillId="0" borderId="0" xfId="0" applyFont="1" applyAlignment="1">
      <alignment wrapText="1"/>
    </xf>
    <xf numFmtId="0" fontId="5" fillId="0" borderId="0" xfId="0" applyFont="1"/>
    <xf numFmtId="15" fontId="11" fillId="0" borderId="0" xfId="6" applyNumberFormat="1" applyFont="1" applyAlignment="1">
      <alignment horizontal="center"/>
    </xf>
    <xf numFmtId="15" fontId="12" fillId="0" borderId="0" xfId="6" applyNumberFormat="1" applyFont="1" applyAlignment="1">
      <alignment horizontal="left"/>
    </xf>
    <xf numFmtId="15" fontId="13" fillId="0" borderId="2" xfId="6" applyNumberFormat="1" applyFont="1" applyBorder="1" applyAlignment="1">
      <alignment horizontal="center" vertical="center" wrapText="1"/>
    </xf>
    <xf numFmtId="16" fontId="13" fillId="0" borderId="2" xfId="6" applyNumberFormat="1" applyFont="1" applyBorder="1" applyAlignment="1">
      <alignment horizontal="center" vertical="center" wrapText="1"/>
    </xf>
    <xf numFmtId="165" fontId="8" fillId="0" borderId="0" xfId="0" applyNumberFormat="1" applyFont="1" applyAlignment="1">
      <alignment horizontal="center" wrapText="1"/>
    </xf>
    <xf numFmtId="164" fontId="11" fillId="0" borderId="0" xfId="6" applyNumberFormat="1" applyFont="1" applyAlignment="1">
      <alignment horizontal="center" vertical="center" wrapText="1"/>
    </xf>
    <xf numFmtId="164" fontId="5" fillId="0" borderId="0" xfId="0" applyNumberFormat="1" applyFont="1" applyAlignment="1">
      <alignment wrapText="1"/>
    </xf>
    <xf numFmtId="0" fontId="8" fillId="0" borderId="0" xfId="0" applyFont="1"/>
    <xf numFmtId="0" fontId="8" fillId="0" borderId="0" xfId="0" applyFont="1" applyAlignment="1">
      <alignment horizontal="center" vertical="center" wrapText="1"/>
    </xf>
    <xf numFmtId="1" fontId="11" fillId="0" borderId="0" xfId="8" applyNumberFormat="1" applyFont="1" applyAlignment="1">
      <alignment horizontal="center"/>
    </xf>
    <xf numFmtId="165" fontId="11" fillId="0" borderId="0" xfId="8" applyNumberFormat="1" applyFont="1" applyAlignment="1">
      <alignment horizontal="center"/>
    </xf>
    <xf numFmtId="16" fontId="13" fillId="0" borderId="2" xfId="6" applyNumberFormat="1" applyFont="1" applyBorder="1" applyAlignment="1">
      <alignment horizontal="center" vertical="center" wrapText="1"/>
    </xf>
  </cellXfs>
  <cellStyles count="9">
    <cellStyle name="Normal" xfId="0" builtinId="0"/>
    <cellStyle name="Normal 2" xfId="1" xr:uid="{47015202-F41C-4A27-88FD-2B06565878A7}"/>
    <cellStyle name="Normal 3" xfId="4" xr:uid="{EC38E23B-001E-4200-A897-8D080BEE752F}"/>
    <cellStyle name="Normal 4 2 2" xfId="3" xr:uid="{8E16C609-DEEF-465C-9371-87D7A0545661}"/>
    <cellStyle name="Normal_Chart 1.1 - Bank Rate and one day forward curves (updated)" xfId="2" xr:uid="{87A37D04-3072-4C76-A7C0-0A7CD76194B5}"/>
    <cellStyle name="Normal_Chart 2.3 - Nominal consumer spending 2" xfId="8" xr:uid="{C8D65F75-B361-48A6-8DB8-F6CFB26A3417}"/>
    <cellStyle name="Normal_Chart 4.10 Output prices and capacity utilisation" xfId="7" xr:uid="{72BB64AC-65FF-4A58-8C3C-A1E77B719B5A}"/>
    <cellStyle name="Normal_Section 1 Data for the web  " xfId="5" xr:uid="{C4B01B8E-58A6-49A2-BC1B-7FAA1D4FB29F}"/>
    <cellStyle name="Normal_Sheet1 2" xfId="6" xr:uid="{22C9D8BA-43B0-4968-B324-BF26C75FFA4F}"/>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1.xml"/><Relationship Id="rId7" Type="http://schemas.openxmlformats.org/officeDocument/2006/relationships/worksheet" Target="worksheets/sheet5.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calcChain" Target="calcChain.xml"/><Relationship Id="rId5" Type="http://schemas.openxmlformats.org/officeDocument/2006/relationships/worksheet" Target="worksheets/sheet3.xml"/><Relationship Id="rId10" Type="http://schemas.openxmlformats.org/officeDocument/2006/relationships/sharedStrings" Target="sharedStrings.xml"/><Relationship Id="rId4" Type="http://schemas.openxmlformats.org/officeDocument/2006/relationships/worksheet" Target="worksheets/sheet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0546828199528592E-2"/>
          <c:y val="0.14714391023940784"/>
          <c:w val="0.88960067947241239"/>
          <c:h val="0.712639860869834"/>
        </c:manualLayout>
      </c:layout>
      <c:lineChart>
        <c:grouping val="standard"/>
        <c:varyColors val="0"/>
        <c:ser>
          <c:idx val="0"/>
          <c:order val="0"/>
          <c:tx>
            <c:strRef>
              <c:f>'Chart Data'!$B$2</c:f>
              <c:strCache>
                <c:ptCount val="1"/>
                <c:pt idx="0">
                  <c:v>Outturn</c:v>
                </c:pt>
              </c:strCache>
            </c:strRef>
          </c:tx>
          <c:spPr>
            <a:ln w="38100">
              <a:solidFill>
                <a:srgbClr val="BD1B21"/>
              </a:solidFill>
            </a:ln>
          </c:spPr>
          <c:marker>
            <c:symbol val="none"/>
          </c:marker>
          <c:cat>
            <c:numRef>
              <c:f>'Chart Data'!$A$3:$A$35</c:f>
              <c:numCache>
                <c:formatCode>m/d/yyyy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'Chart Data'!$B$3:$B$35</c:f>
              <c:numCache>
                <c:formatCode>0.0</c:formatCode>
                <c:ptCount val="33"/>
                <c:pt idx="0">
                  <c:v>4.2</c:v>
                </c:pt>
                <c:pt idx="1">
                  <c:v>4.5999999999999996</c:v>
                </c:pt>
                <c:pt idx="2">
                  <c:v>4.9000000000000004</c:v>
                </c:pt>
                <c:pt idx="3">
                  <c:v>4.8</c:v>
                </c:pt>
                <c:pt idx="4">
                  <c:v>5.0999999999999996</c:v>
                </c:pt>
                <c:pt idx="5">
                  <c:v>5.4</c:v>
                </c:pt>
                <c:pt idx="6">
                  <c:v>6</c:v>
                </c:pt>
                <c:pt idx="7">
                  <c:v>6.2</c:v>
                </c:pt>
                <c:pt idx="8">
                  <c:v>6.6</c:v>
                </c:pt>
                <c:pt idx="9">
                  <c:v>6.9</c:v>
                </c:pt>
                <c:pt idx="10">
                  <c:v>7.3</c:v>
                </c:pt>
                <c:pt idx="11">
                  <c:v>7.3</c:v>
                </c:pt>
                <c:pt idx="12">
                  <c:v>7.1</c:v>
                </c:pt>
                <c:pt idx="13">
                  <c:v>7.1</c:v>
                </c:pt>
                <c:pt idx="14">
                  <c:v>7.2</c:v>
                </c:pt>
                <c:pt idx="15">
                  <c:v>7.7</c:v>
                </c:pt>
                <c:pt idx="16">
                  <c:v>7.9</c:v>
                </c:pt>
                <c:pt idx="17">
                  <c:v>8.1999999999999993</c:v>
                </c:pt>
                <c:pt idx="18">
                  <c:v>8.1</c:v>
                </c:pt>
                <c:pt idx="19">
                  <c:v>8.1</c:v>
                </c:pt>
                <c:pt idx="20">
                  <c:v>7.9</c:v>
                </c:pt>
                <c:pt idx="21">
                  <c:v>7.2</c:v>
                </c:pt>
                <c:pt idx="22">
                  <c:v>6.6</c:v>
                </c:pt>
                <c:pt idx="23">
                  <c:v>6.2</c:v>
                </c:pt>
                <c:pt idx="24">
                  <c:v>6.1</c:v>
                </c:pt>
                <c:pt idx="25">
                  <c:v>6</c:v>
                </c:pt>
                <c:pt idx="26">
                  <c:v>5.9</c:v>
                </c:pt>
              </c:numCache>
            </c:numRef>
          </c:val>
          <c:smooth val="0"/>
          <c:extLst>
            <c:ext xmlns:c16="http://schemas.microsoft.com/office/drawing/2014/chart" uri="{C3380CC4-5D6E-409C-BE32-E72D297353CC}">
              <c16:uniqueId val="{00000000-E850-417B-95DA-4ED900504230}"/>
            </c:ext>
          </c:extLst>
        </c:ser>
        <c:ser>
          <c:idx val="1"/>
          <c:order val="1"/>
          <c:tx>
            <c:strRef>
              <c:f>'Chart Data'!$C$2</c:f>
              <c:strCache>
                <c:ptCount val="1"/>
                <c:pt idx="0">
                  <c:v>BoE forecast (Feb24)</c:v>
                </c:pt>
              </c:strCache>
            </c:strRef>
          </c:tx>
          <c:spPr>
            <a:ln w="38100">
              <a:noFill/>
            </a:ln>
          </c:spPr>
          <c:marker>
            <c:symbol val="diamond"/>
            <c:size val="12"/>
            <c:spPr>
              <a:solidFill>
                <a:srgbClr val="002060"/>
              </a:solidFill>
              <a:ln w="6350">
                <a:solidFill>
                  <a:srgbClr val="495057"/>
                </a:solidFill>
              </a:ln>
            </c:spPr>
          </c:marker>
          <c:cat>
            <c:numRef>
              <c:f>'Chart Data'!$A$3:$A$35</c:f>
              <c:numCache>
                <c:formatCode>m/d/yyyy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'Chart Data'!$C$3:$C$35</c:f>
              <c:numCache>
                <c:formatCode>General</c:formatCode>
                <c:ptCount val="33"/>
                <c:pt idx="26">
                  <c:v>5.7</c:v>
                </c:pt>
                <c:pt idx="29">
                  <c:v>4.7</c:v>
                </c:pt>
                <c:pt idx="32">
                  <c:v>4.4000000000000004</c:v>
                </c:pt>
              </c:numCache>
            </c:numRef>
          </c:val>
          <c:smooth val="0"/>
          <c:extLst>
            <c:ext xmlns:c16="http://schemas.microsoft.com/office/drawing/2014/chart" uri="{C3380CC4-5D6E-409C-BE32-E72D297353CC}">
              <c16:uniqueId val="{00000001-E850-417B-95DA-4ED900504230}"/>
            </c:ext>
          </c:extLst>
        </c:ser>
        <c:ser>
          <c:idx val="2"/>
          <c:order val="2"/>
          <c:tx>
            <c:strRef>
              <c:f>'Chart Data'!$D$2</c:f>
              <c:strCache>
                <c:ptCount val="1"/>
                <c:pt idx="0">
                  <c:v>BoE forecast (May24)</c:v>
                </c:pt>
              </c:strCache>
            </c:strRef>
          </c:tx>
          <c:spPr>
            <a:ln w="38100">
              <a:noFill/>
            </a:ln>
          </c:spPr>
          <c:marker>
            <c:symbol val="diamond"/>
            <c:size val="12"/>
            <c:spPr>
              <a:solidFill>
                <a:srgbClr val="D1A21E"/>
              </a:solidFill>
              <a:ln w="6350">
                <a:solidFill>
                  <a:srgbClr val="495057"/>
                </a:solidFill>
              </a:ln>
            </c:spPr>
          </c:marker>
          <c:cat>
            <c:numRef>
              <c:f>'Chart Data'!$A$3:$A$35</c:f>
              <c:numCache>
                <c:formatCode>m/d/yyyy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'Chart Data'!$D$3:$D$35</c:f>
              <c:numCache>
                <c:formatCode>General</c:formatCode>
                <c:ptCount val="33"/>
                <c:pt idx="26">
                  <c:v>6</c:v>
                </c:pt>
                <c:pt idx="29">
                  <c:v>5.0999999999999996</c:v>
                </c:pt>
                <c:pt idx="32">
                  <c:v>4.8</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9624795523643344"/>
          <c:y val="0.50170948286378836"/>
          <c:w val="0.33820430909826371"/>
          <c:h val="0.1824954125768427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851233738272639E-2"/>
          <c:y val="0.14714391023940784"/>
          <c:w val="0.88155780438359355"/>
          <c:h val="0.712639860869834"/>
        </c:manualLayout>
      </c:layout>
      <c:lineChart>
        <c:grouping val="standard"/>
        <c:varyColors val="0"/>
        <c:ser>
          <c:idx val="0"/>
          <c:order val="0"/>
          <c:tx>
            <c:strRef>
              <c:f>'Chart Data'!$G$2</c:f>
              <c:strCache>
                <c:ptCount val="1"/>
                <c:pt idx="0">
                  <c:v>Average Weekly Earnings total pay</c:v>
                </c:pt>
              </c:strCache>
            </c:strRef>
          </c:tx>
          <c:spPr>
            <a:ln w="38100">
              <a:solidFill>
                <a:srgbClr val="BD1B21"/>
              </a:solidFill>
            </a:ln>
          </c:spPr>
          <c:marker>
            <c:symbol val="none"/>
          </c:marker>
          <c:cat>
            <c:numRef>
              <c:f>'Chart Data'!$F$3:$F$116</c:f>
              <c:numCache>
                <c:formatCode>m/d/yyyy</c:formatCode>
                <c:ptCount val="11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numCache>
            </c:numRef>
          </c:cat>
          <c:val>
            <c:numRef>
              <c:f>'Chart Data'!$G$3:$G$116</c:f>
              <c:numCache>
                <c:formatCode>0.0</c:formatCode>
                <c:ptCount val="114"/>
                <c:pt idx="0">
                  <c:v>1.5873015873015817</c:v>
                </c:pt>
                <c:pt idx="1">
                  <c:v>2.2727272727272707</c:v>
                </c:pt>
                <c:pt idx="2">
                  <c:v>2.9612756264236983</c:v>
                </c:pt>
                <c:pt idx="3">
                  <c:v>2.7272727272727337</c:v>
                </c:pt>
                <c:pt idx="4">
                  <c:v>2.7210884353741527</c:v>
                </c:pt>
                <c:pt idx="5">
                  <c:v>2.7210884353741527</c:v>
                </c:pt>
                <c:pt idx="6">
                  <c:v>2.7149321266968229</c:v>
                </c:pt>
                <c:pt idx="7">
                  <c:v>2.483069977426644</c:v>
                </c:pt>
                <c:pt idx="8">
                  <c:v>2.0224719101123556</c:v>
                </c:pt>
                <c:pt idx="9">
                  <c:v>1.5659955257270708</c:v>
                </c:pt>
                <c:pt idx="10">
                  <c:v>2.2471910112359605</c:v>
                </c:pt>
                <c:pt idx="11">
                  <c:v>2.0134228187919545</c:v>
                </c:pt>
                <c:pt idx="12">
                  <c:v>2.4553571428571397</c:v>
                </c:pt>
                <c:pt idx="13">
                  <c:v>2.4444444444444491</c:v>
                </c:pt>
                <c:pt idx="14">
                  <c:v>2.2123893805309658</c:v>
                </c:pt>
                <c:pt idx="15">
                  <c:v>2.433628318584069</c:v>
                </c:pt>
                <c:pt idx="16">
                  <c:v>1.9867549668874274</c:v>
                </c:pt>
                <c:pt idx="17">
                  <c:v>2.4282560706401668</c:v>
                </c:pt>
                <c:pt idx="18">
                  <c:v>2.2026431718061623</c:v>
                </c:pt>
                <c:pt idx="19">
                  <c:v>2.2026431718061623</c:v>
                </c:pt>
                <c:pt idx="20">
                  <c:v>2.6431718061673992</c:v>
                </c:pt>
                <c:pt idx="21">
                  <c:v>2.4229074889867919</c:v>
                </c:pt>
                <c:pt idx="22">
                  <c:v>2.637362637362628</c:v>
                </c:pt>
                <c:pt idx="23">
                  <c:v>2.1929824561403466</c:v>
                </c:pt>
                <c:pt idx="24">
                  <c:v>1.9607843137254832</c:v>
                </c:pt>
                <c:pt idx="25">
                  <c:v>1.7353579175704903</c:v>
                </c:pt>
                <c:pt idx="26">
                  <c:v>1.7316017316017396</c:v>
                </c:pt>
                <c:pt idx="27">
                  <c:v>1.7278617710583255</c:v>
                </c:pt>
                <c:pt idx="28">
                  <c:v>2.3809523809523725</c:v>
                </c:pt>
                <c:pt idx="29">
                  <c:v>1.93965517241379</c:v>
                </c:pt>
                <c:pt idx="30">
                  <c:v>2.155172413793105</c:v>
                </c:pt>
                <c:pt idx="31">
                  <c:v>2.3706896551724199</c:v>
                </c:pt>
                <c:pt idx="32">
                  <c:v>2.1459227467811148</c:v>
                </c:pt>
                <c:pt idx="33">
                  <c:v>2.3655913978494647</c:v>
                </c:pt>
                <c:pt idx="34">
                  <c:v>2.3554603854389677</c:v>
                </c:pt>
                <c:pt idx="35">
                  <c:v>2.7896995708154515</c:v>
                </c:pt>
                <c:pt idx="36">
                  <c:v>2.564102564102555</c:v>
                </c:pt>
                <c:pt idx="37">
                  <c:v>2.771855010660973</c:v>
                </c:pt>
                <c:pt idx="38">
                  <c:v>2.9787234042553123</c:v>
                </c:pt>
                <c:pt idx="39">
                  <c:v>2.5477707006369421</c:v>
                </c:pt>
                <c:pt idx="40">
                  <c:v>2.748414376321362</c:v>
                </c:pt>
                <c:pt idx="41">
                  <c:v>2.9598308668076001</c:v>
                </c:pt>
                <c:pt idx="42">
                  <c:v>3.1645569620253111</c:v>
                </c:pt>
                <c:pt idx="43">
                  <c:v>3.3684210526315761</c:v>
                </c:pt>
                <c:pt idx="44">
                  <c:v>3.1512605042016917</c:v>
                </c:pt>
                <c:pt idx="45">
                  <c:v>3.5714285714285809</c:v>
                </c:pt>
                <c:pt idx="46">
                  <c:v>3.3472803347280422</c:v>
                </c:pt>
                <c:pt idx="47">
                  <c:v>3.3402922755741082</c:v>
                </c:pt>
                <c:pt idx="48">
                  <c:v>3.7500000000000089</c:v>
                </c:pt>
                <c:pt idx="49">
                  <c:v>3.3195020746888071</c:v>
                </c:pt>
                <c:pt idx="50">
                  <c:v>3.3057851239669311</c:v>
                </c:pt>
                <c:pt idx="51">
                  <c:v>4.1407867494823947</c:v>
                </c:pt>
                <c:pt idx="52">
                  <c:v>3.7037037037036979</c:v>
                </c:pt>
                <c:pt idx="53">
                  <c:v>3.9014373716632411</c:v>
                </c:pt>
                <c:pt idx="54">
                  <c:v>3.6809815950920255</c:v>
                </c:pt>
                <c:pt idx="55">
                  <c:v>3.4623217922606919</c:v>
                </c:pt>
                <c:pt idx="56">
                  <c:v>3.6659877800407248</c:v>
                </c:pt>
                <c:pt idx="57">
                  <c:v>3.2454361054766734</c:v>
                </c:pt>
                <c:pt idx="58">
                  <c:v>3.238866396761142</c:v>
                </c:pt>
                <c:pt idx="59">
                  <c:v>3.2323232323232309</c:v>
                </c:pt>
                <c:pt idx="60">
                  <c:v>2.8112449799196693</c:v>
                </c:pt>
                <c:pt idx="61">
                  <c:v>2.8112449799196693</c:v>
                </c:pt>
                <c:pt idx="62">
                  <c:v>2.4000000000000021</c:v>
                </c:pt>
                <c:pt idx="63">
                  <c:v>-0.19880715705765661</c:v>
                </c:pt>
                <c:pt idx="64">
                  <c:v>-0.19841269841269771</c:v>
                </c:pt>
                <c:pt idx="65">
                  <c:v>0</c:v>
                </c:pt>
                <c:pt idx="66">
                  <c:v>0.98619329388560661</c:v>
                </c:pt>
                <c:pt idx="67">
                  <c:v>1.9685039370078705</c:v>
                </c:pt>
                <c:pt idx="68">
                  <c:v>2.7504911591355707</c:v>
                </c:pt>
                <c:pt idx="69">
                  <c:v>3.5363457760314354</c:v>
                </c:pt>
                <c:pt idx="70">
                  <c:v>4.117647058823537</c:v>
                </c:pt>
                <c:pt idx="71">
                  <c:v>4.3052837573385627</c:v>
                </c:pt>
                <c:pt idx="72">
                  <c:v>4.296875</c:v>
                </c:pt>
                <c:pt idx="73">
                  <c:v>4.4921875</c:v>
                </c:pt>
                <c:pt idx="74">
                  <c:v>4.8828125</c:v>
                </c:pt>
                <c:pt idx="75">
                  <c:v>7.5697211155378419</c:v>
                </c:pt>
                <c:pt idx="76">
                  <c:v>7.3558648111331948</c:v>
                </c:pt>
                <c:pt idx="77">
                  <c:v>6.9169960474308345</c:v>
                </c:pt>
                <c:pt idx="78">
                  <c:v>6.0546875</c:v>
                </c:pt>
                <c:pt idx="79">
                  <c:v>5.0193050193050093</c:v>
                </c:pt>
                <c:pt idx="80">
                  <c:v>4.2065009560229516</c:v>
                </c:pt>
                <c:pt idx="81">
                  <c:v>3.7950664136622292</c:v>
                </c:pt>
                <c:pt idx="82">
                  <c:v>3.3898305084745672</c:v>
                </c:pt>
                <c:pt idx="83">
                  <c:v>3.7523452157598447</c:v>
                </c:pt>
                <c:pt idx="84">
                  <c:v>4.3071161048689133</c:v>
                </c:pt>
                <c:pt idx="85">
                  <c:v>4.2990654205607548</c:v>
                </c:pt>
                <c:pt idx="86">
                  <c:v>4.2830540037243958</c:v>
                </c:pt>
                <c:pt idx="87">
                  <c:v>4.0740740740740744</c:v>
                </c:pt>
                <c:pt idx="88">
                  <c:v>5.0000000000000044</c:v>
                </c:pt>
                <c:pt idx="89">
                  <c:v>5.1756007393715331</c:v>
                </c:pt>
                <c:pt idx="90">
                  <c:v>5.3406998158379348</c:v>
                </c:pt>
                <c:pt idx="91">
                  <c:v>5.6985294117646967</c:v>
                </c:pt>
                <c:pt idx="92">
                  <c:v>6.0550458715596278</c:v>
                </c:pt>
                <c:pt idx="93">
                  <c:v>6.5813528336380323</c:v>
                </c:pt>
                <c:pt idx="94">
                  <c:v>6.9216757741347834</c:v>
                </c:pt>
                <c:pt idx="95">
                  <c:v>6.6907775768535238</c:v>
                </c:pt>
                <c:pt idx="96">
                  <c:v>6.4631956912028832</c:v>
                </c:pt>
                <c:pt idx="97">
                  <c:v>6.9892473118279508</c:v>
                </c:pt>
                <c:pt idx="98">
                  <c:v>7.1428571428571397</c:v>
                </c:pt>
                <c:pt idx="99">
                  <c:v>7.6512455516014155</c:v>
                </c:pt>
                <c:pt idx="100">
                  <c:v>7.7601410934744264</c:v>
                </c:pt>
                <c:pt idx="101">
                  <c:v>7.9086115992970107</c:v>
                </c:pt>
                <c:pt idx="102">
                  <c:v>7.8671328671328755</c:v>
                </c:pt>
                <c:pt idx="103">
                  <c:v>7.8260869565217384</c:v>
                </c:pt>
                <c:pt idx="104">
                  <c:v>7.6124567474048499</c:v>
                </c:pt>
                <c:pt idx="105">
                  <c:v>6.1749571183533414</c:v>
                </c:pt>
                <c:pt idx="106">
                  <c:v>6.3032367972742698</c:v>
                </c:pt>
                <c:pt idx="107">
                  <c:v>6.1016949152542299</c:v>
                </c:pt>
                <c:pt idx="108">
                  <c:v>5.9021922428330598</c:v>
                </c:pt>
                <c:pt idx="109">
                  <c:v>5.8626465661641536</c:v>
                </c:pt>
                <c:pt idx="110">
                  <c:v>6.1666666666666758</c:v>
                </c:pt>
              </c:numCache>
            </c:numRef>
          </c:val>
          <c:smooth val="0"/>
          <c:extLst>
            <c:ext xmlns:c16="http://schemas.microsoft.com/office/drawing/2014/chart" uri="{C3380CC4-5D6E-409C-BE32-E72D297353CC}">
              <c16:uniqueId val="{00000000-E850-417B-95DA-4ED900504230}"/>
            </c:ext>
          </c:extLst>
        </c:ser>
        <c:ser>
          <c:idx val="1"/>
          <c:order val="1"/>
          <c:tx>
            <c:strRef>
              <c:f>'Chart Data'!$H$2</c:f>
              <c:strCache>
                <c:ptCount val="1"/>
                <c:pt idx="0">
                  <c:v>HMRC median pay</c:v>
                </c:pt>
              </c:strCache>
            </c:strRef>
          </c:tx>
          <c:spPr>
            <a:ln w="38100">
              <a:solidFill>
                <a:srgbClr val="003469"/>
              </a:solidFill>
            </a:ln>
          </c:spPr>
          <c:marker>
            <c:symbol val="none"/>
          </c:marker>
          <c:cat>
            <c:numRef>
              <c:f>'Chart Data'!$F$3:$F$116</c:f>
              <c:numCache>
                <c:formatCode>m/d/yyyy</c:formatCode>
                <c:ptCount val="11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numCache>
            </c:numRef>
          </c:cat>
          <c:val>
            <c:numRef>
              <c:f>'Chart Data'!$H$3:$H$116</c:f>
              <c:numCache>
                <c:formatCode>0.0</c:formatCode>
                <c:ptCount val="114"/>
                <c:pt idx="0">
                  <c:v>#N/A</c:v>
                </c:pt>
                <c:pt idx="1">
                  <c:v>#N/A</c:v>
                </c:pt>
                <c:pt idx="2">
                  <c:v>#N/A</c:v>
                </c:pt>
                <c:pt idx="3">
                  <c:v>#N/A</c:v>
                </c:pt>
                <c:pt idx="4">
                  <c:v>#N/A</c:v>
                </c:pt>
                <c:pt idx="5">
                  <c:v>#N/A</c:v>
                </c:pt>
                <c:pt idx="6">
                  <c:v>1.3141426783479293</c:v>
                </c:pt>
                <c:pt idx="7">
                  <c:v>0.93691442848220507</c:v>
                </c:pt>
                <c:pt idx="8">
                  <c:v>1.0618363522798324</c:v>
                </c:pt>
                <c:pt idx="9">
                  <c:v>1.3084112149532645</c:v>
                </c:pt>
                <c:pt idx="10">
                  <c:v>1.3681592039801016</c:v>
                </c:pt>
                <c:pt idx="11">
                  <c:v>0.86580086580085869</c:v>
                </c:pt>
                <c:pt idx="12">
                  <c:v>1.1111111111111072</c:v>
                </c:pt>
                <c:pt idx="13">
                  <c:v>1.2345679012345734</c:v>
                </c:pt>
                <c:pt idx="14">
                  <c:v>1.7305315203955507</c:v>
                </c:pt>
                <c:pt idx="15">
                  <c:v>2.3543990086740907</c:v>
                </c:pt>
                <c:pt idx="16">
                  <c:v>2.2910216718266208</c:v>
                </c:pt>
                <c:pt idx="17">
                  <c:v>2.3514851485148425</c:v>
                </c:pt>
                <c:pt idx="18">
                  <c:v>2.4706609017912218</c:v>
                </c:pt>
                <c:pt idx="19">
                  <c:v>2.6608910891089188</c:v>
                </c:pt>
                <c:pt idx="20">
                  <c:v>2.8430160692212603</c:v>
                </c:pt>
                <c:pt idx="21">
                  <c:v>2.2755227552275548</c:v>
                </c:pt>
                <c:pt idx="22">
                  <c:v>2.2085889570552242</c:v>
                </c:pt>
                <c:pt idx="23">
                  <c:v>2.2685469037400319</c:v>
                </c:pt>
                <c:pt idx="24">
                  <c:v>1.831501831501825</c:v>
                </c:pt>
                <c:pt idx="25">
                  <c:v>2.2560975609756007</c:v>
                </c:pt>
                <c:pt idx="26">
                  <c:v>2.4301336573511634</c:v>
                </c:pt>
                <c:pt idx="27">
                  <c:v>2.2397094430992803</c:v>
                </c:pt>
                <c:pt idx="28">
                  <c:v>2.300242130750596</c:v>
                </c:pt>
                <c:pt idx="29">
                  <c:v>2.4183796856106499</c:v>
                </c:pt>
                <c:pt idx="30">
                  <c:v>2.0494273658830719</c:v>
                </c:pt>
                <c:pt idx="31">
                  <c:v>2.4110910186859513</c:v>
                </c:pt>
                <c:pt idx="32">
                  <c:v>2.4038461538461453</c:v>
                </c:pt>
                <c:pt idx="33">
                  <c:v>2.5856885147324205</c:v>
                </c:pt>
                <c:pt idx="34">
                  <c:v>2.8211284513805612</c:v>
                </c:pt>
                <c:pt idx="35">
                  <c:v>3.1774580335731439</c:v>
                </c:pt>
                <c:pt idx="36">
                  <c:v>3.3573141486810565</c:v>
                </c:pt>
                <c:pt idx="37">
                  <c:v>3.0411449016100267</c:v>
                </c:pt>
                <c:pt idx="38">
                  <c:v>2.6690391459074814</c:v>
                </c:pt>
                <c:pt idx="39">
                  <c:v>2.4274718768502179</c:v>
                </c:pt>
                <c:pt idx="40">
                  <c:v>3.4911242603550274</c:v>
                </c:pt>
                <c:pt idx="41">
                  <c:v>3.6009445100354087</c:v>
                </c:pt>
                <c:pt idx="42">
                  <c:v>3.4258712344949815</c:v>
                </c:pt>
                <c:pt idx="43">
                  <c:v>4.237786933490284</c:v>
                </c:pt>
                <c:pt idx="44">
                  <c:v>3.3450704225352013</c:v>
                </c:pt>
                <c:pt idx="45">
                  <c:v>3.5756154747948354</c:v>
                </c:pt>
                <c:pt idx="46">
                  <c:v>3.8528896672504365</c:v>
                </c:pt>
                <c:pt idx="47">
                  <c:v>2.9633933759442233</c:v>
                </c:pt>
                <c:pt idx="48">
                  <c:v>3.3642691415313175</c:v>
                </c:pt>
                <c:pt idx="49">
                  <c:v>3.6458333333333259</c:v>
                </c:pt>
                <c:pt idx="50">
                  <c:v>4.0439052570768297</c:v>
                </c:pt>
                <c:pt idx="51">
                  <c:v>4.6242774566473965</c:v>
                </c:pt>
                <c:pt idx="52">
                  <c:v>3.8307604345340085</c:v>
                </c:pt>
                <c:pt idx="53">
                  <c:v>3.1908831908831869</c:v>
                </c:pt>
                <c:pt idx="54">
                  <c:v>3.8834951456310662</c:v>
                </c:pt>
                <c:pt idx="55">
                  <c:v>2.9926595143986434</c:v>
                </c:pt>
                <c:pt idx="56">
                  <c:v>3.2935831913685432</c:v>
                </c:pt>
                <c:pt idx="57">
                  <c:v>3.2823995472552436</c:v>
                </c:pt>
                <c:pt idx="58">
                  <c:v>2.9229904440696952</c:v>
                </c:pt>
                <c:pt idx="59">
                  <c:v>3.6117381489841893</c:v>
                </c:pt>
                <c:pt idx="60">
                  <c:v>3.8159371492704874</c:v>
                </c:pt>
                <c:pt idx="61">
                  <c:v>3.9084310441094283</c:v>
                </c:pt>
                <c:pt idx="62">
                  <c:v>2.5541365907828961</c:v>
                </c:pt>
                <c:pt idx="63">
                  <c:v>-0.9944751381215422</c:v>
                </c:pt>
                <c:pt idx="64">
                  <c:v>-0.93612334801762564</c:v>
                </c:pt>
                <c:pt idx="65">
                  <c:v>0.93870789618994976</c:v>
                </c:pt>
                <c:pt idx="66">
                  <c:v>2.1990104452996206</c:v>
                </c:pt>
                <c:pt idx="67">
                  <c:v>3.0701754385964897</c:v>
                </c:pt>
                <c:pt idx="68">
                  <c:v>4.2880703683342514</c:v>
                </c:pt>
                <c:pt idx="69">
                  <c:v>4.7671232876712377</c:v>
                </c:pt>
                <c:pt idx="70">
                  <c:v>4.5876570180229281</c:v>
                </c:pt>
                <c:pt idx="71">
                  <c:v>4.7930283224400849</c:v>
                </c:pt>
                <c:pt idx="72">
                  <c:v>4.1621621621621641</c:v>
                </c:pt>
                <c:pt idx="73">
                  <c:v>4.3524986566362278</c:v>
                </c:pt>
                <c:pt idx="74">
                  <c:v>5.6307525717379514</c:v>
                </c:pt>
                <c:pt idx="75">
                  <c:v>9.5982142857142794</c:v>
                </c:pt>
                <c:pt idx="76">
                  <c:v>9.1717620900500165</c:v>
                </c:pt>
                <c:pt idx="77">
                  <c:v>7.8774617067833619</c:v>
                </c:pt>
                <c:pt idx="78">
                  <c:v>6.4550833781602979</c:v>
                </c:pt>
                <c:pt idx="79">
                  <c:v>5.6382978723404253</c:v>
                </c:pt>
                <c:pt idx="80">
                  <c:v>5.5877701634159171</c:v>
                </c:pt>
                <c:pt idx="81">
                  <c:v>5.2301255230125632</c:v>
                </c:pt>
                <c:pt idx="82">
                  <c:v>5.4830287206266259</c:v>
                </c:pt>
                <c:pt idx="83">
                  <c:v>5.7172557172557203</c:v>
                </c:pt>
                <c:pt idx="84">
                  <c:v>6.2791904514789776</c:v>
                </c:pt>
                <c:pt idx="85">
                  <c:v>5.7672502574665385</c:v>
                </c:pt>
                <c:pt idx="86">
                  <c:v>6.5094823167606286</c:v>
                </c:pt>
                <c:pt idx="87">
                  <c:v>5.8044806517311587</c:v>
                </c:pt>
                <c:pt idx="88">
                  <c:v>6.313645621181263</c:v>
                </c:pt>
                <c:pt idx="89">
                  <c:v>6.3894523326571973</c:v>
                </c:pt>
                <c:pt idx="90">
                  <c:v>6.6700353713996963</c:v>
                </c:pt>
                <c:pt idx="91">
                  <c:v>6.6968781470291949</c:v>
                </c:pt>
                <c:pt idx="92">
                  <c:v>6.8397403894158826</c:v>
                </c:pt>
                <c:pt idx="93">
                  <c:v>6.9085487077534813</c:v>
                </c:pt>
                <c:pt idx="94">
                  <c:v>8.6633663366336719</c:v>
                </c:pt>
                <c:pt idx="95">
                  <c:v>7.4729596853490676</c:v>
                </c:pt>
                <c:pt idx="96">
                  <c:v>7.080078125</c:v>
                </c:pt>
                <c:pt idx="97">
                  <c:v>7.4488802336903692</c:v>
                </c:pt>
                <c:pt idx="98">
                  <c:v>6.7372473532242516</c:v>
                </c:pt>
                <c:pt idx="99">
                  <c:v>7.2184793070259934</c:v>
                </c:pt>
                <c:pt idx="100">
                  <c:v>8.1417624521072707</c:v>
                </c:pt>
                <c:pt idx="101">
                  <c:v>9.389895138226878</c:v>
                </c:pt>
                <c:pt idx="102">
                  <c:v>7.4846044528659395</c:v>
                </c:pt>
                <c:pt idx="103">
                  <c:v>7.5507314771118494</c:v>
                </c:pt>
                <c:pt idx="104">
                  <c:v>5.8878504672897236</c:v>
                </c:pt>
                <c:pt idx="105">
                  <c:v>6.1831706183170576</c:v>
                </c:pt>
                <c:pt idx="106">
                  <c:v>6.4236902050113898</c:v>
                </c:pt>
                <c:pt idx="107">
                  <c:v>6.221408966148223</c:v>
                </c:pt>
                <c:pt idx="108">
                  <c:v>6.4295485636114869</c:v>
                </c:pt>
                <c:pt idx="109">
                  <c:v>6.2981422745808757</c:v>
                </c:pt>
                <c:pt idx="110">
                  <c:v>6.3570784490531995</c:v>
                </c:pt>
                <c:pt idx="111">
                  <c:v>6.8671454219030537</c:v>
                </c:pt>
              </c:numCache>
            </c:numRef>
          </c:val>
          <c:smooth val="0"/>
          <c:extLst>
            <c:ext xmlns:c16="http://schemas.microsoft.com/office/drawing/2014/chart" uri="{C3380CC4-5D6E-409C-BE32-E72D297353CC}">
              <c16:uniqueId val="{00000001-E850-417B-95DA-4ED900504230}"/>
            </c:ext>
          </c:extLst>
        </c:ser>
        <c:ser>
          <c:idx val="2"/>
          <c:order val="2"/>
          <c:tx>
            <c:strRef>
              <c:f>'Chart Data'!$I$2</c:f>
              <c:strCache>
                <c:ptCount val="1"/>
                <c:pt idx="0">
                  <c:v>HMRC median of pay growth</c:v>
                </c:pt>
              </c:strCache>
            </c:strRef>
          </c:tx>
          <c:spPr>
            <a:ln w="38100">
              <a:solidFill>
                <a:srgbClr val="D1A21E"/>
              </a:solidFill>
            </a:ln>
          </c:spPr>
          <c:marker>
            <c:symbol val="none"/>
          </c:marker>
          <c:cat>
            <c:numRef>
              <c:f>'Chart Data'!$F$3:$F$116</c:f>
              <c:numCache>
                <c:formatCode>m/d/yyyy</c:formatCode>
                <c:ptCount val="11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numCache>
            </c:numRef>
          </c:cat>
          <c:val>
            <c:numRef>
              <c:f>'Chart Data'!$I$3:$I$116</c:f>
              <c:numCache>
                <c:formatCode>General</c:formatCode>
                <c:ptCount val="114"/>
                <c:pt idx="0">
                  <c:v>#N/A</c:v>
                </c:pt>
                <c:pt idx="1">
                  <c:v>#N/A</c:v>
                </c:pt>
                <c:pt idx="2">
                  <c:v>#N/A</c:v>
                </c:pt>
                <c:pt idx="3">
                  <c:v>#N/A</c:v>
                </c:pt>
                <c:pt idx="4">
                  <c:v>#N/A</c:v>
                </c:pt>
                <c:pt idx="5">
                  <c:v>#N/A</c:v>
                </c:pt>
                <c:pt idx="6" formatCode="0.0">
                  <c:v>2.4889672618867897</c:v>
                </c:pt>
                <c:pt idx="7" formatCode="0.0">
                  <c:v>2.3484693885670898</c:v>
                </c:pt>
                <c:pt idx="8" formatCode="0.0">
                  <c:v>2.35160215831467</c:v>
                </c:pt>
                <c:pt idx="9" formatCode="0.0">
                  <c:v>2.4985884072011801</c:v>
                </c:pt>
                <c:pt idx="10" formatCode="0.0">
                  <c:v>2.5616065386885101</c:v>
                </c:pt>
                <c:pt idx="11" formatCode="0.0">
                  <c:v>2.2366047827981199</c:v>
                </c:pt>
                <c:pt idx="12" formatCode="0.0">
                  <c:v>2.3930829638831903</c:v>
                </c:pt>
                <c:pt idx="13" formatCode="0.0">
                  <c:v>2.4444048784128198</c:v>
                </c:pt>
                <c:pt idx="14" formatCode="0.0">
                  <c:v>2.49830528074932</c:v>
                </c:pt>
                <c:pt idx="15" formatCode="0.0">
                  <c:v>2.5818763647238701</c:v>
                </c:pt>
                <c:pt idx="16" formatCode="0.0">
                  <c:v>2.5051779301199701</c:v>
                </c:pt>
                <c:pt idx="17" formatCode="0.0">
                  <c:v>2.7992266958392098</c:v>
                </c:pt>
                <c:pt idx="18" formatCode="0.0">
                  <c:v>2.7670511585604798</c:v>
                </c:pt>
                <c:pt idx="19" formatCode="0.0">
                  <c:v>2.7804751647047401</c:v>
                </c:pt>
                <c:pt idx="20" formatCode="0.0">
                  <c:v>2.75220782332898</c:v>
                </c:pt>
                <c:pt idx="21" formatCode="0.0">
                  <c:v>2.7130654311370499</c:v>
                </c:pt>
                <c:pt idx="22" formatCode="0.0">
                  <c:v>2.5994524464643303</c:v>
                </c:pt>
                <c:pt idx="23" formatCode="0.0">
                  <c:v>2.6796244775685198</c:v>
                </c:pt>
                <c:pt idx="24" formatCode="0.0">
                  <c:v>2.5852918766775703</c:v>
                </c:pt>
                <c:pt idx="25" formatCode="0.0">
                  <c:v>2.6010750468513097</c:v>
                </c:pt>
                <c:pt idx="26" formatCode="0.0">
                  <c:v>2.4728237780940701</c:v>
                </c:pt>
                <c:pt idx="27" formatCode="0.0">
                  <c:v>2.56646566189715</c:v>
                </c:pt>
                <c:pt idx="28" formatCode="0.0">
                  <c:v>2.6631735023526901</c:v>
                </c:pt>
                <c:pt idx="29" formatCode="0.0">
                  <c:v>2.3956531564097001</c:v>
                </c:pt>
                <c:pt idx="30" formatCode="0.0">
                  <c:v>2.4104324186158701</c:v>
                </c:pt>
                <c:pt idx="31" formatCode="0.0">
                  <c:v>2.5656704738339102</c:v>
                </c:pt>
                <c:pt idx="32" formatCode="0.0">
                  <c:v>2.51220107955112</c:v>
                </c:pt>
                <c:pt idx="33" formatCode="0.0">
                  <c:v>2.5081778587232</c:v>
                </c:pt>
                <c:pt idx="34" formatCode="0.0">
                  <c:v>2.6620041983129301</c:v>
                </c:pt>
                <c:pt idx="35" formatCode="0.0">
                  <c:v>2.8207472007331003</c:v>
                </c:pt>
                <c:pt idx="36" formatCode="0.0">
                  <c:v>2.9416855403338</c:v>
                </c:pt>
                <c:pt idx="37" formatCode="0.0">
                  <c:v>2.9469416780688902</c:v>
                </c:pt>
                <c:pt idx="38" formatCode="0.0">
                  <c:v>2.91109358479491</c:v>
                </c:pt>
                <c:pt idx="39" formatCode="0.0">
                  <c:v>2.8498473566581102</c:v>
                </c:pt>
                <c:pt idx="40" formatCode="0.0">
                  <c:v>3.0621080859181498</c:v>
                </c:pt>
                <c:pt idx="41" formatCode="0.0">
                  <c:v>3.1101528772429599</c:v>
                </c:pt>
                <c:pt idx="42" formatCode="0.0">
                  <c:v>3.1742203901262402</c:v>
                </c:pt>
                <c:pt idx="43" formatCode="0.0">
                  <c:v>3.4253709754455999</c:v>
                </c:pt>
                <c:pt idx="44" formatCode="0.0">
                  <c:v>3.1767407898476501</c:v>
                </c:pt>
                <c:pt idx="45" formatCode="0.0">
                  <c:v>3.2483116461583599</c:v>
                </c:pt>
                <c:pt idx="46" formatCode="0.0">
                  <c:v>3.3412161796995701</c:v>
                </c:pt>
                <c:pt idx="47" formatCode="0.0">
                  <c:v>3.3236232695141199</c:v>
                </c:pt>
                <c:pt idx="48" formatCode="0.0">
                  <c:v>3.3503539908712798</c:v>
                </c:pt>
                <c:pt idx="49" formatCode="0.0">
                  <c:v>3.3444575856943999</c:v>
                </c:pt>
                <c:pt idx="50" formatCode="0.0">
                  <c:v>3.6254062540862901</c:v>
                </c:pt>
                <c:pt idx="51" formatCode="0.0">
                  <c:v>3.9806502573703897</c:v>
                </c:pt>
                <c:pt idx="52" formatCode="0.0">
                  <c:v>3.4167056071149902</c:v>
                </c:pt>
                <c:pt idx="53" formatCode="0.0">
                  <c:v>3.1977929766033601</c:v>
                </c:pt>
                <c:pt idx="54" formatCode="0.0">
                  <c:v>3.1207614382996103</c:v>
                </c:pt>
                <c:pt idx="55" formatCode="0.0">
                  <c:v>2.9624573852198601</c:v>
                </c:pt>
                <c:pt idx="56" formatCode="0.0">
                  <c:v>3.2311149352684496</c:v>
                </c:pt>
                <c:pt idx="57" formatCode="0.0">
                  <c:v>3.0845324908053797</c:v>
                </c:pt>
                <c:pt idx="58" formatCode="0.0">
                  <c:v>3.0809912297839301</c:v>
                </c:pt>
                <c:pt idx="59" formatCode="0.0">
                  <c:v>3.2528099279022804</c:v>
                </c:pt>
                <c:pt idx="60" formatCode="0.0">
                  <c:v>3.3097965884460603</c:v>
                </c:pt>
                <c:pt idx="61" formatCode="0.0">
                  <c:v>3.3581742350418198</c:v>
                </c:pt>
                <c:pt idx="62" formatCode="0.0">
                  <c:v>2.6889354518383501</c:v>
                </c:pt>
                <c:pt idx="63" formatCode="0.0">
                  <c:v>0.66322599474861998</c:v>
                </c:pt>
                <c:pt idx="64" formatCode="0.0">
                  <c:v>3.2707994622049999E-2</c:v>
                </c:pt>
                <c:pt idx="65" formatCode="0.0">
                  <c:v>0.90610201329521001</c:v>
                </c:pt>
                <c:pt idx="66" formatCode="0.0">
                  <c:v>1.5134413061660401</c:v>
                </c:pt>
                <c:pt idx="67" formatCode="0.0">
                  <c:v>1.761618143133</c:v>
                </c:pt>
                <c:pt idx="68" formatCode="0.0">
                  <c:v>2.1870255676668999</c:v>
                </c:pt>
                <c:pt idx="69" formatCode="0.0">
                  <c:v>2.4357513666057597</c:v>
                </c:pt>
                <c:pt idx="70" formatCode="0.0">
                  <c:v>2.45987938008003</c:v>
                </c:pt>
                <c:pt idx="71" formatCode="0.0">
                  <c:v>2.6069826253991302</c:v>
                </c:pt>
                <c:pt idx="72" formatCode="0.0">
                  <c:v>2.1446938056973801</c:v>
                </c:pt>
                <c:pt idx="73" formatCode="0.0">
                  <c:v>2.0141202713640598</c:v>
                </c:pt>
                <c:pt idx="74" formatCode="0.0">
                  <c:v>2.5811214052690197</c:v>
                </c:pt>
                <c:pt idx="75" formatCode="0.0">
                  <c:v>3.6644663299626701</c:v>
                </c:pt>
                <c:pt idx="76" formatCode="0.0">
                  <c:v>4.1687600089889498</c:v>
                </c:pt>
                <c:pt idx="77" formatCode="0.0">
                  <c:v>3.8754508293209402</c:v>
                </c:pt>
                <c:pt idx="78" formatCode="0.0">
                  <c:v>3.3280069993627399</c:v>
                </c:pt>
                <c:pt idx="79" formatCode="0.0">
                  <c:v>3.0853919390736397</c:v>
                </c:pt>
                <c:pt idx="80" formatCode="0.0">
                  <c:v>3.1597226295791003</c:v>
                </c:pt>
                <c:pt idx="81" formatCode="0.0">
                  <c:v>3.0374301446817902</c:v>
                </c:pt>
                <c:pt idx="82" formatCode="0.0">
                  <c:v>3.2058648415919002</c:v>
                </c:pt>
                <c:pt idx="83" formatCode="0.0">
                  <c:v>3.5296194752994503</c:v>
                </c:pt>
                <c:pt idx="84" formatCode="0.0">
                  <c:v>4.1514632204476394</c:v>
                </c:pt>
                <c:pt idx="85" formatCode="0.0">
                  <c:v>4.5596092190474398</c:v>
                </c:pt>
                <c:pt idx="86" formatCode="0.0">
                  <c:v>5.5973434813390597</c:v>
                </c:pt>
                <c:pt idx="87" formatCode="0.0">
                  <c:v>4.9781721254202198</c:v>
                </c:pt>
                <c:pt idx="88" formatCode="0.0">
                  <c:v>5.0303491590515801</c:v>
                </c:pt>
                <c:pt idx="89" formatCode="0.0">
                  <c:v>4.9509094499774395</c:v>
                </c:pt>
                <c:pt idx="90" formatCode="0.0">
                  <c:v>5.2205278980479992</c:v>
                </c:pt>
                <c:pt idx="91" formatCode="0.0">
                  <c:v>5.5527152160696396</c:v>
                </c:pt>
                <c:pt idx="92" formatCode="0.0">
                  <c:v>5.9543712984886303</c:v>
                </c:pt>
                <c:pt idx="93" formatCode="0.0">
                  <c:v>6.2557826775925296</c:v>
                </c:pt>
                <c:pt idx="94" formatCode="0.0">
                  <c:v>7.1412514901068604</c:v>
                </c:pt>
                <c:pt idx="95" formatCode="0.0">
                  <c:v>6.8858903247534107</c:v>
                </c:pt>
                <c:pt idx="96" formatCode="0.0">
                  <c:v>6.7869090656747098</c:v>
                </c:pt>
                <c:pt idx="97" formatCode="0.0">
                  <c:v>6.6868728567710898</c:v>
                </c:pt>
                <c:pt idx="98" formatCode="0.0">
                  <c:v>6.3826831660844396</c:v>
                </c:pt>
                <c:pt idx="99" formatCode="0.0">
                  <c:v>7.0154705850660299</c:v>
                </c:pt>
                <c:pt idx="100" formatCode="0.0">
                  <c:v>7.6750964375319999</c:v>
                </c:pt>
                <c:pt idx="101" formatCode="0.0">
                  <c:v>7.9771332818207599</c:v>
                </c:pt>
                <c:pt idx="102" formatCode="0.0">
                  <c:v>7.3374611779244994</c:v>
                </c:pt>
                <c:pt idx="103" formatCode="0.0">
                  <c:v>6.9133080043150592</c:v>
                </c:pt>
                <c:pt idx="104" formatCode="0.0">
                  <c:v>6.2200264271244201</c:v>
                </c:pt>
                <c:pt idx="105" formatCode="0.0">
                  <c:v>6.2759912002625304</c:v>
                </c:pt>
                <c:pt idx="106" formatCode="0.0">
                  <c:v>6.1984694979180297</c:v>
                </c:pt>
                <c:pt idx="107" formatCode="0.0">
                  <c:v>6.2676493137497502</c:v>
                </c:pt>
                <c:pt idx="108" formatCode="0.0">
                  <c:v>6.4452434368441791</c:v>
                </c:pt>
                <c:pt idx="109" formatCode="0.0">
                  <c:v>6.58590500062631</c:v>
                </c:pt>
                <c:pt idx="110" formatCode="0.0">
                  <c:v>6.3472266144831204</c:v>
                </c:pt>
                <c:pt idx="111" formatCode="0.0">
                  <c:v>6.0684051318910495</c:v>
                </c:pt>
              </c:numCache>
            </c:numRef>
          </c:val>
          <c:smooth val="0"/>
          <c:extLst>
            <c:ext xmlns:c16="http://schemas.microsoft.com/office/drawing/2014/chart" uri="{C3380CC4-5D6E-409C-BE32-E72D297353CC}">
              <c16:uniqueId val="{00000002-E850-417B-95DA-4ED900504230}"/>
            </c:ext>
          </c:extLst>
        </c:ser>
        <c:ser>
          <c:idx val="3"/>
          <c:order val="3"/>
          <c:tx>
            <c:strRef>
              <c:f>'Chart Data'!$J$2</c:f>
              <c:strCache>
                <c:ptCount val="1"/>
                <c:pt idx="0">
                  <c:v>ZERO LINE</c:v>
                </c:pt>
              </c:strCache>
            </c:strRef>
          </c:tx>
          <c:spPr>
            <a:ln w="12700">
              <a:solidFill>
                <a:srgbClr val="495057"/>
              </a:solidFill>
            </a:ln>
          </c:spPr>
          <c:marker>
            <c:symbol val="none"/>
          </c:marker>
          <c:cat>
            <c:numRef>
              <c:f>'Chart Data'!$F$3:$F$116</c:f>
              <c:numCache>
                <c:formatCode>m/d/yyyy</c:formatCode>
                <c:ptCount val="11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numCache>
            </c:numRef>
          </c:cat>
          <c:val>
            <c:numRef>
              <c:f>'Chart Data'!$J$3:$J$116</c:f>
              <c:numCache>
                <c:formatCode>General</c:formatCode>
                <c:ptCount val="11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in val="43101"/>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1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3"/>
        <c:delete val="1"/>
      </c:legendEntry>
      <c:layout>
        <c:manualLayout>
          <c:xMode val="edge"/>
          <c:yMode val="edge"/>
          <c:x val="7.4725625398520082E-2"/>
          <c:y val="0.11486707725890699"/>
          <c:w val="0.49001290092975663"/>
          <c:h val="0.1791089886152854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E2F9228-C3D2-465C-BBA6-C435682C7FC9}">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B8F6EA7-779B-46A3-95C7-22EE1D4F6E56}">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5619750" cy="4483100"/>
    <xdr:graphicFrame macro="">
      <xdr:nvGraphicFramePr>
        <xdr:cNvPr id="2" name="Chart 1">
          <a:extLst>
            <a:ext uri="{FF2B5EF4-FFF2-40B4-BE49-F238E27FC236}">
              <a16:creationId xmlns:a16="http://schemas.microsoft.com/office/drawing/2014/main" id="{6E97B16F-4E02-E68A-B74A-97CBE2A03A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CB6CD54C-5BAA-7FBC-3259-79F82DD3921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Private sector regular pay growth</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718FF5D1-80CA-5DFB-AA54-87235626E19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a:t>
          </a:r>
        </a:p>
      </cdr:txBody>
    </cdr:sp>
  </cdr:relSizeAnchor>
  <cdr:relSizeAnchor xmlns:cdr="http://schemas.openxmlformats.org/drawingml/2006/chartDrawing">
    <cdr:from>
      <cdr:x>0.00791</cdr:x>
      <cdr:y>0.07124</cdr:y>
    </cdr:from>
    <cdr:to>
      <cdr:x>0.36269</cdr:x>
      <cdr:y>0.12219</cdr:y>
    </cdr:to>
    <cdr:sp macro="" textlink="">
      <cdr:nvSpPr>
        <cdr:cNvPr id="6" name="TextBox 5">
          <a:extLst xmlns:a="http://schemas.openxmlformats.org/drawingml/2006/main">
            <a:ext uri="{FF2B5EF4-FFF2-40B4-BE49-F238E27FC236}">
              <a16:creationId xmlns:a16="http://schemas.microsoft.com/office/drawing/2014/main" id="{0C637631-8108-2795-FAD6-3F1788598D4D}"/>
            </a:ext>
          </a:extLst>
        </cdr:cNvPr>
        <cdr:cNvSpPr txBox="1"/>
      </cdr:nvSpPr>
      <cdr:spPr>
        <a:xfrm xmlns:a="http://schemas.openxmlformats.org/drawingml/2006/main">
          <a:off x="66675" y="479425"/>
          <a:ext cx="29908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3m-on-3m a year ago</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0F8AF7E-FE2F-57BB-2BD6-F64B736E9B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A979F04C-255A-86FD-72A1-D81553C09F8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Measures of pay growth</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4EE7E00B-592B-FDBF-DC2D-85FEDBF21A94}"/>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ONS</a:t>
          </a:r>
        </a:p>
      </cdr:txBody>
    </cdr:sp>
  </cdr:relSizeAnchor>
  <cdr:relSizeAnchor xmlns:cdr="http://schemas.openxmlformats.org/drawingml/2006/chartDrawing">
    <cdr:from>
      <cdr:x>0.00791</cdr:x>
      <cdr:y>0.06982</cdr:y>
    </cdr:from>
    <cdr:to>
      <cdr:x>0.17739</cdr:x>
      <cdr:y>0.12078</cdr:y>
    </cdr:to>
    <cdr:sp macro="" textlink="">
      <cdr:nvSpPr>
        <cdr:cNvPr id="6" name="TextBox 5">
          <a:extLst xmlns:a="http://schemas.openxmlformats.org/drawingml/2006/main">
            <a:ext uri="{FF2B5EF4-FFF2-40B4-BE49-F238E27FC236}">
              <a16:creationId xmlns:a16="http://schemas.microsoft.com/office/drawing/2014/main" id="{AE52872E-B44A-15C0-80FE-9A6D8E329F4D}"/>
            </a:ext>
          </a:extLst>
        </cdr:cNvPr>
        <cdr:cNvSpPr txBox="1"/>
      </cdr:nvSpPr>
      <cdr:spPr>
        <a:xfrm xmlns:a="http://schemas.openxmlformats.org/drawingml/2006/main">
          <a:off x="66675" y="469900"/>
          <a:ext cx="14287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KAI7@U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0775-FC22-4ECE-9572-09E93946A392}">
  <dimension ref="A1:J121"/>
  <sheetViews>
    <sheetView workbookViewId="0">
      <selection activeCell="G2" sqref="G2"/>
    </sheetView>
  </sheetViews>
  <sheetFormatPr defaultRowHeight="15" x14ac:dyDescent="0.25"/>
  <cols>
    <col min="1" max="1" width="10.7109375" bestFit="1" customWidth="1"/>
    <col min="5" max="5" width="2.7109375" customWidth="1"/>
    <col min="6" max="6" width="10.7109375" bestFit="1" customWidth="1"/>
    <col min="11" max="11" width="2.7109375" customWidth="1"/>
  </cols>
  <sheetData>
    <row r="1" spans="1:10" x14ac:dyDescent="0.25">
      <c r="A1" s="11" t="s">
        <v>358</v>
      </c>
      <c r="F1" s="11" t="s">
        <v>308</v>
      </c>
    </row>
    <row r="2" spans="1:10" x14ac:dyDescent="0.25">
      <c r="B2" t="s">
        <v>359</v>
      </c>
      <c r="C2" t="s">
        <v>360</v>
      </c>
      <c r="D2" t="s">
        <v>361</v>
      </c>
      <c r="G2" t="s">
        <v>362</v>
      </c>
      <c r="H2" t="s">
        <v>309</v>
      </c>
      <c r="I2" t="s">
        <v>311</v>
      </c>
      <c r="J2" t="s">
        <v>310</v>
      </c>
    </row>
    <row r="3" spans="1:10" x14ac:dyDescent="0.25">
      <c r="A3" s="12">
        <v>44562</v>
      </c>
      <c r="B3" s="13">
        <f>HAVERM!F151</f>
        <v>4.2</v>
      </c>
      <c r="F3" s="12">
        <v>42005</v>
      </c>
      <c r="G3" s="13">
        <f>100*((HAVERM!E67/HAVERM!E55)-1)</f>
        <v>1.5873015873015817</v>
      </c>
      <c r="H3" s="13" t="e">
        <f>100*((HAVERM!C67/HAVERM!C55)-1)</f>
        <v>#N/A</v>
      </c>
      <c r="I3" t="e">
        <f>NA()</f>
        <v>#N/A</v>
      </c>
      <c r="J3">
        <v>0</v>
      </c>
    </row>
    <row r="4" spans="1:10" x14ac:dyDescent="0.25">
      <c r="A4" s="12">
        <v>44593</v>
      </c>
      <c r="B4" s="13">
        <f>HAVERM!F152</f>
        <v>4.5999999999999996</v>
      </c>
      <c r="F4" s="12">
        <v>42036</v>
      </c>
      <c r="G4" s="13">
        <f>100*((HAVERM!E68/HAVERM!E56)-1)</f>
        <v>2.2727272727272707</v>
      </c>
      <c r="H4" s="13" t="e">
        <f>100*((HAVERM!C68/HAVERM!C56)-1)</f>
        <v>#N/A</v>
      </c>
      <c r="I4" t="e">
        <f>NA()</f>
        <v>#N/A</v>
      </c>
      <c r="J4">
        <v>0</v>
      </c>
    </row>
    <row r="5" spans="1:10" x14ac:dyDescent="0.25">
      <c r="A5" s="12">
        <v>44621</v>
      </c>
      <c r="B5" s="13">
        <f>HAVERM!F153</f>
        <v>4.9000000000000004</v>
      </c>
      <c r="F5" s="12">
        <v>42064</v>
      </c>
      <c r="G5" s="13">
        <f>100*((HAVERM!E69/HAVERM!E57)-1)</f>
        <v>2.9612756264236983</v>
      </c>
      <c r="H5" s="13" t="e">
        <f>100*((HAVERM!C69/HAVERM!C57)-1)</f>
        <v>#N/A</v>
      </c>
      <c r="I5" t="e">
        <f>NA()</f>
        <v>#N/A</v>
      </c>
      <c r="J5">
        <v>0</v>
      </c>
    </row>
    <row r="6" spans="1:10" x14ac:dyDescent="0.25">
      <c r="A6" s="12">
        <v>44652</v>
      </c>
      <c r="B6" s="13">
        <f>HAVERM!F154</f>
        <v>4.8</v>
      </c>
      <c r="F6" s="12">
        <v>42095</v>
      </c>
      <c r="G6" s="13">
        <f>100*((HAVERM!E70/HAVERM!E58)-1)</f>
        <v>2.7272727272727337</v>
      </c>
      <c r="H6" s="13" t="e">
        <f>100*((HAVERM!C70/HAVERM!C58)-1)</f>
        <v>#N/A</v>
      </c>
      <c r="I6" t="e">
        <f>NA()</f>
        <v>#N/A</v>
      </c>
      <c r="J6">
        <v>0</v>
      </c>
    </row>
    <row r="7" spans="1:10" x14ac:dyDescent="0.25">
      <c r="A7" s="12">
        <v>44682</v>
      </c>
      <c r="B7" s="13">
        <f>HAVERM!F155</f>
        <v>5.0999999999999996</v>
      </c>
      <c r="F7" s="12">
        <v>42125</v>
      </c>
      <c r="G7" s="13">
        <f>100*((HAVERM!E71/HAVERM!E59)-1)</f>
        <v>2.7210884353741527</v>
      </c>
      <c r="H7" s="13" t="e">
        <f>100*((HAVERM!C71/HAVERM!C59)-1)</f>
        <v>#N/A</v>
      </c>
      <c r="I7" t="e">
        <f>NA()</f>
        <v>#N/A</v>
      </c>
      <c r="J7">
        <v>0</v>
      </c>
    </row>
    <row r="8" spans="1:10" x14ac:dyDescent="0.25">
      <c r="A8" s="12">
        <v>44713</v>
      </c>
      <c r="B8" s="13">
        <f>HAVERM!F156</f>
        <v>5.4</v>
      </c>
      <c r="F8" s="12">
        <v>42156</v>
      </c>
      <c r="G8" s="13">
        <f>100*((HAVERM!E72/HAVERM!E60)-1)</f>
        <v>2.7210884353741527</v>
      </c>
      <c r="H8" s="13" t="e">
        <f>100*((HAVERM!C72/HAVERM!C60)-1)</f>
        <v>#N/A</v>
      </c>
      <c r="I8" t="e">
        <f>NA()</f>
        <v>#N/A</v>
      </c>
      <c r="J8">
        <v>0</v>
      </c>
    </row>
    <row r="9" spans="1:10" x14ac:dyDescent="0.25">
      <c r="A9" s="12">
        <v>44743</v>
      </c>
      <c r="B9" s="13">
        <f>HAVERM!F157</f>
        <v>6</v>
      </c>
      <c r="F9" s="12">
        <v>42186</v>
      </c>
      <c r="G9" s="13">
        <f>100*((HAVERM!E73/HAVERM!E61)-1)</f>
        <v>2.7149321266968229</v>
      </c>
      <c r="H9" s="13">
        <f>100*((HAVERM!C73/HAVERM!C61)-1)</f>
        <v>1.3141426783479293</v>
      </c>
      <c r="I9" s="13">
        <f>100*'27. Median of pay growth (UK)'!B8</f>
        <v>2.4889672618867897</v>
      </c>
      <c r="J9">
        <v>0</v>
      </c>
    </row>
    <row r="10" spans="1:10" x14ac:dyDescent="0.25">
      <c r="A10" s="12">
        <v>44774</v>
      </c>
      <c r="B10" s="13">
        <f>HAVERM!F158</f>
        <v>6.2</v>
      </c>
      <c r="F10" s="12">
        <v>42217</v>
      </c>
      <c r="G10" s="13">
        <f>100*((HAVERM!E74/HAVERM!E62)-1)</f>
        <v>2.483069977426644</v>
      </c>
      <c r="H10" s="13">
        <f>100*((HAVERM!C74/HAVERM!C62)-1)</f>
        <v>0.93691442848220507</v>
      </c>
      <c r="I10" s="13">
        <f>100*'27. Median of pay growth (UK)'!B9</f>
        <v>2.3484693885670898</v>
      </c>
      <c r="J10">
        <v>0</v>
      </c>
    </row>
    <row r="11" spans="1:10" x14ac:dyDescent="0.25">
      <c r="A11" s="12">
        <v>44805</v>
      </c>
      <c r="B11" s="13">
        <f>HAVERM!F159</f>
        <v>6.6</v>
      </c>
      <c r="F11" s="12">
        <v>42248</v>
      </c>
      <c r="G11" s="13">
        <f>100*((HAVERM!E75/HAVERM!E63)-1)</f>
        <v>2.0224719101123556</v>
      </c>
      <c r="H11" s="13">
        <f>100*((HAVERM!C75/HAVERM!C63)-1)</f>
        <v>1.0618363522798324</v>
      </c>
      <c r="I11" s="13">
        <f>100*'27. Median of pay growth (UK)'!B10</f>
        <v>2.35160215831467</v>
      </c>
      <c r="J11">
        <v>0</v>
      </c>
    </row>
    <row r="12" spans="1:10" x14ac:dyDescent="0.25">
      <c r="A12" s="12">
        <v>44835</v>
      </c>
      <c r="B12" s="13">
        <f>HAVERM!F160</f>
        <v>6.9</v>
      </c>
      <c r="F12" s="12">
        <v>42278</v>
      </c>
      <c r="G12" s="13">
        <f>100*((HAVERM!E76/HAVERM!E64)-1)</f>
        <v>1.5659955257270708</v>
      </c>
      <c r="H12" s="13">
        <f>100*((HAVERM!C76/HAVERM!C64)-1)</f>
        <v>1.3084112149532645</v>
      </c>
      <c r="I12" s="13">
        <f>100*'27. Median of pay growth (UK)'!B11</f>
        <v>2.4985884072011801</v>
      </c>
      <c r="J12">
        <v>0</v>
      </c>
    </row>
    <row r="13" spans="1:10" x14ac:dyDescent="0.25">
      <c r="A13" s="12">
        <v>44866</v>
      </c>
      <c r="B13" s="13">
        <f>HAVERM!F161</f>
        <v>7.3</v>
      </c>
      <c r="F13" s="12">
        <v>42309</v>
      </c>
      <c r="G13" s="13">
        <f>100*((HAVERM!E77/HAVERM!E65)-1)</f>
        <v>2.2471910112359605</v>
      </c>
      <c r="H13" s="13">
        <f>100*((HAVERM!C77/HAVERM!C65)-1)</f>
        <v>1.3681592039801016</v>
      </c>
      <c r="I13" s="13">
        <f>100*'27. Median of pay growth (UK)'!B12</f>
        <v>2.5616065386885101</v>
      </c>
      <c r="J13">
        <v>0</v>
      </c>
    </row>
    <row r="14" spans="1:10" x14ac:dyDescent="0.25">
      <c r="A14" s="12">
        <v>44896</v>
      </c>
      <c r="B14" s="13">
        <f>HAVERM!F162</f>
        <v>7.3</v>
      </c>
      <c r="F14" s="12">
        <v>42339</v>
      </c>
      <c r="G14" s="13">
        <f>100*((HAVERM!E78/HAVERM!E66)-1)</f>
        <v>2.0134228187919545</v>
      </c>
      <c r="H14" s="13">
        <f>100*((HAVERM!C78/HAVERM!C66)-1)</f>
        <v>0.86580086580085869</v>
      </c>
      <c r="I14" s="13">
        <f>100*'27. Median of pay growth (UK)'!B13</f>
        <v>2.2366047827981199</v>
      </c>
      <c r="J14">
        <v>0</v>
      </c>
    </row>
    <row r="15" spans="1:10" x14ac:dyDescent="0.25">
      <c r="A15" s="12">
        <v>44927</v>
      </c>
      <c r="B15" s="13">
        <f>HAVERM!F163</f>
        <v>7.1</v>
      </c>
      <c r="F15" s="12">
        <v>42370</v>
      </c>
      <c r="G15" s="13">
        <f>100*((HAVERM!E79/HAVERM!E67)-1)</f>
        <v>2.4553571428571397</v>
      </c>
      <c r="H15" s="13">
        <f>100*((HAVERM!C79/HAVERM!C67)-1)</f>
        <v>1.1111111111111072</v>
      </c>
      <c r="I15" s="13">
        <f>100*'27. Median of pay growth (UK)'!B14</f>
        <v>2.3930829638831903</v>
      </c>
      <c r="J15">
        <v>0</v>
      </c>
    </row>
    <row r="16" spans="1:10" x14ac:dyDescent="0.25">
      <c r="A16" s="12">
        <v>44958</v>
      </c>
      <c r="B16" s="13">
        <f>HAVERM!F164</f>
        <v>7.1</v>
      </c>
      <c r="F16" s="12">
        <v>42401</v>
      </c>
      <c r="G16" s="13">
        <f>100*((HAVERM!E80/HAVERM!E68)-1)</f>
        <v>2.4444444444444491</v>
      </c>
      <c r="H16" s="13">
        <f>100*((HAVERM!C80/HAVERM!C68)-1)</f>
        <v>1.2345679012345734</v>
      </c>
      <c r="I16" s="13">
        <f>100*'27. Median of pay growth (UK)'!B15</f>
        <v>2.4444048784128198</v>
      </c>
      <c r="J16">
        <v>0</v>
      </c>
    </row>
    <row r="17" spans="1:10" x14ac:dyDescent="0.25">
      <c r="A17" s="12">
        <v>44986</v>
      </c>
      <c r="B17" s="13">
        <f>HAVERM!F165</f>
        <v>7.2</v>
      </c>
      <c r="F17" s="12">
        <v>42430</v>
      </c>
      <c r="G17" s="13">
        <f>100*((HAVERM!E81/HAVERM!E69)-1)</f>
        <v>2.2123893805309658</v>
      </c>
      <c r="H17" s="13">
        <f>100*((HAVERM!C81/HAVERM!C69)-1)</f>
        <v>1.7305315203955507</v>
      </c>
      <c r="I17" s="13">
        <f>100*'27. Median of pay growth (UK)'!B16</f>
        <v>2.49830528074932</v>
      </c>
      <c r="J17">
        <v>0</v>
      </c>
    </row>
    <row r="18" spans="1:10" x14ac:dyDescent="0.25">
      <c r="A18" s="12">
        <v>45017</v>
      </c>
      <c r="B18" s="13">
        <f>HAVERM!F166</f>
        <v>7.7</v>
      </c>
      <c r="F18" s="12">
        <v>42461</v>
      </c>
      <c r="G18" s="13">
        <f>100*((HAVERM!E82/HAVERM!E70)-1)</f>
        <v>2.433628318584069</v>
      </c>
      <c r="H18" s="13">
        <f>100*((HAVERM!C82/HAVERM!C70)-1)</f>
        <v>2.3543990086740907</v>
      </c>
      <c r="I18" s="13">
        <f>100*'27. Median of pay growth (UK)'!B17</f>
        <v>2.5818763647238701</v>
      </c>
      <c r="J18">
        <v>0</v>
      </c>
    </row>
    <row r="19" spans="1:10" x14ac:dyDescent="0.25">
      <c r="A19" s="12">
        <v>45047</v>
      </c>
      <c r="B19" s="13">
        <f>HAVERM!F167</f>
        <v>7.9</v>
      </c>
      <c r="F19" s="12">
        <v>42491</v>
      </c>
      <c r="G19" s="13">
        <f>100*((HAVERM!E83/HAVERM!E71)-1)</f>
        <v>1.9867549668874274</v>
      </c>
      <c r="H19" s="13">
        <f>100*((HAVERM!C83/HAVERM!C71)-1)</f>
        <v>2.2910216718266208</v>
      </c>
      <c r="I19" s="13">
        <f>100*'27. Median of pay growth (UK)'!B18</f>
        <v>2.5051779301199701</v>
      </c>
      <c r="J19">
        <v>0</v>
      </c>
    </row>
    <row r="20" spans="1:10" x14ac:dyDescent="0.25">
      <c r="A20" s="12">
        <v>45078</v>
      </c>
      <c r="B20" s="13">
        <f>HAVERM!F168</f>
        <v>8.1999999999999993</v>
      </c>
      <c r="F20" s="12">
        <v>42522</v>
      </c>
      <c r="G20" s="13">
        <f>100*((HAVERM!E84/HAVERM!E72)-1)</f>
        <v>2.4282560706401668</v>
      </c>
      <c r="H20" s="13">
        <f>100*((HAVERM!C84/HAVERM!C72)-1)</f>
        <v>2.3514851485148425</v>
      </c>
      <c r="I20" s="13">
        <f>100*'27. Median of pay growth (UK)'!B19</f>
        <v>2.7992266958392098</v>
      </c>
      <c r="J20">
        <v>0</v>
      </c>
    </row>
    <row r="21" spans="1:10" x14ac:dyDescent="0.25">
      <c r="A21" s="12">
        <v>45108</v>
      </c>
      <c r="B21" s="13">
        <f>HAVERM!F169</f>
        <v>8.1</v>
      </c>
      <c r="F21" s="12">
        <v>42552</v>
      </c>
      <c r="G21" s="13">
        <f>100*((HAVERM!E85/HAVERM!E73)-1)</f>
        <v>2.2026431718061623</v>
      </c>
      <c r="H21" s="13">
        <f>100*((HAVERM!C85/HAVERM!C73)-1)</f>
        <v>2.4706609017912218</v>
      </c>
      <c r="I21" s="13">
        <f>100*'27. Median of pay growth (UK)'!B20</f>
        <v>2.7670511585604798</v>
      </c>
      <c r="J21">
        <v>0</v>
      </c>
    </row>
    <row r="22" spans="1:10" x14ac:dyDescent="0.25">
      <c r="A22" s="12">
        <v>45139</v>
      </c>
      <c r="B22" s="13">
        <f>HAVERM!F170</f>
        <v>8.1</v>
      </c>
      <c r="F22" s="12">
        <v>42583</v>
      </c>
      <c r="G22" s="13">
        <f>100*((HAVERM!E86/HAVERM!E74)-1)</f>
        <v>2.2026431718061623</v>
      </c>
      <c r="H22" s="13">
        <f>100*((HAVERM!C86/HAVERM!C74)-1)</f>
        <v>2.6608910891089188</v>
      </c>
      <c r="I22" s="13">
        <f>100*'27. Median of pay growth (UK)'!B21</f>
        <v>2.7804751647047401</v>
      </c>
      <c r="J22">
        <v>0</v>
      </c>
    </row>
    <row r="23" spans="1:10" x14ac:dyDescent="0.25">
      <c r="A23" s="12">
        <v>45170</v>
      </c>
      <c r="B23" s="13">
        <f>HAVERM!F171</f>
        <v>7.9</v>
      </c>
      <c r="F23" s="12">
        <v>42614</v>
      </c>
      <c r="G23" s="13">
        <f>100*((HAVERM!E87/HAVERM!E75)-1)</f>
        <v>2.6431718061673992</v>
      </c>
      <c r="H23" s="13">
        <f>100*((HAVERM!C87/HAVERM!C75)-1)</f>
        <v>2.8430160692212603</v>
      </c>
      <c r="I23" s="13">
        <f>100*'27. Median of pay growth (UK)'!B22</f>
        <v>2.75220782332898</v>
      </c>
      <c r="J23">
        <v>0</v>
      </c>
    </row>
    <row r="24" spans="1:10" x14ac:dyDescent="0.25">
      <c r="A24" s="12">
        <v>45200</v>
      </c>
      <c r="B24" s="13">
        <f>HAVERM!F172</f>
        <v>7.2</v>
      </c>
      <c r="F24" s="12">
        <v>42644</v>
      </c>
      <c r="G24" s="13">
        <f>100*((HAVERM!E88/HAVERM!E76)-1)</f>
        <v>2.4229074889867919</v>
      </c>
      <c r="H24" s="13">
        <f>100*((HAVERM!C88/HAVERM!C76)-1)</f>
        <v>2.2755227552275548</v>
      </c>
      <c r="I24" s="13">
        <f>100*'27. Median of pay growth (UK)'!B23</f>
        <v>2.7130654311370499</v>
      </c>
      <c r="J24">
        <v>0</v>
      </c>
    </row>
    <row r="25" spans="1:10" x14ac:dyDescent="0.25">
      <c r="A25" s="12">
        <v>45231</v>
      </c>
      <c r="B25" s="13">
        <f>HAVERM!F173</f>
        <v>6.6</v>
      </c>
      <c r="F25" s="12">
        <v>42675</v>
      </c>
      <c r="G25" s="13">
        <f>100*((HAVERM!E89/HAVERM!E77)-1)</f>
        <v>2.637362637362628</v>
      </c>
      <c r="H25" s="13">
        <f>100*((HAVERM!C89/HAVERM!C77)-1)</f>
        <v>2.2085889570552242</v>
      </c>
      <c r="I25" s="13">
        <f>100*'27. Median of pay growth (UK)'!B24</f>
        <v>2.5994524464643303</v>
      </c>
      <c r="J25">
        <v>0</v>
      </c>
    </row>
    <row r="26" spans="1:10" x14ac:dyDescent="0.25">
      <c r="A26" s="12">
        <v>45261</v>
      </c>
      <c r="B26" s="13">
        <f>HAVERM!F174</f>
        <v>6.2</v>
      </c>
      <c r="F26" s="12">
        <v>42705</v>
      </c>
      <c r="G26" s="13">
        <f>100*((HAVERM!E90/HAVERM!E78)-1)</f>
        <v>2.1929824561403466</v>
      </c>
      <c r="H26" s="13">
        <f>100*((HAVERM!C90/HAVERM!C78)-1)</f>
        <v>2.2685469037400319</v>
      </c>
      <c r="I26" s="13">
        <f>100*'27. Median of pay growth (UK)'!B25</f>
        <v>2.6796244775685198</v>
      </c>
      <c r="J26">
        <v>0</v>
      </c>
    </row>
    <row r="27" spans="1:10" x14ac:dyDescent="0.25">
      <c r="A27" s="12">
        <v>45292</v>
      </c>
      <c r="B27" s="13">
        <f>HAVERM!F175</f>
        <v>6.1</v>
      </c>
      <c r="F27" s="12">
        <v>42736</v>
      </c>
      <c r="G27" s="13">
        <f>100*((HAVERM!E91/HAVERM!E79)-1)</f>
        <v>1.9607843137254832</v>
      </c>
      <c r="H27" s="13">
        <f>100*((HAVERM!C91/HAVERM!C79)-1)</f>
        <v>1.831501831501825</v>
      </c>
      <c r="I27" s="13">
        <f>100*'27. Median of pay growth (UK)'!B26</f>
        <v>2.5852918766775703</v>
      </c>
      <c r="J27">
        <v>0</v>
      </c>
    </row>
    <row r="28" spans="1:10" x14ac:dyDescent="0.25">
      <c r="A28" s="12">
        <v>45323</v>
      </c>
      <c r="B28" s="13">
        <f>HAVERM!F176</f>
        <v>6</v>
      </c>
      <c r="F28" s="12">
        <v>42767</v>
      </c>
      <c r="G28" s="13">
        <f>100*((HAVERM!E92/HAVERM!E80)-1)</f>
        <v>1.7353579175704903</v>
      </c>
      <c r="H28" s="13">
        <f>100*((HAVERM!C92/HAVERM!C80)-1)</f>
        <v>2.2560975609756007</v>
      </c>
      <c r="I28" s="13">
        <f>100*'27. Median of pay growth (UK)'!B27</f>
        <v>2.6010750468513097</v>
      </c>
      <c r="J28">
        <v>0</v>
      </c>
    </row>
    <row r="29" spans="1:10" x14ac:dyDescent="0.25">
      <c r="A29" s="12">
        <v>45352</v>
      </c>
      <c r="B29" s="13">
        <f>HAVERM!F177</f>
        <v>5.9</v>
      </c>
      <c r="C29">
        <f>'Feb24 MPR - Chart 2.16'!B31</f>
        <v>5.7</v>
      </c>
      <c r="D29">
        <f>'May24 MPR Chart 3.10'!B15</f>
        <v>6</v>
      </c>
      <c r="F29" s="12">
        <v>42795</v>
      </c>
      <c r="G29" s="13">
        <f>100*((HAVERM!E93/HAVERM!E81)-1)</f>
        <v>1.7316017316017396</v>
      </c>
      <c r="H29" s="13">
        <f>100*((HAVERM!C93/HAVERM!C81)-1)</f>
        <v>2.4301336573511634</v>
      </c>
      <c r="I29" s="13">
        <f>100*'27. Median of pay growth (UK)'!B28</f>
        <v>2.4728237780940701</v>
      </c>
      <c r="J29">
        <v>0</v>
      </c>
    </row>
    <row r="30" spans="1:10" x14ac:dyDescent="0.25">
      <c r="A30" s="12">
        <v>45383</v>
      </c>
      <c r="F30" s="12">
        <v>42826</v>
      </c>
      <c r="G30" s="13">
        <f>100*((HAVERM!E94/HAVERM!E82)-1)</f>
        <v>1.7278617710583255</v>
      </c>
      <c r="H30" s="13">
        <f>100*((HAVERM!C94/HAVERM!C82)-1)</f>
        <v>2.2397094430992803</v>
      </c>
      <c r="I30" s="13">
        <f>100*'27. Median of pay growth (UK)'!B29</f>
        <v>2.56646566189715</v>
      </c>
      <c r="J30">
        <v>0</v>
      </c>
    </row>
    <row r="31" spans="1:10" x14ac:dyDescent="0.25">
      <c r="A31" s="12">
        <v>45413</v>
      </c>
      <c r="F31" s="12">
        <v>42856</v>
      </c>
      <c r="G31" s="13">
        <f>100*((HAVERM!E95/HAVERM!E83)-1)</f>
        <v>2.3809523809523725</v>
      </c>
      <c r="H31" s="13">
        <f>100*((HAVERM!C95/HAVERM!C83)-1)</f>
        <v>2.300242130750596</v>
      </c>
      <c r="I31" s="13">
        <f>100*'27. Median of pay growth (UK)'!B30</f>
        <v>2.6631735023526901</v>
      </c>
      <c r="J31">
        <v>0</v>
      </c>
    </row>
    <row r="32" spans="1:10" x14ac:dyDescent="0.25">
      <c r="A32" s="12">
        <v>45444</v>
      </c>
      <c r="C32">
        <f>'Feb24 MPR - Chart 2.16'!B32</f>
        <v>4.7</v>
      </c>
      <c r="D32">
        <f>'May24 MPR Chart 3.10'!B16</f>
        <v>5.0999999999999996</v>
      </c>
      <c r="F32" s="12">
        <v>42887</v>
      </c>
      <c r="G32" s="13">
        <f>100*((HAVERM!E96/HAVERM!E84)-1)</f>
        <v>1.93965517241379</v>
      </c>
      <c r="H32" s="13">
        <f>100*((HAVERM!C96/HAVERM!C84)-1)</f>
        <v>2.4183796856106499</v>
      </c>
      <c r="I32" s="13">
        <f>100*'27. Median of pay growth (UK)'!B31</f>
        <v>2.3956531564097001</v>
      </c>
      <c r="J32">
        <v>0</v>
      </c>
    </row>
    <row r="33" spans="1:10" x14ac:dyDescent="0.25">
      <c r="A33" s="12">
        <v>45474</v>
      </c>
      <c r="F33" s="12">
        <v>42917</v>
      </c>
      <c r="G33" s="13">
        <f>100*((HAVERM!E97/HAVERM!E85)-1)</f>
        <v>2.155172413793105</v>
      </c>
      <c r="H33" s="13">
        <f>100*((HAVERM!C97/HAVERM!C85)-1)</f>
        <v>2.0494273658830719</v>
      </c>
      <c r="I33" s="13">
        <f>100*'27. Median of pay growth (UK)'!B32</f>
        <v>2.4104324186158701</v>
      </c>
      <c r="J33">
        <v>0</v>
      </c>
    </row>
    <row r="34" spans="1:10" x14ac:dyDescent="0.25">
      <c r="A34" s="12">
        <v>45505</v>
      </c>
      <c r="F34" s="12">
        <v>42948</v>
      </c>
      <c r="G34" s="13">
        <f>100*((HAVERM!E98/HAVERM!E86)-1)</f>
        <v>2.3706896551724199</v>
      </c>
      <c r="H34" s="13">
        <f>100*((HAVERM!C98/HAVERM!C86)-1)</f>
        <v>2.4110910186859513</v>
      </c>
      <c r="I34" s="13">
        <f>100*'27. Median of pay growth (UK)'!B33</f>
        <v>2.5656704738339102</v>
      </c>
      <c r="J34">
        <v>0</v>
      </c>
    </row>
    <row r="35" spans="1:10" x14ac:dyDescent="0.25">
      <c r="A35" s="12">
        <v>45536</v>
      </c>
      <c r="C35">
        <f>'Feb24 MPR - Chart 2.16'!B33</f>
        <v>4.4000000000000004</v>
      </c>
      <c r="D35">
        <f>'May24 MPR Chart 3.10'!B17</f>
        <v>4.8</v>
      </c>
      <c r="F35" s="12">
        <v>42979</v>
      </c>
      <c r="G35" s="13">
        <f>100*((HAVERM!E99/HAVERM!E87)-1)</f>
        <v>2.1459227467811148</v>
      </c>
      <c r="H35" s="13">
        <f>100*((HAVERM!C99/HAVERM!C87)-1)</f>
        <v>2.4038461538461453</v>
      </c>
      <c r="I35" s="13">
        <f>100*'27. Median of pay growth (UK)'!B34</f>
        <v>2.51220107955112</v>
      </c>
      <c r="J35">
        <v>0</v>
      </c>
    </row>
    <row r="36" spans="1:10" x14ac:dyDescent="0.25">
      <c r="F36" s="12">
        <v>43009</v>
      </c>
      <c r="G36" s="13">
        <f>100*((HAVERM!E100/HAVERM!E88)-1)</f>
        <v>2.3655913978494647</v>
      </c>
      <c r="H36" s="13">
        <f>100*((HAVERM!C100/HAVERM!C88)-1)</f>
        <v>2.5856885147324205</v>
      </c>
      <c r="I36" s="13">
        <f>100*'27. Median of pay growth (UK)'!B35</f>
        <v>2.5081778587232</v>
      </c>
      <c r="J36">
        <v>0</v>
      </c>
    </row>
    <row r="37" spans="1:10" x14ac:dyDescent="0.25">
      <c r="F37" s="12">
        <v>43040</v>
      </c>
      <c r="G37" s="13">
        <f>100*((HAVERM!E101/HAVERM!E89)-1)</f>
        <v>2.3554603854389677</v>
      </c>
      <c r="H37" s="13">
        <f>100*((HAVERM!C101/HAVERM!C89)-1)</f>
        <v>2.8211284513805612</v>
      </c>
      <c r="I37" s="13">
        <f>100*'27. Median of pay growth (UK)'!B36</f>
        <v>2.6620041983129301</v>
      </c>
      <c r="J37">
        <v>0</v>
      </c>
    </row>
    <row r="38" spans="1:10" x14ac:dyDescent="0.25">
      <c r="F38" s="12">
        <v>43070</v>
      </c>
      <c r="G38" s="13">
        <f>100*((HAVERM!E102/HAVERM!E90)-1)</f>
        <v>2.7896995708154515</v>
      </c>
      <c r="H38" s="13">
        <f>100*((HAVERM!C102/HAVERM!C90)-1)</f>
        <v>3.1774580335731439</v>
      </c>
      <c r="I38" s="13">
        <f>100*'27. Median of pay growth (UK)'!B37</f>
        <v>2.8207472007331003</v>
      </c>
      <c r="J38">
        <v>0</v>
      </c>
    </row>
    <row r="39" spans="1:10" x14ac:dyDescent="0.25">
      <c r="F39" s="12">
        <v>43101</v>
      </c>
      <c r="G39" s="13">
        <f>100*((HAVERM!E103/HAVERM!E91)-1)</f>
        <v>2.564102564102555</v>
      </c>
      <c r="H39" s="13">
        <f>100*((HAVERM!C103/HAVERM!C91)-1)</f>
        <v>3.3573141486810565</v>
      </c>
      <c r="I39" s="13">
        <f>100*'27. Median of pay growth (UK)'!B38</f>
        <v>2.9416855403338</v>
      </c>
      <c r="J39">
        <v>0</v>
      </c>
    </row>
    <row r="40" spans="1:10" x14ac:dyDescent="0.25">
      <c r="F40" s="12">
        <v>43132</v>
      </c>
      <c r="G40" s="13">
        <f>100*((HAVERM!E104/HAVERM!E92)-1)</f>
        <v>2.771855010660973</v>
      </c>
      <c r="H40" s="13">
        <f>100*((HAVERM!C104/HAVERM!C92)-1)</f>
        <v>3.0411449016100267</v>
      </c>
      <c r="I40" s="13">
        <f>100*'27. Median of pay growth (UK)'!B39</f>
        <v>2.9469416780688902</v>
      </c>
      <c r="J40">
        <v>0</v>
      </c>
    </row>
    <row r="41" spans="1:10" x14ac:dyDescent="0.25">
      <c r="F41" s="12">
        <v>43160</v>
      </c>
      <c r="G41" s="13">
        <f>100*((HAVERM!E105/HAVERM!E93)-1)</f>
        <v>2.9787234042553123</v>
      </c>
      <c r="H41" s="13">
        <f>100*((HAVERM!C105/HAVERM!C93)-1)</f>
        <v>2.6690391459074814</v>
      </c>
      <c r="I41" s="13">
        <f>100*'27. Median of pay growth (UK)'!B40</f>
        <v>2.91109358479491</v>
      </c>
      <c r="J41">
        <v>0</v>
      </c>
    </row>
    <row r="42" spans="1:10" x14ac:dyDescent="0.25">
      <c r="F42" s="12">
        <v>43191</v>
      </c>
      <c r="G42" s="13">
        <f>100*((HAVERM!E106/HAVERM!E94)-1)</f>
        <v>2.5477707006369421</v>
      </c>
      <c r="H42" s="13">
        <f>100*((HAVERM!C106/HAVERM!C94)-1)</f>
        <v>2.4274718768502179</v>
      </c>
      <c r="I42" s="13">
        <f>100*'27. Median of pay growth (UK)'!B41</f>
        <v>2.8498473566581102</v>
      </c>
      <c r="J42">
        <v>0</v>
      </c>
    </row>
    <row r="43" spans="1:10" x14ac:dyDescent="0.25">
      <c r="F43" s="12">
        <v>43221</v>
      </c>
      <c r="G43" s="13">
        <f>100*((HAVERM!E107/HAVERM!E95)-1)</f>
        <v>2.748414376321362</v>
      </c>
      <c r="H43" s="13">
        <f>100*((HAVERM!C107/HAVERM!C95)-1)</f>
        <v>3.4911242603550274</v>
      </c>
      <c r="I43" s="13">
        <f>100*'27. Median of pay growth (UK)'!B42</f>
        <v>3.0621080859181498</v>
      </c>
      <c r="J43">
        <v>0</v>
      </c>
    </row>
    <row r="44" spans="1:10" x14ac:dyDescent="0.25">
      <c r="F44" s="12">
        <v>43252</v>
      </c>
      <c r="G44" s="13">
        <f>100*((HAVERM!E108/HAVERM!E96)-1)</f>
        <v>2.9598308668076001</v>
      </c>
      <c r="H44" s="13">
        <f>100*((HAVERM!C108/HAVERM!C96)-1)</f>
        <v>3.6009445100354087</v>
      </c>
      <c r="I44" s="13">
        <f>100*'27. Median of pay growth (UK)'!B43</f>
        <v>3.1101528772429599</v>
      </c>
      <c r="J44">
        <v>0</v>
      </c>
    </row>
    <row r="45" spans="1:10" x14ac:dyDescent="0.25">
      <c r="F45" s="12">
        <v>43282</v>
      </c>
      <c r="G45" s="13">
        <f>100*((HAVERM!E109/HAVERM!E97)-1)</f>
        <v>3.1645569620253111</v>
      </c>
      <c r="H45" s="13">
        <f>100*((HAVERM!C109/HAVERM!C97)-1)</f>
        <v>3.4258712344949815</v>
      </c>
      <c r="I45" s="13">
        <f>100*'27. Median of pay growth (UK)'!B44</f>
        <v>3.1742203901262402</v>
      </c>
      <c r="J45">
        <v>0</v>
      </c>
    </row>
    <row r="46" spans="1:10" x14ac:dyDescent="0.25">
      <c r="F46" s="12">
        <v>43313</v>
      </c>
      <c r="G46" s="13">
        <f>100*((HAVERM!E110/HAVERM!E98)-1)</f>
        <v>3.3684210526315761</v>
      </c>
      <c r="H46" s="13">
        <f>100*((HAVERM!C110/HAVERM!C98)-1)</f>
        <v>4.237786933490284</v>
      </c>
      <c r="I46" s="13">
        <f>100*'27. Median of pay growth (UK)'!B45</f>
        <v>3.4253709754455999</v>
      </c>
      <c r="J46">
        <v>0</v>
      </c>
    </row>
    <row r="47" spans="1:10" x14ac:dyDescent="0.25">
      <c r="F47" s="12">
        <v>43344</v>
      </c>
      <c r="G47" s="13">
        <f>100*((HAVERM!E111/HAVERM!E99)-1)</f>
        <v>3.1512605042016917</v>
      </c>
      <c r="H47" s="13">
        <f>100*((HAVERM!C111/HAVERM!C99)-1)</f>
        <v>3.3450704225352013</v>
      </c>
      <c r="I47" s="13">
        <f>100*'27. Median of pay growth (UK)'!B46</f>
        <v>3.1767407898476501</v>
      </c>
      <c r="J47">
        <v>0</v>
      </c>
    </row>
    <row r="48" spans="1:10" x14ac:dyDescent="0.25">
      <c r="F48" s="12">
        <v>43374</v>
      </c>
      <c r="G48" s="13">
        <f>100*((HAVERM!E112/HAVERM!E100)-1)</f>
        <v>3.5714285714285809</v>
      </c>
      <c r="H48" s="13">
        <f>100*((HAVERM!C112/HAVERM!C100)-1)</f>
        <v>3.5756154747948354</v>
      </c>
      <c r="I48" s="13">
        <f>100*'27. Median of pay growth (UK)'!B47</f>
        <v>3.2483116461583599</v>
      </c>
      <c r="J48">
        <v>0</v>
      </c>
    </row>
    <row r="49" spans="6:10" x14ac:dyDescent="0.25">
      <c r="F49" s="12">
        <v>43405</v>
      </c>
      <c r="G49" s="13">
        <f>100*((HAVERM!E113/HAVERM!E101)-1)</f>
        <v>3.3472803347280422</v>
      </c>
      <c r="H49" s="13">
        <f>100*((HAVERM!C113/HAVERM!C101)-1)</f>
        <v>3.8528896672504365</v>
      </c>
      <c r="I49" s="13">
        <f>100*'27. Median of pay growth (UK)'!B48</f>
        <v>3.3412161796995701</v>
      </c>
      <c r="J49">
        <v>0</v>
      </c>
    </row>
    <row r="50" spans="6:10" x14ac:dyDescent="0.25">
      <c r="F50" s="12">
        <v>43435</v>
      </c>
      <c r="G50" s="13">
        <f>100*((HAVERM!E114/HAVERM!E102)-1)</f>
        <v>3.3402922755741082</v>
      </c>
      <c r="H50" s="13">
        <f>100*((HAVERM!C114/HAVERM!C102)-1)</f>
        <v>2.9633933759442233</v>
      </c>
      <c r="I50" s="13">
        <f>100*'27. Median of pay growth (UK)'!B49</f>
        <v>3.3236232695141199</v>
      </c>
      <c r="J50">
        <v>0</v>
      </c>
    </row>
    <row r="51" spans="6:10" x14ac:dyDescent="0.25">
      <c r="F51" s="12">
        <v>43466</v>
      </c>
      <c r="G51" s="13">
        <f>100*((HAVERM!E115/HAVERM!E103)-1)</f>
        <v>3.7500000000000089</v>
      </c>
      <c r="H51" s="13">
        <f>100*((HAVERM!C115/HAVERM!C103)-1)</f>
        <v>3.3642691415313175</v>
      </c>
      <c r="I51" s="13">
        <f>100*'27. Median of pay growth (UK)'!B50</f>
        <v>3.3503539908712798</v>
      </c>
      <c r="J51">
        <v>0</v>
      </c>
    </row>
    <row r="52" spans="6:10" x14ac:dyDescent="0.25">
      <c r="F52" s="12">
        <v>43497</v>
      </c>
      <c r="G52" s="13">
        <f>100*((HAVERM!E116/HAVERM!E104)-1)</f>
        <v>3.3195020746888071</v>
      </c>
      <c r="H52" s="13">
        <f>100*((HAVERM!C116/HAVERM!C104)-1)</f>
        <v>3.6458333333333259</v>
      </c>
      <c r="I52" s="13">
        <f>100*'27. Median of pay growth (UK)'!B51</f>
        <v>3.3444575856943999</v>
      </c>
      <c r="J52">
        <v>0</v>
      </c>
    </row>
    <row r="53" spans="6:10" x14ac:dyDescent="0.25">
      <c r="F53" s="12">
        <v>43525</v>
      </c>
      <c r="G53" s="13">
        <f>100*((HAVERM!E117/HAVERM!E105)-1)</f>
        <v>3.3057851239669311</v>
      </c>
      <c r="H53" s="13">
        <f>100*((HAVERM!C117/HAVERM!C105)-1)</f>
        <v>4.0439052570768297</v>
      </c>
      <c r="I53" s="13">
        <f>100*'27. Median of pay growth (UK)'!B52</f>
        <v>3.6254062540862901</v>
      </c>
      <c r="J53">
        <v>0</v>
      </c>
    </row>
    <row r="54" spans="6:10" x14ac:dyDescent="0.25">
      <c r="F54" s="12">
        <v>43556</v>
      </c>
      <c r="G54" s="13">
        <f>100*((HAVERM!E118/HAVERM!E106)-1)</f>
        <v>4.1407867494823947</v>
      </c>
      <c r="H54" s="13">
        <f>100*((HAVERM!C118/HAVERM!C106)-1)</f>
        <v>4.6242774566473965</v>
      </c>
      <c r="I54" s="13">
        <f>100*'27. Median of pay growth (UK)'!B53</f>
        <v>3.9806502573703897</v>
      </c>
      <c r="J54">
        <v>0</v>
      </c>
    </row>
    <row r="55" spans="6:10" x14ac:dyDescent="0.25">
      <c r="F55" s="12">
        <v>43586</v>
      </c>
      <c r="G55" s="13">
        <f>100*((HAVERM!E119/HAVERM!E107)-1)</f>
        <v>3.7037037037036979</v>
      </c>
      <c r="H55" s="13">
        <f>100*((HAVERM!C119/HAVERM!C107)-1)</f>
        <v>3.8307604345340085</v>
      </c>
      <c r="I55" s="13">
        <f>100*'27. Median of pay growth (UK)'!B54</f>
        <v>3.4167056071149902</v>
      </c>
      <c r="J55">
        <v>0</v>
      </c>
    </row>
    <row r="56" spans="6:10" x14ac:dyDescent="0.25">
      <c r="F56" s="12">
        <v>43617</v>
      </c>
      <c r="G56" s="13">
        <f>100*((HAVERM!E120/HAVERM!E108)-1)</f>
        <v>3.9014373716632411</v>
      </c>
      <c r="H56" s="13">
        <f>100*((HAVERM!C120/HAVERM!C108)-1)</f>
        <v>3.1908831908831869</v>
      </c>
      <c r="I56" s="13">
        <f>100*'27. Median of pay growth (UK)'!B55</f>
        <v>3.1977929766033601</v>
      </c>
      <c r="J56">
        <v>0</v>
      </c>
    </row>
    <row r="57" spans="6:10" x14ac:dyDescent="0.25">
      <c r="F57" s="12">
        <v>43647</v>
      </c>
      <c r="G57" s="13">
        <f>100*((HAVERM!E121/HAVERM!E109)-1)</f>
        <v>3.6809815950920255</v>
      </c>
      <c r="H57" s="13">
        <f>100*((HAVERM!C121/HAVERM!C109)-1)</f>
        <v>3.8834951456310662</v>
      </c>
      <c r="I57" s="13">
        <f>100*'27. Median of pay growth (UK)'!B56</f>
        <v>3.1207614382996103</v>
      </c>
      <c r="J57">
        <v>0</v>
      </c>
    </row>
    <row r="58" spans="6:10" x14ac:dyDescent="0.25">
      <c r="F58" s="12">
        <v>43678</v>
      </c>
      <c r="G58" s="13">
        <f>100*((HAVERM!E122/HAVERM!E110)-1)</f>
        <v>3.4623217922606919</v>
      </c>
      <c r="H58" s="13">
        <f>100*((HAVERM!C122/HAVERM!C110)-1)</f>
        <v>2.9926595143986434</v>
      </c>
      <c r="I58" s="13">
        <f>100*'27. Median of pay growth (UK)'!B57</f>
        <v>2.9624573852198601</v>
      </c>
      <c r="J58">
        <v>0</v>
      </c>
    </row>
    <row r="59" spans="6:10" x14ac:dyDescent="0.25">
      <c r="F59" s="12">
        <v>43709</v>
      </c>
      <c r="G59" s="13">
        <f>100*((HAVERM!E123/HAVERM!E111)-1)</f>
        <v>3.6659877800407248</v>
      </c>
      <c r="H59" s="13">
        <f>100*((HAVERM!C123/HAVERM!C111)-1)</f>
        <v>3.2935831913685432</v>
      </c>
      <c r="I59" s="13">
        <f>100*'27. Median of pay growth (UK)'!B58</f>
        <v>3.2311149352684496</v>
      </c>
      <c r="J59">
        <v>0</v>
      </c>
    </row>
    <row r="60" spans="6:10" x14ac:dyDescent="0.25">
      <c r="F60" s="12">
        <v>43739</v>
      </c>
      <c r="G60" s="13">
        <f>100*((HAVERM!E124/HAVERM!E112)-1)</f>
        <v>3.2454361054766734</v>
      </c>
      <c r="H60" s="13">
        <f>100*((HAVERM!C124/HAVERM!C112)-1)</f>
        <v>3.2823995472552436</v>
      </c>
      <c r="I60" s="13">
        <f>100*'27. Median of pay growth (UK)'!B59</f>
        <v>3.0845324908053797</v>
      </c>
      <c r="J60">
        <v>0</v>
      </c>
    </row>
    <row r="61" spans="6:10" x14ac:dyDescent="0.25">
      <c r="F61" s="12">
        <v>43770</v>
      </c>
      <c r="G61" s="13">
        <f>100*((HAVERM!E125/HAVERM!E113)-1)</f>
        <v>3.238866396761142</v>
      </c>
      <c r="H61" s="13">
        <f>100*((HAVERM!C125/HAVERM!C113)-1)</f>
        <v>2.9229904440696952</v>
      </c>
      <c r="I61" s="13">
        <f>100*'27. Median of pay growth (UK)'!B60</f>
        <v>3.0809912297839301</v>
      </c>
      <c r="J61">
        <v>0</v>
      </c>
    </row>
    <row r="62" spans="6:10" x14ac:dyDescent="0.25">
      <c r="F62" s="12">
        <v>43800</v>
      </c>
      <c r="G62" s="13">
        <f>100*((HAVERM!E126/HAVERM!E114)-1)</f>
        <v>3.2323232323232309</v>
      </c>
      <c r="H62" s="13">
        <f>100*((HAVERM!C126/HAVERM!C114)-1)</f>
        <v>3.6117381489841893</v>
      </c>
      <c r="I62" s="13">
        <f>100*'27. Median of pay growth (UK)'!B61</f>
        <v>3.2528099279022804</v>
      </c>
      <c r="J62">
        <v>0</v>
      </c>
    </row>
    <row r="63" spans="6:10" x14ac:dyDescent="0.25">
      <c r="F63" s="12">
        <v>43831</v>
      </c>
      <c r="G63" s="13">
        <f>100*((HAVERM!E127/HAVERM!E115)-1)</f>
        <v>2.8112449799196693</v>
      </c>
      <c r="H63" s="13">
        <f>100*((HAVERM!C127/HAVERM!C115)-1)</f>
        <v>3.8159371492704874</v>
      </c>
      <c r="I63" s="13">
        <f>100*'27. Median of pay growth (UK)'!B62</f>
        <v>3.3097965884460603</v>
      </c>
      <c r="J63">
        <v>0</v>
      </c>
    </row>
    <row r="64" spans="6:10" x14ac:dyDescent="0.25">
      <c r="F64" s="12">
        <v>43862</v>
      </c>
      <c r="G64" s="13">
        <f>100*((HAVERM!E128/HAVERM!E116)-1)</f>
        <v>2.8112449799196693</v>
      </c>
      <c r="H64" s="13">
        <f>100*((HAVERM!C128/HAVERM!C116)-1)</f>
        <v>3.9084310441094283</v>
      </c>
      <c r="I64" s="13">
        <f>100*'27. Median of pay growth (UK)'!B63</f>
        <v>3.3581742350418198</v>
      </c>
      <c r="J64">
        <v>0</v>
      </c>
    </row>
    <row r="65" spans="6:10" x14ac:dyDescent="0.25">
      <c r="F65" s="12">
        <v>43891</v>
      </c>
      <c r="G65" s="13">
        <f>100*((HAVERM!E129/HAVERM!E117)-1)</f>
        <v>2.4000000000000021</v>
      </c>
      <c r="H65" s="13">
        <f>100*((HAVERM!C129/HAVERM!C117)-1)</f>
        <v>2.5541365907828961</v>
      </c>
      <c r="I65" s="13">
        <f>100*'27. Median of pay growth (UK)'!B64</f>
        <v>2.6889354518383501</v>
      </c>
      <c r="J65">
        <v>0</v>
      </c>
    </row>
    <row r="66" spans="6:10" x14ac:dyDescent="0.25">
      <c r="F66" s="12">
        <v>43922</v>
      </c>
      <c r="G66" s="13">
        <f>100*((HAVERM!E130/HAVERM!E118)-1)</f>
        <v>-0.19880715705765661</v>
      </c>
      <c r="H66" s="13">
        <f>100*((HAVERM!C130/HAVERM!C118)-1)</f>
        <v>-0.9944751381215422</v>
      </c>
      <c r="I66" s="13">
        <f>100*'27. Median of pay growth (UK)'!B65</f>
        <v>0.66322599474861998</v>
      </c>
      <c r="J66">
        <v>0</v>
      </c>
    </row>
    <row r="67" spans="6:10" x14ac:dyDescent="0.25">
      <c r="F67" s="12">
        <v>43952</v>
      </c>
      <c r="G67" s="13">
        <f>100*((HAVERM!E131/HAVERM!E119)-1)</f>
        <v>-0.19841269841269771</v>
      </c>
      <c r="H67" s="13">
        <f>100*((HAVERM!C131/HAVERM!C119)-1)</f>
        <v>-0.93612334801762564</v>
      </c>
      <c r="I67" s="13">
        <f>100*'27. Median of pay growth (UK)'!B66</f>
        <v>3.2707994622049999E-2</v>
      </c>
      <c r="J67">
        <v>0</v>
      </c>
    </row>
    <row r="68" spans="6:10" x14ac:dyDescent="0.25">
      <c r="F68" s="12">
        <v>43983</v>
      </c>
      <c r="G68" s="13">
        <f>100*((HAVERM!E132/HAVERM!E120)-1)</f>
        <v>0</v>
      </c>
      <c r="H68" s="13">
        <f>100*((HAVERM!C132/HAVERM!C120)-1)</f>
        <v>0.93870789618994976</v>
      </c>
      <c r="I68" s="13">
        <f>100*'27. Median of pay growth (UK)'!B67</f>
        <v>0.90610201329521001</v>
      </c>
      <c r="J68">
        <v>0</v>
      </c>
    </row>
    <row r="69" spans="6:10" x14ac:dyDescent="0.25">
      <c r="F69" s="12">
        <v>44013</v>
      </c>
      <c r="G69" s="13">
        <f>100*((HAVERM!E133/HAVERM!E121)-1)</f>
        <v>0.98619329388560661</v>
      </c>
      <c r="H69" s="13">
        <f>100*((HAVERM!C133/HAVERM!C121)-1)</f>
        <v>2.1990104452996206</v>
      </c>
      <c r="I69" s="13">
        <f>100*'27. Median of pay growth (UK)'!B68</f>
        <v>1.5134413061660401</v>
      </c>
      <c r="J69">
        <v>0</v>
      </c>
    </row>
    <row r="70" spans="6:10" x14ac:dyDescent="0.25">
      <c r="F70" s="12">
        <v>44044</v>
      </c>
      <c r="G70" s="13">
        <f>100*((HAVERM!E134/HAVERM!E122)-1)</f>
        <v>1.9685039370078705</v>
      </c>
      <c r="H70" s="13">
        <f>100*((HAVERM!C134/HAVERM!C122)-1)</f>
        <v>3.0701754385964897</v>
      </c>
      <c r="I70" s="13">
        <f>100*'27. Median of pay growth (UK)'!B69</f>
        <v>1.761618143133</v>
      </c>
      <c r="J70">
        <v>0</v>
      </c>
    </row>
    <row r="71" spans="6:10" x14ac:dyDescent="0.25">
      <c r="F71" s="12">
        <v>44075</v>
      </c>
      <c r="G71" s="13">
        <f>100*((HAVERM!E135/HAVERM!E123)-1)</f>
        <v>2.7504911591355707</v>
      </c>
      <c r="H71" s="13">
        <f>100*((HAVERM!C135/HAVERM!C123)-1)</f>
        <v>4.2880703683342514</v>
      </c>
      <c r="I71" s="13">
        <f>100*'27. Median of pay growth (UK)'!B70</f>
        <v>2.1870255676668999</v>
      </c>
      <c r="J71">
        <v>0</v>
      </c>
    </row>
    <row r="72" spans="6:10" x14ac:dyDescent="0.25">
      <c r="F72" s="12">
        <v>44105</v>
      </c>
      <c r="G72" s="13">
        <f>100*((HAVERM!E136/HAVERM!E124)-1)</f>
        <v>3.5363457760314354</v>
      </c>
      <c r="H72" s="13">
        <f>100*((HAVERM!C136/HAVERM!C124)-1)</f>
        <v>4.7671232876712377</v>
      </c>
      <c r="I72" s="13">
        <f>100*'27. Median of pay growth (UK)'!B71</f>
        <v>2.4357513666057597</v>
      </c>
      <c r="J72">
        <v>0</v>
      </c>
    </row>
    <row r="73" spans="6:10" x14ac:dyDescent="0.25">
      <c r="F73" s="12">
        <v>44136</v>
      </c>
      <c r="G73" s="13">
        <f>100*((HAVERM!E137/HAVERM!E125)-1)</f>
        <v>4.117647058823537</v>
      </c>
      <c r="H73" s="13">
        <f>100*((HAVERM!C137/HAVERM!C125)-1)</f>
        <v>4.5876570180229281</v>
      </c>
      <c r="I73" s="13">
        <f>100*'27. Median of pay growth (UK)'!B72</f>
        <v>2.45987938008003</v>
      </c>
      <c r="J73">
        <v>0</v>
      </c>
    </row>
    <row r="74" spans="6:10" x14ac:dyDescent="0.25">
      <c r="F74" s="12">
        <v>44166</v>
      </c>
      <c r="G74" s="13">
        <f>100*((HAVERM!E138/HAVERM!E126)-1)</f>
        <v>4.3052837573385627</v>
      </c>
      <c r="H74" s="13">
        <f>100*((HAVERM!C138/HAVERM!C126)-1)</f>
        <v>4.7930283224400849</v>
      </c>
      <c r="I74" s="13">
        <f>100*'27. Median of pay growth (UK)'!B73</f>
        <v>2.6069826253991302</v>
      </c>
      <c r="J74">
        <v>0</v>
      </c>
    </row>
    <row r="75" spans="6:10" x14ac:dyDescent="0.25">
      <c r="F75" s="12">
        <v>44197</v>
      </c>
      <c r="G75" s="13">
        <f>100*((HAVERM!E139/HAVERM!E127)-1)</f>
        <v>4.296875</v>
      </c>
      <c r="H75" s="13">
        <f>100*((HAVERM!C139/HAVERM!C127)-1)</f>
        <v>4.1621621621621641</v>
      </c>
      <c r="I75" s="13">
        <f>100*'27. Median of pay growth (UK)'!B74</f>
        <v>2.1446938056973801</v>
      </c>
      <c r="J75">
        <v>0</v>
      </c>
    </row>
    <row r="76" spans="6:10" x14ac:dyDescent="0.25">
      <c r="F76" s="12">
        <v>44228</v>
      </c>
      <c r="G76" s="13">
        <f>100*((HAVERM!E140/HAVERM!E128)-1)</f>
        <v>4.4921875</v>
      </c>
      <c r="H76" s="13">
        <f>100*((HAVERM!C140/HAVERM!C128)-1)</f>
        <v>4.3524986566362278</v>
      </c>
      <c r="I76" s="13">
        <f>100*'27. Median of pay growth (UK)'!B75</f>
        <v>2.0141202713640598</v>
      </c>
      <c r="J76">
        <v>0</v>
      </c>
    </row>
    <row r="77" spans="6:10" x14ac:dyDescent="0.25">
      <c r="F77" s="12">
        <v>44256</v>
      </c>
      <c r="G77" s="13">
        <f>100*((HAVERM!E141/HAVERM!E129)-1)</f>
        <v>4.8828125</v>
      </c>
      <c r="H77" s="13">
        <f>100*((HAVERM!C141/HAVERM!C129)-1)</f>
        <v>5.6307525717379514</v>
      </c>
      <c r="I77" s="13">
        <f>100*'27. Median of pay growth (UK)'!B76</f>
        <v>2.5811214052690197</v>
      </c>
      <c r="J77">
        <v>0</v>
      </c>
    </row>
    <row r="78" spans="6:10" x14ac:dyDescent="0.25">
      <c r="F78" s="12">
        <v>44287</v>
      </c>
      <c r="G78" s="13">
        <f>100*((HAVERM!E142/HAVERM!E130)-1)</f>
        <v>7.5697211155378419</v>
      </c>
      <c r="H78" s="13">
        <f>100*((HAVERM!C142/HAVERM!C130)-1)</f>
        <v>9.5982142857142794</v>
      </c>
      <c r="I78" s="13">
        <f>100*'27. Median of pay growth (UK)'!B77</f>
        <v>3.6644663299626701</v>
      </c>
      <c r="J78">
        <v>0</v>
      </c>
    </row>
    <row r="79" spans="6:10" x14ac:dyDescent="0.25">
      <c r="F79" s="12">
        <v>44317</v>
      </c>
      <c r="G79" s="13">
        <f>100*((HAVERM!E143/HAVERM!E131)-1)</f>
        <v>7.3558648111331948</v>
      </c>
      <c r="H79" s="13">
        <f>100*((HAVERM!C143/HAVERM!C131)-1)</f>
        <v>9.1717620900500165</v>
      </c>
      <c r="I79" s="13">
        <f>100*'27. Median of pay growth (UK)'!B78</f>
        <v>4.1687600089889498</v>
      </c>
      <c r="J79">
        <v>0</v>
      </c>
    </row>
    <row r="80" spans="6:10" x14ac:dyDescent="0.25">
      <c r="F80" s="12">
        <v>44348</v>
      </c>
      <c r="G80" s="13">
        <f>100*((HAVERM!E144/HAVERM!E132)-1)</f>
        <v>6.9169960474308345</v>
      </c>
      <c r="H80" s="13">
        <f>100*((HAVERM!C144/HAVERM!C132)-1)</f>
        <v>7.8774617067833619</v>
      </c>
      <c r="I80" s="13">
        <f>100*'27. Median of pay growth (UK)'!B79</f>
        <v>3.8754508293209402</v>
      </c>
      <c r="J80">
        <v>0</v>
      </c>
    </row>
    <row r="81" spans="6:10" x14ac:dyDescent="0.25">
      <c r="F81" s="12">
        <v>44378</v>
      </c>
      <c r="G81" s="13">
        <f>100*((HAVERM!E145/HAVERM!E133)-1)</f>
        <v>6.0546875</v>
      </c>
      <c r="H81" s="13">
        <f>100*((HAVERM!C145/HAVERM!C133)-1)</f>
        <v>6.4550833781602979</v>
      </c>
      <c r="I81" s="13">
        <f>100*'27. Median of pay growth (UK)'!B80</f>
        <v>3.3280069993627399</v>
      </c>
      <c r="J81">
        <v>0</v>
      </c>
    </row>
    <row r="82" spans="6:10" x14ac:dyDescent="0.25">
      <c r="F82" s="12">
        <v>44409</v>
      </c>
      <c r="G82" s="13">
        <f>100*((HAVERM!E146/HAVERM!E134)-1)</f>
        <v>5.0193050193050093</v>
      </c>
      <c r="H82" s="13">
        <f>100*((HAVERM!C146/HAVERM!C134)-1)</f>
        <v>5.6382978723404253</v>
      </c>
      <c r="I82" s="13">
        <f>100*'27. Median of pay growth (UK)'!B81</f>
        <v>3.0853919390736397</v>
      </c>
      <c r="J82">
        <v>0</v>
      </c>
    </row>
    <row r="83" spans="6:10" x14ac:dyDescent="0.25">
      <c r="F83" s="12">
        <v>44440</v>
      </c>
      <c r="G83" s="13">
        <f>100*((HAVERM!E147/HAVERM!E135)-1)</f>
        <v>4.2065009560229516</v>
      </c>
      <c r="H83" s="13">
        <f>100*((HAVERM!C147/HAVERM!C135)-1)</f>
        <v>5.5877701634159171</v>
      </c>
      <c r="I83" s="13">
        <f>100*'27. Median of pay growth (UK)'!B82</f>
        <v>3.1597226295791003</v>
      </c>
      <c r="J83">
        <v>0</v>
      </c>
    </row>
    <row r="84" spans="6:10" x14ac:dyDescent="0.25">
      <c r="F84" s="12">
        <v>44470</v>
      </c>
      <c r="G84" s="13">
        <f>100*((HAVERM!E148/HAVERM!E136)-1)</f>
        <v>3.7950664136622292</v>
      </c>
      <c r="H84" s="13">
        <f>100*((HAVERM!C148/HAVERM!C136)-1)</f>
        <v>5.2301255230125632</v>
      </c>
      <c r="I84" s="13">
        <f>100*'27. Median of pay growth (UK)'!B83</f>
        <v>3.0374301446817902</v>
      </c>
      <c r="J84">
        <v>0</v>
      </c>
    </row>
    <row r="85" spans="6:10" x14ac:dyDescent="0.25">
      <c r="F85" s="12">
        <v>44501</v>
      </c>
      <c r="G85" s="13">
        <f>100*((HAVERM!E149/HAVERM!E137)-1)</f>
        <v>3.3898305084745672</v>
      </c>
      <c r="H85" s="13">
        <f>100*((HAVERM!C149/HAVERM!C137)-1)</f>
        <v>5.4830287206266259</v>
      </c>
      <c r="I85" s="13">
        <f>100*'27. Median of pay growth (UK)'!B84</f>
        <v>3.2058648415919002</v>
      </c>
      <c r="J85">
        <v>0</v>
      </c>
    </row>
    <row r="86" spans="6:10" x14ac:dyDescent="0.25">
      <c r="F86" s="12">
        <v>44531</v>
      </c>
      <c r="G86" s="13">
        <f>100*((HAVERM!E150/HAVERM!E138)-1)</f>
        <v>3.7523452157598447</v>
      </c>
      <c r="H86" s="13">
        <f>100*((HAVERM!C150/HAVERM!C138)-1)</f>
        <v>5.7172557172557203</v>
      </c>
      <c r="I86" s="13">
        <f>100*'27. Median of pay growth (UK)'!B85</f>
        <v>3.5296194752994503</v>
      </c>
      <c r="J86">
        <v>0</v>
      </c>
    </row>
    <row r="87" spans="6:10" x14ac:dyDescent="0.25">
      <c r="F87" s="12">
        <v>44562</v>
      </c>
      <c r="G87" s="13">
        <f>100*((HAVERM!E151/HAVERM!E139)-1)</f>
        <v>4.3071161048689133</v>
      </c>
      <c r="H87" s="13">
        <f>100*((HAVERM!C151/HAVERM!C139)-1)</f>
        <v>6.2791904514789776</v>
      </c>
      <c r="I87" s="13">
        <f>100*'27. Median of pay growth (UK)'!B86</f>
        <v>4.1514632204476394</v>
      </c>
      <c r="J87">
        <v>0</v>
      </c>
    </row>
    <row r="88" spans="6:10" x14ac:dyDescent="0.25">
      <c r="F88" s="12">
        <v>44593</v>
      </c>
      <c r="G88" s="13">
        <f>100*((HAVERM!E152/HAVERM!E140)-1)</f>
        <v>4.2990654205607548</v>
      </c>
      <c r="H88" s="13">
        <f>100*((HAVERM!C152/HAVERM!C140)-1)</f>
        <v>5.7672502574665385</v>
      </c>
      <c r="I88" s="13">
        <f>100*'27. Median of pay growth (UK)'!B87</f>
        <v>4.5596092190474398</v>
      </c>
      <c r="J88">
        <v>0</v>
      </c>
    </row>
    <row r="89" spans="6:10" x14ac:dyDescent="0.25">
      <c r="F89" s="12">
        <v>44621</v>
      </c>
      <c r="G89" s="13">
        <f>100*((HAVERM!E153/HAVERM!E141)-1)</f>
        <v>4.2830540037243958</v>
      </c>
      <c r="H89" s="13">
        <f>100*((HAVERM!C153/HAVERM!C141)-1)</f>
        <v>6.5094823167606286</v>
      </c>
      <c r="I89" s="13">
        <f>100*'27. Median of pay growth (UK)'!B88</f>
        <v>5.5973434813390597</v>
      </c>
      <c r="J89">
        <v>0</v>
      </c>
    </row>
    <row r="90" spans="6:10" x14ac:dyDescent="0.25">
      <c r="F90" s="12">
        <v>44652</v>
      </c>
      <c r="G90" s="13">
        <f>100*((HAVERM!E154/HAVERM!E142)-1)</f>
        <v>4.0740740740740744</v>
      </c>
      <c r="H90" s="13">
        <f>100*((HAVERM!C154/HAVERM!C142)-1)</f>
        <v>5.8044806517311587</v>
      </c>
      <c r="I90" s="13">
        <f>100*'27. Median of pay growth (UK)'!B89</f>
        <v>4.9781721254202198</v>
      </c>
      <c r="J90">
        <v>0</v>
      </c>
    </row>
    <row r="91" spans="6:10" x14ac:dyDescent="0.25">
      <c r="F91" s="12">
        <v>44682</v>
      </c>
      <c r="G91" s="13">
        <f>100*((HAVERM!E155/HAVERM!E143)-1)</f>
        <v>5.0000000000000044</v>
      </c>
      <c r="H91" s="13">
        <f>100*((HAVERM!C155/HAVERM!C143)-1)</f>
        <v>6.313645621181263</v>
      </c>
      <c r="I91" s="13">
        <f>100*'27. Median of pay growth (UK)'!B90</f>
        <v>5.0303491590515801</v>
      </c>
      <c r="J91">
        <v>0</v>
      </c>
    </row>
    <row r="92" spans="6:10" x14ac:dyDescent="0.25">
      <c r="F92" s="12">
        <v>44713</v>
      </c>
      <c r="G92" s="13">
        <f>100*((HAVERM!E156/HAVERM!E144)-1)</f>
        <v>5.1756007393715331</v>
      </c>
      <c r="H92" s="13">
        <f>100*((HAVERM!C156/HAVERM!C144)-1)</f>
        <v>6.3894523326571973</v>
      </c>
      <c r="I92" s="13">
        <f>100*'27. Median of pay growth (UK)'!B91</f>
        <v>4.9509094499774395</v>
      </c>
      <c r="J92">
        <v>0</v>
      </c>
    </row>
    <row r="93" spans="6:10" x14ac:dyDescent="0.25">
      <c r="F93" s="12">
        <v>44743</v>
      </c>
      <c r="G93" s="13">
        <f>100*((HAVERM!E157/HAVERM!E145)-1)</f>
        <v>5.3406998158379348</v>
      </c>
      <c r="H93" s="13">
        <f>100*((HAVERM!C157/HAVERM!C145)-1)</f>
        <v>6.6700353713996963</v>
      </c>
      <c r="I93" s="13">
        <f>100*'27. Median of pay growth (UK)'!B92</f>
        <v>5.2205278980479992</v>
      </c>
      <c r="J93">
        <v>0</v>
      </c>
    </row>
    <row r="94" spans="6:10" x14ac:dyDescent="0.25">
      <c r="F94" s="12">
        <v>44774</v>
      </c>
      <c r="G94" s="13">
        <f>100*((HAVERM!E158/HAVERM!E146)-1)</f>
        <v>5.6985294117646967</v>
      </c>
      <c r="H94" s="13">
        <f>100*((HAVERM!C158/HAVERM!C146)-1)</f>
        <v>6.6968781470291949</v>
      </c>
      <c r="I94" s="13">
        <f>100*'27. Median of pay growth (UK)'!B93</f>
        <v>5.5527152160696396</v>
      </c>
      <c r="J94">
        <v>0</v>
      </c>
    </row>
    <row r="95" spans="6:10" x14ac:dyDescent="0.25">
      <c r="F95" s="12">
        <v>44805</v>
      </c>
      <c r="G95" s="13">
        <f>100*((HAVERM!E159/HAVERM!E147)-1)</f>
        <v>6.0550458715596278</v>
      </c>
      <c r="H95" s="13">
        <f>100*((HAVERM!C159/HAVERM!C147)-1)</f>
        <v>6.8397403894158826</v>
      </c>
      <c r="I95" s="13">
        <f>100*'27. Median of pay growth (UK)'!B94</f>
        <v>5.9543712984886303</v>
      </c>
      <c r="J95">
        <v>0</v>
      </c>
    </row>
    <row r="96" spans="6:10" x14ac:dyDescent="0.25">
      <c r="F96" s="12">
        <v>44835</v>
      </c>
      <c r="G96" s="13">
        <f>100*((HAVERM!E160/HAVERM!E148)-1)</f>
        <v>6.5813528336380323</v>
      </c>
      <c r="H96" s="13">
        <f>100*((HAVERM!C160/HAVERM!C148)-1)</f>
        <v>6.9085487077534813</v>
      </c>
      <c r="I96" s="13">
        <f>100*'27. Median of pay growth (UK)'!B95</f>
        <v>6.2557826775925296</v>
      </c>
      <c r="J96">
        <v>0</v>
      </c>
    </row>
    <row r="97" spans="6:10" x14ac:dyDescent="0.25">
      <c r="F97" s="12">
        <v>44866</v>
      </c>
      <c r="G97" s="13">
        <f>100*((HAVERM!E161/HAVERM!E149)-1)</f>
        <v>6.9216757741347834</v>
      </c>
      <c r="H97" s="13">
        <f>100*((HAVERM!C161/HAVERM!C149)-1)</f>
        <v>8.6633663366336719</v>
      </c>
      <c r="I97" s="13">
        <f>100*'27. Median of pay growth (UK)'!B96</f>
        <v>7.1412514901068604</v>
      </c>
      <c r="J97">
        <v>0</v>
      </c>
    </row>
    <row r="98" spans="6:10" x14ac:dyDescent="0.25">
      <c r="F98" s="12">
        <v>44896</v>
      </c>
      <c r="G98" s="13">
        <f>100*((HAVERM!E162/HAVERM!E150)-1)</f>
        <v>6.6907775768535238</v>
      </c>
      <c r="H98" s="13">
        <f>100*((HAVERM!C162/HAVERM!C150)-1)</f>
        <v>7.4729596853490676</v>
      </c>
      <c r="I98" s="13">
        <f>100*'27. Median of pay growth (UK)'!B97</f>
        <v>6.8858903247534107</v>
      </c>
      <c r="J98">
        <v>0</v>
      </c>
    </row>
    <row r="99" spans="6:10" x14ac:dyDescent="0.25">
      <c r="F99" s="12">
        <v>44927</v>
      </c>
      <c r="G99" s="13">
        <f>100*((HAVERM!E163/HAVERM!E151)-1)</f>
        <v>6.4631956912028832</v>
      </c>
      <c r="H99" s="13">
        <f>100*((HAVERM!C163/HAVERM!C151)-1)</f>
        <v>7.080078125</v>
      </c>
      <c r="I99" s="13">
        <f>100*'27. Median of pay growth (UK)'!B98</f>
        <v>6.7869090656747098</v>
      </c>
      <c r="J99">
        <v>0</v>
      </c>
    </row>
    <row r="100" spans="6:10" x14ac:dyDescent="0.25">
      <c r="F100" s="12">
        <v>44958</v>
      </c>
      <c r="G100" s="13">
        <f>100*((HAVERM!E164/HAVERM!E152)-1)</f>
        <v>6.9892473118279508</v>
      </c>
      <c r="H100" s="13">
        <f>100*((HAVERM!C164/HAVERM!C152)-1)</f>
        <v>7.4488802336903692</v>
      </c>
      <c r="I100" s="13">
        <f>100*'27. Median of pay growth (UK)'!B99</f>
        <v>6.6868728567710898</v>
      </c>
      <c r="J100">
        <v>0</v>
      </c>
    </row>
    <row r="101" spans="6:10" x14ac:dyDescent="0.25">
      <c r="F101" s="12">
        <v>44986</v>
      </c>
      <c r="G101" s="13">
        <f>100*((HAVERM!E165/HAVERM!E153)-1)</f>
        <v>7.1428571428571397</v>
      </c>
      <c r="H101" s="13">
        <f>100*((HAVERM!C165/HAVERM!C153)-1)</f>
        <v>6.7372473532242516</v>
      </c>
      <c r="I101" s="13">
        <f>100*'27. Median of pay growth (UK)'!B100</f>
        <v>6.3826831660844396</v>
      </c>
      <c r="J101">
        <v>0</v>
      </c>
    </row>
    <row r="102" spans="6:10" x14ac:dyDescent="0.25">
      <c r="F102" s="12">
        <v>45017</v>
      </c>
      <c r="G102" s="13">
        <f>100*((HAVERM!E166/HAVERM!E154)-1)</f>
        <v>7.6512455516014155</v>
      </c>
      <c r="H102" s="13">
        <f>100*((HAVERM!C166/HAVERM!C154)-1)</f>
        <v>7.2184793070259934</v>
      </c>
      <c r="I102" s="13">
        <f>100*'27. Median of pay growth (UK)'!B101</f>
        <v>7.0154705850660299</v>
      </c>
      <c r="J102">
        <v>0</v>
      </c>
    </row>
    <row r="103" spans="6:10" x14ac:dyDescent="0.25">
      <c r="F103" s="12">
        <v>45047</v>
      </c>
      <c r="G103" s="13">
        <f>100*((HAVERM!E167/HAVERM!E155)-1)</f>
        <v>7.7601410934744264</v>
      </c>
      <c r="H103" s="13">
        <f>100*((HAVERM!C167/HAVERM!C155)-1)</f>
        <v>8.1417624521072707</v>
      </c>
      <c r="I103" s="13">
        <f>100*'27. Median of pay growth (UK)'!B102</f>
        <v>7.6750964375319999</v>
      </c>
      <c r="J103">
        <v>0</v>
      </c>
    </row>
    <row r="104" spans="6:10" x14ac:dyDescent="0.25">
      <c r="F104" s="12">
        <v>45078</v>
      </c>
      <c r="G104" s="13">
        <f>100*((HAVERM!E168/HAVERM!E156)-1)</f>
        <v>7.9086115992970107</v>
      </c>
      <c r="H104" s="13">
        <f>100*((HAVERM!C168/HAVERM!C156)-1)</f>
        <v>9.389895138226878</v>
      </c>
      <c r="I104" s="13">
        <f>100*'27. Median of pay growth (UK)'!B103</f>
        <v>7.9771332818207599</v>
      </c>
      <c r="J104">
        <v>0</v>
      </c>
    </row>
    <row r="105" spans="6:10" x14ac:dyDescent="0.25">
      <c r="F105" s="12">
        <v>45108</v>
      </c>
      <c r="G105" s="13">
        <f>100*((HAVERM!E169/HAVERM!E157)-1)</f>
        <v>7.8671328671328755</v>
      </c>
      <c r="H105" s="13">
        <f>100*((HAVERM!C169/HAVERM!C157)-1)</f>
        <v>7.4846044528659395</v>
      </c>
      <c r="I105" s="13">
        <f>100*'27. Median of pay growth (UK)'!B104</f>
        <v>7.3374611779244994</v>
      </c>
      <c r="J105">
        <v>0</v>
      </c>
    </row>
    <row r="106" spans="6:10" x14ac:dyDescent="0.25">
      <c r="F106" s="12">
        <v>45139</v>
      </c>
      <c r="G106" s="13">
        <f>100*((HAVERM!E170/HAVERM!E158)-1)</f>
        <v>7.8260869565217384</v>
      </c>
      <c r="H106" s="13">
        <f>100*((HAVERM!C170/HAVERM!C158)-1)</f>
        <v>7.5507314771118494</v>
      </c>
      <c r="I106" s="13">
        <f>100*'27. Median of pay growth (UK)'!B105</f>
        <v>6.9133080043150592</v>
      </c>
      <c r="J106">
        <v>0</v>
      </c>
    </row>
    <row r="107" spans="6:10" x14ac:dyDescent="0.25">
      <c r="F107" s="12">
        <v>45170</v>
      </c>
      <c r="G107" s="13">
        <f>100*((HAVERM!E171/HAVERM!E159)-1)</f>
        <v>7.6124567474048499</v>
      </c>
      <c r="H107" s="13">
        <f>100*((HAVERM!C171/HAVERM!C159)-1)</f>
        <v>5.8878504672897236</v>
      </c>
      <c r="I107" s="13">
        <f>100*'27. Median of pay growth (UK)'!B106</f>
        <v>6.2200264271244201</v>
      </c>
      <c r="J107">
        <v>0</v>
      </c>
    </row>
    <row r="108" spans="6:10" x14ac:dyDescent="0.25">
      <c r="F108" s="12">
        <v>45200</v>
      </c>
      <c r="G108" s="13">
        <f>100*((HAVERM!E172/HAVERM!E160)-1)</f>
        <v>6.1749571183533414</v>
      </c>
      <c r="H108" s="13">
        <f>100*((HAVERM!C172/HAVERM!C160)-1)</f>
        <v>6.1831706183170576</v>
      </c>
      <c r="I108" s="13">
        <f>100*'27. Median of pay growth (UK)'!B107</f>
        <v>6.2759912002625304</v>
      </c>
      <c r="J108">
        <v>0</v>
      </c>
    </row>
    <row r="109" spans="6:10" x14ac:dyDescent="0.25">
      <c r="F109" s="12">
        <v>45231</v>
      </c>
      <c r="G109" s="13">
        <f>100*((HAVERM!E173/HAVERM!E161)-1)</f>
        <v>6.3032367972742698</v>
      </c>
      <c r="H109" s="13">
        <f>100*((HAVERM!C173/HAVERM!C161)-1)</f>
        <v>6.4236902050113898</v>
      </c>
      <c r="I109" s="13">
        <f>100*'27. Median of pay growth (UK)'!B108</f>
        <v>6.1984694979180297</v>
      </c>
      <c r="J109">
        <v>0</v>
      </c>
    </row>
    <row r="110" spans="6:10" x14ac:dyDescent="0.25">
      <c r="F110" s="12">
        <v>45261</v>
      </c>
      <c r="G110" s="13">
        <f>100*((HAVERM!E174/HAVERM!E162)-1)</f>
        <v>6.1016949152542299</v>
      </c>
      <c r="H110" s="13">
        <f>100*((HAVERM!C174/HAVERM!C162)-1)</f>
        <v>6.221408966148223</v>
      </c>
      <c r="I110" s="13">
        <f>100*'27. Median of pay growth (UK)'!B109</f>
        <v>6.2676493137497502</v>
      </c>
      <c r="J110">
        <v>0</v>
      </c>
    </row>
    <row r="111" spans="6:10" x14ac:dyDescent="0.25">
      <c r="F111" s="12">
        <v>45292</v>
      </c>
      <c r="G111" s="13">
        <f>100*((HAVERM!E175/HAVERM!E163)-1)</f>
        <v>5.9021922428330598</v>
      </c>
      <c r="H111" s="13">
        <f>100*((HAVERM!C175/HAVERM!C163)-1)</f>
        <v>6.4295485636114869</v>
      </c>
      <c r="I111" s="13">
        <f>100*'27. Median of pay growth (UK)'!B110</f>
        <v>6.4452434368441791</v>
      </c>
      <c r="J111">
        <v>0</v>
      </c>
    </row>
    <row r="112" spans="6:10" x14ac:dyDescent="0.25">
      <c r="F112" s="12">
        <v>45323</v>
      </c>
      <c r="G112" s="13">
        <f>100*((HAVERM!E176/HAVERM!E164)-1)</f>
        <v>5.8626465661641536</v>
      </c>
      <c r="H112" s="13">
        <f>100*((HAVERM!C176/HAVERM!C164)-1)</f>
        <v>6.2981422745808757</v>
      </c>
      <c r="I112" s="13">
        <f>100*'27. Median of pay growth (UK)'!B111</f>
        <v>6.58590500062631</v>
      </c>
      <c r="J112">
        <v>0</v>
      </c>
    </row>
    <row r="113" spans="6:10" x14ac:dyDescent="0.25">
      <c r="F113" s="12">
        <v>45352</v>
      </c>
      <c r="G113" s="13">
        <f>100*((HAVERM!E177/HAVERM!E165)-1)</f>
        <v>6.1666666666666758</v>
      </c>
      <c r="H113" s="13">
        <f>100*((HAVERM!C177/HAVERM!C165)-1)</f>
        <v>6.3570784490531995</v>
      </c>
      <c r="I113" s="13">
        <f>100*'27. Median of pay growth (UK)'!B112</f>
        <v>6.3472266144831204</v>
      </c>
      <c r="J113">
        <v>0</v>
      </c>
    </row>
    <row r="114" spans="6:10" x14ac:dyDescent="0.25">
      <c r="F114" s="12">
        <v>45383</v>
      </c>
      <c r="G114" s="13"/>
      <c r="H114" s="13">
        <f>100*((HAVERM!C178/HAVERM!C166)-1)</f>
        <v>6.8671454219030537</v>
      </c>
      <c r="I114" s="13">
        <f>100*'27. Median of pay growth (UK)'!B113</f>
        <v>6.0684051318910495</v>
      </c>
      <c r="J114">
        <v>0</v>
      </c>
    </row>
    <row r="115" spans="6:10" x14ac:dyDescent="0.25">
      <c r="F115" s="12">
        <v>45413</v>
      </c>
      <c r="G115" s="13"/>
      <c r="H115" s="13"/>
      <c r="I115" s="13"/>
      <c r="J115">
        <v>0</v>
      </c>
    </row>
    <row r="116" spans="6:10" x14ac:dyDescent="0.25">
      <c r="F116" s="12">
        <v>45444</v>
      </c>
      <c r="G116" s="13"/>
      <c r="H116" s="13"/>
      <c r="I116" s="13"/>
      <c r="J116">
        <v>0</v>
      </c>
    </row>
    <row r="117" spans="6:10" x14ac:dyDescent="0.25">
      <c r="F117" s="12"/>
    </row>
    <row r="118" spans="6:10" x14ac:dyDescent="0.25">
      <c r="F118" s="12"/>
    </row>
    <row r="119" spans="6:10" x14ac:dyDescent="0.25">
      <c r="F119" s="12"/>
    </row>
    <row r="120" spans="6:10" x14ac:dyDescent="0.25">
      <c r="F120" s="12"/>
    </row>
    <row r="121" spans="6:10" x14ac:dyDescent="0.25">
      <c r="F12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1B5F-24B0-4D4D-AAED-51008764BA6D}">
  <dimension ref="A1:F178"/>
  <sheetViews>
    <sheetView workbookViewId="0">
      <pane xSplit="1" ySplit="6" topLeftCell="B172" activePane="bottomRight" state="frozen"/>
      <selection pane="topRight" activeCell="B1" sqref="B1"/>
      <selection pane="bottomLeft" activeCell="A7" sqref="A7"/>
      <selection pane="bottomRight" activeCell="D168" sqref="D168"/>
    </sheetView>
  </sheetViews>
  <sheetFormatPr defaultRowHeight="15" x14ac:dyDescent="0.25"/>
  <cols>
    <col min="2" max="6" width="16.7109375" customWidth="1"/>
  </cols>
  <sheetData>
    <row r="1" spans="1:6" x14ac:dyDescent="0.25">
      <c r="A1" s="8" t="s">
        <v>116</v>
      </c>
      <c r="B1" s="7" t="s">
        <v>114</v>
      </c>
      <c r="C1" s="7" t="s">
        <v>115</v>
      </c>
      <c r="D1" s="7" t="s">
        <v>302</v>
      </c>
      <c r="E1" s="7" t="s">
        <v>303</v>
      </c>
      <c r="F1" s="7" t="s">
        <v>312</v>
      </c>
    </row>
    <row r="2" spans="1:6" s="10" customFormat="1" ht="90" x14ac:dyDescent="0.25">
      <c r="A2" s="10" t="s">
        <v>122</v>
      </c>
      <c r="B2" s="10" t="s">
        <v>127</v>
      </c>
      <c r="C2" s="10" t="s">
        <v>130</v>
      </c>
      <c r="D2" s="10" t="s">
        <v>306</v>
      </c>
      <c r="E2" s="10" t="s">
        <v>307</v>
      </c>
      <c r="F2" s="10" t="s">
        <v>315</v>
      </c>
    </row>
    <row r="3" spans="1:6" x14ac:dyDescent="0.25">
      <c r="A3" t="s">
        <v>121</v>
      </c>
      <c r="B3" t="s">
        <v>126</v>
      </c>
      <c r="C3" t="s">
        <v>126</v>
      </c>
      <c r="D3" t="s">
        <v>305</v>
      </c>
      <c r="E3" t="s">
        <v>305</v>
      </c>
      <c r="F3" t="s">
        <v>314</v>
      </c>
    </row>
    <row r="4" spans="1:6" x14ac:dyDescent="0.25">
      <c r="A4" t="s">
        <v>120</v>
      </c>
      <c r="B4" t="s">
        <v>125</v>
      </c>
      <c r="C4" t="s">
        <v>129</v>
      </c>
      <c r="D4" t="s">
        <v>125</v>
      </c>
      <c r="E4" t="s">
        <v>125</v>
      </c>
      <c r="F4" t="s">
        <v>125</v>
      </c>
    </row>
    <row r="5" spans="1:6" x14ac:dyDescent="0.25">
      <c r="A5" t="s">
        <v>119</v>
      </c>
      <c r="B5" t="s">
        <v>124</v>
      </c>
      <c r="C5" t="s">
        <v>124</v>
      </c>
      <c r="D5" t="s">
        <v>124</v>
      </c>
      <c r="E5" t="s">
        <v>124</v>
      </c>
      <c r="F5" t="s">
        <v>124</v>
      </c>
    </row>
    <row r="6" spans="1:6" x14ac:dyDescent="0.25">
      <c r="A6" t="s">
        <v>118</v>
      </c>
      <c r="B6" t="s">
        <v>123</v>
      </c>
      <c r="C6" t="s">
        <v>128</v>
      </c>
      <c r="D6" t="s">
        <v>304</v>
      </c>
      <c r="E6" t="s">
        <v>304</v>
      </c>
      <c r="F6" t="s">
        <v>313</v>
      </c>
    </row>
    <row r="7" spans="1:6" x14ac:dyDescent="0.25">
      <c r="A7" t="s">
        <v>117</v>
      </c>
      <c r="B7" s="9" t="e">
        <v>#N/A</v>
      </c>
      <c r="C7" s="9" t="e">
        <v>#N/A</v>
      </c>
      <c r="D7" s="9">
        <v>439</v>
      </c>
      <c r="E7" s="9">
        <v>417</v>
      </c>
      <c r="F7" s="13">
        <v>0.5</v>
      </c>
    </row>
    <row r="8" spans="1:6" x14ac:dyDescent="0.25">
      <c r="A8" t="s">
        <v>131</v>
      </c>
      <c r="B8" s="9" t="e">
        <v>#N/A</v>
      </c>
      <c r="C8" s="9" t="e">
        <v>#N/A</v>
      </c>
      <c r="D8" s="9">
        <v>446</v>
      </c>
      <c r="E8" s="9">
        <v>416</v>
      </c>
      <c r="F8" s="13">
        <v>0.7</v>
      </c>
    </row>
    <row r="9" spans="1:6" x14ac:dyDescent="0.25">
      <c r="A9" t="s">
        <v>132</v>
      </c>
      <c r="B9" s="9" t="e">
        <v>#N/A</v>
      </c>
      <c r="C9" s="9" t="e">
        <v>#N/A</v>
      </c>
      <c r="D9" s="9">
        <v>441</v>
      </c>
      <c r="E9" s="9">
        <v>418</v>
      </c>
      <c r="F9" s="13">
        <v>1</v>
      </c>
    </row>
    <row r="10" spans="1:6" x14ac:dyDescent="0.25">
      <c r="A10" t="s">
        <v>133</v>
      </c>
      <c r="B10" s="9" t="e">
        <v>#N/A</v>
      </c>
      <c r="C10" s="9" t="e">
        <v>#N/A</v>
      </c>
      <c r="D10" s="9">
        <v>441</v>
      </c>
      <c r="E10" s="9">
        <v>417</v>
      </c>
      <c r="F10" s="13">
        <v>0.9</v>
      </c>
    </row>
    <row r="11" spans="1:6" x14ac:dyDescent="0.25">
      <c r="A11" t="s">
        <v>134</v>
      </c>
      <c r="B11" s="9" t="e">
        <v>#N/A</v>
      </c>
      <c r="C11" s="9" t="e">
        <v>#N/A</v>
      </c>
      <c r="D11" s="9">
        <v>443</v>
      </c>
      <c r="E11" s="9">
        <v>417</v>
      </c>
      <c r="F11" s="13">
        <v>0.8</v>
      </c>
    </row>
    <row r="12" spans="1:6" x14ac:dyDescent="0.25">
      <c r="A12" t="s">
        <v>135</v>
      </c>
      <c r="B12" s="9" t="e">
        <v>#N/A</v>
      </c>
      <c r="C12" s="9" t="e">
        <v>#N/A</v>
      </c>
      <c r="D12" s="9">
        <v>442</v>
      </c>
      <c r="E12" s="9">
        <v>418</v>
      </c>
      <c r="F12" s="13">
        <v>0.6</v>
      </c>
    </row>
    <row r="13" spans="1:6" x14ac:dyDescent="0.25">
      <c r="A13" t="s">
        <v>136</v>
      </c>
      <c r="B13" s="9" t="e">
        <v>#N/A</v>
      </c>
      <c r="C13" s="9" t="e">
        <v>#N/A</v>
      </c>
      <c r="D13" s="9">
        <v>443</v>
      </c>
      <c r="E13" s="9">
        <v>420</v>
      </c>
      <c r="F13" s="13">
        <v>1</v>
      </c>
    </row>
    <row r="14" spans="1:6" x14ac:dyDescent="0.25">
      <c r="A14" t="s">
        <v>137</v>
      </c>
      <c r="B14" s="9" t="e">
        <v>#N/A</v>
      </c>
      <c r="C14" s="9" t="e">
        <v>#N/A</v>
      </c>
      <c r="D14" s="9">
        <v>445</v>
      </c>
      <c r="E14" s="9">
        <v>421</v>
      </c>
      <c r="F14" s="13">
        <v>1.6</v>
      </c>
    </row>
    <row r="15" spans="1:6" x14ac:dyDescent="0.25">
      <c r="A15" t="s">
        <v>138</v>
      </c>
      <c r="B15" s="9" t="e">
        <v>#N/A</v>
      </c>
      <c r="C15" s="9" t="e">
        <v>#N/A</v>
      </c>
      <c r="D15" s="9">
        <v>446</v>
      </c>
      <c r="E15" s="9">
        <v>422</v>
      </c>
      <c r="F15" s="13">
        <v>2</v>
      </c>
    </row>
    <row r="16" spans="1:6" x14ac:dyDescent="0.25">
      <c r="A16" t="s">
        <v>139</v>
      </c>
      <c r="B16" s="9" t="e">
        <v>#N/A</v>
      </c>
      <c r="C16" s="9" t="e">
        <v>#N/A</v>
      </c>
      <c r="D16" s="9">
        <v>447</v>
      </c>
      <c r="E16" s="9">
        <v>422</v>
      </c>
      <c r="F16" s="13">
        <v>2</v>
      </c>
    </row>
    <row r="17" spans="1:6" x14ac:dyDescent="0.25">
      <c r="A17" t="s">
        <v>140</v>
      </c>
      <c r="B17" s="9" t="e">
        <v>#N/A</v>
      </c>
      <c r="C17" s="9" t="e">
        <v>#N/A</v>
      </c>
      <c r="D17" s="9">
        <v>448</v>
      </c>
      <c r="E17" s="9">
        <v>423</v>
      </c>
      <c r="F17" s="13">
        <v>2</v>
      </c>
    </row>
    <row r="18" spans="1:6" x14ac:dyDescent="0.25">
      <c r="A18" t="s">
        <v>141</v>
      </c>
      <c r="B18" s="9" t="e">
        <v>#N/A</v>
      </c>
      <c r="C18" s="9" t="e">
        <v>#N/A</v>
      </c>
      <c r="D18" s="9">
        <v>449</v>
      </c>
      <c r="E18" s="9">
        <v>423</v>
      </c>
      <c r="F18" s="13">
        <v>1.9</v>
      </c>
    </row>
    <row r="19" spans="1:6" x14ac:dyDescent="0.25">
      <c r="A19" t="s">
        <v>142</v>
      </c>
      <c r="B19" s="9" t="e">
        <v>#N/A</v>
      </c>
      <c r="C19" s="9" t="e">
        <v>#N/A</v>
      </c>
      <c r="D19" s="9">
        <v>458</v>
      </c>
      <c r="E19" s="9">
        <v>426</v>
      </c>
      <c r="F19" s="13">
        <v>1.9</v>
      </c>
    </row>
    <row r="20" spans="1:6" x14ac:dyDescent="0.25">
      <c r="A20" t="s">
        <v>143</v>
      </c>
      <c r="B20" s="9" t="e">
        <v>#N/A</v>
      </c>
      <c r="C20" s="9" t="e">
        <v>#N/A</v>
      </c>
      <c r="D20" s="9">
        <v>453</v>
      </c>
      <c r="E20" s="9">
        <v>425</v>
      </c>
      <c r="F20" s="13">
        <v>1.8</v>
      </c>
    </row>
    <row r="21" spans="1:6" x14ac:dyDescent="0.25">
      <c r="A21" t="s">
        <v>144</v>
      </c>
      <c r="B21" s="9" t="e">
        <v>#N/A</v>
      </c>
      <c r="C21" s="9" t="e">
        <v>#N/A</v>
      </c>
      <c r="D21" s="9">
        <v>453</v>
      </c>
      <c r="E21" s="9">
        <v>425</v>
      </c>
      <c r="F21" s="13">
        <v>1.7</v>
      </c>
    </row>
    <row r="22" spans="1:6" x14ac:dyDescent="0.25">
      <c r="A22" t="s">
        <v>145</v>
      </c>
      <c r="B22" s="9" t="e">
        <v>#N/A</v>
      </c>
      <c r="C22" s="9" t="e">
        <v>#N/A</v>
      </c>
      <c r="D22" s="9">
        <v>451</v>
      </c>
      <c r="E22" s="9">
        <v>426</v>
      </c>
      <c r="F22" s="13">
        <v>1.6</v>
      </c>
    </row>
    <row r="23" spans="1:6" x14ac:dyDescent="0.25">
      <c r="A23" t="s">
        <v>146</v>
      </c>
      <c r="B23" s="9" t="e">
        <v>#N/A</v>
      </c>
      <c r="C23" s="9" t="e">
        <v>#N/A</v>
      </c>
      <c r="D23" s="9">
        <v>453</v>
      </c>
      <c r="E23" s="9">
        <v>427</v>
      </c>
      <c r="F23" s="13">
        <v>1.8</v>
      </c>
    </row>
    <row r="24" spans="1:6" x14ac:dyDescent="0.25">
      <c r="A24" t="s">
        <v>147</v>
      </c>
      <c r="B24" s="9" t="e">
        <v>#N/A</v>
      </c>
      <c r="C24" s="9" t="e">
        <v>#N/A</v>
      </c>
      <c r="D24" s="9">
        <v>456</v>
      </c>
      <c r="E24" s="9">
        <v>426</v>
      </c>
      <c r="F24" s="13">
        <v>2</v>
      </c>
    </row>
    <row r="25" spans="1:6" x14ac:dyDescent="0.25">
      <c r="A25" t="s">
        <v>148</v>
      </c>
      <c r="B25" s="9" t="e">
        <v>#N/A</v>
      </c>
      <c r="C25" s="9" t="e">
        <v>#N/A</v>
      </c>
      <c r="D25" s="9">
        <v>456</v>
      </c>
      <c r="E25" s="9">
        <v>427</v>
      </c>
      <c r="F25" s="13">
        <v>2</v>
      </c>
    </row>
    <row r="26" spans="1:6" x14ac:dyDescent="0.25">
      <c r="A26" t="s">
        <v>149</v>
      </c>
      <c r="B26" s="9" t="e">
        <v>#N/A</v>
      </c>
      <c r="C26" s="9" t="e">
        <v>#N/A</v>
      </c>
      <c r="D26" s="9">
        <v>454</v>
      </c>
      <c r="E26" s="9">
        <v>427</v>
      </c>
      <c r="F26" s="13">
        <v>1.7</v>
      </c>
    </row>
    <row r="27" spans="1:6" x14ac:dyDescent="0.25">
      <c r="A27" t="s">
        <v>150</v>
      </c>
      <c r="B27" s="9" t="e">
        <v>#N/A</v>
      </c>
      <c r="C27" s="9" t="e">
        <v>#N/A</v>
      </c>
      <c r="D27" s="9">
        <v>454</v>
      </c>
      <c r="E27" s="9">
        <v>429</v>
      </c>
      <c r="F27" s="13">
        <v>1.6</v>
      </c>
    </row>
    <row r="28" spans="1:6" x14ac:dyDescent="0.25">
      <c r="A28" t="s">
        <v>151</v>
      </c>
      <c r="B28" s="9" t="e">
        <v>#N/A</v>
      </c>
      <c r="C28" s="9" t="e">
        <v>#N/A</v>
      </c>
      <c r="D28" s="9">
        <v>456</v>
      </c>
      <c r="E28" s="9">
        <v>430</v>
      </c>
      <c r="F28" s="13">
        <v>1.7</v>
      </c>
    </row>
    <row r="29" spans="1:6" x14ac:dyDescent="0.25">
      <c r="A29" t="s">
        <v>152</v>
      </c>
      <c r="B29" s="9" t="e">
        <v>#N/A</v>
      </c>
      <c r="C29" s="9" t="e">
        <v>#N/A</v>
      </c>
      <c r="D29" s="9">
        <v>457</v>
      </c>
      <c r="E29" s="9">
        <v>430</v>
      </c>
      <c r="F29" s="13">
        <v>1.9</v>
      </c>
    </row>
    <row r="30" spans="1:6" x14ac:dyDescent="0.25">
      <c r="A30" t="s">
        <v>153</v>
      </c>
      <c r="B30" s="9" t="e">
        <v>#N/A</v>
      </c>
      <c r="C30" s="9" t="e">
        <v>#N/A</v>
      </c>
      <c r="D30" s="9">
        <v>457</v>
      </c>
      <c r="E30" s="9">
        <v>431</v>
      </c>
      <c r="F30" s="13">
        <v>2.1</v>
      </c>
    </row>
    <row r="31" spans="1:6" x14ac:dyDescent="0.25">
      <c r="A31" t="s">
        <v>154</v>
      </c>
      <c r="B31" s="9" t="e">
        <v>#N/A</v>
      </c>
      <c r="C31" s="9" t="e">
        <v>#N/A</v>
      </c>
      <c r="D31" s="9">
        <v>457</v>
      </c>
      <c r="E31" s="9">
        <v>430</v>
      </c>
      <c r="F31" s="13">
        <v>1.8</v>
      </c>
    </row>
    <row r="32" spans="1:6" x14ac:dyDescent="0.25">
      <c r="A32" t="s">
        <v>155</v>
      </c>
      <c r="B32" s="9" t="e">
        <v>#N/A</v>
      </c>
      <c r="C32" s="9" t="e">
        <v>#N/A</v>
      </c>
      <c r="D32" s="9">
        <v>457</v>
      </c>
      <c r="E32" s="9">
        <v>432</v>
      </c>
      <c r="F32" s="13">
        <v>1.8</v>
      </c>
    </row>
    <row r="33" spans="1:6" x14ac:dyDescent="0.25">
      <c r="A33" t="s">
        <v>156</v>
      </c>
      <c r="B33" s="9" t="e">
        <v>#N/A</v>
      </c>
      <c r="C33" s="9" t="e">
        <v>#N/A</v>
      </c>
      <c r="D33" s="9">
        <v>457</v>
      </c>
      <c r="E33" s="9">
        <v>433</v>
      </c>
      <c r="F33" s="13">
        <v>1.8</v>
      </c>
    </row>
    <row r="34" spans="1:6" x14ac:dyDescent="0.25">
      <c r="A34" t="s">
        <v>157</v>
      </c>
      <c r="B34" s="9" t="e">
        <v>#N/A</v>
      </c>
      <c r="C34" s="9" t="e">
        <v>#N/A</v>
      </c>
      <c r="D34" s="9">
        <v>460</v>
      </c>
      <c r="E34" s="9">
        <v>433</v>
      </c>
      <c r="F34" s="13">
        <v>2</v>
      </c>
    </row>
    <row r="35" spans="1:6" x14ac:dyDescent="0.25">
      <c r="A35" t="s">
        <v>158</v>
      </c>
      <c r="B35" s="9" t="e">
        <v>#N/A</v>
      </c>
      <c r="C35" s="9" t="e">
        <v>#N/A</v>
      </c>
      <c r="D35" s="9">
        <v>460</v>
      </c>
      <c r="E35" s="9">
        <v>434</v>
      </c>
      <c r="F35" s="13">
        <v>2</v>
      </c>
    </row>
    <row r="36" spans="1:6" x14ac:dyDescent="0.25">
      <c r="A36" t="s">
        <v>159</v>
      </c>
      <c r="B36" s="9" t="e">
        <v>#N/A</v>
      </c>
      <c r="C36" s="9" t="e">
        <v>#N/A</v>
      </c>
      <c r="D36" s="9">
        <v>462</v>
      </c>
      <c r="E36" s="9">
        <v>435</v>
      </c>
      <c r="F36" s="13">
        <v>2</v>
      </c>
    </row>
    <row r="37" spans="1:6" x14ac:dyDescent="0.25">
      <c r="A37" t="s">
        <v>160</v>
      </c>
      <c r="B37" s="9" t="e">
        <v>#N/A</v>
      </c>
      <c r="C37" s="9" t="e">
        <v>#N/A</v>
      </c>
      <c r="D37" s="9">
        <v>463</v>
      </c>
      <c r="E37" s="9">
        <v>435</v>
      </c>
      <c r="F37" s="13">
        <v>2</v>
      </c>
    </row>
    <row r="38" spans="1:6" x14ac:dyDescent="0.25">
      <c r="A38" t="s">
        <v>161</v>
      </c>
      <c r="B38" s="9" t="e">
        <v>#N/A</v>
      </c>
      <c r="C38" s="9" t="e">
        <v>#N/A</v>
      </c>
      <c r="D38" s="9">
        <v>464</v>
      </c>
      <c r="E38" s="9">
        <v>436</v>
      </c>
      <c r="F38" s="13">
        <v>2</v>
      </c>
    </row>
    <row r="39" spans="1:6" x14ac:dyDescent="0.25">
      <c r="A39" t="s">
        <v>162</v>
      </c>
      <c r="B39" s="9" t="e">
        <v>#N/A</v>
      </c>
      <c r="C39" s="9" t="e">
        <v>#N/A</v>
      </c>
      <c r="D39" s="9">
        <v>462</v>
      </c>
      <c r="E39" s="9">
        <v>435</v>
      </c>
      <c r="F39" s="13">
        <v>1.8</v>
      </c>
    </row>
    <row r="40" spans="1:6" x14ac:dyDescent="0.25">
      <c r="A40" t="s">
        <v>163</v>
      </c>
      <c r="B40" s="9" t="e">
        <v>#N/A</v>
      </c>
      <c r="C40" s="9" t="e">
        <v>#N/A</v>
      </c>
      <c r="D40" s="9">
        <v>462</v>
      </c>
      <c r="E40" s="9">
        <v>435</v>
      </c>
      <c r="F40" s="13">
        <v>1.6</v>
      </c>
    </row>
    <row r="41" spans="1:6" x14ac:dyDescent="0.25">
      <c r="A41" t="s">
        <v>164</v>
      </c>
      <c r="B41" s="9" t="e">
        <v>#N/A</v>
      </c>
      <c r="C41" s="9" t="e">
        <v>#N/A</v>
      </c>
      <c r="D41" s="9">
        <v>463</v>
      </c>
      <c r="E41" s="9">
        <v>436</v>
      </c>
      <c r="F41" s="13">
        <v>1.4</v>
      </c>
    </row>
    <row r="42" spans="1:6" x14ac:dyDescent="0.25">
      <c r="A42" t="s">
        <v>165</v>
      </c>
      <c r="B42" s="9" t="e">
        <v>#N/A</v>
      </c>
      <c r="C42" s="9" t="e">
        <v>#N/A</v>
      </c>
      <c r="D42" s="9">
        <v>461</v>
      </c>
      <c r="E42" s="9">
        <v>436</v>
      </c>
      <c r="F42" s="13">
        <v>1.3</v>
      </c>
    </row>
    <row r="43" spans="1:6" x14ac:dyDescent="0.25">
      <c r="A43" t="s">
        <v>166</v>
      </c>
      <c r="B43" s="9" t="e">
        <v>#N/A</v>
      </c>
      <c r="C43" s="9" t="e">
        <v>#N/A</v>
      </c>
      <c r="D43" s="9">
        <v>462</v>
      </c>
      <c r="E43" s="9">
        <v>434</v>
      </c>
      <c r="F43" s="13">
        <v>1.2</v>
      </c>
    </row>
    <row r="44" spans="1:6" x14ac:dyDescent="0.25">
      <c r="A44" t="s">
        <v>167</v>
      </c>
      <c r="B44" s="9" t="e">
        <v>#N/A</v>
      </c>
      <c r="C44" s="9" t="e">
        <v>#N/A</v>
      </c>
      <c r="D44" s="9">
        <v>462</v>
      </c>
      <c r="E44" s="9">
        <v>435</v>
      </c>
      <c r="F44" s="13">
        <v>1</v>
      </c>
    </row>
    <row r="45" spans="1:6" x14ac:dyDescent="0.25">
      <c r="A45" t="s">
        <v>168</v>
      </c>
      <c r="B45" s="9" t="e">
        <v>#N/A</v>
      </c>
      <c r="C45" s="9" t="e">
        <v>#N/A</v>
      </c>
      <c r="D45" s="9">
        <v>454</v>
      </c>
      <c r="E45" s="9">
        <v>436</v>
      </c>
      <c r="F45" s="13">
        <v>0.8</v>
      </c>
    </row>
    <row r="46" spans="1:6" x14ac:dyDescent="0.25">
      <c r="A46" t="s">
        <v>169</v>
      </c>
      <c r="B46" s="9" t="e">
        <v>#N/A</v>
      </c>
      <c r="C46" s="9" t="e">
        <v>#N/A</v>
      </c>
      <c r="D46" s="9">
        <v>477</v>
      </c>
      <c r="E46" s="9">
        <v>438</v>
      </c>
      <c r="F46" s="13">
        <v>0.9</v>
      </c>
    </row>
    <row r="47" spans="1:6" x14ac:dyDescent="0.25">
      <c r="A47" t="s">
        <v>170</v>
      </c>
      <c r="B47" s="9" t="e">
        <v>#N/A</v>
      </c>
      <c r="C47" s="9" t="e">
        <v>#N/A</v>
      </c>
      <c r="D47" s="9">
        <v>468</v>
      </c>
      <c r="E47" s="9">
        <v>438</v>
      </c>
      <c r="F47" s="13">
        <v>1</v>
      </c>
    </row>
    <row r="48" spans="1:6" x14ac:dyDescent="0.25">
      <c r="A48" t="s">
        <v>171</v>
      </c>
      <c r="B48" s="9" t="e">
        <v>#N/A</v>
      </c>
      <c r="C48" s="9" t="e">
        <v>#N/A</v>
      </c>
      <c r="D48" s="9">
        <v>466</v>
      </c>
      <c r="E48" s="9">
        <v>438</v>
      </c>
      <c r="F48" s="13">
        <v>1.2</v>
      </c>
    </row>
    <row r="49" spans="1:6" x14ac:dyDescent="0.25">
      <c r="A49" t="s">
        <v>172</v>
      </c>
      <c r="B49" s="9" t="e">
        <v>#N/A</v>
      </c>
      <c r="C49" s="9" t="e">
        <v>#N/A</v>
      </c>
      <c r="D49" s="9">
        <v>466</v>
      </c>
      <c r="E49" s="9">
        <v>439</v>
      </c>
      <c r="F49" s="13">
        <v>1.1000000000000001</v>
      </c>
    </row>
    <row r="50" spans="1:6" x14ac:dyDescent="0.25">
      <c r="A50" t="s">
        <v>173</v>
      </c>
      <c r="B50" s="9" t="e">
        <v>#N/A</v>
      </c>
      <c r="C50" s="9" t="e">
        <v>#N/A</v>
      </c>
      <c r="D50" s="9">
        <v>466</v>
      </c>
      <c r="E50" s="9">
        <v>438</v>
      </c>
      <c r="F50" s="13">
        <v>1</v>
      </c>
    </row>
    <row r="51" spans="1:6" x14ac:dyDescent="0.25">
      <c r="A51" t="s">
        <v>174</v>
      </c>
      <c r="B51" s="9" t="e">
        <v>#N/A</v>
      </c>
      <c r="C51" s="9" t="e">
        <v>#N/A</v>
      </c>
      <c r="D51" s="9">
        <v>466</v>
      </c>
      <c r="E51" s="9">
        <v>438</v>
      </c>
      <c r="F51" s="13">
        <v>1</v>
      </c>
    </row>
    <row r="52" spans="1:6" x14ac:dyDescent="0.25">
      <c r="A52" t="s">
        <v>175</v>
      </c>
      <c r="B52" s="9" t="e">
        <v>#N/A</v>
      </c>
      <c r="C52" s="9" t="e">
        <v>#N/A</v>
      </c>
      <c r="D52" s="9">
        <v>466</v>
      </c>
      <c r="E52" s="9">
        <v>439</v>
      </c>
      <c r="F52" s="13">
        <v>1</v>
      </c>
    </row>
    <row r="53" spans="1:6" x14ac:dyDescent="0.25">
      <c r="A53" t="s">
        <v>176</v>
      </c>
      <c r="B53" s="9" t="e">
        <v>#N/A</v>
      </c>
      <c r="C53" s="9" t="e">
        <v>#N/A</v>
      </c>
      <c r="D53" s="9">
        <v>466</v>
      </c>
      <c r="E53" s="9">
        <v>438</v>
      </c>
      <c r="F53" s="13">
        <v>1</v>
      </c>
    </row>
    <row r="54" spans="1:6" x14ac:dyDescent="0.25">
      <c r="A54" t="s">
        <v>177</v>
      </c>
      <c r="B54" s="9" t="e">
        <v>#N/A</v>
      </c>
      <c r="C54" s="9" t="e">
        <v>#N/A</v>
      </c>
      <c r="D54" s="9">
        <v>468</v>
      </c>
      <c r="E54" s="9">
        <v>441</v>
      </c>
      <c r="F54" s="13">
        <v>1.2</v>
      </c>
    </row>
    <row r="55" spans="1:6" x14ac:dyDescent="0.25">
      <c r="A55" t="s">
        <v>178</v>
      </c>
      <c r="B55" s="9" t="e">
        <v>#N/A</v>
      </c>
      <c r="C55" s="9" t="e">
        <v>#N/A</v>
      </c>
      <c r="D55" s="9">
        <v>469</v>
      </c>
      <c r="E55" s="9">
        <v>441</v>
      </c>
      <c r="F55" s="13">
        <v>1.4</v>
      </c>
    </row>
    <row r="56" spans="1:6" x14ac:dyDescent="0.25">
      <c r="A56" t="s">
        <v>179</v>
      </c>
      <c r="B56" s="9" t="e">
        <v>#N/A</v>
      </c>
      <c r="C56" s="9" t="e">
        <v>#N/A</v>
      </c>
      <c r="D56" s="9">
        <v>472</v>
      </c>
      <c r="E56" s="9">
        <v>440</v>
      </c>
      <c r="F56" s="13">
        <v>1.6</v>
      </c>
    </row>
    <row r="57" spans="1:6" x14ac:dyDescent="0.25">
      <c r="A57" t="s">
        <v>180</v>
      </c>
      <c r="B57" s="9" t="e">
        <v>#N/A</v>
      </c>
      <c r="C57" s="9" t="e">
        <v>#N/A</v>
      </c>
      <c r="D57" s="9">
        <v>461</v>
      </c>
      <c r="E57" s="9">
        <v>439</v>
      </c>
      <c r="F57" s="13">
        <v>1.4</v>
      </c>
    </row>
    <row r="58" spans="1:6" x14ac:dyDescent="0.25">
      <c r="A58" t="s">
        <v>181</v>
      </c>
      <c r="B58" s="9" t="e">
        <v>#N/A</v>
      </c>
      <c r="C58" s="9" t="e">
        <v>#N/A</v>
      </c>
      <c r="D58" s="9">
        <v>469</v>
      </c>
      <c r="E58" s="9">
        <v>440</v>
      </c>
      <c r="F58" s="13">
        <v>0.9</v>
      </c>
    </row>
    <row r="59" spans="1:6" x14ac:dyDescent="0.25">
      <c r="A59" t="s">
        <v>182</v>
      </c>
      <c r="B59" s="9" t="e">
        <v>#N/A</v>
      </c>
      <c r="C59" s="9" t="e">
        <v>#N/A</v>
      </c>
      <c r="D59" s="9">
        <v>469</v>
      </c>
      <c r="E59" s="9">
        <v>441</v>
      </c>
      <c r="F59" s="13">
        <v>0.8</v>
      </c>
    </row>
    <row r="60" spans="1:6" x14ac:dyDescent="0.25">
      <c r="A60" t="s">
        <v>183</v>
      </c>
      <c r="B60" s="9" t="e">
        <v>#N/A</v>
      </c>
      <c r="C60" s="9" t="e">
        <v>#N/A</v>
      </c>
      <c r="D60" s="9">
        <v>470</v>
      </c>
      <c r="E60" s="9">
        <v>441</v>
      </c>
      <c r="F60" s="13">
        <v>0.8</v>
      </c>
    </row>
    <row r="61" spans="1:6" x14ac:dyDescent="0.25">
      <c r="A61" t="s">
        <v>184</v>
      </c>
      <c r="B61" s="9">
        <v>2189</v>
      </c>
      <c r="C61" s="9">
        <v>1598</v>
      </c>
      <c r="D61" s="9">
        <v>468</v>
      </c>
      <c r="E61" s="9">
        <v>442</v>
      </c>
      <c r="F61" s="13">
        <v>0.9</v>
      </c>
    </row>
    <row r="62" spans="1:6" x14ac:dyDescent="0.25">
      <c r="A62" t="s">
        <v>185</v>
      </c>
      <c r="B62" s="9">
        <v>2195</v>
      </c>
      <c r="C62" s="9">
        <v>1601</v>
      </c>
      <c r="D62" s="9">
        <v>469</v>
      </c>
      <c r="E62" s="9">
        <v>443</v>
      </c>
      <c r="F62" s="13">
        <v>1</v>
      </c>
    </row>
    <row r="63" spans="1:6" x14ac:dyDescent="0.25">
      <c r="A63" t="s">
        <v>186</v>
      </c>
      <c r="B63" s="9">
        <v>2197</v>
      </c>
      <c r="C63" s="9">
        <v>1601</v>
      </c>
      <c r="D63" s="9">
        <v>473</v>
      </c>
      <c r="E63" s="9">
        <v>445</v>
      </c>
      <c r="F63" s="13">
        <v>1.4</v>
      </c>
    </row>
    <row r="64" spans="1:6" x14ac:dyDescent="0.25">
      <c r="A64" t="s">
        <v>187</v>
      </c>
      <c r="B64" s="9">
        <v>2198</v>
      </c>
      <c r="C64" s="9">
        <v>1605</v>
      </c>
      <c r="D64" s="9">
        <v>475</v>
      </c>
      <c r="E64" s="9">
        <v>447</v>
      </c>
      <c r="F64" s="13">
        <v>1.9</v>
      </c>
    </row>
    <row r="65" spans="1:6" x14ac:dyDescent="0.25">
      <c r="A65" t="s">
        <v>188</v>
      </c>
      <c r="B65" s="9">
        <v>2217</v>
      </c>
      <c r="C65" s="9">
        <v>1608</v>
      </c>
      <c r="D65" s="9">
        <v>475</v>
      </c>
      <c r="E65" s="9">
        <v>445</v>
      </c>
      <c r="F65" s="13">
        <v>2.1</v>
      </c>
    </row>
    <row r="66" spans="1:6" x14ac:dyDescent="0.25">
      <c r="A66" t="s">
        <v>189</v>
      </c>
      <c r="B66" s="9">
        <v>2240</v>
      </c>
      <c r="C66" s="9">
        <v>1617</v>
      </c>
      <c r="D66" s="9">
        <v>478</v>
      </c>
      <c r="E66" s="9">
        <v>447</v>
      </c>
      <c r="F66" s="13">
        <v>2</v>
      </c>
    </row>
    <row r="67" spans="1:6" x14ac:dyDescent="0.25">
      <c r="A67" t="s">
        <v>190</v>
      </c>
      <c r="B67" s="9">
        <v>2241</v>
      </c>
      <c r="C67" s="9">
        <v>1620</v>
      </c>
      <c r="D67" s="9">
        <v>476</v>
      </c>
      <c r="E67" s="9">
        <v>448</v>
      </c>
      <c r="F67" s="13">
        <v>1.9</v>
      </c>
    </row>
    <row r="68" spans="1:6" x14ac:dyDescent="0.25">
      <c r="A68" t="s">
        <v>191</v>
      </c>
      <c r="B68" s="9">
        <v>2234</v>
      </c>
      <c r="C68" s="9">
        <v>1620</v>
      </c>
      <c r="D68" s="9">
        <v>478</v>
      </c>
      <c r="E68" s="9">
        <v>450</v>
      </c>
      <c r="F68" s="13">
        <v>2.1</v>
      </c>
    </row>
    <row r="69" spans="1:6" x14ac:dyDescent="0.25">
      <c r="A69" t="s">
        <v>192</v>
      </c>
      <c r="B69" s="9">
        <v>2219</v>
      </c>
      <c r="C69" s="9">
        <v>1618</v>
      </c>
      <c r="D69" s="9">
        <v>480</v>
      </c>
      <c r="E69" s="9">
        <v>452</v>
      </c>
      <c r="F69" s="13">
        <v>2.7</v>
      </c>
    </row>
    <row r="70" spans="1:6" x14ac:dyDescent="0.25">
      <c r="A70" t="s">
        <v>193</v>
      </c>
      <c r="B70" s="9">
        <v>2226</v>
      </c>
      <c r="C70" s="9">
        <v>1614</v>
      </c>
      <c r="D70" s="9">
        <v>481</v>
      </c>
      <c r="E70" s="9">
        <v>452</v>
      </c>
      <c r="F70" s="13">
        <v>3.1</v>
      </c>
    </row>
    <row r="71" spans="1:6" x14ac:dyDescent="0.25">
      <c r="A71" t="s">
        <v>194</v>
      </c>
      <c r="B71" s="9">
        <v>2219</v>
      </c>
      <c r="C71" s="9">
        <v>1615</v>
      </c>
      <c r="D71" s="9">
        <v>482</v>
      </c>
      <c r="E71" s="9">
        <v>453</v>
      </c>
      <c r="F71" s="13">
        <v>3.3</v>
      </c>
    </row>
    <row r="72" spans="1:6" x14ac:dyDescent="0.25">
      <c r="A72" t="s">
        <v>195</v>
      </c>
      <c r="B72" s="9">
        <v>2221</v>
      </c>
      <c r="C72" s="9">
        <v>1616</v>
      </c>
      <c r="D72" s="9">
        <v>481</v>
      </c>
      <c r="E72" s="9">
        <v>453</v>
      </c>
      <c r="F72" s="13">
        <v>3.2</v>
      </c>
    </row>
    <row r="73" spans="1:6" x14ac:dyDescent="0.25">
      <c r="A73" t="s">
        <v>196</v>
      </c>
      <c r="B73" s="9">
        <v>2229</v>
      </c>
      <c r="C73" s="9">
        <v>1619</v>
      </c>
      <c r="D73" s="9">
        <v>484</v>
      </c>
      <c r="E73" s="9">
        <v>454</v>
      </c>
      <c r="F73" s="13">
        <v>3.2</v>
      </c>
    </row>
    <row r="74" spans="1:6" x14ac:dyDescent="0.25">
      <c r="A74" t="s">
        <v>197</v>
      </c>
      <c r="B74" s="9">
        <v>2227</v>
      </c>
      <c r="C74" s="9">
        <v>1616</v>
      </c>
      <c r="D74" s="9">
        <v>484</v>
      </c>
      <c r="E74" s="9">
        <v>454</v>
      </c>
      <c r="F74" s="13">
        <v>3.2</v>
      </c>
    </row>
    <row r="75" spans="1:6" x14ac:dyDescent="0.25">
      <c r="A75" t="s">
        <v>198</v>
      </c>
      <c r="B75" s="9">
        <v>2224</v>
      </c>
      <c r="C75" s="9">
        <v>1618</v>
      </c>
      <c r="D75" s="9">
        <v>483</v>
      </c>
      <c r="E75" s="9">
        <v>454</v>
      </c>
      <c r="F75" s="13">
        <v>2.8</v>
      </c>
    </row>
    <row r="76" spans="1:6" x14ac:dyDescent="0.25">
      <c r="A76" t="s">
        <v>199</v>
      </c>
      <c r="B76" s="9">
        <v>2229</v>
      </c>
      <c r="C76" s="9">
        <v>1626</v>
      </c>
      <c r="D76" s="9">
        <v>484</v>
      </c>
      <c r="E76" s="9">
        <v>454</v>
      </c>
      <c r="F76" s="13">
        <v>2.2000000000000002</v>
      </c>
    </row>
    <row r="77" spans="1:6" x14ac:dyDescent="0.25">
      <c r="A77" t="s">
        <v>200</v>
      </c>
      <c r="B77" s="9">
        <v>2239</v>
      </c>
      <c r="C77" s="9">
        <v>1630</v>
      </c>
      <c r="D77" s="9">
        <v>484</v>
      </c>
      <c r="E77" s="9">
        <v>455</v>
      </c>
      <c r="F77" s="13">
        <v>2</v>
      </c>
    </row>
    <row r="78" spans="1:6" x14ac:dyDescent="0.25">
      <c r="A78" t="s">
        <v>201</v>
      </c>
      <c r="B78" s="9">
        <v>2241</v>
      </c>
      <c r="C78" s="9">
        <v>1631</v>
      </c>
      <c r="D78" s="9">
        <v>487</v>
      </c>
      <c r="E78" s="9">
        <v>456</v>
      </c>
      <c r="F78" s="13">
        <v>2.1</v>
      </c>
    </row>
    <row r="79" spans="1:6" x14ac:dyDescent="0.25">
      <c r="A79" t="s">
        <v>202</v>
      </c>
      <c r="B79" s="9">
        <v>2239</v>
      </c>
      <c r="C79" s="9">
        <v>1638</v>
      </c>
      <c r="D79" s="9">
        <v>489</v>
      </c>
      <c r="E79" s="9">
        <v>459</v>
      </c>
      <c r="F79" s="13">
        <v>2.4</v>
      </c>
    </row>
    <row r="80" spans="1:6" x14ac:dyDescent="0.25">
      <c r="A80" t="s">
        <v>203</v>
      </c>
      <c r="B80" s="9">
        <v>2238</v>
      </c>
      <c r="C80" s="9">
        <v>1640</v>
      </c>
      <c r="D80" s="9">
        <v>486</v>
      </c>
      <c r="E80" s="9">
        <v>461</v>
      </c>
      <c r="F80" s="13">
        <v>2.5</v>
      </c>
    </row>
    <row r="81" spans="1:6" x14ac:dyDescent="0.25">
      <c r="A81" t="s">
        <v>204</v>
      </c>
      <c r="B81" s="9">
        <v>2244</v>
      </c>
      <c r="C81" s="9">
        <v>1646</v>
      </c>
      <c r="D81" s="9">
        <v>490</v>
      </c>
      <c r="E81" s="9">
        <v>462</v>
      </c>
      <c r="F81" s="13">
        <v>2.5</v>
      </c>
    </row>
    <row r="82" spans="1:6" x14ac:dyDescent="0.25">
      <c r="A82" t="s">
        <v>205</v>
      </c>
      <c r="B82" s="9">
        <v>2264</v>
      </c>
      <c r="C82" s="9">
        <v>1652</v>
      </c>
      <c r="D82" s="9">
        <v>495</v>
      </c>
      <c r="E82" s="9">
        <v>463</v>
      </c>
      <c r="F82" s="13">
        <v>2.6</v>
      </c>
    </row>
    <row r="83" spans="1:6" x14ac:dyDescent="0.25">
      <c r="A83" t="s">
        <v>206</v>
      </c>
      <c r="B83" s="9">
        <v>2261</v>
      </c>
      <c r="C83" s="9">
        <v>1652</v>
      </c>
      <c r="D83" s="9">
        <v>493</v>
      </c>
      <c r="E83" s="9">
        <v>462</v>
      </c>
      <c r="F83" s="13">
        <v>2.4</v>
      </c>
    </row>
    <row r="84" spans="1:6" x14ac:dyDescent="0.25">
      <c r="A84" t="s">
        <v>207</v>
      </c>
      <c r="B84" s="9">
        <v>2268</v>
      </c>
      <c r="C84" s="9">
        <v>1654</v>
      </c>
      <c r="D84" s="9">
        <v>493</v>
      </c>
      <c r="E84" s="9">
        <v>464</v>
      </c>
      <c r="F84" s="13">
        <v>2.5</v>
      </c>
    </row>
    <row r="85" spans="1:6" x14ac:dyDescent="0.25">
      <c r="A85" t="s">
        <v>208</v>
      </c>
      <c r="B85" s="9">
        <v>2274</v>
      </c>
      <c r="C85" s="9">
        <v>1659</v>
      </c>
      <c r="D85" s="9">
        <v>496</v>
      </c>
      <c r="E85" s="9">
        <v>464</v>
      </c>
      <c r="F85" s="13">
        <v>2.4</v>
      </c>
    </row>
    <row r="86" spans="1:6" x14ac:dyDescent="0.25">
      <c r="A86" t="s">
        <v>209</v>
      </c>
      <c r="B86" s="9">
        <v>2268</v>
      </c>
      <c r="C86" s="9">
        <v>1659</v>
      </c>
      <c r="D86" s="9">
        <v>494</v>
      </c>
      <c r="E86" s="9">
        <v>464</v>
      </c>
      <c r="F86" s="13">
        <v>2.4</v>
      </c>
    </row>
    <row r="87" spans="1:6" x14ac:dyDescent="0.25">
      <c r="A87" t="s">
        <v>210</v>
      </c>
      <c r="B87" s="9">
        <v>2287</v>
      </c>
      <c r="C87" s="9">
        <v>1664</v>
      </c>
      <c r="D87" s="9">
        <v>495</v>
      </c>
      <c r="E87" s="9">
        <v>466</v>
      </c>
      <c r="F87" s="13">
        <v>2.6</v>
      </c>
    </row>
    <row r="88" spans="1:6" x14ac:dyDescent="0.25">
      <c r="A88" t="s">
        <v>211</v>
      </c>
      <c r="B88" s="9">
        <v>2291</v>
      </c>
      <c r="C88" s="9">
        <v>1663</v>
      </c>
      <c r="D88" s="9">
        <v>497</v>
      </c>
      <c r="E88" s="9">
        <v>465</v>
      </c>
      <c r="F88" s="13">
        <v>2.8</v>
      </c>
    </row>
    <row r="89" spans="1:6" x14ac:dyDescent="0.25">
      <c r="A89" t="s">
        <v>212</v>
      </c>
      <c r="B89" s="9">
        <v>2295</v>
      </c>
      <c r="C89" s="9">
        <v>1666</v>
      </c>
      <c r="D89" s="9">
        <v>498</v>
      </c>
      <c r="E89" s="9">
        <v>467</v>
      </c>
      <c r="F89" s="13">
        <v>2.9</v>
      </c>
    </row>
    <row r="90" spans="1:6" x14ac:dyDescent="0.25">
      <c r="A90" t="s">
        <v>213</v>
      </c>
      <c r="B90" s="9">
        <v>2295</v>
      </c>
      <c r="C90" s="9">
        <v>1668</v>
      </c>
      <c r="D90" s="9">
        <v>496</v>
      </c>
      <c r="E90" s="9">
        <v>466</v>
      </c>
      <c r="F90" s="13">
        <v>2.8</v>
      </c>
    </row>
    <row r="91" spans="1:6" x14ac:dyDescent="0.25">
      <c r="A91" t="s">
        <v>214</v>
      </c>
      <c r="B91" s="9">
        <v>2293</v>
      </c>
      <c r="C91" s="9">
        <v>1668</v>
      </c>
      <c r="D91" s="9">
        <v>497</v>
      </c>
      <c r="E91" s="9">
        <v>468</v>
      </c>
      <c r="F91" s="13">
        <v>2.6</v>
      </c>
    </row>
    <row r="92" spans="1:6" x14ac:dyDescent="0.25">
      <c r="A92" t="s">
        <v>215</v>
      </c>
      <c r="B92" s="9">
        <v>2307</v>
      </c>
      <c r="C92" s="9">
        <v>1677</v>
      </c>
      <c r="D92" s="9">
        <v>499</v>
      </c>
      <c r="E92" s="9">
        <v>469</v>
      </c>
      <c r="F92" s="13">
        <v>2.2000000000000002</v>
      </c>
    </row>
    <row r="93" spans="1:6" x14ac:dyDescent="0.25">
      <c r="A93" t="s">
        <v>216</v>
      </c>
      <c r="B93" s="9">
        <v>2314</v>
      </c>
      <c r="C93" s="9">
        <v>1686</v>
      </c>
      <c r="D93" s="9">
        <v>501</v>
      </c>
      <c r="E93" s="9">
        <v>470</v>
      </c>
      <c r="F93" s="13">
        <v>2.1</v>
      </c>
    </row>
    <row r="94" spans="1:6" x14ac:dyDescent="0.25">
      <c r="A94" t="s">
        <v>217</v>
      </c>
      <c r="B94" s="9">
        <v>2317</v>
      </c>
      <c r="C94" s="9">
        <v>1689</v>
      </c>
      <c r="D94" s="9">
        <v>502</v>
      </c>
      <c r="E94" s="9">
        <v>471</v>
      </c>
      <c r="F94" s="13">
        <v>2</v>
      </c>
    </row>
    <row r="95" spans="1:6" x14ac:dyDescent="0.25">
      <c r="A95" t="s">
        <v>218</v>
      </c>
      <c r="B95" s="9">
        <v>2331</v>
      </c>
      <c r="C95" s="9">
        <v>1690</v>
      </c>
      <c r="D95" s="9">
        <v>503</v>
      </c>
      <c r="E95" s="9">
        <v>473</v>
      </c>
      <c r="F95" s="13">
        <v>2.2000000000000002</v>
      </c>
    </row>
    <row r="96" spans="1:6" x14ac:dyDescent="0.25">
      <c r="A96" t="s">
        <v>219</v>
      </c>
      <c r="B96" s="9">
        <v>2331</v>
      </c>
      <c r="C96" s="9">
        <v>1694</v>
      </c>
      <c r="D96" s="9">
        <v>508</v>
      </c>
      <c r="E96" s="9">
        <v>473</v>
      </c>
      <c r="F96" s="13">
        <v>2.2000000000000002</v>
      </c>
    </row>
    <row r="97" spans="1:6" x14ac:dyDescent="0.25">
      <c r="A97" t="s">
        <v>220</v>
      </c>
      <c r="B97" s="9">
        <v>2327</v>
      </c>
      <c r="C97" s="9">
        <v>1693</v>
      </c>
      <c r="D97" s="9">
        <v>504</v>
      </c>
      <c r="E97" s="9">
        <v>474</v>
      </c>
      <c r="F97" s="13">
        <v>2.2999999999999998</v>
      </c>
    </row>
    <row r="98" spans="1:6" x14ac:dyDescent="0.25">
      <c r="A98" t="s">
        <v>221</v>
      </c>
      <c r="B98" s="9">
        <v>2334</v>
      </c>
      <c r="C98" s="9">
        <v>1699</v>
      </c>
      <c r="D98" s="9">
        <v>507</v>
      </c>
      <c r="E98" s="9">
        <v>475</v>
      </c>
      <c r="F98" s="13">
        <v>2.2999999999999998</v>
      </c>
    </row>
    <row r="99" spans="1:6" x14ac:dyDescent="0.25">
      <c r="A99" t="s">
        <v>222</v>
      </c>
      <c r="B99" s="9">
        <v>2346</v>
      </c>
      <c r="C99" s="9">
        <v>1704</v>
      </c>
      <c r="D99" s="9">
        <v>509</v>
      </c>
      <c r="E99" s="9">
        <v>476</v>
      </c>
      <c r="F99" s="13">
        <v>2.4</v>
      </c>
    </row>
    <row r="100" spans="1:6" x14ac:dyDescent="0.25">
      <c r="A100" t="s">
        <v>223</v>
      </c>
      <c r="B100" s="9">
        <v>2346</v>
      </c>
      <c r="C100" s="9">
        <v>1706</v>
      </c>
      <c r="D100" s="9">
        <v>509</v>
      </c>
      <c r="E100" s="9">
        <v>476</v>
      </c>
      <c r="F100" s="13">
        <v>2.4</v>
      </c>
    </row>
    <row r="101" spans="1:6" x14ac:dyDescent="0.25">
      <c r="A101" t="s">
        <v>224</v>
      </c>
      <c r="B101" s="9">
        <v>2354</v>
      </c>
      <c r="C101" s="9">
        <v>1713</v>
      </c>
      <c r="D101" s="9">
        <v>510</v>
      </c>
      <c r="E101" s="9">
        <v>478</v>
      </c>
      <c r="F101" s="13">
        <v>2.4</v>
      </c>
    </row>
    <row r="102" spans="1:6" x14ac:dyDescent="0.25">
      <c r="A102" t="s">
        <v>225</v>
      </c>
      <c r="B102" s="9">
        <v>2363</v>
      </c>
      <c r="C102" s="9">
        <v>1721</v>
      </c>
      <c r="D102" s="9">
        <v>512</v>
      </c>
      <c r="E102" s="9">
        <v>479</v>
      </c>
      <c r="F102" s="13">
        <v>2.6</v>
      </c>
    </row>
    <row r="103" spans="1:6" x14ac:dyDescent="0.25">
      <c r="A103" t="s">
        <v>226</v>
      </c>
      <c r="B103" s="9">
        <v>2374</v>
      </c>
      <c r="C103" s="9">
        <v>1724</v>
      </c>
      <c r="D103" s="9">
        <v>510</v>
      </c>
      <c r="E103" s="9">
        <v>480</v>
      </c>
      <c r="F103" s="13">
        <v>2.7</v>
      </c>
    </row>
    <row r="104" spans="1:6" x14ac:dyDescent="0.25">
      <c r="A104" t="s">
        <v>227</v>
      </c>
      <c r="B104" s="9">
        <v>2386</v>
      </c>
      <c r="C104" s="9">
        <v>1728</v>
      </c>
      <c r="D104" s="9">
        <v>513</v>
      </c>
      <c r="E104" s="9">
        <v>482</v>
      </c>
      <c r="F104" s="13">
        <v>2.9</v>
      </c>
    </row>
    <row r="105" spans="1:6" x14ac:dyDescent="0.25">
      <c r="A105" t="s">
        <v>228</v>
      </c>
      <c r="B105" s="9">
        <v>2383</v>
      </c>
      <c r="C105" s="9">
        <v>1731</v>
      </c>
      <c r="D105" s="9">
        <v>513</v>
      </c>
      <c r="E105" s="9">
        <v>484</v>
      </c>
      <c r="F105" s="13">
        <v>3</v>
      </c>
    </row>
    <row r="106" spans="1:6" x14ac:dyDescent="0.25">
      <c r="A106" t="s">
        <v>229</v>
      </c>
      <c r="B106" s="9">
        <v>2386</v>
      </c>
      <c r="C106" s="9">
        <v>1730</v>
      </c>
      <c r="D106" s="9">
        <v>515</v>
      </c>
      <c r="E106" s="9">
        <v>483</v>
      </c>
      <c r="F106" s="13">
        <v>3</v>
      </c>
    </row>
    <row r="107" spans="1:6" x14ac:dyDescent="0.25">
      <c r="A107" t="s">
        <v>230</v>
      </c>
      <c r="B107" s="9">
        <v>2400</v>
      </c>
      <c r="C107" s="9">
        <v>1749</v>
      </c>
      <c r="D107" s="9">
        <v>516</v>
      </c>
      <c r="E107" s="9">
        <v>486</v>
      </c>
      <c r="F107" s="13">
        <v>2.9</v>
      </c>
    </row>
    <row r="108" spans="1:6" x14ac:dyDescent="0.25">
      <c r="A108" t="s">
        <v>231</v>
      </c>
      <c r="B108" s="9">
        <v>2419</v>
      </c>
      <c r="C108" s="9">
        <v>1755</v>
      </c>
      <c r="D108" s="9">
        <v>519</v>
      </c>
      <c r="E108" s="9">
        <v>487</v>
      </c>
      <c r="F108" s="13">
        <v>2.8</v>
      </c>
    </row>
    <row r="109" spans="1:6" x14ac:dyDescent="0.25">
      <c r="A109" t="s">
        <v>232</v>
      </c>
      <c r="B109" s="9">
        <v>2412</v>
      </c>
      <c r="C109" s="9">
        <v>1751</v>
      </c>
      <c r="D109" s="9">
        <v>521</v>
      </c>
      <c r="E109" s="9">
        <v>489</v>
      </c>
      <c r="F109" s="13">
        <v>3</v>
      </c>
    </row>
    <row r="110" spans="1:6" x14ac:dyDescent="0.25">
      <c r="A110" t="s">
        <v>233</v>
      </c>
      <c r="B110" s="9">
        <v>2429</v>
      </c>
      <c r="C110" s="9">
        <v>1771</v>
      </c>
      <c r="D110" s="9">
        <v>523</v>
      </c>
      <c r="E110" s="9">
        <v>491</v>
      </c>
      <c r="F110" s="13">
        <v>3.2</v>
      </c>
    </row>
    <row r="111" spans="1:6" x14ac:dyDescent="0.25">
      <c r="A111" t="s">
        <v>234</v>
      </c>
      <c r="B111" s="9">
        <v>2424</v>
      </c>
      <c r="C111" s="9">
        <v>1761</v>
      </c>
      <c r="D111" s="9">
        <v>523</v>
      </c>
      <c r="E111" s="9">
        <v>491</v>
      </c>
      <c r="F111" s="13">
        <v>3.3</v>
      </c>
    </row>
    <row r="112" spans="1:6" x14ac:dyDescent="0.25">
      <c r="A112" t="s">
        <v>235</v>
      </c>
      <c r="B112" s="9">
        <v>2440</v>
      </c>
      <c r="C112" s="9">
        <v>1767</v>
      </c>
      <c r="D112" s="9">
        <v>530</v>
      </c>
      <c r="E112" s="9">
        <v>493</v>
      </c>
      <c r="F112" s="13">
        <v>3.4</v>
      </c>
    </row>
    <row r="113" spans="1:6" x14ac:dyDescent="0.25">
      <c r="A113" t="s">
        <v>236</v>
      </c>
      <c r="B113" s="9">
        <v>2435</v>
      </c>
      <c r="C113" s="9">
        <v>1779</v>
      </c>
      <c r="D113" s="9">
        <v>526</v>
      </c>
      <c r="E113" s="9">
        <v>494</v>
      </c>
      <c r="F113" s="13">
        <v>3.4</v>
      </c>
    </row>
    <row r="114" spans="1:6" x14ac:dyDescent="0.25">
      <c r="A114" t="s">
        <v>237</v>
      </c>
      <c r="B114" s="9">
        <v>2434</v>
      </c>
      <c r="C114" s="9">
        <v>1772</v>
      </c>
      <c r="D114" s="9">
        <v>528</v>
      </c>
      <c r="E114" s="9">
        <v>495</v>
      </c>
      <c r="F114" s="13">
        <v>3.5</v>
      </c>
    </row>
    <row r="115" spans="1:6" x14ac:dyDescent="0.25">
      <c r="A115" t="s">
        <v>238</v>
      </c>
      <c r="B115" s="9">
        <v>2433</v>
      </c>
      <c r="C115" s="9">
        <v>1782</v>
      </c>
      <c r="D115" s="9">
        <v>530</v>
      </c>
      <c r="E115" s="9">
        <v>498</v>
      </c>
      <c r="F115" s="13">
        <v>3.6</v>
      </c>
    </row>
    <row r="116" spans="1:6" x14ac:dyDescent="0.25">
      <c r="A116" t="s">
        <v>239</v>
      </c>
      <c r="B116" s="9">
        <v>2442</v>
      </c>
      <c r="C116" s="9">
        <v>1791</v>
      </c>
      <c r="D116" s="9">
        <v>531</v>
      </c>
      <c r="E116" s="9">
        <v>498</v>
      </c>
      <c r="F116" s="13">
        <v>3.6</v>
      </c>
    </row>
    <row r="117" spans="1:6" x14ac:dyDescent="0.25">
      <c r="A117" t="s">
        <v>240</v>
      </c>
      <c r="B117" s="9">
        <v>2478</v>
      </c>
      <c r="C117" s="9">
        <v>1801</v>
      </c>
      <c r="D117" s="9">
        <v>525</v>
      </c>
      <c r="E117" s="9">
        <v>500</v>
      </c>
      <c r="F117" s="13">
        <v>3.6</v>
      </c>
    </row>
    <row r="118" spans="1:6" x14ac:dyDescent="0.25">
      <c r="A118" t="s">
        <v>241</v>
      </c>
      <c r="B118" s="9">
        <v>2484</v>
      </c>
      <c r="C118" s="9">
        <v>1810</v>
      </c>
      <c r="D118" s="9">
        <v>534</v>
      </c>
      <c r="E118" s="9">
        <v>503</v>
      </c>
      <c r="F118" s="13">
        <v>3.6</v>
      </c>
    </row>
    <row r="119" spans="1:6" x14ac:dyDescent="0.25">
      <c r="A119" t="s">
        <v>242</v>
      </c>
      <c r="B119" s="9">
        <v>2483</v>
      </c>
      <c r="C119" s="9">
        <v>1816</v>
      </c>
      <c r="D119" s="9">
        <v>537</v>
      </c>
      <c r="E119" s="9">
        <v>504</v>
      </c>
      <c r="F119" s="13">
        <v>3.7</v>
      </c>
    </row>
    <row r="120" spans="1:6" x14ac:dyDescent="0.25">
      <c r="A120" t="s">
        <v>243</v>
      </c>
      <c r="B120" s="9">
        <v>2484</v>
      </c>
      <c r="C120" s="9">
        <v>1811</v>
      </c>
      <c r="D120" s="9">
        <v>540</v>
      </c>
      <c r="E120" s="9">
        <v>506</v>
      </c>
      <c r="F120" s="13">
        <v>3.9</v>
      </c>
    </row>
    <row r="121" spans="1:6" x14ac:dyDescent="0.25">
      <c r="A121" t="s">
        <v>244</v>
      </c>
      <c r="B121" s="9">
        <v>2489</v>
      </c>
      <c r="C121" s="9">
        <v>1819</v>
      </c>
      <c r="D121" s="9">
        <v>542</v>
      </c>
      <c r="E121" s="9">
        <v>507</v>
      </c>
      <c r="F121" s="13">
        <v>4</v>
      </c>
    </row>
    <row r="122" spans="1:6" x14ac:dyDescent="0.25">
      <c r="A122" t="s">
        <v>245</v>
      </c>
      <c r="B122" s="9">
        <v>2486</v>
      </c>
      <c r="C122" s="9">
        <v>1824</v>
      </c>
      <c r="D122" s="9">
        <v>541</v>
      </c>
      <c r="E122" s="9">
        <v>508</v>
      </c>
      <c r="F122" s="13">
        <v>3.9</v>
      </c>
    </row>
    <row r="123" spans="1:6" x14ac:dyDescent="0.25">
      <c r="A123" t="s">
        <v>246</v>
      </c>
      <c r="B123" s="9">
        <v>2492</v>
      </c>
      <c r="C123" s="9">
        <v>1819</v>
      </c>
      <c r="D123" s="9">
        <v>544</v>
      </c>
      <c r="E123" s="9">
        <v>509</v>
      </c>
      <c r="F123" s="13">
        <v>3.7</v>
      </c>
    </row>
    <row r="124" spans="1:6" x14ac:dyDescent="0.25">
      <c r="A124" t="s">
        <v>247</v>
      </c>
      <c r="B124" s="9">
        <v>2501</v>
      </c>
      <c r="C124" s="9">
        <v>1825</v>
      </c>
      <c r="D124" s="9">
        <v>543</v>
      </c>
      <c r="E124" s="9">
        <v>509</v>
      </c>
      <c r="F124" s="13">
        <v>3.5</v>
      </c>
    </row>
    <row r="125" spans="1:6" x14ac:dyDescent="0.25">
      <c r="A125" t="s">
        <v>248</v>
      </c>
      <c r="B125" s="9">
        <v>2506</v>
      </c>
      <c r="C125" s="9">
        <v>1831</v>
      </c>
      <c r="D125" s="9">
        <v>542</v>
      </c>
      <c r="E125" s="9">
        <v>510</v>
      </c>
      <c r="F125" s="13">
        <v>3.3</v>
      </c>
    </row>
    <row r="126" spans="1:6" x14ac:dyDescent="0.25">
      <c r="A126" t="s">
        <v>249</v>
      </c>
      <c r="B126" s="9">
        <v>2513</v>
      </c>
      <c r="C126" s="9">
        <v>1836</v>
      </c>
      <c r="D126" s="9">
        <v>542</v>
      </c>
      <c r="E126" s="9">
        <v>511</v>
      </c>
      <c r="F126" s="13">
        <v>3.2</v>
      </c>
    </row>
    <row r="127" spans="1:6" x14ac:dyDescent="0.25">
      <c r="A127" t="s">
        <v>250</v>
      </c>
      <c r="B127" s="9">
        <v>2524</v>
      </c>
      <c r="C127" s="9">
        <v>1850</v>
      </c>
      <c r="D127" s="9">
        <v>546</v>
      </c>
      <c r="E127" s="9">
        <v>512</v>
      </c>
      <c r="F127" s="13">
        <v>3</v>
      </c>
    </row>
    <row r="128" spans="1:6" x14ac:dyDescent="0.25">
      <c r="A128" t="s">
        <v>251</v>
      </c>
      <c r="B128" s="9">
        <v>2523</v>
      </c>
      <c r="C128" s="9">
        <v>1861</v>
      </c>
      <c r="D128" s="9">
        <v>546</v>
      </c>
      <c r="E128" s="9">
        <v>512</v>
      </c>
      <c r="F128" s="13">
        <v>2.9</v>
      </c>
    </row>
    <row r="129" spans="1:6" x14ac:dyDescent="0.25">
      <c r="A129" t="s">
        <v>252</v>
      </c>
      <c r="B129" s="9">
        <v>2503</v>
      </c>
      <c r="C129" s="9">
        <v>1847</v>
      </c>
      <c r="D129" s="9">
        <v>529</v>
      </c>
      <c r="E129" s="9">
        <v>512</v>
      </c>
      <c r="F129" s="13">
        <v>2.5</v>
      </c>
    </row>
    <row r="130" spans="1:6" x14ac:dyDescent="0.25">
      <c r="A130" t="s">
        <v>253</v>
      </c>
      <c r="B130" s="9">
        <v>2466</v>
      </c>
      <c r="C130" s="9">
        <v>1792</v>
      </c>
      <c r="D130" s="9">
        <v>529</v>
      </c>
      <c r="E130" s="9">
        <v>502</v>
      </c>
      <c r="F130" s="13">
        <v>1.3</v>
      </c>
    </row>
    <row r="131" spans="1:6" x14ac:dyDescent="0.25">
      <c r="A131" t="s">
        <v>254</v>
      </c>
      <c r="B131" s="9">
        <v>2458</v>
      </c>
      <c r="C131" s="9">
        <v>1799</v>
      </c>
      <c r="D131" s="9">
        <v>532</v>
      </c>
      <c r="E131" s="9">
        <v>503</v>
      </c>
      <c r="F131" s="13">
        <v>-0.1</v>
      </c>
    </row>
    <row r="132" spans="1:6" x14ac:dyDescent="0.25">
      <c r="A132" t="s">
        <v>255</v>
      </c>
      <c r="B132" s="9">
        <v>2486</v>
      </c>
      <c r="C132" s="9">
        <v>1828</v>
      </c>
      <c r="D132" s="9">
        <v>532</v>
      </c>
      <c r="E132" s="9">
        <v>506</v>
      </c>
      <c r="F132" s="13">
        <v>-1.2</v>
      </c>
    </row>
    <row r="133" spans="1:6" x14ac:dyDescent="0.25">
      <c r="A133" t="s">
        <v>256</v>
      </c>
      <c r="B133" s="9">
        <v>2528</v>
      </c>
      <c r="C133" s="9">
        <v>1859</v>
      </c>
      <c r="D133" s="9">
        <v>541</v>
      </c>
      <c r="E133" s="9">
        <v>512</v>
      </c>
      <c r="F133" s="13">
        <v>-0.8</v>
      </c>
    </row>
    <row r="134" spans="1:6" x14ac:dyDescent="0.25">
      <c r="A134" t="s">
        <v>257</v>
      </c>
      <c r="B134" s="9">
        <v>2567</v>
      </c>
      <c r="C134" s="9">
        <v>1880</v>
      </c>
      <c r="D134" s="9">
        <v>552</v>
      </c>
      <c r="E134" s="9">
        <v>518</v>
      </c>
      <c r="F134" s="13">
        <v>0.1</v>
      </c>
    </row>
    <row r="135" spans="1:6" x14ac:dyDescent="0.25">
      <c r="A135" t="s">
        <v>258</v>
      </c>
      <c r="B135" s="9">
        <v>2600</v>
      </c>
      <c r="C135" s="9">
        <v>1897</v>
      </c>
      <c r="D135" s="9">
        <v>558</v>
      </c>
      <c r="E135" s="9">
        <v>523</v>
      </c>
      <c r="F135" s="13">
        <v>1.4</v>
      </c>
    </row>
    <row r="136" spans="1:6" x14ac:dyDescent="0.25">
      <c r="A136" t="s">
        <v>259</v>
      </c>
      <c r="B136" s="9">
        <v>2623</v>
      </c>
      <c r="C136" s="9">
        <v>1912</v>
      </c>
      <c r="D136" s="9">
        <v>563</v>
      </c>
      <c r="E136" s="9">
        <v>527</v>
      </c>
      <c r="F136" s="13">
        <v>2.5</v>
      </c>
    </row>
    <row r="137" spans="1:6" x14ac:dyDescent="0.25">
      <c r="A137" t="s">
        <v>260</v>
      </c>
      <c r="B137" s="9">
        <v>2639</v>
      </c>
      <c r="C137" s="9">
        <v>1915</v>
      </c>
      <c r="D137" s="9">
        <v>568</v>
      </c>
      <c r="E137" s="9">
        <v>531</v>
      </c>
      <c r="F137" s="13">
        <v>3.3</v>
      </c>
    </row>
    <row r="138" spans="1:6" x14ac:dyDescent="0.25">
      <c r="A138" t="s">
        <v>261</v>
      </c>
      <c r="B138" s="9">
        <v>2656</v>
      </c>
      <c r="C138" s="9">
        <v>1924</v>
      </c>
      <c r="D138" s="9">
        <v>570</v>
      </c>
      <c r="E138" s="9">
        <v>533</v>
      </c>
      <c r="F138" s="13">
        <v>4</v>
      </c>
    </row>
    <row r="139" spans="1:6" x14ac:dyDescent="0.25">
      <c r="A139" t="s">
        <v>262</v>
      </c>
      <c r="B139" s="9">
        <v>2652</v>
      </c>
      <c r="C139" s="9">
        <v>1927</v>
      </c>
      <c r="D139" s="9">
        <v>570</v>
      </c>
      <c r="E139" s="9">
        <v>534</v>
      </c>
      <c r="F139" s="13">
        <v>4.0999999999999996</v>
      </c>
    </row>
    <row r="140" spans="1:6" x14ac:dyDescent="0.25">
      <c r="A140" t="s">
        <v>263</v>
      </c>
      <c r="B140" s="9">
        <v>2652</v>
      </c>
      <c r="C140" s="9">
        <v>1942</v>
      </c>
      <c r="D140" s="9">
        <v>567</v>
      </c>
      <c r="E140" s="9">
        <v>535</v>
      </c>
      <c r="F140" s="13">
        <v>4.2</v>
      </c>
    </row>
    <row r="141" spans="1:6" x14ac:dyDescent="0.25">
      <c r="A141" t="s">
        <v>264</v>
      </c>
      <c r="B141" s="9">
        <v>2616</v>
      </c>
      <c r="C141" s="9">
        <v>1951</v>
      </c>
      <c r="D141" s="9">
        <v>552</v>
      </c>
      <c r="E141" s="9">
        <v>537</v>
      </c>
      <c r="F141" s="13">
        <v>4.3</v>
      </c>
    </row>
    <row r="142" spans="1:6" x14ac:dyDescent="0.25">
      <c r="A142" t="s">
        <v>265</v>
      </c>
      <c r="B142" s="9">
        <v>2707</v>
      </c>
      <c r="C142" s="9">
        <v>1964</v>
      </c>
      <c r="D142" s="9">
        <v>576</v>
      </c>
      <c r="E142" s="9">
        <v>540</v>
      </c>
      <c r="F142" s="13">
        <v>5.7</v>
      </c>
    </row>
    <row r="143" spans="1:6" x14ac:dyDescent="0.25">
      <c r="A143" t="s">
        <v>266</v>
      </c>
      <c r="B143" s="9">
        <v>2700</v>
      </c>
      <c r="C143" s="9">
        <v>1964</v>
      </c>
      <c r="D143" s="9">
        <v>581</v>
      </c>
      <c r="E143" s="9">
        <v>540</v>
      </c>
      <c r="F143" s="13">
        <v>7.2</v>
      </c>
    </row>
    <row r="144" spans="1:6" x14ac:dyDescent="0.25">
      <c r="A144" t="s">
        <v>267</v>
      </c>
      <c r="B144" s="9">
        <v>2689</v>
      </c>
      <c r="C144" s="9">
        <v>1972</v>
      </c>
      <c r="D144" s="9">
        <v>577</v>
      </c>
      <c r="E144" s="9">
        <v>541</v>
      </c>
      <c r="F144" s="13">
        <v>8.4</v>
      </c>
    </row>
    <row r="145" spans="1:6" x14ac:dyDescent="0.25">
      <c r="A145" t="s">
        <v>268</v>
      </c>
      <c r="B145" s="9">
        <v>2714</v>
      </c>
      <c r="C145" s="9">
        <v>1979</v>
      </c>
      <c r="D145" s="9">
        <v>581</v>
      </c>
      <c r="E145" s="9">
        <v>543</v>
      </c>
      <c r="F145" s="13">
        <v>7.8</v>
      </c>
    </row>
    <row r="146" spans="1:6" x14ac:dyDescent="0.25">
      <c r="A146" t="s">
        <v>269</v>
      </c>
      <c r="B146" s="9">
        <v>2723</v>
      </c>
      <c r="C146" s="9">
        <v>1986</v>
      </c>
      <c r="D146" s="9">
        <v>584</v>
      </c>
      <c r="E146" s="9">
        <v>544</v>
      </c>
      <c r="F146" s="13">
        <v>6.7</v>
      </c>
    </row>
    <row r="147" spans="1:6" x14ac:dyDescent="0.25">
      <c r="A147" t="s">
        <v>270</v>
      </c>
      <c r="B147" s="9">
        <v>2740</v>
      </c>
      <c r="C147" s="9">
        <v>2003</v>
      </c>
      <c r="D147" s="9">
        <v>586</v>
      </c>
      <c r="E147" s="9">
        <v>545</v>
      </c>
      <c r="F147" s="13">
        <v>5.5</v>
      </c>
    </row>
    <row r="148" spans="1:6" x14ac:dyDescent="0.25">
      <c r="A148" t="s">
        <v>271</v>
      </c>
      <c r="B148" s="9">
        <v>2747</v>
      </c>
      <c r="C148" s="9">
        <v>2012</v>
      </c>
      <c r="D148" s="9">
        <v>588</v>
      </c>
      <c r="E148" s="9">
        <v>547</v>
      </c>
      <c r="F148" s="13">
        <v>4.5999999999999996</v>
      </c>
    </row>
    <row r="149" spans="1:6" x14ac:dyDescent="0.25">
      <c r="A149" t="s">
        <v>272</v>
      </c>
      <c r="B149" s="9">
        <v>2761</v>
      </c>
      <c r="C149" s="9">
        <v>2020</v>
      </c>
      <c r="D149" s="9">
        <v>587</v>
      </c>
      <c r="E149" s="9">
        <v>549</v>
      </c>
      <c r="F149" s="13">
        <v>4.0999999999999996</v>
      </c>
    </row>
    <row r="150" spans="1:6" x14ac:dyDescent="0.25">
      <c r="A150" t="s">
        <v>273</v>
      </c>
      <c r="B150" s="9">
        <v>2796</v>
      </c>
      <c r="C150" s="9">
        <v>2034</v>
      </c>
      <c r="D150" s="9">
        <v>603</v>
      </c>
      <c r="E150" s="9">
        <v>553</v>
      </c>
      <c r="F150" s="13">
        <v>3.9</v>
      </c>
    </row>
    <row r="151" spans="1:6" x14ac:dyDescent="0.25">
      <c r="A151" t="s">
        <v>274</v>
      </c>
      <c r="B151" s="9">
        <v>2840</v>
      </c>
      <c r="C151" s="9">
        <v>2048</v>
      </c>
      <c r="D151" s="9">
        <v>599</v>
      </c>
      <c r="E151" s="9">
        <v>557</v>
      </c>
      <c r="F151" s="13">
        <v>4.2</v>
      </c>
    </row>
    <row r="152" spans="1:6" x14ac:dyDescent="0.25">
      <c r="A152" t="s">
        <v>275</v>
      </c>
      <c r="B152" s="9">
        <v>2846</v>
      </c>
      <c r="C152" s="9">
        <v>2054</v>
      </c>
      <c r="D152" s="9">
        <v>600</v>
      </c>
      <c r="E152" s="9">
        <v>558</v>
      </c>
      <c r="F152" s="13">
        <v>4.5999999999999996</v>
      </c>
    </row>
    <row r="153" spans="1:6" x14ac:dyDescent="0.25">
      <c r="A153" t="s">
        <v>276</v>
      </c>
      <c r="B153" s="9">
        <v>2836</v>
      </c>
      <c r="C153" s="9">
        <v>2078</v>
      </c>
      <c r="D153" s="9">
        <v>608</v>
      </c>
      <c r="E153" s="9">
        <v>560</v>
      </c>
      <c r="F153" s="13">
        <v>4.9000000000000004</v>
      </c>
    </row>
    <row r="154" spans="1:6" x14ac:dyDescent="0.25">
      <c r="A154" t="s">
        <v>277</v>
      </c>
      <c r="B154" s="9">
        <v>2832</v>
      </c>
      <c r="C154" s="9">
        <v>2078</v>
      </c>
      <c r="D154" s="9">
        <v>604</v>
      </c>
      <c r="E154" s="9">
        <v>562</v>
      </c>
      <c r="F154" s="13">
        <v>4.8</v>
      </c>
    </row>
    <row r="155" spans="1:6" x14ac:dyDescent="0.25">
      <c r="A155" t="s">
        <v>278</v>
      </c>
      <c r="B155" s="9">
        <v>2835</v>
      </c>
      <c r="C155" s="9">
        <v>2088</v>
      </c>
      <c r="D155" s="9">
        <v>606</v>
      </c>
      <c r="E155" s="9">
        <v>567</v>
      </c>
      <c r="F155" s="13">
        <v>5.0999999999999996</v>
      </c>
    </row>
    <row r="156" spans="1:6" x14ac:dyDescent="0.25">
      <c r="A156" t="s">
        <v>279</v>
      </c>
      <c r="B156" s="9">
        <v>2854</v>
      </c>
      <c r="C156" s="9">
        <v>2098</v>
      </c>
      <c r="D156" s="9">
        <v>613</v>
      </c>
      <c r="E156" s="9">
        <v>569</v>
      </c>
      <c r="F156" s="13">
        <v>5.4</v>
      </c>
    </row>
    <row r="157" spans="1:6" x14ac:dyDescent="0.25">
      <c r="A157" t="s">
        <v>280</v>
      </c>
      <c r="B157" s="9">
        <v>2869</v>
      </c>
      <c r="C157" s="9">
        <v>2111</v>
      </c>
      <c r="D157" s="9">
        <v>614</v>
      </c>
      <c r="E157" s="9">
        <v>572</v>
      </c>
      <c r="F157" s="13">
        <v>6</v>
      </c>
    </row>
    <row r="158" spans="1:6" x14ac:dyDescent="0.25">
      <c r="A158" t="s">
        <v>281</v>
      </c>
      <c r="B158" s="9">
        <v>2880</v>
      </c>
      <c r="C158" s="9">
        <v>2119</v>
      </c>
      <c r="D158" s="9">
        <v>619</v>
      </c>
      <c r="E158" s="9">
        <v>575</v>
      </c>
      <c r="F158" s="13">
        <v>6.2</v>
      </c>
    </row>
    <row r="159" spans="1:6" x14ac:dyDescent="0.25">
      <c r="A159" t="s">
        <v>282</v>
      </c>
      <c r="B159" s="9">
        <v>2906</v>
      </c>
      <c r="C159" s="9">
        <v>2140</v>
      </c>
      <c r="D159" s="9">
        <v>621</v>
      </c>
      <c r="E159" s="9">
        <v>578</v>
      </c>
      <c r="F159" s="13">
        <v>6.6</v>
      </c>
    </row>
    <row r="160" spans="1:6" x14ac:dyDescent="0.25">
      <c r="A160" t="s">
        <v>283</v>
      </c>
      <c r="B160" s="9">
        <v>2921</v>
      </c>
      <c r="C160" s="9">
        <v>2151</v>
      </c>
      <c r="D160" s="9">
        <v>627</v>
      </c>
      <c r="E160" s="9">
        <v>583</v>
      </c>
      <c r="F160" s="13">
        <v>6.9</v>
      </c>
    </row>
    <row r="161" spans="1:6" x14ac:dyDescent="0.25">
      <c r="A161" t="s">
        <v>284</v>
      </c>
      <c r="B161" s="9">
        <v>2971</v>
      </c>
      <c r="C161" s="9">
        <v>2195</v>
      </c>
      <c r="D161" s="9">
        <v>631</v>
      </c>
      <c r="E161" s="9">
        <v>587</v>
      </c>
      <c r="F161" s="13">
        <v>7.3</v>
      </c>
    </row>
    <row r="162" spans="1:6" x14ac:dyDescent="0.25">
      <c r="A162" t="s">
        <v>285</v>
      </c>
      <c r="B162" s="9">
        <v>2960</v>
      </c>
      <c r="C162" s="9">
        <v>2186</v>
      </c>
      <c r="D162" s="9">
        <v>633</v>
      </c>
      <c r="E162" s="9">
        <v>590</v>
      </c>
      <c r="F162" s="13">
        <v>7.3</v>
      </c>
    </row>
    <row r="163" spans="1:6" x14ac:dyDescent="0.25">
      <c r="A163" t="s">
        <v>286</v>
      </c>
      <c r="B163" s="9">
        <v>2974</v>
      </c>
      <c r="C163" s="9">
        <v>2193</v>
      </c>
      <c r="D163" s="9">
        <v>637</v>
      </c>
      <c r="E163" s="9">
        <v>593</v>
      </c>
      <c r="F163" s="13">
        <v>7.1</v>
      </c>
    </row>
    <row r="164" spans="1:6" x14ac:dyDescent="0.25">
      <c r="A164" t="s">
        <v>287</v>
      </c>
      <c r="B164" s="9">
        <v>3005</v>
      </c>
      <c r="C164" s="9">
        <v>2207</v>
      </c>
      <c r="D164" s="9">
        <v>641</v>
      </c>
      <c r="E164" s="9">
        <v>597</v>
      </c>
      <c r="F164" s="13">
        <v>7.1</v>
      </c>
    </row>
    <row r="165" spans="1:6" x14ac:dyDescent="0.25">
      <c r="A165" t="s">
        <v>288</v>
      </c>
      <c r="B165" s="9">
        <v>3037</v>
      </c>
      <c r="C165" s="9">
        <v>2218</v>
      </c>
      <c r="D165" s="9">
        <v>644</v>
      </c>
      <c r="E165" s="9">
        <v>600</v>
      </c>
      <c r="F165" s="13">
        <v>7.2</v>
      </c>
    </row>
    <row r="166" spans="1:6" x14ac:dyDescent="0.25">
      <c r="A166" t="s">
        <v>289</v>
      </c>
      <c r="B166" s="9">
        <v>3038</v>
      </c>
      <c r="C166" s="9">
        <v>2228</v>
      </c>
      <c r="D166" s="9">
        <v>651</v>
      </c>
      <c r="E166" s="9">
        <v>605</v>
      </c>
      <c r="F166" s="13">
        <v>7.7</v>
      </c>
    </row>
    <row r="167" spans="1:6" x14ac:dyDescent="0.25">
      <c r="A167" t="s">
        <v>290</v>
      </c>
      <c r="B167" s="9">
        <v>3048</v>
      </c>
      <c r="C167" s="9">
        <v>2258</v>
      </c>
      <c r="D167" s="9">
        <v>655</v>
      </c>
      <c r="E167" s="9">
        <v>611</v>
      </c>
      <c r="F167" s="13">
        <v>7.9</v>
      </c>
    </row>
    <row r="168" spans="1:6" x14ac:dyDescent="0.25">
      <c r="A168" t="s">
        <v>291</v>
      </c>
      <c r="B168" s="9">
        <v>3113</v>
      </c>
      <c r="C168" s="9">
        <v>2295</v>
      </c>
      <c r="D168" s="9">
        <v>670</v>
      </c>
      <c r="E168" s="9">
        <v>614</v>
      </c>
      <c r="F168" s="13">
        <v>8.1999999999999993</v>
      </c>
    </row>
    <row r="169" spans="1:6" x14ac:dyDescent="0.25">
      <c r="A169" t="s">
        <v>292</v>
      </c>
      <c r="B169" s="9">
        <v>3055</v>
      </c>
      <c r="C169" s="9">
        <v>2269</v>
      </c>
      <c r="D169" s="9">
        <v>665</v>
      </c>
      <c r="E169" s="9">
        <v>617</v>
      </c>
      <c r="F169" s="13">
        <v>8.1</v>
      </c>
    </row>
    <row r="170" spans="1:6" x14ac:dyDescent="0.25">
      <c r="A170" t="s">
        <v>293</v>
      </c>
      <c r="B170" s="9">
        <v>3057</v>
      </c>
      <c r="C170" s="9">
        <v>2279</v>
      </c>
      <c r="D170" s="9">
        <v>664</v>
      </c>
      <c r="E170" s="9">
        <v>620</v>
      </c>
      <c r="F170" s="13">
        <v>8.1</v>
      </c>
    </row>
    <row r="171" spans="1:6" x14ac:dyDescent="0.25">
      <c r="A171" t="s">
        <v>294</v>
      </c>
      <c r="B171" s="9">
        <v>3058</v>
      </c>
      <c r="C171" s="9">
        <v>2266</v>
      </c>
      <c r="D171" s="9">
        <v>673</v>
      </c>
      <c r="E171" s="9">
        <v>622</v>
      </c>
      <c r="F171" s="13">
        <v>7.9</v>
      </c>
    </row>
    <row r="172" spans="1:6" x14ac:dyDescent="0.25">
      <c r="A172" t="s">
        <v>295</v>
      </c>
      <c r="B172" s="9">
        <v>3075</v>
      </c>
      <c r="C172" s="9">
        <v>2284</v>
      </c>
      <c r="D172" s="9">
        <v>664</v>
      </c>
      <c r="E172" s="9">
        <v>619</v>
      </c>
      <c r="F172" s="13">
        <v>7.2</v>
      </c>
    </row>
    <row r="173" spans="1:6" x14ac:dyDescent="0.25">
      <c r="A173" t="s">
        <v>296</v>
      </c>
      <c r="B173" s="9">
        <v>3114</v>
      </c>
      <c r="C173" s="9">
        <v>2336</v>
      </c>
      <c r="D173" s="9">
        <v>666</v>
      </c>
      <c r="E173" s="9">
        <v>624</v>
      </c>
      <c r="F173" s="13">
        <v>6.6</v>
      </c>
    </row>
    <row r="174" spans="1:6" x14ac:dyDescent="0.25">
      <c r="A174" t="s">
        <v>297</v>
      </c>
      <c r="B174" s="9">
        <v>3112</v>
      </c>
      <c r="C174" s="9">
        <v>2322</v>
      </c>
      <c r="D174" s="9">
        <v>670</v>
      </c>
      <c r="E174" s="9">
        <v>626</v>
      </c>
      <c r="F174" s="13">
        <v>6.2</v>
      </c>
    </row>
    <row r="175" spans="1:6" x14ac:dyDescent="0.25">
      <c r="A175" t="s">
        <v>298</v>
      </c>
      <c r="B175" s="9">
        <v>3118</v>
      </c>
      <c r="C175" s="9">
        <v>2334</v>
      </c>
      <c r="D175" s="9">
        <v>672</v>
      </c>
      <c r="E175" s="9">
        <v>628</v>
      </c>
      <c r="F175" s="13">
        <v>6.1</v>
      </c>
    </row>
    <row r="176" spans="1:6" x14ac:dyDescent="0.25">
      <c r="A176" t="s">
        <v>299</v>
      </c>
      <c r="B176" s="9">
        <v>3149</v>
      </c>
      <c r="C176" s="9">
        <v>2346</v>
      </c>
      <c r="D176" s="9">
        <v>678</v>
      </c>
      <c r="E176" s="9">
        <v>632</v>
      </c>
      <c r="F176" s="13">
        <v>6</v>
      </c>
    </row>
    <row r="177" spans="1:6" x14ac:dyDescent="0.25">
      <c r="A177" t="s">
        <v>300</v>
      </c>
      <c r="B177" s="9">
        <v>3185</v>
      </c>
      <c r="C177" s="9">
        <v>2359</v>
      </c>
      <c r="D177" s="9">
        <v>682</v>
      </c>
      <c r="E177" s="9">
        <v>637</v>
      </c>
      <c r="F177" s="13">
        <v>5.9</v>
      </c>
    </row>
    <row r="178" spans="1:6" x14ac:dyDescent="0.25">
      <c r="A178" t="s">
        <v>301</v>
      </c>
      <c r="C178" s="9">
        <v>2381</v>
      </c>
    </row>
  </sheetData>
  <hyperlinks>
    <hyperlink ref="E1" r:id="rId1" xr:uid="{5E7CF8DB-E580-4D0F-91F6-A735A55C21B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ED15-5434-453D-ABCE-F54C63A66906}">
  <dimension ref="A1:B113"/>
  <sheetViews>
    <sheetView topLeftCell="A95" workbookViewId="0">
      <selection activeCell="B113" sqref="B113"/>
    </sheetView>
  </sheetViews>
  <sheetFormatPr defaultRowHeight="15" x14ac:dyDescent="0.25"/>
  <cols>
    <col min="1" max="1" width="16" style="2" customWidth="1"/>
    <col min="2" max="2" width="20" style="2" customWidth="1"/>
    <col min="3" max="16384" width="9.140625" style="2"/>
  </cols>
  <sheetData>
    <row r="1" spans="1:2" x14ac:dyDescent="0.25">
      <c r="A1" s="1" t="s">
        <v>0</v>
      </c>
    </row>
    <row r="2" spans="1:2" x14ac:dyDescent="0.25">
      <c r="A2" s="3" t="s">
        <v>1</v>
      </c>
    </row>
    <row r="4" spans="1:2" x14ac:dyDescent="0.25">
      <c r="A4" s="2" t="s">
        <v>2</v>
      </c>
      <c r="B4" s="2" t="s">
        <v>3</v>
      </c>
    </row>
    <row r="5" spans="1:2" x14ac:dyDescent="0.25">
      <c r="A5" s="2" t="s">
        <v>4</v>
      </c>
      <c r="B5" s="2" t="s">
        <v>5</v>
      </c>
    </row>
    <row r="7" spans="1:2" ht="30" x14ac:dyDescent="0.25">
      <c r="A7" s="4" t="s">
        <v>6</v>
      </c>
      <c r="B7" s="5" t="s">
        <v>7</v>
      </c>
    </row>
    <row r="8" spans="1:2" x14ac:dyDescent="0.25">
      <c r="A8" s="2" t="s">
        <v>8</v>
      </c>
      <c r="B8" s="6">
        <v>2.4889672618867899E-2</v>
      </c>
    </row>
    <row r="9" spans="1:2" x14ac:dyDescent="0.25">
      <c r="A9" s="2" t="s">
        <v>9</v>
      </c>
      <c r="B9" s="6">
        <v>2.3484693885670899E-2</v>
      </c>
    </row>
    <row r="10" spans="1:2" x14ac:dyDescent="0.25">
      <c r="A10" s="2" t="s">
        <v>10</v>
      </c>
      <c r="B10" s="6">
        <v>2.3516021583146699E-2</v>
      </c>
    </row>
    <row r="11" spans="1:2" x14ac:dyDescent="0.25">
      <c r="A11" s="2" t="s">
        <v>11</v>
      </c>
      <c r="B11" s="6">
        <v>2.4985884072011799E-2</v>
      </c>
    </row>
    <row r="12" spans="1:2" x14ac:dyDescent="0.25">
      <c r="A12" s="2" t="s">
        <v>12</v>
      </c>
      <c r="B12" s="6">
        <v>2.5616065386885101E-2</v>
      </c>
    </row>
    <row r="13" spans="1:2" x14ac:dyDescent="0.25">
      <c r="A13" s="2" t="s">
        <v>13</v>
      </c>
      <c r="B13" s="6">
        <v>2.2366047827981201E-2</v>
      </c>
    </row>
    <row r="14" spans="1:2" x14ac:dyDescent="0.25">
      <c r="A14" s="2" t="s">
        <v>14</v>
      </c>
      <c r="B14" s="6">
        <v>2.3930829638831901E-2</v>
      </c>
    </row>
    <row r="15" spans="1:2" x14ac:dyDescent="0.25">
      <c r="A15" s="2" t="s">
        <v>15</v>
      </c>
      <c r="B15" s="6">
        <v>2.4444048784128199E-2</v>
      </c>
    </row>
    <row r="16" spans="1:2" x14ac:dyDescent="0.25">
      <c r="A16" s="2" t="s">
        <v>16</v>
      </c>
      <c r="B16" s="6">
        <v>2.4983052807493199E-2</v>
      </c>
    </row>
    <row r="17" spans="1:2" x14ac:dyDescent="0.25">
      <c r="A17" s="2" t="s">
        <v>17</v>
      </c>
      <c r="B17" s="6">
        <v>2.5818763647238702E-2</v>
      </c>
    </row>
    <row r="18" spans="1:2" x14ac:dyDescent="0.25">
      <c r="A18" s="2" t="s">
        <v>18</v>
      </c>
      <c r="B18" s="6">
        <v>2.50517793011997E-2</v>
      </c>
    </row>
    <row r="19" spans="1:2" x14ac:dyDescent="0.25">
      <c r="A19" s="2" t="s">
        <v>19</v>
      </c>
      <c r="B19" s="6">
        <v>2.79922669583921E-2</v>
      </c>
    </row>
    <row r="20" spans="1:2" x14ac:dyDescent="0.25">
      <c r="A20" s="2" t="s">
        <v>20</v>
      </c>
      <c r="B20" s="6">
        <v>2.7670511585604799E-2</v>
      </c>
    </row>
    <row r="21" spans="1:2" x14ac:dyDescent="0.25">
      <c r="A21" s="2" t="s">
        <v>21</v>
      </c>
      <c r="B21" s="6">
        <v>2.7804751647047401E-2</v>
      </c>
    </row>
    <row r="22" spans="1:2" x14ac:dyDescent="0.25">
      <c r="A22" s="2" t="s">
        <v>22</v>
      </c>
      <c r="B22" s="6">
        <v>2.7522078233289799E-2</v>
      </c>
    </row>
    <row r="23" spans="1:2" x14ac:dyDescent="0.25">
      <c r="A23" s="2" t="s">
        <v>23</v>
      </c>
      <c r="B23" s="6">
        <v>2.7130654311370499E-2</v>
      </c>
    </row>
    <row r="24" spans="1:2" x14ac:dyDescent="0.25">
      <c r="A24" s="2" t="s">
        <v>24</v>
      </c>
      <c r="B24" s="6">
        <v>2.5994524464643301E-2</v>
      </c>
    </row>
    <row r="25" spans="1:2" x14ac:dyDescent="0.25">
      <c r="A25" s="2" t="s">
        <v>25</v>
      </c>
      <c r="B25" s="6">
        <v>2.67962447756852E-2</v>
      </c>
    </row>
    <row r="26" spans="1:2" x14ac:dyDescent="0.25">
      <c r="A26" s="2" t="s">
        <v>26</v>
      </c>
      <c r="B26" s="6">
        <v>2.5852918766775701E-2</v>
      </c>
    </row>
    <row r="27" spans="1:2" x14ac:dyDescent="0.25">
      <c r="A27" s="2" t="s">
        <v>27</v>
      </c>
      <c r="B27" s="6">
        <v>2.6010750468513099E-2</v>
      </c>
    </row>
    <row r="28" spans="1:2" x14ac:dyDescent="0.25">
      <c r="A28" s="2" t="s">
        <v>28</v>
      </c>
      <c r="B28" s="6">
        <v>2.4728237780940701E-2</v>
      </c>
    </row>
    <row r="29" spans="1:2" x14ac:dyDescent="0.25">
      <c r="A29" s="2" t="s">
        <v>29</v>
      </c>
      <c r="B29" s="6">
        <v>2.56646566189715E-2</v>
      </c>
    </row>
    <row r="30" spans="1:2" x14ac:dyDescent="0.25">
      <c r="A30" s="2" t="s">
        <v>30</v>
      </c>
      <c r="B30" s="6">
        <v>2.6631735023526899E-2</v>
      </c>
    </row>
    <row r="31" spans="1:2" x14ac:dyDescent="0.25">
      <c r="A31" s="2" t="s">
        <v>31</v>
      </c>
      <c r="B31" s="6">
        <v>2.3956531564097001E-2</v>
      </c>
    </row>
    <row r="32" spans="1:2" x14ac:dyDescent="0.25">
      <c r="A32" s="2" t="s">
        <v>32</v>
      </c>
      <c r="B32" s="6">
        <v>2.4104324186158699E-2</v>
      </c>
    </row>
    <row r="33" spans="1:2" x14ac:dyDescent="0.25">
      <c r="A33" s="2" t="s">
        <v>33</v>
      </c>
      <c r="B33" s="6">
        <v>2.5656704738339101E-2</v>
      </c>
    </row>
    <row r="34" spans="1:2" x14ac:dyDescent="0.25">
      <c r="A34" s="2" t="s">
        <v>34</v>
      </c>
      <c r="B34" s="6">
        <v>2.5122010795511199E-2</v>
      </c>
    </row>
    <row r="35" spans="1:2" x14ac:dyDescent="0.25">
      <c r="A35" s="2" t="s">
        <v>35</v>
      </c>
      <c r="B35" s="6">
        <v>2.5081778587232002E-2</v>
      </c>
    </row>
    <row r="36" spans="1:2" x14ac:dyDescent="0.25">
      <c r="A36" s="2" t="s">
        <v>36</v>
      </c>
      <c r="B36" s="6">
        <v>2.6620041983129301E-2</v>
      </c>
    </row>
    <row r="37" spans="1:2" x14ac:dyDescent="0.25">
      <c r="A37" s="2" t="s">
        <v>37</v>
      </c>
      <c r="B37" s="6">
        <v>2.8207472007331001E-2</v>
      </c>
    </row>
    <row r="38" spans="1:2" x14ac:dyDescent="0.25">
      <c r="A38" s="2" t="s">
        <v>38</v>
      </c>
      <c r="B38" s="6">
        <v>2.9416855403338001E-2</v>
      </c>
    </row>
    <row r="39" spans="1:2" x14ac:dyDescent="0.25">
      <c r="A39" s="2" t="s">
        <v>39</v>
      </c>
      <c r="B39" s="6">
        <v>2.9469416780688901E-2</v>
      </c>
    </row>
    <row r="40" spans="1:2" x14ac:dyDescent="0.25">
      <c r="A40" s="2" t="s">
        <v>40</v>
      </c>
      <c r="B40" s="6">
        <v>2.9110935847949101E-2</v>
      </c>
    </row>
    <row r="41" spans="1:2" x14ac:dyDescent="0.25">
      <c r="A41" s="2" t="s">
        <v>41</v>
      </c>
      <c r="B41" s="6">
        <v>2.8498473566581101E-2</v>
      </c>
    </row>
    <row r="42" spans="1:2" x14ac:dyDescent="0.25">
      <c r="A42" s="2" t="s">
        <v>42</v>
      </c>
      <c r="B42" s="6">
        <v>3.0621080859181499E-2</v>
      </c>
    </row>
    <row r="43" spans="1:2" x14ac:dyDescent="0.25">
      <c r="A43" s="2" t="s">
        <v>43</v>
      </c>
      <c r="B43" s="6">
        <v>3.1101528772429599E-2</v>
      </c>
    </row>
    <row r="44" spans="1:2" x14ac:dyDescent="0.25">
      <c r="A44" s="2" t="s">
        <v>44</v>
      </c>
      <c r="B44" s="6">
        <v>3.1742203901262402E-2</v>
      </c>
    </row>
    <row r="45" spans="1:2" x14ac:dyDescent="0.25">
      <c r="A45" s="2" t="s">
        <v>45</v>
      </c>
      <c r="B45" s="6">
        <v>3.4253709754455998E-2</v>
      </c>
    </row>
    <row r="46" spans="1:2" x14ac:dyDescent="0.25">
      <c r="A46" s="2" t="s">
        <v>46</v>
      </c>
      <c r="B46" s="6">
        <v>3.1767407898476499E-2</v>
      </c>
    </row>
    <row r="47" spans="1:2" x14ac:dyDescent="0.25">
      <c r="A47" s="2" t="s">
        <v>47</v>
      </c>
      <c r="B47" s="6">
        <v>3.2483116461583597E-2</v>
      </c>
    </row>
    <row r="48" spans="1:2" x14ac:dyDescent="0.25">
      <c r="A48" s="2" t="s">
        <v>48</v>
      </c>
      <c r="B48" s="6">
        <v>3.3412161796995701E-2</v>
      </c>
    </row>
    <row r="49" spans="1:2" x14ac:dyDescent="0.25">
      <c r="A49" s="2" t="s">
        <v>49</v>
      </c>
      <c r="B49" s="6">
        <v>3.3236232695141199E-2</v>
      </c>
    </row>
    <row r="50" spans="1:2" x14ac:dyDescent="0.25">
      <c r="A50" s="2" t="s">
        <v>50</v>
      </c>
      <c r="B50" s="6">
        <v>3.3503539908712798E-2</v>
      </c>
    </row>
    <row r="51" spans="1:2" x14ac:dyDescent="0.25">
      <c r="A51" s="2" t="s">
        <v>51</v>
      </c>
      <c r="B51" s="6">
        <v>3.3444575856943999E-2</v>
      </c>
    </row>
    <row r="52" spans="1:2" x14ac:dyDescent="0.25">
      <c r="A52" s="2" t="s">
        <v>52</v>
      </c>
      <c r="B52" s="6">
        <v>3.62540625408629E-2</v>
      </c>
    </row>
    <row r="53" spans="1:2" x14ac:dyDescent="0.25">
      <c r="A53" s="2" t="s">
        <v>53</v>
      </c>
      <c r="B53" s="6">
        <v>3.9806502573703897E-2</v>
      </c>
    </row>
    <row r="54" spans="1:2" x14ac:dyDescent="0.25">
      <c r="A54" s="2" t="s">
        <v>54</v>
      </c>
      <c r="B54" s="6">
        <v>3.41670560711499E-2</v>
      </c>
    </row>
    <row r="55" spans="1:2" x14ac:dyDescent="0.25">
      <c r="A55" s="2" t="s">
        <v>55</v>
      </c>
      <c r="B55" s="6">
        <v>3.19779297660336E-2</v>
      </c>
    </row>
    <row r="56" spans="1:2" x14ac:dyDescent="0.25">
      <c r="A56" s="2" t="s">
        <v>56</v>
      </c>
      <c r="B56" s="6">
        <v>3.1207614382996102E-2</v>
      </c>
    </row>
    <row r="57" spans="1:2" x14ac:dyDescent="0.25">
      <c r="A57" s="2" t="s">
        <v>57</v>
      </c>
      <c r="B57" s="6">
        <v>2.9624573852198601E-2</v>
      </c>
    </row>
    <row r="58" spans="1:2" x14ac:dyDescent="0.25">
      <c r="A58" s="2" t="s">
        <v>58</v>
      </c>
      <c r="B58" s="6">
        <v>3.2311149352684497E-2</v>
      </c>
    </row>
    <row r="59" spans="1:2" x14ac:dyDescent="0.25">
      <c r="A59" s="2" t="s">
        <v>59</v>
      </c>
      <c r="B59" s="6">
        <v>3.0845324908053799E-2</v>
      </c>
    </row>
    <row r="60" spans="1:2" x14ac:dyDescent="0.25">
      <c r="A60" s="2" t="s">
        <v>60</v>
      </c>
      <c r="B60" s="6">
        <v>3.08099122978393E-2</v>
      </c>
    </row>
    <row r="61" spans="1:2" x14ac:dyDescent="0.25">
      <c r="A61" s="2" t="s">
        <v>61</v>
      </c>
      <c r="B61" s="6">
        <v>3.2528099279022803E-2</v>
      </c>
    </row>
    <row r="62" spans="1:2" x14ac:dyDescent="0.25">
      <c r="A62" s="2" t="s">
        <v>62</v>
      </c>
      <c r="B62" s="6">
        <v>3.3097965884460602E-2</v>
      </c>
    </row>
    <row r="63" spans="1:2" x14ac:dyDescent="0.25">
      <c r="A63" s="2" t="s">
        <v>63</v>
      </c>
      <c r="B63" s="6">
        <v>3.3581742350418199E-2</v>
      </c>
    </row>
    <row r="64" spans="1:2" x14ac:dyDescent="0.25">
      <c r="A64" s="2" t="s">
        <v>64</v>
      </c>
      <c r="B64" s="6">
        <v>2.68893545183835E-2</v>
      </c>
    </row>
    <row r="65" spans="1:2" x14ac:dyDescent="0.25">
      <c r="A65" s="2" t="s">
        <v>65</v>
      </c>
      <c r="B65" s="6">
        <v>6.6322599474862003E-3</v>
      </c>
    </row>
    <row r="66" spans="1:2" x14ac:dyDescent="0.25">
      <c r="A66" s="2" t="s">
        <v>66</v>
      </c>
      <c r="B66" s="6">
        <v>3.2707994622049999E-4</v>
      </c>
    </row>
    <row r="67" spans="1:2" x14ac:dyDescent="0.25">
      <c r="A67" s="2" t="s">
        <v>67</v>
      </c>
      <c r="B67" s="6">
        <v>9.0610201329521002E-3</v>
      </c>
    </row>
    <row r="68" spans="1:2" x14ac:dyDescent="0.25">
      <c r="A68" s="2" t="s">
        <v>68</v>
      </c>
      <c r="B68" s="6">
        <v>1.51344130616604E-2</v>
      </c>
    </row>
    <row r="69" spans="1:2" x14ac:dyDescent="0.25">
      <c r="A69" s="2" t="s">
        <v>69</v>
      </c>
      <c r="B69" s="6">
        <v>1.7616181431330001E-2</v>
      </c>
    </row>
    <row r="70" spans="1:2" x14ac:dyDescent="0.25">
      <c r="A70" s="2" t="s">
        <v>70</v>
      </c>
      <c r="B70" s="6">
        <v>2.1870255676669E-2</v>
      </c>
    </row>
    <row r="71" spans="1:2" x14ac:dyDescent="0.25">
      <c r="A71" s="2" t="s">
        <v>71</v>
      </c>
      <c r="B71" s="6">
        <v>2.4357513666057599E-2</v>
      </c>
    </row>
    <row r="72" spans="1:2" x14ac:dyDescent="0.25">
      <c r="A72" s="2" t="s">
        <v>72</v>
      </c>
      <c r="B72" s="6">
        <v>2.4598793800800298E-2</v>
      </c>
    </row>
    <row r="73" spans="1:2" x14ac:dyDescent="0.25">
      <c r="A73" s="2" t="s">
        <v>73</v>
      </c>
      <c r="B73" s="6">
        <v>2.6069826253991301E-2</v>
      </c>
    </row>
    <row r="74" spans="1:2" x14ac:dyDescent="0.25">
      <c r="A74" s="2" t="s">
        <v>74</v>
      </c>
      <c r="B74" s="6">
        <v>2.1446938056973799E-2</v>
      </c>
    </row>
    <row r="75" spans="1:2" x14ac:dyDescent="0.25">
      <c r="A75" s="2" t="s">
        <v>75</v>
      </c>
      <c r="B75" s="6">
        <v>2.0141202713640598E-2</v>
      </c>
    </row>
    <row r="76" spans="1:2" x14ac:dyDescent="0.25">
      <c r="A76" s="2" t="s">
        <v>76</v>
      </c>
      <c r="B76" s="6">
        <v>2.5811214052690198E-2</v>
      </c>
    </row>
    <row r="77" spans="1:2" x14ac:dyDescent="0.25">
      <c r="A77" s="2" t="s">
        <v>77</v>
      </c>
      <c r="B77" s="6">
        <v>3.6644663299626699E-2</v>
      </c>
    </row>
    <row r="78" spans="1:2" x14ac:dyDescent="0.25">
      <c r="A78" s="2" t="s">
        <v>78</v>
      </c>
      <c r="B78" s="6">
        <v>4.1687600089889497E-2</v>
      </c>
    </row>
    <row r="79" spans="1:2" x14ac:dyDescent="0.25">
      <c r="A79" s="2" t="s">
        <v>79</v>
      </c>
      <c r="B79" s="6">
        <v>3.8754508293209401E-2</v>
      </c>
    </row>
    <row r="80" spans="1:2" x14ac:dyDescent="0.25">
      <c r="A80" s="2" t="s">
        <v>80</v>
      </c>
      <c r="B80" s="6">
        <v>3.3280069993627398E-2</v>
      </c>
    </row>
    <row r="81" spans="1:2" x14ac:dyDescent="0.25">
      <c r="A81" s="2" t="s">
        <v>81</v>
      </c>
      <c r="B81" s="6">
        <v>3.0853919390736399E-2</v>
      </c>
    </row>
    <row r="82" spans="1:2" x14ac:dyDescent="0.25">
      <c r="A82" s="2" t="s">
        <v>82</v>
      </c>
      <c r="B82" s="6">
        <v>3.1597226295791002E-2</v>
      </c>
    </row>
    <row r="83" spans="1:2" x14ac:dyDescent="0.25">
      <c r="A83" s="2" t="s">
        <v>83</v>
      </c>
      <c r="B83" s="6">
        <v>3.0374301446817902E-2</v>
      </c>
    </row>
    <row r="84" spans="1:2" x14ac:dyDescent="0.25">
      <c r="A84" s="2" t="s">
        <v>84</v>
      </c>
      <c r="B84" s="6">
        <v>3.2058648415919003E-2</v>
      </c>
    </row>
    <row r="85" spans="1:2" x14ac:dyDescent="0.25">
      <c r="A85" s="2" t="s">
        <v>85</v>
      </c>
      <c r="B85" s="6">
        <v>3.5296194752994503E-2</v>
      </c>
    </row>
    <row r="86" spans="1:2" x14ac:dyDescent="0.25">
      <c r="A86" s="2" t="s">
        <v>86</v>
      </c>
      <c r="B86" s="6">
        <v>4.1514632204476397E-2</v>
      </c>
    </row>
    <row r="87" spans="1:2" x14ac:dyDescent="0.25">
      <c r="A87" s="2" t="s">
        <v>87</v>
      </c>
      <c r="B87" s="6">
        <v>4.5596092190474398E-2</v>
      </c>
    </row>
    <row r="88" spans="1:2" x14ac:dyDescent="0.25">
      <c r="A88" s="2" t="s">
        <v>88</v>
      </c>
      <c r="B88" s="6">
        <v>5.59734348133906E-2</v>
      </c>
    </row>
    <row r="89" spans="1:2" x14ac:dyDescent="0.25">
      <c r="A89" s="2" t="s">
        <v>89</v>
      </c>
      <c r="B89" s="6">
        <v>4.9781721254202202E-2</v>
      </c>
    </row>
    <row r="90" spans="1:2" x14ac:dyDescent="0.25">
      <c r="A90" s="2" t="s">
        <v>90</v>
      </c>
      <c r="B90" s="6">
        <v>5.0303491590515802E-2</v>
      </c>
    </row>
    <row r="91" spans="1:2" x14ac:dyDescent="0.25">
      <c r="A91" s="2" t="s">
        <v>91</v>
      </c>
      <c r="B91" s="6">
        <v>4.9509094499774399E-2</v>
      </c>
    </row>
    <row r="92" spans="1:2" x14ac:dyDescent="0.25">
      <c r="A92" s="2" t="s">
        <v>92</v>
      </c>
      <c r="B92" s="6">
        <v>5.2205278980479997E-2</v>
      </c>
    </row>
    <row r="93" spans="1:2" x14ac:dyDescent="0.25">
      <c r="A93" s="2" t="s">
        <v>93</v>
      </c>
      <c r="B93" s="6">
        <v>5.5527152160696397E-2</v>
      </c>
    </row>
    <row r="94" spans="1:2" x14ac:dyDescent="0.25">
      <c r="A94" s="2" t="s">
        <v>94</v>
      </c>
      <c r="B94" s="6">
        <v>5.9543712984886303E-2</v>
      </c>
    </row>
    <row r="95" spans="1:2" x14ac:dyDescent="0.25">
      <c r="A95" s="2" t="s">
        <v>95</v>
      </c>
      <c r="B95" s="6">
        <v>6.2557826775925293E-2</v>
      </c>
    </row>
    <row r="96" spans="1:2" x14ac:dyDescent="0.25">
      <c r="A96" s="2" t="s">
        <v>96</v>
      </c>
      <c r="B96" s="6">
        <v>7.1412514901068605E-2</v>
      </c>
    </row>
    <row r="97" spans="1:2" x14ac:dyDescent="0.25">
      <c r="A97" s="2" t="s">
        <v>97</v>
      </c>
      <c r="B97" s="6">
        <v>6.8858903247534103E-2</v>
      </c>
    </row>
    <row r="98" spans="1:2" x14ac:dyDescent="0.25">
      <c r="A98" s="2" t="s">
        <v>98</v>
      </c>
      <c r="B98" s="6">
        <v>6.7869090656747094E-2</v>
      </c>
    </row>
    <row r="99" spans="1:2" x14ac:dyDescent="0.25">
      <c r="A99" s="2" t="s">
        <v>99</v>
      </c>
      <c r="B99" s="6">
        <v>6.6868728567710894E-2</v>
      </c>
    </row>
    <row r="100" spans="1:2" x14ac:dyDescent="0.25">
      <c r="A100" s="2" t="s">
        <v>100</v>
      </c>
      <c r="B100" s="6">
        <v>6.3826831660844394E-2</v>
      </c>
    </row>
    <row r="101" spans="1:2" x14ac:dyDescent="0.25">
      <c r="A101" s="2" t="s">
        <v>101</v>
      </c>
      <c r="B101" s="6">
        <v>7.0154705850660304E-2</v>
      </c>
    </row>
    <row r="102" spans="1:2" x14ac:dyDescent="0.25">
      <c r="A102" s="2" t="s">
        <v>102</v>
      </c>
      <c r="B102" s="6">
        <v>7.6750964375320002E-2</v>
      </c>
    </row>
    <row r="103" spans="1:2" x14ac:dyDescent="0.25">
      <c r="A103" s="2" t="s">
        <v>103</v>
      </c>
      <c r="B103" s="6">
        <v>7.9771332818207599E-2</v>
      </c>
    </row>
    <row r="104" spans="1:2" x14ac:dyDescent="0.25">
      <c r="A104" s="2" t="s">
        <v>104</v>
      </c>
      <c r="B104" s="6">
        <v>7.3374611779244994E-2</v>
      </c>
    </row>
    <row r="105" spans="1:2" x14ac:dyDescent="0.25">
      <c r="A105" s="2" t="s">
        <v>105</v>
      </c>
      <c r="B105" s="6">
        <v>6.9133080043150594E-2</v>
      </c>
    </row>
    <row r="106" spans="1:2" x14ac:dyDescent="0.25">
      <c r="A106" s="2" t="s">
        <v>106</v>
      </c>
      <c r="B106" s="6">
        <v>6.2200264271244199E-2</v>
      </c>
    </row>
    <row r="107" spans="1:2" x14ac:dyDescent="0.25">
      <c r="A107" s="2" t="s">
        <v>107</v>
      </c>
      <c r="B107" s="6">
        <v>6.2759912002625304E-2</v>
      </c>
    </row>
    <row r="108" spans="1:2" x14ac:dyDescent="0.25">
      <c r="A108" s="2" t="s">
        <v>108</v>
      </c>
      <c r="B108" s="6">
        <v>6.1984694979180299E-2</v>
      </c>
    </row>
    <row r="109" spans="1:2" x14ac:dyDescent="0.25">
      <c r="A109" s="2" t="s">
        <v>109</v>
      </c>
      <c r="B109" s="6">
        <v>6.2676493137497499E-2</v>
      </c>
    </row>
    <row r="110" spans="1:2" x14ac:dyDescent="0.25">
      <c r="A110" s="2" t="s">
        <v>110</v>
      </c>
      <c r="B110" s="6">
        <v>6.4452434368441794E-2</v>
      </c>
    </row>
    <row r="111" spans="1:2" x14ac:dyDescent="0.25">
      <c r="A111" s="2" t="s">
        <v>111</v>
      </c>
      <c r="B111" s="6">
        <v>6.5859050006263103E-2</v>
      </c>
    </row>
    <row r="112" spans="1:2" x14ac:dyDescent="0.25">
      <c r="A112" s="2" t="s">
        <v>112</v>
      </c>
      <c r="B112" s="6">
        <v>6.3472266144831202E-2</v>
      </c>
    </row>
    <row r="113" spans="1:2" x14ac:dyDescent="0.25">
      <c r="A113" s="2" t="s">
        <v>113</v>
      </c>
      <c r="B113" s="6">
        <v>6.0684051318910498E-2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ABE3B-389B-40F2-A702-BFADE3F18D0E}">
  <dimension ref="A1:H133"/>
  <sheetViews>
    <sheetView workbookViewId="0">
      <pane xSplit="1" ySplit="5" topLeftCell="B15" activePane="bottomRight" state="frozen"/>
      <selection activeCell="H14" sqref="H14"/>
      <selection pane="topRight" activeCell="H14" sqref="H14"/>
      <selection pane="bottomLeft" activeCell="H14" sqref="H14"/>
      <selection pane="bottomRight" activeCell="B40" sqref="B40"/>
    </sheetView>
  </sheetViews>
  <sheetFormatPr defaultColWidth="8.7109375" defaultRowHeight="15.75" x14ac:dyDescent="0.25"/>
  <cols>
    <col min="1" max="1" width="20.85546875" style="18" customWidth="1"/>
    <col min="2" max="7" width="21.5703125" style="18" customWidth="1"/>
    <col min="8" max="8" width="16.85546875" style="17" customWidth="1"/>
    <col min="9" max="16384" width="8.7109375" style="18"/>
  </cols>
  <sheetData>
    <row r="1" spans="1:8" x14ac:dyDescent="0.25">
      <c r="A1" s="14" t="s">
        <v>316</v>
      </c>
      <c r="B1" s="15"/>
      <c r="C1" s="15"/>
      <c r="D1" s="15"/>
      <c r="E1" s="15"/>
      <c r="F1" s="15"/>
      <c r="G1" s="16"/>
    </row>
    <row r="2" spans="1:8" x14ac:dyDescent="0.25">
      <c r="A2" s="19"/>
      <c r="B2" s="15"/>
      <c r="C2" s="15"/>
      <c r="D2" s="15"/>
      <c r="E2" s="15"/>
      <c r="F2" s="15"/>
      <c r="G2" s="20"/>
    </row>
    <row r="3" spans="1:8" x14ac:dyDescent="0.25">
      <c r="A3" s="21" t="s">
        <v>317</v>
      </c>
      <c r="B3" s="15"/>
      <c r="C3" s="15"/>
      <c r="D3" s="15"/>
      <c r="E3" s="15"/>
      <c r="F3" s="15"/>
      <c r="G3" s="20"/>
    </row>
    <row r="4" spans="1:8" x14ac:dyDescent="0.25">
      <c r="A4" s="20"/>
      <c r="B4" s="15"/>
      <c r="C4" s="15"/>
      <c r="D4" s="15"/>
      <c r="E4" s="15"/>
      <c r="F4" s="15"/>
      <c r="G4" s="20"/>
    </row>
    <row r="5" spans="1:8" ht="30" x14ac:dyDescent="0.25">
      <c r="A5" s="22" t="s">
        <v>6</v>
      </c>
      <c r="B5" s="23" t="s">
        <v>318</v>
      </c>
      <c r="C5" s="22" t="s">
        <v>319</v>
      </c>
      <c r="D5" s="23" t="s">
        <v>320</v>
      </c>
      <c r="E5" s="22" t="s">
        <v>321</v>
      </c>
      <c r="F5" s="22" t="s">
        <v>322</v>
      </c>
      <c r="G5" s="22" t="s">
        <v>323</v>
      </c>
    </row>
    <row r="6" spans="1:8" x14ac:dyDescent="0.25">
      <c r="A6" s="24">
        <v>44592</v>
      </c>
      <c r="B6" s="25">
        <v>3.8</v>
      </c>
      <c r="C6" s="25" t="s">
        <v>324</v>
      </c>
      <c r="D6" s="25">
        <v>6.5</v>
      </c>
      <c r="E6" s="25">
        <v>4.2</v>
      </c>
      <c r="F6" s="25" t="s">
        <v>325</v>
      </c>
      <c r="G6" s="25" t="s">
        <v>325</v>
      </c>
      <c r="H6" s="25"/>
    </row>
    <row r="7" spans="1:8" x14ac:dyDescent="0.25">
      <c r="A7" s="24">
        <v>44620</v>
      </c>
      <c r="B7" s="25">
        <v>4.0999999999999996</v>
      </c>
      <c r="C7" s="25"/>
      <c r="D7" s="25">
        <v>6.5</v>
      </c>
      <c r="E7" s="25">
        <v>4.7</v>
      </c>
      <c r="F7" s="25" t="s">
        <v>325</v>
      </c>
      <c r="G7" s="25" t="s">
        <v>325</v>
      </c>
      <c r="H7" s="25"/>
    </row>
    <row r="8" spans="1:8" x14ac:dyDescent="0.25">
      <c r="A8" s="24">
        <v>44651</v>
      </c>
      <c r="B8" s="25">
        <v>4.3</v>
      </c>
      <c r="C8" s="25"/>
      <c r="D8" s="25">
        <v>6.7</v>
      </c>
      <c r="E8" s="25">
        <v>5.6</v>
      </c>
      <c r="F8" s="25" t="s">
        <v>325</v>
      </c>
      <c r="G8" s="25" t="s">
        <v>325</v>
      </c>
      <c r="H8" s="25"/>
    </row>
    <row r="9" spans="1:8" x14ac:dyDescent="0.25">
      <c r="A9" s="24">
        <v>44681</v>
      </c>
      <c r="B9" s="25">
        <v>4.8</v>
      </c>
      <c r="C9" s="25"/>
      <c r="D9" s="25">
        <v>6.6</v>
      </c>
      <c r="E9" s="25">
        <v>6.3</v>
      </c>
      <c r="F9" s="25" t="s">
        <v>325</v>
      </c>
      <c r="G9" s="25" t="s">
        <v>325</v>
      </c>
      <c r="H9" s="25"/>
    </row>
    <row r="10" spans="1:8" x14ac:dyDescent="0.25">
      <c r="A10" s="24">
        <v>44712</v>
      </c>
      <c r="B10" s="25">
        <v>5.0999999999999996</v>
      </c>
      <c r="C10" s="25"/>
      <c r="D10" s="25">
        <v>6.8</v>
      </c>
      <c r="E10" s="25">
        <v>6.2</v>
      </c>
      <c r="F10" s="25">
        <v>5.5</v>
      </c>
      <c r="G10" s="25" t="s">
        <v>325</v>
      </c>
      <c r="H10" s="25"/>
    </row>
    <row r="11" spans="1:8" x14ac:dyDescent="0.25">
      <c r="A11" s="24">
        <v>44742</v>
      </c>
      <c r="B11" s="25">
        <v>5.4</v>
      </c>
      <c r="C11" s="25"/>
      <c r="D11" s="25">
        <v>6.9</v>
      </c>
      <c r="E11" s="25">
        <v>6.2</v>
      </c>
      <c r="F11" s="25">
        <v>5.6</v>
      </c>
      <c r="G11" s="25" t="s">
        <v>325</v>
      </c>
      <c r="H11" s="25"/>
    </row>
    <row r="12" spans="1:8" x14ac:dyDescent="0.25">
      <c r="A12" s="24">
        <v>44773</v>
      </c>
      <c r="B12" s="25">
        <v>6</v>
      </c>
      <c r="C12" s="25"/>
      <c r="D12" s="25">
        <v>7.1</v>
      </c>
      <c r="E12" s="25">
        <v>5.9</v>
      </c>
      <c r="F12" s="25">
        <v>5.5</v>
      </c>
      <c r="G12" s="25" t="s">
        <v>325</v>
      </c>
      <c r="H12" s="25"/>
    </row>
    <row r="13" spans="1:8" x14ac:dyDescent="0.25">
      <c r="A13" s="24">
        <v>44804</v>
      </c>
      <c r="B13" s="25">
        <v>6.2</v>
      </c>
      <c r="C13" s="25"/>
      <c r="D13" s="25">
        <v>7.1</v>
      </c>
      <c r="E13" s="25">
        <v>6.1</v>
      </c>
      <c r="F13" s="25">
        <v>5.8</v>
      </c>
      <c r="G13" s="25" t="s">
        <v>325</v>
      </c>
      <c r="H13" s="25"/>
    </row>
    <row r="14" spans="1:8" x14ac:dyDescent="0.25">
      <c r="A14" s="24">
        <v>44834</v>
      </c>
      <c r="B14" s="25">
        <v>6.6</v>
      </c>
      <c r="C14" s="25"/>
      <c r="D14" s="25">
        <v>7.1</v>
      </c>
      <c r="E14" s="25">
        <v>6.2</v>
      </c>
      <c r="F14" s="25">
        <v>6.1</v>
      </c>
      <c r="G14" s="25" t="s">
        <v>325</v>
      </c>
      <c r="H14" s="25"/>
    </row>
    <row r="15" spans="1:8" x14ac:dyDescent="0.25">
      <c r="A15" s="24">
        <v>44865</v>
      </c>
      <c r="B15" s="25">
        <v>6.9</v>
      </c>
      <c r="C15" s="25"/>
      <c r="D15" s="25">
        <v>7</v>
      </c>
      <c r="E15" s="25">
        <v>6</v>
      </c>
      <c r="F15" s="25">
        <v>6.3</v>
      </c>
      <c r="G15" s="25" t="s">
        <v>325</v>
      </c>
      <c r="H15" s="25"/>
    </row>
    <row r="16" spans="1:8" x14ac:dyDescent="0.25">
      <c r="A16" s="24">
        <v>44895</v>
      </c>
      <c r="B16" s="25">
        <v>7.3</v>
      </c>
      <c r="C16" s="25"/>
      <c r="D16" s="25">
        <v>6.9</v>
      </c>
      <c r="E16" s="25">
        <v>5.8</v>
      </c>
      <c r="F16" s="25">
        <v>6.2</v>
      </c>
      <c r="G16" s="25" t="s">
        <v>325</v>
      </c>
      <c r="H16" s="25"/>
    </row>
    <row r="17" spans="1:8" x14ac:dyDescent="0.25">
      <c r="A17" s="24">
        <v>44926</v>
      </c>
      <c r="B17" s="25">
        <v>7.3</v>
      </c>
      <c r="C17" s="25"/>
      <c r="D17" s="25">
        <v>6.9</v>
      </c>
      <c r="E17" s="25">
        <v>5.9</v>
      </c>
      <c r="F17" s="25">
        <v>6.3</v>
      </c>
      <c r="G17" s="25" t="s">
        <v>325</v>
      </c>
      <c r="H17" s="25"/>
    </row>
    <row r="18" spans="1:8" x14ac:dyDescent="0.25">
      <c r="A18" s="24">
        <v>44957</v>
      </c>
      <c r="B18" s="25">
        <v>7.1</v>
      </c>
      <c r="C18" s="25"/>
      <c r="D18" s="25">
        <v>7.2</v>
      </c>
      <c r="E18" s="25">
        <v>6.3</v>
      </c>
      <c r="F18" s="25">
        <v>6.3</v>
      </c>
      <c r="G18" s="25" t="s">
        <v>325</v>
      </c>
      <c r="H18" s="25"/>
    </row>
    <row r="19" spans="1:8" x14ac:dyDescent="0.25">
      <c r="A19" s="24">
        <v>44985</v>
      </c>
      <c r="B19" s="25">
        <v>7</v>
      </c>
      <c r="C19" s="25"/>
      <c r="D19" s="25">
        <v>7.4</v>
      </c>
      <c r="E19" s="25">
        <v>6.5</v>
      </c>
      <c r="F19" s="25">
        <v>6.5</v>
      </c>
      <c r="G19" s="25" t="s">
        <v>325</v>
      </c>
      <c r="H19" s="25"/>
    </row>
    <row r="20" spans="1:8" x14ac:dyDescent="0.25">
      <c r="A20" s="24">
        <v>45016</v>
      </c>
      <c r="B20" s="25">
        <v>7.1</v>
      </c>
      <c r="C20" s="25"/>
      <c r="D20" s="25">
        <v>7.4</v>
      </c>
      <c r="E20" s="25">
        <v>7</v>
      </c>
      <c r="F20" s="25">
        <v>6.5</v>
      </c>
      <c r="G20" s="25" t="s">
        <v>325</v>
      </c>
      <c r="H20" s="25"/>
    </row>
    <row r="21" spans="1:8" x14ac:dyDescent="0.25">
      <c r="A21" s="24">
        <v>45046</v>
      </c>
      <c r="B21" s="25">
        <v>7.7</v>
      </c>
      <c r="C21" s="25"/>
      <c r="D21" s="25">
        <v>7.3</v>
      </c>
      <c r="E21" s="25">
        <v>7.5</v>
      </c>
      <c r="F21" s="25">
        <v>6.6</v>
      </c>
      <c r="G21" s="25" t="s">
        <v>325</v>
      </c>
      <c r="H21" s="25"/>
    </row>
    <row r="22" spans="1:8" x14ac:dyDescent="0.25">
      <c r="A22" s="24">
        <v>45077</v>
      </c>
      <c r="B22" s="25">
        <v>7.9</v>
      </c>
      <c r="C22" s="25"/>
      <c r="D22" s="25">
        <v>7.3</v>
      </c>
      <c r="E22" s="25">
        <v>7.4</v>
      </c>
      <c r="F22" s="25">
        <v>6.6</v>
      </c>
      <c r="G22" s="25" t="s">
        <v>325</v>
      </c>
      <c r="H22" s="25"/>
    </row>
    <row r="23" spans="1:8" x14ac:dyDescent="0.25">
      <c r="A23" s="24">
        <v>45107</v>
      </c>
      <c r="B23" s="25">
        <v>8.1999999999999993</v>
      </c>
      <c r="C23" s="25"/>
      <c r="D23" s="25">
        <v>7.2</v>
      </c>
      <c r="E23" s="25">
        <v>7.4</v>
      </c>
      <c r="F23" s="25">
        <v>6.8</v>
      </c>
      <c r="G23" s="25" t="s">
        <v>325</v>
      </c>
      <c r="H23" s="25"/>
    </row>
    <row r="24" spans="1:8" x14ac:dyDescent="0.25">
      <c r="A24" s="24">
        <v>45138</v>
      </c>
      <c r="B24" s="25">
        <v>8.1</v>
      </c>
      <c r="C24" s="25"/>
      <c r="D24" s="25">
        <v>7</v>
      </c>
      <c r="E24" s="25">
        <v>7.2</v>
      </c>
      <c r="F24" s="25">
        <v>6.9</v>
      </c>
      <c r="G24" s="25" t="s">
        <v>325</v>
      </c>
      <c r="H24" s="25"/>
    </row>
    <row r="25" spans="1:8" x14ac:dyDescent="0.25">
      <c r="A25" s="24">
        <v>45169</v>
      </c>
      <c r="B25" s="25">
        <v>8.1</v>
      </c>
      <c r="C25" s="25"/>
      <c r="D25" s="25">
        <v>7</v>
      </c>
      <c r="E25" s="25">
        <v>7.3</v>
      </c>
      <c r="F25" s="25">
        <v>6.9</v>
      </c>
      <c r="G25" s="25" t="s">
        <v>325</v>
      </c>
      <c r="H25" s="25"/>
    </row>
    <row r="26" spans="1:8" x14ac:dyDescent="0.25">
      <c r="A26" s="24">
        <v>45199</v>
      </c>
      <c r="B26" s="25">
        <v>7.9</v>
      </c>
      <c r="C26" s="25"/>
      <c r="D26" s="25">
        <v>7.1</v>
      </c>
      <c r="E26" s="25">
        <v>6.9</v>
      </c>
      <c r="F26" s="25">
        <v>6.9</v>
      </c>
      <c r="G26" s="25" t="s">
        <v>325</v>
      </c>
      <c r="H26" s="25"/>
    </row>
    <row r="27" spans="1:8" x14ac:dyDescent="0.25">
      <c r="A27" s="24">
        <v>45230</v>
      </c>
      <c r="B27" s="25">
        <v>7.2</v>
      </c>
      <c r="C27" s="25"/>
      <c r="D27" s="25">
        <v>6.8</v>
      </c>
      <c r="E27" s="25">
        <v>6.7</v>
      </c>
      <c r="F27" s="25">
        <v>6.9</v>
      </c>
      <c r="G27" s="25" t="s">
        <v>325</v>
      </c>
      <c r="H27" s="25"/>
    </row>
    <row r="28" spans="1:8" x14ac:dyDescent="0.25">
      <c r="A28" s="24">
        <v>45260</v>
      </c>
      <c r="B28" s="25">
        <v>6.5</v>
      </c>
      <c r="C28" s="25"/>
      <c r="D28" s="25">
        <v>6.5</v>
      </c>
      <c r="E28" s="25">
        <v>6.5</v>
      </c>
      <c r="F28" s="25">
        <v>7</v>
      </c>
      <c r="G28" s="25" t="s">
        <v>325</v>
      </c>
      <c r="H28" s="25"/>
    </row>
    <row r="29" spans="1:8" x14ac:dyDescent="0.25">
      <c r="A29" s="24">
        <v>45291</v>
      </c>
      <c r="B29" s="25" t="s">
        <v>325</v>
      </c>
      <c r="C29" s="25"/>
      <c r="D29" s="25">
        <v>6.3</v>
      </c>
      <c r="E29" s="25">
        <v>6.5</v>
      </c>
      <c r="F29" s="25">
        <v>6.9</v>
      </c>
      <c r="G29" s="25" t="s">
        <v>325</v>
      </c>
      <c r="H29" s="25"/>
    </row>
    <row r="30" spans="1:8" x14ac:dyDescent="0.25">
      <c r="A30" s="24">
        <v>45322</v>
      </c>
      <c r="B30" s="25" t="s">
        <v>325</v>
      </c>
      <c r="C30" s="25"/>
      <c r="D30" s="25" t="s">
        <v>325</v>
      </c>
      <c r="E30" s="25" t="s">
        <v>325</v>
      </c>
      <c r="F30" s="25">
        <v>6.8</v>
      </c>
      <c r="G30" s="25" t="s">
        <v>325</v>
      </c>
      <c r="H30" s="25"/>
    </row>
    <row r="31" spans="1:8" ht="30" customHeight="1" x14ac:dyDescent="0.25">
      <c r="A31" s="26" t="s">
        <v>326</v>
      </c>
      <c r="B31" s="25">
        <v>5.7</v>
      </c>
      <c r="C31" s="25"/>
      <c r="D31" s="25" t="s">
        <v>325</v>
      </c>
      <c r="E31" s="25" t="s">
        <v>325</v>
      </c>
      <c r="F31" s="25" t="s">
        <v>325</v>
      </c>
      <c r="G31" s="25" t="s">
        <v>325</v>
      </c>
      <c r="H31" s="25"/>
    </row>
    <row r="32" spans="1:8" ht="30" customHeight="1" x14ac:dyDescent="0.25">
      <c r="A32" s="26" t="s">
        <v>327</v>
      </c>
      <c r="B32" s="25">
        <v>4.7</v>
      </c>
      <c r="C32" s="25"/>
      <c r="D32" s="25" t="s">
        <v>325</v>
      </c>
      <c r="E32" s="25" t="s">
        <v>325</v>
      </c>
      <c r="F32" s="25" t="s">
        <v>325</v>
      </c>
      <c r="G32" s="25" t="s">
        <v>325</v>
      </c>
      <c r="H32" s="25"/>
    </row>
    <row r="33" spans="1:8" ht="30" customHeight="1" x14ac:dyDescent="0.25">
      <c r="A33" s="26" t="s">
        <v>328</v>
      </c>
      <c r="B33" s="25">
        <v>4.4000000000000004</v>
      </c>
      <c r="C33" s="25"/>
      <c r="D33" s="25" t="s">
        <v>325</v>
      </c>
      <c r="E33" s="25" t="s">
        <v>325</v>
      </c>
      <c r="F33" s="25" t="s">
        <v>325</v>
      </c>
      <c r="G33" s="25" t="s">
        <v>325</v>
      </c>
      <c r="H33" s="25"/>
    </row>
    <row r="34" spans="1:8" ht="30" customHeight="1" x14ac:dyDescent="0.25">
      <c r="A34" s="26" t="s">
        <v>329</v>
      </c>
      <c r="B34" s="25">
        <v>4.8</v>
      </c>
      <c r="C34" s="25"/>
      <c r="D34" s="25" t="s">
        <v>325</v>
      </c>
      <c r="E34" s="25" t="s">
        <v>325</v>
      </c>
      <c r="F34" s="25">
        <v>5.2</v>
      </c>
      <c r="G34" s="25">
        <v>5.4</v>
      </c>
      <c r="H34" s="25"/>
    </row>
    <row r="35" spans="1:8" x14ac:dyDescent="0.25">
      <c r="A35" s="24"/>
      <c r="B35" s="25"/>
      <c r="C35" s="25"/>
      <c r="D35" s="25"/>
      <c r="E35" s="25"/>
      <c r="F35" s="25"/>
      <c r="G35" s="25"/>
      <c r="H35" s="25"/>
    </row>
    <row r="36" spans="1:8" x14ac:dyDescent="0.25">
      <c r="A36" s="24"/>
      <c r="B36" s="25"/>
      <c r="C36" s="25"/>
      <c r="D36" s="25"/>
      <c r="E36" s="25"/>
      <c r="F36" s="25"/>
      <c r="H36" s="25"/>
    </row>
    <row r="37" spans="1:8" x14ac:dyDescent="0.25">
      <c r="A37" s="24"/>
      <c r="B37" s="25"/>
      <c r="C37" s="25"/>
      <c r="D37" s="25"/>
      <c r="E37" s="25"/>
      <c r="F37" s="25"/>
      <c r="H37" s="25"/>
    </row>
    <row r="38" spans="1:8" x14ac:dyDescent="0.25">
      <c r="A38" s="24"/>
      <c r="B38" s="25"/>
      <c r="C38" s="25"/>
      <c r="D38" s="25"/>
      <c r="E38" s="25"/>
      <c r="F38" s="25"/>
      <c r="H38" s="25"/>
    </row>
    <row r="39" spans="1:8" x14ac:dyDescent="0.25">
      <c r="A39" s="24"/>
      <c r="B39" s="25"/>
      <c r="C39" s="25"/>
      <c r="D39" s="25"/>
      <c r="E39" s="25"/>
      <c r="F39" s="25"/>
      <c r="H39" s="25"/>
    </row>
    <row r="40" spans="1:8" x14ac:dyDescent="0.25">
      <c r="A40" s="24"/>
      <c r="B40" s="25"/>
      <c r="C40" s="25"/>
      <c r="D40" s="25"/>
      <c r="E40" s="25"/>
      <c r="F40" s="25"/>
      <c r="H40" s="25"/>
    </row>
    <row r="41" spans="1:8" x14ac:dyDescent="0.25">
      <c r="A41" s="24"/>
      <c r="B41" s="25"/>
      <c r="C41" s="25"/>
      <c r="D41" s="25"/>
      <c r="E41" s="25"/>
      <c r="F41" s="25"/>
      <c r="H41" s="25"/>
    </row>
    <row r="42" spans="1:8" x14ac:dyDescent="0.25">
      <c r="A42" s="24"/>
      <c r="B42" s="25"/>
      <c r="C42" s="25"/>
      <c r="D42" s="25"/>
      <c r="E42" s="25"/>
      <c r="F42" s="25"/>
      <c r="H42" s="25"/>
    </row>
    <row r="43" spans="1:8" x14ac:dyDescent="0.25">
      <c r="A43" s="24"/>
      <c r="B43" s="25"/>
      <c r="C43" s="25"/>
      <c r="D43" s="25"/>
      <c r="E43" s="25"/>
      <c r="F43" s="25"/>
      <c r="H43" s="25"/>
    </row>
    <row r="44" spans="1:8" x14ac:dyDescent="0.25">
      <c r="A44" s="24"/>
      <c r="B44" s="25"/>
      <c r="C44" s="25"/>
      <c r="D44" s="25"/>
      <c r="E44" s="25"/>
      <c r="F44" s="25"/>
      <c r="H44" s="25"/>
    </row>
    <row r="45" spans="1:8" x14ac:dyDescent="0.25">
      <c r="A45" s="24"/>
      <c r="B45" s="25"/>
      <c r="C45" s="25"/>
      <c r="D45" s="25"/>
      <c r="E45" s="25"/>
      <c r="F45" s="25"/>
      <c r="H45" s="25"/>
    </row>
    <row r="46" spans="1:8" x14ac:dyDescent="0.25">
      <c r="A46" s="24"/>
      <c r="B46" s="25"/>
      <c r="C46" s="25"/>
      <c r="D46" s="25"/>
      <c r="E46" s="25"/>
      <c r="F46" s="25"/>
      <c r="H46" s="25"/>
    </row>
    <row r="47" spans="1:8" x14ac:dyDescent="0.25">
      <c r="A47" s="24"/>
      <c r="B47" s="25"/>
      <c r="C47" s="25"/>
      <c r="D47" s="25"/>
      <c r="E47" s="25"/>
      <c r="F47" s="25"/>
      <c r="H47" s="25"/>
    </row>
    <row r="48" spans="1:8" x14ac:dyDescent="0.25">
      <c r="A48" s="24"/>
      <c r="B48" s="25"/>
      <c r="C48" s="25"/>
      <c r="D48" s="25"/>
      <c r="E48" s="25"/>
      <c r="F48" s="25"/>
      <c r="H48" s="25"/>
    </row>
    <row r="49" spans="1:8" x14ac:dyDescent="0.25">
      <c r="A49" s="24"/>
      <c r="B49" s="25"/>
      <c r="C49" s="25"/>
      <c r="D49" s="25"/>
      <c r="E49" s="25"/>
      <c r="F49" s="25"/>
      <c r="H49" s="25"/>
    </row>
    <row r="50" spans="1:8" x14ac:dyDescent="0.25">
      <c r="A50" s="24"/>
      <c r="B50" s="25"/>
      <c r="C50" s="25"/>
      <c r="D50" s="25"/>
      <c r="E50" s="25"/>
      <c r="F50" s="25"/>
      <c r="H50" s="25"/>
    </row>
    <row r="51" spans="1:8" x14ac:dyDescent="0.25">
      <c r="A51" s="24"/>
      <c r="B51" s="25"/>
      <c r="C51" s="25"/>
      <c r="D51" s="25"/>
      <c r="E51" s="25"/>
      <c r="F51" s="25"/>
      <c r="H51" s="25"/>
    </row>
    <row r="52" spans="1:8" x14ac:dyDescent="0.25">
      <c r="A52" s="24"/>
      <c r="B52" s="25"/>
      <c r="C52" s="25"/>
      <c r="D52" s="25"/>
      <c r="E52" s="25"/>
      <c r="F52" s="25"/>
      <c r="H52" s="25"/>
    </row>
    <row r="53" spans="1:8" x14ac:dyDescent="0.25">
      <c r="A53" s="24"/>
      <c r="B53" s="25"/>
      <c r="C53" s="25"/>
      <c r="D53" s="25"/>
      <c r="E53" s="25"/>
      <c r="F53" s="25"/>
      <c r="H53" s="25"/>
    </row>
    <row r="54" spans="1:8" x14ac:dyDescent="0.25">
      <c r="A54" s="24"/>
      <c r="B54" s="25"/>
      <c r="C54" s="25"/>
      <c r="D54" s="25"/>
      <c r="E54" s="25"/>
      <c r="F54" s="25"/>
      <c r="H54" s="25"/>
    </row>
    <row r="55" spans="1:8" x14ac:dyDescent="0.25">
      <c r="A55" s="24"/>
      <c r="B55" s="25"/>
      <c r="C55" s="25"/>
      <c r="D55" s="25"/>
      <c r="E55" s="25"/>
      <c r="F55" s="25"/>
      <c r="H55" s="25"/>
    </row>
    <row r="56" spans="1:8" x14ac:dyDescent="0.25">
      <c r="A56" s="24"/>
      <c r="B56" s="25"/>
      <c r="C56" s="25"/>
      <c r="D56" s="25"/>
      <c r="E56" s="25"/>
      <c r="F56" s="25"/>
      <c r="H56" s="25"/>
    </row>
    <row r="57" spans="1:8" x14ac:dyDescent="0.25">
      <c r="A57" s="24"/>
      <c r="B57" s="25"/>
      <c r="C57" s="25"/>
      <c r="D57" s="25"/>
      <c r="E57" s="25"/>
      <c r="F57" s="25"/>
      <c r="H57" s="25"/>
    </row>
    <row r="58" spans="1:8" x14ac:dyDescent="0.25">
      <c r="A58" s="24"/>
      <c r="B58" s="25"/>
      <c r="C58" s="25"/>
      <c r="D58" s="25"/>
      <c r="E58" s="25"/>
      <c r="F58" s="25"/>
      <c r="H58" s="25"/>
    </row>
    <row r="59" spans="1:8" x14ac:dyDescent="0.25">
      <c r="A59" s="24"/>
      <c r="B59" s="25"/>
      <c r="C59" s="25"/>
      <c r="D59" s="25"/>
      <c r="E59" s="25"/>
      <c r="F59" s="25"/>
      <c r="H59" s="25"/>
    </row>
    <row r="60" spans="1:8" x14ac:dyDescent="0.25">
      <c r="A60" s="24"/>
      <c r="B60" s="25"/>
      <c r="C60" s="25"/>
      <c r="D60" s="25"/>
      <c r="E60" s="25"/>
      <c r="F60" s="25"/>
      <c r="H60" s="25"/>
    </row>
    <row r="61" spans="1:8" x14ac:dyDescent="0.25">
      <c r="A61" s="24"/>
      <c r="B61" s="25"/>
      <c r="C61" s="25"/>
      <c r="D61" s="25"/>
      <c r="E61" s="25"/>
      <c r="F61" s="25"/>
      <c r="H61" s="25"/>
    </row>
    <row r="62" spans="1:8" x14ac:dyDescent="0.25">
      <c r="A62" s="24"/>
      <c r="B62" s="25"/>
      <c r="C62" s="25"/>
      <c r="D62" s="25"/>
      <c r="E62" s="25"/>
      <c r="F62" s="25"/>
      <c r="H62" s="25"/>
    </row>
    <row r="63" spans="1:8" x14ac:dyDescent="0.25">
      <c r="A63" s="24"/>
      <c r="B63" s="25"/>
      <c r="C63" s="25"/>
      <c r="D63" s="25"/>
      <c r="E63" s="25"/>
      <c r="F63" s="25"/>
      <c r="H63" s="25"/>
    </row>
    <row r="64" spans="1:8" x14ac:dyDescent="0.25">
      <c r="A64" s="24"/>
      <c r="B64" s="25"/>
      <c r="C64" s="25"/>
      <c r="D64" s="25"/>
      <c r="E64" s="25"/>
      <c r="F64" s="25"/>
      <c r="H64" s="25"/>
    </row>
    <row r="65" spans="1:8" x14ac:dyDescent="0.25">
      <c r="A65" s="24"/>
      <c r="B65" s="25"/>
      <c r="C65" s="25"/>
      <c r="D65" s="25"/>
      <c r="E65" s="25"/>
      <c r="F65" s="25"/>
      <c r="H65" s="25"/>
    </row>
    <row r="66" spans="1:8" x14ac:dyDescent="0.25">
      <c r="A66" s="24"/>
      <c r="B66" s="25"/>
      <c r="C66" s="25"/>
      <c r="D66" s="25"/>
      <c r="E66" s="25"/>
      <c r="F66" s="25"/>
      <c r="H66" s="25"/>
    </row>
    <row r="67" spans="1:8" x14ac:dyDescent="0.25">
      <c r="A67" s="24"/>
      <c r="B67" s="25"/>
      <c r="C67" s="25"/>
      <c r="D67" s="25"/>
      <c r="E67" s="25"/>
      <c r="F67" s="25"/>
      <c r="H67" s="25"/>
    </row>
    <row r="68" spans="1:8" x14ac:dyDescent="0.25">
      <c r="A68" s="24"/>
    </row>
    <row r="69" spans="1:8" x14ac:dyDescent="0.25">
      <c r="A69" s="24"/>
    </row>
    <row r="70" spans="1:8" x14ac:dyDescent="0.25">
      <c r="A70" s="24"/>
    </row>
    <row r="71" spans="1:8" x14ac:dyDescent="0.25">
      <c r="A71" s="24"/>
    </row>
    <row r="72" spans="1:8" x14ac:dyDescent="0.25">
      <c r="A72" s="24"/>
    </row>
    <row r="73" spans="1:8" x14ac:dyDescent="0.25">
      <c r="A73" s="24"/>
    </row>
    <row r="74" spans="1:8" x14ac:dyDescent="0.25">
      <c r="A74" s="24"/>
    </row>
    <row r="75" spans="1:8" x14ac:dyDescent="0.25">
      <c r="A75" s="24"/>
    </row>
    <row r="76" spans="1:8" x14ac:dyDescent="0.25">
      <c r="A76" s="24"/>
    </row>
    <row r="77" spans="1:8" x14ac:dyDescent="0.25">
      <c r="A77" s="24"/>
    </row>
    <row r="78" spans="1:8" x14ac:dyDescent="0.25">
      <c r="A78" s="24"/>
    </row>
    <row r="79" spans="1:8" x14ac:dyDescent="0.25">
      <c r="A79" s="24"/>
    </row>
    <row r="80" spans="1:8" x14ac:dyDescent="0.25">
      <c r="A80" s="24"/>
    </row>
    <row r="81" spans="1:1" x14ac:dyDescent="0.25">
      <c r="A81" s="24"/>
    </row>
    <row r="82" spans="1:1" x14ac:dyDescent="0.25">
      <c r="A82" s="24"/>
    </row>
    <row r="83" spans="1:1" x14ac:dyDescent="0.25">
      <c r="A83" s="24"/>
    </row>
    <row r="84" spans="1:1" x14ac:dyDescent="0.25">
      <c r="A84" s="24"/>
    </row>
    <row r="85" spans="1:1" x14ac:dyDescent="0.25">
      <c r="A85" s="24"/>
    </row>
    <row r="86" spans="1:1" x14ac:dyDescent="0.25">
      <c r="A86" s="24"/>
    </row>
    <row r="87" spans="1:1" x14ac:dyDescent="0.25">
      <c r="A87" s="24"/>
    </row>
    <row r="88" spans="1:1" x14ac:dyDescent="0.25">
      <c r="A88" s="24"/>
    </row>
    <row r="89" spans="1:1" x14ac:dyDescent="0.25">
      <c r="A89" s="24"/>
    </row>
    <row r="90" spans="1:1" x14ac:dyDescent="0.25">
      <c r="A90" s="24"/>
    </row>
    <row r="91" spans="1:1" x14ac:dyDescent="0.25">
      <c r="A91" s="24"/>
    </row>
    <row r="92" spans="1:1" x14ac:dyDescent="0.25">
      <c r="A92" s="24"/>
    </row>
    <row r="93" spans="1:1" x14ac:dyDescent="0.25">
      <c r="A93" s="24"/>
    </row>
    <row r="94" spans="1:1" x14ac:dyDescent="0.25">
      <c r="A94" s="24"/>
    </row>
    <row r="95" spans="1:1" x14ac:dyDescent="0.25">
      <c r="A95" s="24"/>
    </row>
    <row r="96" spans="1:1" x14ac:dyDescent="0.25">
      <c r="A96" s="24"/>
    </row>
    <row r="97" spans="1:1" x14ac:dyDescent="0.25">
      <c r="A97" s="24"/>
    </row>
    <row r="98" spans="1:1" x14ac:dyDescent="0.25">
      <c r="A98" s="24"/>
    </row>
    <row r="99" spans="1:1" x14ac:dyDescent="0.25">
      <c r="A99" s="24"/>
    </row>
    <row r="100" spans="1:1" x14ac:dyDescent="0.25">
      <c r="A100" s="24"/>
    </row>
    <row r="101" spans="1:1" x14ac:dyDescent="0.25">
      <c r="A101" s="24"/>
    </row>
    <row r="102" spans="1:1" x14ac:dyDescent="0.25">
      <c r="A102" s="24"/>
    </row>
    <row r="103" spans="1:1" x14ac:dyDescent="0.25">
      <c r="A103" s="24"/>
    </row>
    <row r="104" spans="1:1" x14ac:dyDescent="0.25">
      <c r="A104" s="24"/>
    </row>
    <row r="105" spans="1:1" x14ac:dyDescent="0.25">
      <c r="A105" s="24"/>
    </row>
    <row r="106" spans="1:1" x14ac:dyDescent="0.25">
      <c r="A106" s="24"/>
    </row>
    <row r="107" spans="1:1" x14ac:dyDescent="0.25">
      <c r="A107" s="24"/>
    </row>
    <row r="108" spans="1:1" x14ac:dyDescent="0.25">
      <c r="A108" s="24"/>
    </row>
    <row r="109" spans="1:1" x14ac:dyDescent="0.25">
      <c r="A109" s="24"/>
    </row>
    <row r="110" spans="1:1" x14ac:dyDescent="0.25">
      <c r="A110" s="24"/>
    </row>
    <row r="111" spans="1:1" x14ac:dyDescent="0.25">
      <c r="A111" s="24"/>
    </row>
    <row r="112" spans="1:1" x14ac:dyDescent="0.25">
      <c r="A112" s="24"/>
    </row>
    <row r="113" spans="1:1" x14ac:dyDescent="0.25">
      <c r="A113" s="24"/>
    </row>
    <row r="114" spans="1:1" x14ac:dyDescent="0.25">
      <c r="A114" s="24"/>
    </row>
    <row r="115" spans="1:1" x14ac:dyDescent="0.25">
      <c r="A115" s="24"/>
    </row>
    <row r="116" spans="1:1" x14ac:dyDescent="0.25">
      <c r="A116" s="24"/>
    </row>
    <row r="117" spans="1:1" x14ac:dyDescent="0.25">
      <c r="A117" s="24"/>
    </row>
    <row r="118" spans="1:1" x14ac:dyDescent="0.25">
      <c r="A118" s="24"/>
    </row>
    <row r="119" spans="1:1" x14ac:dyDescent="0.25">
      <c r="A119" s="24"/>
    </row>
    <row r="120" spans="1:1" x14ac:dyDescent="0.25">
      <c r="A120" s="24"/>
    </row>
    <row r="121" spans="1:1" x14ac:dyDescent="0.25">
      <c r="A121" s="24"/>
    </row>
    <row r="122" spans="1:1" x14ac:dyDescent="0.25">
      <c r="A122" s="24"/>
    </row>
    <row r="123" spans="1:1" x14ac:dyDescent="0.25">
      <c r="A123" s="24"/>
    </row>
    <row r="124" spans="1:1" x14ac:dyDescent="0.25">
      <c r="A124" s="24"/>
    </row>
    <row r="125" spans="1:1" x14ac:dyDescent="0.25">
      <c r="A125" s="24"/>
    </row>
    <row r="126" spans="1:1" x14ac:dyDescent="0.25">
      <c r="A126" s="24"/>
    </row>
    <row r="127" spans="1:1" x14ac:dyDescent="0.25">
      <c r="A127" s="24"/>
    </row>
    <row r="128" spans="1:1" x14ac:dyDescent="0.25">
      <c r="A128" s="24"/>
    </row>
    <row r="129" spans="1:1" x14ac:dyDescent="0.25">
      <c r="A129" s="24"/>
    </row>
    <row r="130" spans="1:1" x14ac:dyDescent="0.25">
      <c r="A130" s="24"/>
    </row>
    <row r="131" spans="1:1" x14ac:dyDescent="0.25">
      <c r="A131" s="24"/>
    </row>
    <row r="132" spans="1:1" x14ac:dyDescent="0.25">
      <c r="A132" s="24"/>
    </row>
    <row r="133" spans="1:1" x14ac:dyDescent="0.25">
      <c r="A133"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C881-935F-4E86-B424-F42ACDE8EBDD}">
  <dimension ref="A1:F148"/>
  <sheetViews>
    <sheetView zoomScaleNormal="100" workbookViewId="0">
      <pane xSplit="1" ySplit="6" topLeftCell="B7" activePane="bottomRight" state="frozen"/>
      <selection activeCell="H14" sqref="H14"/>
      <selection pane="topRight" activeCell="H14" sqref="H14"/>
      <selection pane="bottomLeft" activeCell="H14" sqref="H14"/>
      <selection pane="bottomRight" activeCell="H14" sqref="H14"/>
    </sheetView>
  </sheetViews>
  <sheetFormatPr defaultColWidth="9.140625" defaultRowHeight="15" x14ac:dyDescent="0.25"/>
  <cols>
    <col min="1" max="1" width="21.7109375" style="38" customWidth="1"/>
    <col min="2" max="4" width="14.140625" style="38" customWidth="1"/>
    <col min="5" max="16384" width="9.140625" style="38"/>
  </cols>
  <sheetData>
    <row r="1" spans="1:6" s="30" customFormat="1" x14ac:dyDescent="0.25">
      <c r="A1" s="27" t="s">
        <v>330</v>
      </c>
      <c r="B1" s="28"/>
      <c r="C1" s="29"/>
    </row>
    <row r="2" spans="1:6" s="30" customFormat="1" x14ac:dyDescent="0.25">
      <c r="A2" s="31"/>
      <c r="B2" s="28"/>
    </row>
    <row r="3" spans="1:6" s="30" customFormat="1" x14ac:dyDescent="0.25">
      <c r="A3" s="32" t="s">
        <v>331</v>
      </c>
      <c r="B3" s="28"/>
    </row>
    <row r="4" spans="1:6" s="30" customFormat="1" x14ac:dyDescent="0.25">
      <c r="A4" s="32"/>
      <c r="B4" s="28"/>
    </row>
    <row r="5" spans="1:6" s="30" customFormat="1" x14ac:dyDescent="0.25">
      <c r="A5" s="31"/>
      <c r="B5" s="28"/>
      <c r="C5" s="42" t="s">
        <v>332</v>
      </c>
      <c r="D5" s="42"/>
    </row>
    <row r="6" spans="1:6" s="29" customFormat="1" x14ac:dyDescent="0.25">
      <c r="A6" s="33" t="s">
        <v>6</v>
      </c>
      <c r="B6" s="34" t="s">
        <v>333</v>
      </c>
      <c r="C6" s="34" t="s">
        <v>334</v>
      </c>
      <c r="D6" s="34" t="s">
        <v>335</v>
      </c>
    </row>
    <row r="7" spans="1:6" s="29" customFormat="1" x14ac:dyDescent="0.25">
      <c r="A7" s="35" t="s">
        <v>336</v>
      </c>
      <c r="B7" s="36">
        <v>4.9000000000000004</v>
      </c>
      <c r="C7" s="36">
        <v>4.5999999999999996</v>
      </c>
      <c r="D7" s="36">
        <v>5.4</v>
      </c>
      <c r="F7" s="37"/>
    </row>
    <row r="8" spans="1:6" x14ac:dyDescent="0.25">
      <c r="A8" s="35" t="s">
        <v>337</v>
      </c>
      <c r="B8" s="36">
        <v>5.4</v>
      </c>
      <c r="C8" s="36">
        <v>5.3</v>
      </c>
      <c r="D8" s="36">
        <v>7.1</v>
      </c>
      <c r="F8" s="37"/>
    </row>
    <row r="9" spans="1:6" x14ac:dyDescent="0.25">
      <c r="A9" s="35" t="s">
        <v>338</v>
      </c>
      <c r="B9" s="36">
        <v>6.6</v>
      </c>
      <c r="C9" s="36">
        <v>5.9</v>
      </c>
      <c r="D9" s="36">
        <v>8.9</v>
      </c>
      <c r="F9" s="37"/>
    </row>
    <row r="10" spans="1:6" x14ac:dyDescent="0.25">
      <c r="A10" s="35" t="s">
        <v>339</v>
      </c>
      <c r="B10" s="36">
        <v>7.3</v>
      </c>
      <c r="C10" s="36">
        <v>5.8</v>
      </c>
      <c r="D10" s="36">
        <v>9.1999999999999993</v>
      </c>
      <c r="F10" s="37"/>
    </row>
    <row r="11" spans="1:6" x14ac:dyDescent="0.25">
      <c r="A11" s="35" t="s">
        <v>340</v>
      </c>
      <c r="B11" s="36">
        <v>7.2</v>
      </c>
      <c r="C11" s="36">
        <v>5.0999999999999996</v>
      </c>
      <c r="D11" s="36">
        <v>8.5</v>
      </c>
      <c r="F11" s="37"/>
    </row>
    <row r="12" spans="1:6" x14ac:dyDescent="0.25">
      <c r="A12" s="35" t="s">
        <v>341</v>
      </c>
      <c r="B12" s="36">
        <v>8.1999999999999993</v>
      </c>
      <c r="C12" s="36">
        <v>4.3</v>
      </c>
      <c r="D12" s="36">
        <v>7.5</v>
      </c>
      <c r="F12" s="37"/>
    </row>
    <row r="13" spans="1:6" x14ac:dyDescent="0.25">
      <c r="A13" s="35" t="s">
        <v>342</v>
      </c>
      <c r="B13" s="36">
        <v>7.9</v>
      </c>
      <c r="C13" s="36">
        <v>4.2</v>
      </c>
      <c r="D13" s="36">
        <v>6.1</v>
      </c>
      <c r="F13" s="37"/>
    </row>
    <row r="14" spans="1:6" x14ac:dyDescent="0.25">
      <c r="A14" s="39" t="s">
        <v>343</v>
      </c>
      <c r="B14" s="36">
        <v>6.2</v>
      </c>
      <c r="C14" s="36">
        <v>4.0999999999999996</v>
      </c>
      <c r="D14" s="36">
        <v>5.2</v>
      </c>
      <c r="F14" s="37"/>
    </row>
    <row r="15" spans="1:6" ht="30" customHeight="1" x14ac:dyDescent="0.25">
      <c r="A15" s="39" t="s">
        <v>344</v>
      </c>
      <c r="B15" s="36">
        <v>6</v>
      </c>
      <c r="C15" s="36">
        <v>3.7</v>
      </c>
      <c r="D15" s="36">
        <v>4.5999999999999996</v>
      </c>
      <c r="F15" s="37"/>
    </row>
    <row r="16" spans="1:6" ht="30" customHeight="1" x14ac:dyDescent="0.25">
      <c r="A16" s="39" t="s">
        <v>345</v>
      </c>
      <c r="B16" s="36">
        <v>5.0999999999999996</v>
      </c>
      <c r="C16" s="36">
        <v>3.6</v>
      </c>
      <c r="D16" s="36">
        <v>4.2</v>
      </c>
      <c r="F16" s="37"/>
    </row>
    <row r="17" spans="1:6" ht="30" customHeight="1" x14ac:dyDescent="0.25">
      <c r="A17" s="39" t="s">
        <v>346</v>
      </c>
      <c r="B17" s="36">
        <v>4.8</v>
      </c>
      <c r="C17" s="36">
        <v>3.3</v>
      </c>
      <c r="D17" s="36">
        <v>3.9</v>
      </c>
      <c r="F17" s="37"/>
    </row>
    <row r="18" spans="1:6" ht="30" customHeight="1" x14ac:dyDescent="0.25">
      <c r="A18" s="39" t="s">
        <v>347</v>
      </c>
      <c r="B18" s="36">
        <v>5</v>
      </c>
      <c r="C18" s="36">
        <v>3.3</v>
      </c>
      <c r="D18" s="36">
        <v>3.7</v>
      </c>
      <c r="F18" s="37"/>
    </row>
    <row r="19" spans="1:6" ht="30" customHeight="1" x14ac:dyDescent="0.25">
      <c r="A19" s="39" t="s">
        <v>348</v>
      </c>
      <c r="B19" s="36">
        <v>4.5</v>
      </c>
      <c r="C19" s="36">
        <v>3.1</v>
      </c>
      <c r="D19" s="36">
        <v>3.6</v>
      </c>
      <c r="F19" s="37"/>
    </row>
    <row r="20" spans="1:6" ht="30" customHeight="1" x14ac:dyDescent="0.25">
      <c r="A20" s="39" t="s">
        <v>349</v>
      </c>
      <c r="B20" s="36">
        <v>3.6</v>
      </c>
      <c r="C20" s="36">
        <v>2.7</v>
      </c>
      <c r="D20" s="36">
        <v>3.4</v>
      </c>
      <c r="F20" s="37"/>
    </row>
    <row r="21" spans="1:6" ht="30" customHeight="1" x14ac:dyDescent="0.25">
      <c r="A21" s="39" t="s">
        <v>350</v>
      </c>
      <c r="B21" s="36">
        <v>3.2</v>
      </c>
      <c r="C21" s="36">
        <v>2.5</v>
      </c>
      <c r="D21" s="36">
        <v>3.3</v>
      </c>
      <c r="F21" s="37"/>
    </row>
    <row r="22" spans="1:6" ht="30" customHeight="1" x14ac:dyDescent="0.25">
      <c r="A22" s="39" t="s">
        <v>351</v>
      </c>
      <c r="B22" s="36">
        <v>3.1</v>
      </c>
      <c r="C22" s="36">
        <v>2.5</v>
      </c>
      <c r="D22" s="36">
        <v>3.1</v>
      </c>
      <c r="F22" s="37"/>
    </row>
    <row r="23" spans="1:6" ht="30" customHeight="1" x14ac:dyDescent="0.25">
      <c r="A23" s="39" t="s">
        <v>352</v>
      </c>
      <c r="B23" s="36">
        <v>3</v>
      </c>
      <c r="C23" s="36">
        <v>2.2000000000000002</v>
      </c>
      <c r="D23" s="36">
        <v>3</v>
      </c>
      <c r="F23" s="37"/>
    </row>
    <row r="24" spans="1:6" ht="30" customHeight="1" x14ac:dyDescent="0.25">
      <c r="A24" s="39" t="s">
        <v>353</v>
      </c>
      <c r="B24" s="36">
        <v>2.9</v>
      </c>
      <c r="C24" s="36">
        <v>2.2000000000000002</v>
      </c>
      <c r="D24" s="36">
        <v>3</v>
      </c>
      <c r="F24" s="37"/>
    </row>
    <row r="25" spans="1:6" ht="30" customHeight="1" x14ac:dyDescent="0.25">
      <c r="A25" s="39" t="s">
        <v>354</v>
      </c>
      <c r="B25" s="36">
        <v>2.8</v>
      </c>
      <c r="C25" s="36">
        <v>2.4</v>
      </c>
      <c r="D25" s="36">
        <v>2.9</v>
      </c>
      <c r="F25" s="37"/>
    </row>
    <row r="26" spans="1:6" ht="30" customHeight="1" x14ac:dyDescent="0.25">
      <c r="A26" s="39" t="s">
        <v>355</v>
      </c>
      <c r="B26" s="36">
        <v>2.7</v>
      </c>
      <c r="C26" s="36">
        <v>2.4</v>
      </c>
      <c r="D26" s="36">
        <v>2.9</v>
      </c>
      <c r="F26" s="37"/>
    </row>
    <row r="27" spans="1:6" ht="30" customHeight="1" x14ac:dyDescent="0.25">
      <c r="A27" s="39" t="s">
        <v>356</v>
      </c>
      <c r="B27" s="36">
        <v>2.7</v>
      </c>
      <c r="C27" s="36">
        <v>2.4</v>
      </c>
      <c r="D27" s="36">
        <v>2.9</v>
      </c>
    </row>
    <row r="28" spans="1:6" ht="30" x14ac:dyDescent="0.25">
      <c r="A28" s="39" t="s">
        <v>357</v>
      </c>
      <c r="B28" s="36">
        <v>2.7</v>
      </c>
      <c r="C28" s="36">
        <v>2.5</v>
      </c>
      <c r="D28" s="36">
        <v>2.8</v>
      </c>
    </row>
    <row r="29" spans="1:6" x14ac:dyDescent="0.25">
      <c r="A29" s="40"/>
      <c r="B29" s="36"/>
      <c r="C29" s="36"/>
      <c r="D29" s="36"/>
    </row>
    <row r="30" spans="1:6" x14ac:dyDescent="0.25">
      <c r="A30" s="40"/>
      <c r="B30" s="36"/>
    </row>
    <row r="31" spans="1:6" x14ac:dyDescent="0.25">
      <c r="A31" s="40"/>
      <c r="B31" s="36"/>
    </row>
    <row r="32" spans="1:6" x14ac:dyDescent="0.25">
      <c r="A32" s="40"/>
      <c r="B32" s="36"/>
    </row>
    <row r="33" spans="1:2" x14ac:dyDescent="0.25">
      <c r="A33" s="40"/>
      <c r="B33" s="36"/>
    </row>
    <row r="34" spans="1:2" x14ac:dyDescent="0.25">
      <c r="A34" s="40"/>
      <c r="B34" s="36"/>
    </row>
    <row r="35" spans="1:2" x14ac:dyDescent="0.25">
      <c r="A35" s="40"/>
      <c r="B35" s="36"/>
    </row>
    <row r="36" spans="1:2" x14ac:dyDescent="0.25">
      <c r="A36" s="40"/>
      <c r="B36" s="36"/>
    </row>
    <row r="37" spans="1:2" x14ac:dyDescent="0.25">
      <c r="A37" s="40"/>
      <c r="B37" s="36"/>
    </row>
    <row r="38" spans="1:2" x14ac:dyDescent="0.25">
      <c r="A38" s="40"/>
      <c r="B38" s="36"/>
    </row>
    <row r="39" spans="1:2" x14ac:dyDescent="0.25">
      <c r="A39" s="40"/>
      <c r="B39" s="36"/>
    </row>
    <row r="40" spans="1:2" x14ac:dyDescent="0.25">
      <c r="A40" s="40"/>
      <c r="B40" s="36"/>
    </row>
    <row r="41" spans="1:2" x14ac:dyDescent="0.25">
      <c r="A41" s="40"/>
      <c r="B41" s="36"/>
    </row>
    <row r="42" spans="1:2" x14ac:dyDescent="0.25">
      <c r="A42" s="40"/>
      <c r="B42" s="36"/>
    </row>
    <row r="43" spans="1:2" x14ac:dyDescent="0.25">
      <c r="A43" s="41"/>
      <c r="B43" s="36"/>
    </row>
    <row r="44" spans="1:2" x14ac:dyDescent="0.25">
      <c r="A44" s="41"/>
      <c r="B44" s="36"/>
    </row>
    <row r="45" spans="1:2" x14ac:dyDescent="0.25">
      <c r="A45" s="41"/>
      <c r="B45" s="36"/>
    </row>
    <row r="46" spans="1:2" x14ac:dyDescent="0.25">
      <c r="A46" s="41"/>
      <c r="B46" s="36"/>
    </row>
    <row r="47" spans="1:2" x14ac:dyDescent="0.25">
      <c r="A47" s="41"/>
      <c r="B47" s="36"/>
    </row>
    <row r="48" spans="1:2" x14ac:dyDescent="0.25">
      <c r="A48" s="41"/>
      <c r="B48" s="36"/>
    </row>
    <row r="49" spans="1:2" x14ac:dyDescent="0.25">
      <c r="A49" s="41"/>
      <c r="B49" s="36"/>
    </row>
    <row r="50" spans="1:2" x14ac:dyDescent="0.25">
      <c r="A50" s="41"/>
      <c r="B50" s="36"/>
    </row>
    <row r="51" spans="1:2" x14ac:dyDescent="0.25">
      <c r="A51" s="41"/>
      <c r="B51" s="36"/>
    </row>
    <row r="52" spans="1:2" x14ac:dyDescent="0.25">
      <c r="A52" s="41"/>
      <c r="B52" s="36"/>
    </row>
    <row r="53" spans="1:2" x14ac:dyDescent="0.25">
      <c r="A53" s="41"/>
      <c r="B53" s="36"/>
    </row>
    <row r="54" spans="1:2" x14ac:dyDescent="0.25">
      <c r="A54" s="41"/>
      <c r="B54" s="36"/>
    </row>
    <row r="55" spans="1:2" x14ac:dyDescent="0.25">
      <c r="A55" s="41"/>
      <c r="B55" s="36"/>
    </row>
    <row r="56" spans="1:2" x14ac:dyDescent="0.25">
      <c r="A56" s="41"/>
      <c r="B56" s="36"/>
    </row>
    <row r="57" spans="1:2" x14ac:dyDescent="0.25">
      <c r="A57" s="41"/>
      <c r="B57" s="36"/>
    </row>
    <row r="58" spans="1:2" x14ac:dyDescent="0.25">
      <c r="A58" s="41"/>
      <c r="B58" s="36"/>
    </row>
    <row r="59" spans="1:2" x14ac:dyDescent="0.25">
      <c r="A59" s="41"/>
      <c r="B59" s="36"/>
    </row>
    <row r="60" spans="1:2" x14ac:dyDescent="0.25">
      <c r="A60" s="41"/>
      <c r="B60" s="36"/>
    </row>
    <row r="61" spans="1:2" x14ac:dyDescent="0.25">
      <c r="A61" s="41"/>
      <c r="B61" s="36"/>
    </row>
    <row r="62" spans="1:2" x14ac:dyDescent="0.25">
      <c r="A62" s="41"/>
      <c r="B62" s="36"/>
    </row>
    <row r="63" spans="1:2" x14ac:dyDescent="0.25">
      <c r="A63" s="41"/>
      <c r="B63" s="36"/>
    </row>
    <row r="64" spans="1:2" x14ac:dyDescent="0.25">
      <c r="A64" s="41"/>
      <c r="B64" s="36"/>
    </row>
    <row r="65" spans="1:2" x14ac:dyDescent="0.25">
      <c r="A65" s="41"/>
      <c r="B65" s="36"/>
    </row>
    <row r="66" spans="1:2" x14ac:dyDescent="0.25">
      <c r="A66" s="41"/>
      <c r="B66" s="36"/>
    </row>
    <row r="67" spans="1:2" x14ac:dyDescent="0.25">
      <c r="A67" s="41"/>
      <c r="B67" s="36"/>
    </row>
    <row r="68" spans="1:2" x14ac:dyDescent="0.25">
      <c r="A68" s="41"/>
      <c r="B68" s="36"/>
    </row>
    <row r="69" spans="1:2" x14ac:dyDescent="0.25">
      <c r="A69" s="41"/>
      <c r="B69" s="36"/>
    </row>
    <row r="70" spans="1:2" x14ac:dyDescent="0.25">
      <c r="A70" s="41"/>
      <c r="B70" s="36"/>
    </row>
    <row r="71" spans="1:2" x14ac:dyDescent="0.25">
      <c r="A71" s="41"/>
      <c r="B71" s="36"/>
    </row>
    <row r="72" spans="1:2" x14ac:dyDescent="0.25">
      <c r="A72" s="41"/>
      <c r="B72" s="36"/>
    </row>
    <row r="73" spans="1:2" x14ac:dyDescent="0.25">
      <c r="A73" s="41"/>
      <c r="B73" s="36"/>
    </row>
    <row r="74" spans="1:2" x14ac:dyDescent="0.25">
      <c r="A74" s="41"/>
      <c r="B74" s="36"/>
    </row>
    <row r="75" spans="1:2" x14ac:dyDescent="0.25">
      <c r="A75" s="41"/>
      <c r="B75" s="36"/>
    </row>
    <row r="76" spans="1:2" x14ac:dyDescent="0.25">
      <c r="A76" s="41"/>
      <c r="B76" s="36"/>
    </row>
    <row r="77" spans="1:2" x14ac:dyDescent="0.25">
      <c r="A77" s="41"/>
      <c r="B77" s="36"/>
    </row>
    <row r="78" spans="1:2" x14ac:dyDescent="0.25">
      <c r="A78" s="41"/>
      <c r="B78" s="36"/>
    </row>
    <row r="79" spans="1:2" x14ac:dyDescent="0.25">
      <c r="A79" s="41"/>
      <c r="B79" s="36"/>
    </row>
    <row r="80" spans="1:2" x14ac:dyDescent="0.25">
      <c r="A80" s="41"/>
      <c r="B80" s="36"/>
    </row>
    <row r="81" spans="1:2" x14ac:dyDescent="0.25">
      <c r="A81" s="41"/>
      <c r="B81" s="36"/>
    </row>
    <row r="82" spans="1:2" x14ac:dyDescent="0.25">
      <c r="A82" s="41"/>
      <c r="B82" s="36"/>
    </row>
    <row r="83" spans="1:2" x14ac:dyDescent="0.25">
      <c r="A83" s="41"/>
      <c r="B83" s="36"/>
    </row>
    <row r="84" spans="1:2" x14ac:dyDescent="0.25">
      <c r="A84" s="41"/>
      <c r="B84" s="36"/>
    </row>
    <row r="85" spans="1:2" x14ac:dyDescent="0.25">
      <c r="A85" s="41"/>
      <c r="B85" s="36"/>
    </row>
    <row r="86" spans="1:2" x14ac:dyDescent="0.25">
      <c r="A86" s="41"/>
      <c r="B86" s="36"/>
    </row>
    <row r="87" spans="1:2" x14ac:dyDescent="0.25">
      <c r="A87" s="41"/>
      <c r="B87" s="36"/>
    </row>
    <row r="88" spans="1:2" x14ac:dyDescent="0.25">
      <c r="A88" s="41"/>
      <c r="B88" s="36"/>
    </row>
    <row r="89" spans="1:2" x14ac:dyDescent="0.25">
      <c r="A89" s="41"/>
      <c r="B89" s="36"/>
    </row>
    <row r="90" spans="1:2" x14ac:dyDescent="0.25">
      <c r="A90" s="41"/>
      <c r="B90" s="36"/>
    </row>
    <row r="91" spans="1:2" x14ac:dyDescent="0.25">
      <c r="A91" s="41"/>
      <c r="B91" s="36"/>
    </row>
    <row r="92" spans="1:2" x14ac:dyDescent="0.25">
      <c r="A92" s="41"/>
      <c r="B92" s="36"/>
    </row>
    <row r="93" spans="1:2" x14ac:dyDescent="0.25">
      <c r="A93" s="41"/>
      <c r="B93" s="36"/>
    </row>
    <row r="94" spans="1:2" x14ac:dyDescent="0.25">
      <c r="A94" s="41"/>
      <c r="B94" s="36"/>
    </row>
    <row r="95" spans="1:2" x14ac:dyDescent="0.25">
      <c r="A95" s="41"/>
      <c r="B95" s="36"/>
    </row>
    <row r="96" spans="1:2" x14ac:dyDescent="0.25">
      <c r="A96" s="41"/>
      <c r="B96" s="36"/>
    </row>
    <row r="97" spans="1:2" x14ac:dyDescent="0.25">
      <c r="A97" s="41"/>
      <c r="B97" s="36"/>
    </row>
    <row r="98" spans="1:2" x14ac:dyDescent="0.25">
      <c r="A98" s="41"/>
      <c r="B98" s="36"/>
    </row>
    <row r="99" spans="1:2" x14ac:dyDescent="0.25">
      <c r="A99" s="41"/>
      <c r="B99" s="36"/>
    </row>
    <row r="100" spans="1:2" x14ac:dyDescent="0.25">
      <c r="A100" s="41"/>
      <c r="B100" s="36"/>
    </row>
    <row r="101" spans="1:2" x14ac:dyDescent="0.25">
      <c r="A101" s="41"/>
      <c r="B101" s="36"/>
    </row>
    <row r="102" spans="1:2" x14ac:dyDescent="0.25">
      <c r="A102" s="41"/>
      <c r="B102" s="36"/>
    </row>
    <row r="103" spans="1:2" x14ac:dyDescent="0.25">
      <c r="A103" s="41"/>
      <c r="B103" s="36"/>
    </row>
    <row r="104" spans="1:2" x14ac:dyDescent="0.25">
      <c r="A104" s="41"/>
      <c r="B104" s="36"/>
    </row>
    <row r="105" spans="1:2" x14ac:dyDescent="0.25">
      <c r="A105" s="41"/>
      <c r="B105" s="36"/>
    </row>
    <row r="106" spans="1:2" x14ac:dyDescent="0.25">
      <c r="A106" s="41"/>
      <c r="B106" s="36"/>
    </row>
    <row r="107" spans="1:2" x14ac:dyDescent="0.25">
      <c r="A107" s="41"/>
      <c r="B107" s="36"/>
    </row>
    <row r="108" spans="1:2" x14ac:dyDescent="0.25">
      <c r="A108" s="41"/>
      <c r="B108" s="36"/>
    </row>
    <row r="109" spans="1:2" x14ac:dyDescent="0.25">
      <c r="A109" s="41"/>
      <c r="B109" s="36"/>
    </row>
    <row r="110" spans="1:2" x14ac:dyDescent="0.25">
      <c r="A110" s="41"/>
      <c r="B110" s="36"/>
    </row>
    <row r="111" spans="1:2" x14ac:dyDescent="0.25">
      <c r="A111" s="41"/>
      <c r="B111" s="36"/>
    </row>
    <row r="112" spans="1:2" x14ac:dyDescent="0.25">
      <c r="A112" s="41"/>
      <c r="B112" s="36"/>
    </row>
    <row r="113" spans="1:2" x14ac:dyDescent="0.25">
      <c r="A113" s="41"/>
      <c r="B113" s="36"/>
    </row>
    <row r="114" spans="1:2" x14ac:dyDescent="0.25">
      <c r="A114" s="41"/>
      <c r="B114" s="36"/>
    </row>
    <row r="115" spans="1:2" x14ac:dyDescent="0.25">
      <c r="A115" s="41"/>
      <c r="B115" s="36"/>
    </row>
    <row r="116" spans="1:2" x14ac:dyDescent="0.25">
      <c r="A116" s="41"/>
      <c r="B116" s="36"/>
    </row>
    <row r="117" spans="1:2" x14ac:dyDescent="0.25">
      <c r="A117" s="41"/>
      <c r="B117" s="36"/>
    </row>
    <row r="118" spans="1:2" x14ac:dyDescent="0.25">
      <c r="A118" s="41"/>
      <c r="B118" s="36"/>
    </row>
    <row r="119" spans="1:2" x14ac:dyDescent="0.25">
      <c r="A119" s="41"/>
      <c r="B119" s="36"/>
    </row>
    <row r="120" spans="1:2" x14ac:dyDescent="0.25">
      <c r="A120" s="41"/>
      <c r="B120" s="36"/>
    </row>
    <row r="121" spans="1:2" x14ac:dyDescent="0.25">
      <c r="A121" s="41"/>
      <c r="B121" s="36"/>
    </row>
    <row r="122" spans="1:2" x14ac:dyDescent="0.25">
      <c r="A122" s="41"/>
      <c r="B122" s="36"/>
    </row>
    <row r="123" spans="1:2" x14ac:dyDescent="0.25">
      <c r="A123" s="41"/>
      <c r="B123" s="36"/>
    </row>
    <row r="124" spans="1:2" x14ac:dyDescent="0.25">
      <c r="A124" s="41"/>
      <c r="B124" s="36"/>
    </row>
    <row r="125" spans="1:2" x14ac:dyDescent="0.25">
      <c r="A125" s="41"/>
      <c r="B125" s="36"/>
    </row>
    <row r="126" spans="1:2" x14ac:dyDescent="0.25">
      <c r="A126" s="41"/>
      <c r="B126" s="36"/>
    </row>
    <row r="127" spans="1:2" x14ac:dyDescent="0.25">
      <c r="A127" s="41"/>
      <c r="B127" s="36"/>
    </row>
    <row r="128" spans="1:2" x14ac:dyDescent="0.25">
      <c r="A128" s="41"/>
      <c r="B128" s="36"/>
    </row>
    <row r="129" spans="1:2" x14ac:dyDescent="0.25">
      <c r="A129" s="41"/>
      <c r="B129" s="36"/>
    </row>
    <row r="130" spans="1:2" x14ac:dyDescent="0.25">
      <c r="A130" s="41"/>
      <c r="B130" s="36"/>
    </row>
    <row r="131" spans="1:2" x14ac:dyDescent="0.25">
      <c r="A131" s="41"/>
      <c r="B131" s="36"/>
    </row>
    <row r="132" spans="1:2" x14ac:dyDescent="0.25">
      <c r="A132" s="41"/>
      <c r="B132" s="36"/>
    </row>
    <row r="133" spans="1:2" x14ac:dyDescent="0.25">
      <c r="A133" s="41"/>
      <c r="B133" s="36"/>
    </row>
    <row r="134" spans="1:2" x14ac:dyDescent="0.25">
      <c r="A134" s="41"/>
      <c r="B134" s="36"/>
    </row>
    <row r="135" spans="1:2" x14ac:dyDescent="0.25">
      <c r="A135" s="41"/>
      <c r="B135" s="36"/>
    </row>
    <row r="136" spans="1:2" x14ac:dyDescent="0.25">
      <c r="A136" s="41"/>
      <c r="B136" s="36"/>
    </row>
    <row r="137" spans="1:2" x14ac:dyDescent="0.25">
      <c r="A137" s="41"/>
      <c r="B137" s="36"/>
    </row>
    <row r="138" spans="1:2" x14ac:dyDescent="0.25">
      <c r="A138" s="41"/>
      <c r="B138" s="36"/>
    </row>
    <row r="139" spans="1:2" x14ac:dyDescent="0.25">
      <c r="A139" s="41"/>
      <c r="B139" s="36"/>
    </row>
    <row r="140" spans="1:2" x14ac:dyDescent="0.25">
      <c r="A140" s="41"/>
      <c r="B140" s="36"/>
    </row>
    <row r="141" spans="1:2" x14ac:dyDescent="0.25">
      <c r="A141" s="41"/>
      <c r="B141" s="36"/>
    </row>
    <row r="142" spans="1:2" x14ac:dyDescent="0.25">
      <c r="A142" s="41"/>
      <c r="B142" s="36"/>
    </row>
    <row r="143" spans="1:2" x14ac:dyDescent="0.25">
      <c r="A143" s="41"/>
      <c r="B143" s="36"/>
    </row>
    <row r="144" spans="1:2" x14ac:dyDescent="0.25">
      <c r="A144" s="41"/>
      <c r="B144" s="36"/>
    </row>
    <row r="145" spans="1:2" x14ac:dyDescent="0.25">
      <c r="A145" s="41"/>
      <c r="B145" s="36"/>
    </row>
    <row r="146" spans="1:2" x14ac:dyDescent="0.25">
      <c r="A146" s="41"/>
      <c r="B146" s="36"/>
    </row>
    <row r="147" spans="1:2" x14ac:dyDescent="0.25">
      <c r="A147" s="41"/>
      <c r="B147" s="36"/>
    </row>
    <row r="148" spans="1:2" x14ac:dyDescent="0.25">
      <c r="A148" s="41"/>
      <c r="B148" s="36"/>
    </row>
  </sheetData>
  <mergeCells count="1">
    <mergeCell ref="C5:D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2</vt:i4>
      </vt:variant>
      <vt:variant>
        <vt:lpstr>Named Ranges</vt:lpstr>
      </vt:variant>
      <vt:variant>
        <vt:i4>1</vt:i4>
      </vt:variant>
    </vt:vector>
  </HeadingPairs>
  <TitlesOfParts>
    <vt:vector size="8" baseType="lpstr">
      <vt:lpstr>Chart Data</vt:lpstr>
      <vt:lpstr>HAVERM</vt:lpstr>
      <vt:lpstr>27. Median of pay growth (UK)</vt:lpstr>
      <vt:lpstr>Feb24 MPR - Chart 2.16</vt:lpstr>
      <vt:lpstr>May24 MPR Chart 3.10</vt:lpstr>
      <vt:lpstr>Chart1</vt:lpstr>
      <vt:lpstr>Chart2</vt:lpstr>
      <vt:lpstr>_DLX1.INC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2024-05-14T18:36:43Z</dcterms:created>
  <dcterms:modified xsi:type="dcterms:W3CDTF">2024-05-17T09:28:01Z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2024-05-14T19:06:40Z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a1083aa6-9fec-4cb4-9c08-05036d4201b1</vt:lpwstr>
  </property>
  <property fmtid="{D5CDD505-2E9C-101B-9397-08002B2CF9AE}" pid="8" name="MSIP_Label_231f5784-19ed-4d1e-9a93-4ea41014d730_ContentBits">
    <vt:lpwstr>0</vt:lpwstr>
  </property>
</Properties>
</file>