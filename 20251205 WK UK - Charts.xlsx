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6DFEBEAA-574F-4C38-A4A1-642A2F3896A1}" xr6:coauthVersionLast="47" xr6:coauthVersionMax="47" xr10:uidLastSave="{00000000-0000-0000-0000-000000000000}"/>
  <bookViews>
    <workbookView xWindow="-120" yWindow="-120" windowWidth="29040" windowHeight="15720" xr2:uid="{953F9223-5CC7-4E6D-B31A-D9CC9D92A355}"/>
  </bookViews>
  <sheets>
    <sheet name="Chart1" sheetId="3" r:id="rId1"/>
    <sheet name="Chart Data" sheetId="2" r:id="rId2"/>
    <sheet name="HAVER" sheetId="1" r:id="rId3"/>
  </sheets>
  <definedNames>
    <definedName name="_DLX1.INC">HAVER!$A$1:$J$6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2" l="1"/>
  <c r="G62" i="2"/>
  <c r="B62" i="2"/>
  <c r="C62" i="2"/>
  <c r="B163" i="1"/>
  <c r="F61" i="2"/>
  <c r="B61" i="2" s="1"/>
  <c r="G61" i="2"/>
  <c r="C61" i="2" s="1"/>
  <c r="F6" i="2" l="1"/>
  <c r="B6" i="2" s="1"/>
  <c r="G6" i="2"/>
  <c r="C6" i="2" s="1"/>
  <c r="C4" i="2"/>
  <c r="G3" i="2"/>
  <c r="C3" i="2" s="1"/>
  <c r="G4" i="2"/>
  <c r="G5" i="2"/>
  <c r="C5" i="2" s="1"/>
  <c r="F3" i="2"/>
  <c r="B3" i="2" s="1"/>
  <c r="F4" i="2"/>
  <c r="B4" i="2" s="1"/>
  <c r="F5" i="2"/>
  <c r="B5" i="2" s="1"/>
  <c r="A9" i="2"/>
  <c r="A14" i="2" s="1"/>
  <c r="A19" i="2" s="1"/>
  <c r="A10" i="2"/>
  <c r="A11" i="2"/>
  <c r="A12" i="2"/>
  <c r="A15" i="2"/>
  <c r="A20" i="2" s="1"/>
  <c r="A16" i="2"/>
  <c r="A21" i="2" s="1"/>
  <c r="A17" i="2"/>
  <c r="A22" i="2" s="1"/>
  <c r="A8" i="2"/>
  <c r="A13" i="2" s="1"/>
  <c r="A18" i="2" s="1"/>
  <c r="F7" i="2"/>
  <c r="B7" i="2" s="1"/>
  <c r="G7" i="2"/>
  <c r="C7" i="2" s="1"/>
  <c r="F8" i="2"/>
  <c r="B8" i="2" s="1"/>
  <c r="G8" i="2"/>
  <c r="C8" i="2" s="1"/>
  <c r="F9" i="2"/>
  <c r="B9" i="2" s="1"/>
  <c r="G9" i="2"/>
  <c r="C9" i="2" s="1"/>
  <c r="F10" i="2"/>
  <c r="B10" i="2" s="1"/>
  <c r="G10" i="2"/>
  <c r="C10" i="2" s="1"/>
  <c r="F11" i="2"/>
  <c r="B11" i="2" s="1"/>
  <c r="G11" i="2"/>
  <c r="C11" i="2" s="1"/>
  <c r="F12" i="2"/>
  <c r="B12" i="2" s="1"/>
  <c r="G12" i="2"/>
  <c r="C12" i="2" s="1"/>
  <c r="F13" i="2"/>
  <c r="B13" i="2" s="1"/>
  <c r="G13" i="2"/>
  <c r="C13" i="2" s="1"/>
  <c r="F14" i="2"/>
  <c r="B14" i="2" s="1"/>
  <c r="G14" i="2"/>
  <c r="C14" i="2" s="1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G42" i="2"/>
  <c r="F42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G15" i="2"/>
  <c r="F15" i="2"/>
  <c r="F60" i="2" l="1"/>
  <c r="B60" i="2" s="1"/>
  <c r="G60" i="2"/>
  <c r="C60" i="2" s="1"/>
  <c r="C43" i="2"/>
  <c r="B46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B44" i="2"/>
  <c r="C44" i="2"/>
  <c r="B45" i="2"/>
  <c r="C45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A26" i="2"/>
  <c r="A31" i="2" s="1"/>
  <c r="A36" i="2" s="1"/>
  <c r="A41" i="2" s="1"/>
  <c r="A46" i="2" s="1"/>
  <c r="A51" i="2" s="1"/>
  <c r="A56" i="2" s="1"/>
  <c r="A61" i="2" s="1"/>
  <c r="A27" i="2"/>
  <c r="A32" i="2" s="1"/>
  <c r="A37" i="2" s="1"/>
  <c r="A42" i="2" s="1"/>
  <c r="A47" i="2" s="1"/>
  <c r="A52" i="2" s="1"/>
  <c r="A57" i="2" s="1"/>
  <c r="A62" i="2" s="1"/>
  <c r="A23" i="2"/>
  <c r="A28" i="2" s="1"/>
  <c r="A33" i="2" s="1"/>
  <c r="A38" i="2" s="1"/>
  <c r="A43" i="2" s="1"/>
  <c r="A48" i="2" s="1"/>
  <c r="A53" i="2" s="1"/>
  <c r="A58" i="2" s="1"/>
  <c r="A24" i="2"/>
  <c r="A29" i="2" s="1"/>
  <c r="A34" i="2" s="1"/>
  <c r="A39" i="2" s="1"/>
  <c r="A44" i="2" s="1"/>
  <c r="A49" i="2" s="1"/>
  <c r="A54" i="2" s="1"/>
  <c r="A59" i="2" s="1"/>
  <c r="A25" i="2"/>
  <c r="A30" i="2" s="1"/>
  <c r="A35" i="2" s="1"/>
  <c r="A40" i="2" s="1"/>
  <c r="A45" i="2" s="1"/>
  <c r="A50" i="2" s="1"/>
  <c r="A55" i="2" s="1"/>
  <c r="A60" i="2" s="1"/>
</calcChain>
</file>

<file path=xl/sharedStrings.xml><?xml version="1.0" encoding="utf-8"?>
<sst xmlns="http://schemas.openxmlformats.org/spreadsheetml/2006/main" count="199" uniqueCount="185">
  <si>
    <t>R112LOS@INTDAILY</t>
  </si>
  <si>
    <t>M112MOT@INTDAILY</t>
  </si>
  <si>
    <t>M112MTH@INTDAILY</t>
  </si>
  <si>
    <t>M112MHF@INTDAILY</t>
  </si>
  <si>
    <t>M112MHV@INTDAILY</t>
  </si>
  <si>
    <t>20250501 !D</t>
  </si>
  <si>
    <t>20250501</t>
  </si>
  <si>
    <t>.DTLM</t>
  </si>
  <si>
    <t>.LSOURCE</t>
  </si>
  <si>
    <t>.TN</t>
  </si>
  <si>
    <t>.T1</t>
  </si>
  <si>
    <t>.DESC</t>
  </si>
  <si>
    <t>Bank of England</t>
  </si>
  <si>
    <t>02-Jan-1997</t>
  </si>
  <si>
    <t>UK:Lending Rate: Sterling Overnight Interbank Average [SONIA]  (% pa)</t>
  </si>
  <si>
    <t>Tullett Prebon Information/Haver Analytics</t>
  </si>
  <si>
    <t>16-May-2007</t>
  </si>
  <si>
    <t>UK: Forward OIS: MPC Mtg Date # 1 vs MPC Mtg Date # 2: Mid Rate (% p.a.)</t>
  </si>
  <si>
    <t>UK: Forward OIS: MPC Mtg Date # 2 vs MPC Mtg Date # 3: Mid Rate (% p.a.)</t>
  </si>
  <si>
    <t>UK: Forward OIS: MPC Mtg Date # 3 vs MPC Mtg Date # 4: Mid Rate (% p.a.)</t>
  </si>
  <si>
    <t>UK: Forward OIS: MPC Mtg Date # 4 vs MPC Mtg Date # 5: Mid Rate (% p.a.)</t>
  </si>
  <si>
    <t>20250502</t>
  </si>
  <si>
    <t>20250505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</si>
  <si>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</si>
  <si>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</si>
  <si>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</si>
  <si>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</si>
  <si>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</si>
  <si>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</si>
  <si>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</si>
  <si>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</si>
  <si>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</si>
  <si>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</si>
  <si>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</si>
  <si>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</si>
  <si>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</si>
  <si>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</si>
  <si>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</si>
  <si>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</si>
  <si>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</si>
  <si>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</si>
  <si>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</si>
  <si>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20250602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</si>
  <si>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</si>
  <si>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</si>
  <si>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</si>
  <si>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</si>
  <si>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</si>
  <si>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</si>
  <si>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</si>
  <si>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</si>
  <si>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</si>
  <si>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</si>
  <si>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</si>
  <si>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</si>
  <si>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</si>
  <si>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</si>
  <si>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</si>
  <si>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</si>
  <si>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</si>
  <si>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</si>
  <si>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</si>
  <si>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</si>
  <si>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</si>
  <si>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</si>
  <si>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</si>
  <si>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</si>
  <si>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</si>
  <si>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</si>
  <si>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</si>
  <si>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</si>
  <si>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</si>
  <si>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</si>
  <si>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</si>
  <si>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</si>
  <si>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</si>
  <si>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</si>
  <si>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</si>
  <si>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</si>
  <si>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</si>
  <si>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</si>
  <si>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</si>
  <si>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</si>
  <si>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</si>
  <si>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</si>
  <si>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</si>
  <si>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</si>
  <si>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</si>
  <si>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</si>
  <si>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</si>
  <si>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</si>
  <si>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</si>
  <si>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</si>
  <si>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</si>
  <si>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</si>
  <si>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</si>
  <si>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</si>
  <si>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</si>
  <si>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</si>
  <si>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</si>
  <si>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</si>
  <si>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</si>
  <si>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</si>
  <si>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</si>
  <si>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</si>
  <si>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</si>
  <si>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</si>
  <si>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</si>
  <si>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</si>
  <si>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</si>
  <si>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</si>
  <si>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</si>
  <si>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</si>
  <si>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</si>
  <si>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</si>
  <si>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</si>
  <si>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</si>
  <si>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</si>
  <si>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</si>
  <si>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</si>
  <si>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</si>
  <si>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</si>
  <si>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</si>
  <si>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</si>
  <si>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</si>
  <si>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</si>
  <si>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</si>
  <si>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</si>
  <si>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</si>
  <si>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</si>
  <si>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</si>
  <si>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</si>
  <si>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</si>
  <si>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</si>
  <si>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</si>
  <si>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</si>
  <si>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</si>
  <si>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</si>
  <si>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</si>
  <si>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</si>
  <si>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</si>
  <si>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</si>
  <si>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</si>
  <si>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</si>
  <si>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</si>
  <si>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</si>
  <si>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</si>
  <si>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</si>
  <si>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</si>
  <si>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</si>
  <si>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Implied probability of rate cut by meeting</t>
  </si>
  <si>
    <t>December</t>
  </si>
  <si>
    <t>Change compared with today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</si>
  <si>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</si>
  <si>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</si>
  <si>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</si>
  <si>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</si>
  <si>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</si>
  <si>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</si>
  <si>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</si>
  <si>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</si>
  <si>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</si>
  <si>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</si>
  <si>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</si>
  <si>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</si>
  <si>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</si>
  <si>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</si>
  <si>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</si>
  <si>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</si>
  <si>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</si>
  <si>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</si>
  <si>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</si>
  <si>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</si>
  <si>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</si>
  <si>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</si>
  <si>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</si>
  <si>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</si>
  <si>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</si>
  <si>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February</t>
  </si>
  <si>
    <t>04-Dec-2025</t>
  </si>
  <si>
    <t>20251204</t>
  </si>
  <si>
    <t>Dec-08-2025 09:31</t>
  </si>
  <si>
    <t>Dec-05-2025 19:16</t>
  </si>
  <si>
    <t>05-Dec-2025</t>
  </si>
  <si>
    <t>20251205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</si>
</sst>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6423328439877"/>
          <c:y val="0.14911730093144299"/>
          <c:w val="0.84269276509927782"/>
          <c:h val="0.7111773899549683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December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Data'!$A$3:$A$74</c:f>
              <c:numCache>
                <c:formatCode>m/d/yyyy</c:formatCode>
                <c:ptCount val="72"/>
                <c:pt idx="0">
                  <c:v>45915</c:v>
                </c:pt>
                <c:pt idx="1">
                  <c:v>45916</c:v>
                </c:pt>
                <c:pt idx="2">
                  <c:v>45917</c:v>
                </c:pt>
                <c:pt idx="3">
                  <c:v>45918</c:v>
                </c:pt>
                <c:pt idx="4">
                  <c:v>45919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45929</c:v>
                </c:pt>
                <c:pt idx="11">
                  <c:v>45930</c:v>
                </c:pt>
                <c:pt idx="12">
                  <c:v>45931</c:v>
                </c:pt>
                <c:pt idx="13">
                  <c:v>45932</c:v>
                </c:pt>
                <c:pt idx="14">
                  <c:v>45933</c:v>
                </c:pt>
                <c:pt idx="15">
                  <c:v>45936</c:v>
                </c:pt>
                <c:pt idx="16">
                  <c:v>45937</c:v>
                </c:pt>
                <c:pt idx="17">
                  <c:v>45938</c:v>
                </c:pt>
                <c:pt idx="18">
                  <c:v>45939</c:v>
                </c:pt>
                <c:pt idx="19">
                  <c:v>45940</c:v>
                </c:pt>
                <c:pt idx="20">
                  <c:v>45943</c:v>
                </c:pt>
                <c:pt idx="21">
                  <c:v>45944</c:v>
                </c:pt>
                <c:pt idx="22">
                  <c:v>45945</c:v>
                </c:pt>
                <c:pt idx="23">
                  <c:v>45946</c:v>
                </c:pt>
                <c:pt idx="24">
                  <c:v>45947</c:v>
                </c:pt>
                <c:pt idx="25">
                  <c:v>45950</c:v>
                </c:pt>
                <c:pt idx="26">
                  <c:v>45951</c:v>
                </c:pt>
                <c:pt idx="27">
                  <c:v>45952</c:v>
                </c:pt>
                <c:pt idx="28">
                  <c:v>45953</c:v>
                </c:pt>
                <c:pt idx="29">
                  <c:v>45954</c:v>
                </c:pt>
                <c:pt idx="30">
                  <c:v>45957</c:v>
                </c:pt>
                <c:pt idx="31">
                  <c:v>45958</c:v>
                </c:pt>
                <c:pt idx="32">
                  <c:v>45959</c:v>
                </c:pt>
                <c:pt idx="33">
                  <c:v>45960</c:v>
                </c:pt>
                <c:pt idx="34">
                  <c:v>45961</c:v>
                </c:pt>
                <c:pt idx="35">
                  <c:v>45964</c:v>
                </c:pt>
                <c:pt idx="36">
                  <c:v>45965</c:v>
                </c:pt>
                <c:pt idx="37">
                  <c:v>45966</c:v>
                </c:pt>
                <c:pt idx="38">
                  <c:v>45967</c:v>
                </c:pt>
                <c:pt idx="39">
                  <c:v>45968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45978</c:v>
                </c:pt>
                <c:pt idx="46">
                  <c:v>45979</c:v>
                </c:pt>
                <c:pt idx="47">
                  <c:v>45980</c:v>
                </c:pt>
                <c:pt idx="48">
                  <c:v>45981</c:v>
                </c:pt>
                <c:pt idx="49">
                  <c:v>45982</c:v>
                </c:pt>
                <c:pt idx="50">
                  <c:v>45985</c:v>
                </c:pt>
                <c:pt idx="51">
                  <c:v>45986</c:v>
                </c:pt>
                <c:pt idx="52">
                  <c:v>45987</c:v>
                </c:pt>
                <c:pt idx="53">
                  <c:v>45988</c:v>
                </c:pt>
                <c:pt idx="54">
                  <c:v>45989</c:v>
                </c:pt>
                <c:pt idx="55">
                  <c:v>45992</c:v>
                </c:pt>
                <c:pt idx="56">
                  <c:v>45993</c:v>
                </c:pt>
                <c:pt idx="57">
                  <c:v>45994</c:v>
                </c:pt>
                <c:pt idx="58">
                  <c:v>45995</c:v>
                </c:pt>
                <c:pt idx="59">
                  <c:v>45996</c:v>
                </c:pt>
              </c:numCache>
            </c:numRef>
          </c:cat>
          <c:val>
            <c:numRef>
              <c:f>'Chart Data'!$B$3:$B$74</c:f>
              <c:numCache>
                <c:formatCode>0%</c:formatCode>
                <c:ptCount val="72"/>
                <c:pt idx="0">
                  <c:v>0.33440000000000047</c:v>
                </c:pt>
                <c:pt idx="1">
                  <c:v>0.31320000000000014</c:v>
                </c:pt>
                <c:pt idx="2">
                  <c:v>0.26960000000000051</c:v>
                </c:pt>
                <c:pt idx="3">
                  <c:v>0.26560000000000095</c:v>
                </c:pt>
                <c:pt idx="4">
                  <c:v>0.24119999999999919</c:v>
                </c:pt>
                <c:pt idx="5">
                  <c:v>0.24039999999999928</c:v>
                </c:pt>
                <c:pt idx="6">
                  <c:v>0.24719999999999942</c:v>
                </c:pt>
                <c:pt idx="7">
                  <c:v>0.24279999999999902</c:v>
                </c:pt>
                <c:pt idx="8">
                  <c:v>0.19799999999999862</c:v>
                </c:pt>
                <c:pt idx="9">
                  <c:v>0.18759999999999977</c:v>
                </c:pt>
                <c:pt idx="10">
                  <c:v>0.18679999999999986</c:v>
                </c:pt>
                <c:pt idx="11">
                  <c:v>0.19239999999999924</c:v>
                </c:pt>
                <c:pt idx="12">
                  <c:v>0.22160000000000046</c:v>
                </c:pt>
                <c:pt idx="13">
                  <c:v>0.18159999999999954</c:v>
                </c:pt>
                <c:pt idx="14">
                  <c:v>0.20480000000000054</c:v>
                </c:pt>
                <c:pt idx="15">
                  <c:v>0.20560000000000045</c:v>
                </c:pt>
                <c:pt idx="16">
                  <c:v>0.19040000000000035</c:v>
                </c:pt>
                <c:pt idx="17">
                  <c:v>0.19079999999999941</c:v>
                </c:pt>
                <c:pt idx="18">
                  <c:v>0.17120000000000068</c:v>
                </c:pt>
                <c:pt idx="19">
                  <c:v>0.19919999999999938</c:v>
                </c:pt>
                <c:pt idx="20">
                  <c:v>0.22879999999999967</c:v>
                </c:pt>
                <c:pt idx="21">
                  <c:v>0.33760000000000012</c:v>
                </c:pt>
                <c:pt idx="22">
                  <c:v>0.35639999999999894</c:v>
                </c:pt>
                <c:pt idx="23">
                  <c:v>0.40639999999999965</c:v>
                </c:pt>
                <c:pt idx="24">
                  <c:v>0.37679999999999936</c:v>
                </c:pt>
                <c:pt idx="25">
                  <c:v>0.39279999999999937</c:v>
                </c:pt>
                <c:pt idx="26">
                  <c:v>0.37519999999999953</c:v>
                </c:pt>
                <c:pt idx="27">
                  <c:v>0.69080000000000119</c:v>
                </c:pt>
                <c:pt idx="28">
                  <c:v>0.67239999999999966</c:v>
                </c:pt>
                <c:pt idx="29">
                  <c:v>0.60040000000000049</c:v>
                </c:pt>
                <c:pt idx="30">
                  <c:v>0.59319999999999951</c:v>
                </c:pt>
                <c:pt idx="31">
                  <c:v>0.65359999999999907</c:v>
                </c:pt>
                <c:pt idx="32">
                  <c:v>0.62920000000000087</c:v>
                </c:pt>
                <c:pt idx="33">
                  <c:v>0.59720000000000084</c:v>
                </c:pt>
                <c:pt idx="34">
                  <c:v>0.63959999999999972</c:v>
                </c:pt>
                <c:pt idx="35">
                  <c:v>0.6335999999999995</c:v>
                </c:pt>
                <c:pt idx="36">
                  <c:v>0.66959999999999908</c:v>
                </c:pt>
                <c:pt idx="37">
                  <c:v>0.60959999999999859</c:v>
                </c:pt>
                <c:pt idx="38">
                  <c:v>0.67319999999999958</c:v>
                </c:pt>
                <c:pt idx="39">
                  <c:v>0.6828000000000003</c:v>
                </c:pt>
                <c:pt idx="40">
                  <c:v>0.68159999999999954</c:v>
                </c:pt>
                <c:pt idx="41">
                  <c:v>0.82959999999999923</c:v>
                </c:pt>
                <c:pt idx="42">
                  <c:v>0.81679999999999886</c:v>
                </c:pt>
                <c:pt idx="43">
                  <c:v>0.80720000000000169</c:v>
                </c:pt>
                <c:pt idx="44">
                  <c:v>0.74959999999999916</c:v>
                </c:pt>
                <c:pt idx="45">
                  <c:v>0.72879999999999967</c:v>
                </c:pt>
                <c:pt idx="46">
                  <c:v>0.75760000000000005</c:v>
                </c:pt>
                <c:pt idx="47">
                  <c:v>0.8252000000000006</c:v>
                </c:pt>
                <c:pt idx="48">
                  <c:v>0.82000000000000028</c:v>
                </c:pt>
                <c:pt idx="49">
                  <c:v>0.84399999999999942</c:v>
                </c:pt>
                <c:pt idx="50">
                  <c:v>0.83520000000000039</c:v>
                </c:pt>
                <c:pt idx="51">
                  <c:v>0.84319999999999951</c:v>
                </c:pt>
                <c:pt idx="52">
                  <c:v>0.87999999999999901</c:v>
                </c:pt>
                <c:pt idx="53">
                  <c:v>0.88719999999999999</c:v>
                </c:pt>
                <c:pt idx="54">
                  <c:v>0.89320000000000022</c:v>
                </c:pt>
                <c:pt idx="55">
                  <c:v>0.87680000000000113</c:v>
                </c:pt>
                <c:pt idx="56">
                  <c:v>0.88519999999999932</c:v>
                </c:pt>
                <c:pt idx="57">
                  <c:v>0.88640000000000008</c:v>
                </c:pt>
                <c:pt idx="58">
                  <c:v>0.89279999999999937</c:v>
                </c:pt>
                <c:pt idx="59">
                  <c:v>0.8727999999999998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50%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Data'!$A$3:$A$74</c:f>
              <c:numCache>
                <c:formatCode>m/d/yyyy</c:formatCode>
                <c:ptCount val="72"/>
                <c:pt idx="0">
                  <c:v>45915</c:v>
                </c:pt>
                <c:pt idx="1">
                  <c:v>45916</c:v>
                </c:pt>
                <c:pt idx="2">
                  <c:v>45917</c:v>
                </c:pt>
                <c:pt idx="3">
                  <c:v>45918</c:v>
                </c:pt>
                <c:pt idx="4">
                  <c:v>45919</c:v>
                </c:pt>
                <c:pt idx="5">
                  <c:v>45922</c:v>
                </c:pt>
                <c:pt idx="6">
                  <c:v>45923</c:v>
                </c:pt>
                <c:pt idx="7">
                  <c:v>45924</c:v>
                </c:pt>
                <c:pt idx="8">
                  <c:v>45925</c:v>
                </c:pt>
                <c:pt idx="9">
                  <c:v>45926</c:v>
                </c:pt>
                <c:pt idx="10">
                  <c:v>45929</c:v>
                </c:pt>
                <c:pt idx="11">
                  <c:v>45930</c:v>
                </c:pt>
                <c:pt idx="12">
                  <c:v>45931</c:v>
                </c:pt>
                <c:pt idx="13">
                  <c:v>45932</c:v>
                </c:pt>
                <c:pt idx="14">
                  <c:v>45933</c:v>
                </c:pt>
                <c:pt idx="15">
                  <c:v>45936</c:v>
                </c:pt>
                <c:pt idx="16">
                  <c:v>45937</c:v>
                </c:pt>
                <c:pt idx="17">
                  <c:v>45938</c:v>
                </c:pt>
                <c:pt idx="18">
                  <c:v>45939</c:v>
                </c:pt>
                <c:pt idx="19">
                  <c:v>45940</c:v>
                </c:pt>
                <c:pt idx="20">
                  <c:v>45943</c:v>
                </c:pt>
                <c:pt idx="21">
                  <c:v>45944</c:v>
                </c:pt>
                <c:pt idx="22">
                  <c:v>45945</c:v>
                </c:pt>
                <c:pt idx="23">
                  <c:v>45946</c:v>
                </c:pt>
                <c:pt idx="24">
                  <c:v>45947</c:v>
                </c:pt>
                <c:pt idx="25">
                  <c:v>45950</c:v>
                </c:pt>
                <c:pt idx="26">
                  <c:v>45951</c:v>
                </c:pt>
                <c:pt idx="27">
                  <c:v>45952</c:v>
                </c:pt>
                <c:pt idx="28">
                  <c:v>45953</c:v>
                </c:pt>
                <c:pt idx="29">
                  <c:v>45954</c:v>
                </c:pt>
                <c:pt idx="30">
                  <c:v>45957</c:v>
                </c:pt>
                <c:pt idx="31">
                  <c:v>45958</c:v>
                </c:pt>
                <c:pt idx="32">
                  <c:v>45959</c:v>
                </c:pt>
                <c:pt idx="33">
                  <c:v>45960</c:v>
                </c:pt>
                <c:pt idx="34">
                  <c:v>45961</c:v>
                </c:pt>
                <c:pt idx="35">
                  <c:v>45964</c:v>
                </c:pt>
                <c:pt idx="36">
                  <c:v>45965</c:v>
                </c:pt>
                <c:pt idx="37">
                  <c:v>45966</c:v>
                </c:pt>
                <c:pt idx="38">
                  <c:v>45967</c:v>
                </c:pt>
                <c:pt idx="39">
                  <c:v>45968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45978</c:v>
                </c:pt>
                <c:pt idx="46">
                  <c:v>45979</c:v>
                </c:pt>
                <c:pt idx="47">
                  <c:v>45980</c:v>
                </c:pt>
                <c:pt idx="48">
                  <c:v>45981</c:v>
                </c:pt>
                <c:pt idx="49">
                  <c:v>45982</c:v>
                </c:pt>
                <c:pt idx="50">
                  <c:v>45985</c:v>
                </c:pt>
                <c:pt idx="51">
                  <c:v>45986</c:v>
                </c:pt>
                <c:pt idx="52">
                  <c:v>45987</c:v>
                </c:pt>
                <c:pt idx="53">
                  <c:v>45988</c:v>
                </c:pt>
                <c:pt idx="54">
                  <c:v>45989</c:v>
                </c:pt>
                <c:pt idx="55">
                  <c:v>45992</c:v>
                </c:pt>
                <c:pt idx="56">
                  <c:v>45993</c:v>
                </c:pt>
                <c:pt idx="57">
                  <c:v>45994</c:v>
                </c:pt>
                <c:pt idx="58">
                  <c:v>45995</c:v>
                </c:pt>
                <c:pt idx="59">
                  <c:v>45996</c:v>
                </c:pt>
              </c:numCache>
            </c:numRef>
          </c:cat>
          <c:val>
            <c:numRef>
              <c:f>'Chart Data'!$D$3:$D$74</c:f>
              <c:numCache>
                <c:formatCode>0%</c:formatCode>
                <c:ptCount val="7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00-4198-B739-49277A5CF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Data'!$C$2</c15:sqref>
                        </c15:formulaRef>
                      </c:ext>
                    </c:extLst>
                    <c:strCache>
                      <c:ptCount val="1"/>
                      <c:pt idx="0">
                        <c:v>February</c:v>
                      </c:pt>
                    </c:strCache>
                  </c:strRef>
                </c:tx>
                <c:spPr>
                  <a:ln w="38100">
                    <a:solidFill>
                      <a:srgbClr val="003469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Data'!$A$3:$A$74</c15:sqref>
                        </c15:formulaRef>
                      </c:ext>
                    </c:extLst>
                    <c:numCache>
                      <c:formatCode>m/d/yyyy</c:formatCode>
                      <c:ptCount val="72"/>
                      <c:pt idx="0">
                        <c:v>45915</c:v>
                      </c:pt>
                      <c:pt idx="1">
                        <c:v>45916</c:v>
                      </c:pt>
                      <c:pt idx="2">
                        <c:v>45917</c:v>
                      </c:pt>
                      <c:pt idx="3">
                        <c:v>45918</c:v>
                      </c:pt>
                      <c:pt idx="4">
                        <c:v>45919</c:v>
                      </c:pt>
                      <c:pt idx="5">
                        <c:v>45922</c:v>
                      </c:pt>
                      <c:pt idx="6">
                        <c:v>45923</c:v>
                      </c:pt>
                      <c:pt idx="7">
                        <c:v>45924</c:v>
                      </c:pt>
                      <c:pt idx="8">
                        <c:v>45925</c:v>
                      </c:pt>
                      <c:pt idx="9">
                        <c:v>45926</c:v>
                      </c:pt>
                      <c:pt idx="10">
                        <c:v>45929</c:v>
                      </c:pt>
                      <c:pt idx="11">
                        <c:v>45930</c:v>
                      </c:pt>
                      <c:pt idx="12">
                        <c:v>45931</c:v>
                      </c:pt>
                      <c:pt idx="13">
                        <c:v>45932</c:v>
                      </c:pt>
                      <c:pt idx="14">
                        <c:v>45933</c:v>
                      </c:pt>
                      <c:pt idx="15">
                        <c:v>45936</c:v>
                      </c:pt>
                      <c:pt idx="16">
                        <c:v>45937</c:v>
                      </c:pt>
                      <c:pt idx="17">
                        <c:v>45938</c:v>
                      </c:pt>
                      <c:pt idx="18">
                        <c:v>45939</c:v>
                      </c:pt>
                      <c:pt idx="19">
                        <c:v>45940</c:v>
                      </c:pt>
                      <c:pt idx="20">
                        <c:v>45943</c:v>
                      </c:pt>
                      <c:pt idx="21">
                        <c:v>45944</c:v>
                      </c:pt>
                      <c:pt idx="22">
                        <c:v>45945</c:v>
                      </c:pt>
                      <c:pt idx="23">
                        <c:v>45946</c:v>
                      </c:pt>
                      <c:pt idx="24">
                        <c:v>45947</c:v>
                      </c:pt>
                      <c:pt idx="25">
                        <c:v>45950</c:v>
                      </c:pt>
                      <c:pt idx="26">
                        <c:v>45951</c:v>
                      </c:pt>
                      <c:pt idx="27">
                        <c:v>45952</c:v>
                      </c:pt>
                      <c:pt idx="28">
                        <c:v>45953</c:v>
                      </c:pt>
                      <c:pt idx="29">
                        <c:v>45954</c:v>
                      </c:pt>
                      <c:pt idx="30">
                        <c:v>45957</c:v>
                      </c:pt>
                      <c:pt idx="31">
                        <c:v>45958</c:v>
                      </c:pt>
                      <c:pt idx="32">
                        <c:v>45959</c:v>
                      </c:pt>
                      <c:pt idx="33">
                        <c:v>45960</c:v>
                      </c:pt>
                      <c:pt idx="34">
                        <c:v>45961</c:v>
                      </c:pt>
                      <c:pt idx="35">
                        <c:v>45964</c:v>
                      </c:pt>
                      <c:pt idx="36">
                        <c:v>45965</c:v>
                      </c:pt>
                      <c:pt idx="37">
                        <c:v>45966</c:v>
                      </c:pt>
                      <c:pt idx="38">
                        <c:v>45967</c:v>
                      </c:pt>
                      <c:pt idx="39">
                        <c:v>45968</c:v>
                      </c:pt>
                      <c:pt idx="40">
                        <c:v>45971</c:v>
                      </c:pt>
                      <c:pt idx="41">
                        <c:v>45972</c:v>
                      </c:pt>
                      <c:pt idx="42">
                        <c:v>45973</c:v>
                      </c:pt>
                      <c:pt idx="43">
                        <c:v>45974</c:v>
                      </c:pt>
                      <c:pt idx="44">
                        <c:v>45975</c:v>
                      </c:pt>
                      <c:pt idx="45">
                        <c:v>45978</c:v>
                      </c:pt>
                      <c:pt idx="46">
                        <c:v>45979</c:v>
                      </c:pt>
                      <c:pt idx="47">
                        <c:v>45980</c:v>
                      </c:pt>
                      <c:pt idx="48">
                        <c:v>45981</c:v>
                      </c:pt>
                      <c:pt idx="49">
                        <c:v>45982</c:v>
                      </c:pt>
                      <c:pt idx="50">
                        <c:v>45985</c:v>
                      </c:pt>
                      <c:pt idx="51">
                        <c:v>45986</c:v>
                      </c:pt>
                      <c:pt idx="52">
                        <c:v>45987</c:v>
                      </c:pt>
                      <c:pt idx="53">
                        <c:v>45988</c:v>
                      </c:pt>
                      <c:pt idx="54">
                        <c:v>45989</c:v>
                      </c:pt>
                      <c:pt idx="55">
                        <c:v>45992</c:v>
                      </c:pt>
                      <c:pt idx="56">
                        <c:v>45993</c:v>
                      </c:pt>
                      <c:pt idx="57">
                        <c:v>45994</c:v>
                      </c:pt>
                      <c:pt idx="58">
                        <c:v>45995</c:v>
                      </c:pt>
                      <c:pt idx="59">
                        <c:v>45996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Data'!$C$3:$C$74</c15:sqref>
                        </c15:formulaRef>
                      </c:ext>
                    </c:extLst>
                    <c:numCache>
                      <c:formatCode>0%</c:formatCode>
                      <c:ptCount val="72"/>
                      <c:pt idx="0">
                        <c:v>0.77040000000000042</c:v>
                      </c:pt>
                      <c:pt idx="1">
                        <c:v>0.73320000000000007</c:v>
                      </c:pt>
                      <c:pt idx="2">
                        <c:v>0.68159999999999954</c:v>
                      </c:pt>
                      <c:pt idx="3">
                        <c:v>0.68560000000000088</c:v>
                      </c:pt>
                      <c:pt idx="4">
                        <c:v>0.66920000000000002</c:v>
                      </c:pt>
                      <c:pt idx="5">
                        <c:v>0.66439999999999877</c:v>
                      </c:pt>
                      <c:pt idx="6">
                        <c:v>0.70720000000000027</c:v>
                      </c:pt>
                      <c:pt idx="7">
                        <c:v>0.71479999999999855</c:v>
                      </c:pt>
                      <c:pt idx="8">
                        <c:v>0.6379999999999999</c:v>
                      </c:pt>
                      <c:pt idx="9">
                        <c:v>0.6075999999999997</c:v>
                      </c:pt>
                      <c:pt idx="10">
                        <c:v>0.6147999999999989</c:v>
                      </c:pt>
                      <c:pt idx="11">
                        <c:v>0.62040000000000006</c:v>
                      </c:pt>
                      <c:pt idx="12">
                        <c:v>0.66159999999999997</c:v>
                      </c:pt>
                      <c:pt idx="13">
                        <c:v>0.60159999999999947</c:v>
                      </c:pt>
                      <c:pt idx="14">
                        <c:v>0.64080000000000048</c:v>
                      </c:pt>
                      <c:pt idx="15">
                        <c:v>0.62560000000000038</c:v>
                      </c:pt>
                      <c:pt idx="16">
                        <c:v>0.61040000000000028</c:v>
                      </c:pt>
                      <c:pt idx="17">
                        <c:v>0.60679999999999978</c:v>
                      </c:pt>
                      <c:pt idx="18">
                        <c:v>0.57920000000000016</c:v>
                      </c:pt>
                      <c:pt idx="19">
                        <c:v>0.62320000000000064</c:v>
                      </c:pt>
                      <c:pt idx="20">
                        <c:v>0.67280000000000051</c:v>
                      </c:pt>
                      <c:pt idx="21">
                        <c:v>0.84960000000000058</c:v>
                      </c:pt>
                      <c:pt idx="22">
                        <c:v>0.88839999999999897</c:v>
                      </c:pt>
                      <c:pt idx="23">
                        <c:v>0.9784000000000006</c:v>
                      </c:pt>
                      <c:pt idx="24">
                        <c:v>0.92079999999999984</c:v>
                      </c:pt>
                      <c:pt idx="25">
                        <c:v>0.94079999999999941</c:v>
                      </c:pt>
                      <c:pt idx="26">
                        <c:v>0.91519999999999868</c:v>
                      </c:pt>
                      <c:pt idx="27">
                        <c:v>1.2788000000000004</c:v>
                      </c:pt>
                      <c:pt idx="28">
                        <c:v>1.2804000000000002</c:v>
                      </c:pt>
                      <c:pt idx="29">
                        <c:v>1.2284000000000006</c:v>
                      </c:pt>
                      <c:pt idx="30">
                        <c:v>1.2012</c:v>
                      </c:pt>
                      <c:pt idx="31">
                        <c:v>1.2655999999999992</c:v>
                      </c:pt>
                      <c:pt idx="32">
                        <c:v>1.2492000000000001</c:v>
                      </c:pt>
                      <c:pt idx="33">
                        <c:v>1.1972000000000005</c:v>
                      </c:pt>
                      <c:pt idx="34">
                        <c:v>1.2396000000000011</c:v>
                      </c:pt>
                      <c:pt idx="35">
                        <c:v>1.1815999999999995</c:v>
                      </c:pt>
                      <c:pt idx="36">
                        <c:v>1.2175999999999991</c:v>
                      </c:pt>
                      <c:pt idx="37">
                        <c:v>1.1335999999999995</c:v>
                      </c:pt>
                      <c:pt idx="38">
                        <c:v>1.1052</c:v>
                      </c:pt>
                      <c:pt idx="39">
                        <c:v>1.0587999999999997</c:v>
                      </c:pt>
                      <c:pt idx="40">
                        <c:v>1.025599999999999</c:v>
                      </c:pt>
                      <c:pt idx="41">
                        <c:v>1.2495999999999992</c:v>
                      </c:pt>
                      <c:pt idx="42">
                        <c:v>1.2527999999999988</c:v>
                      </c:pt>
                      <c:pt idx="43">
                        <c:v>1.1952000000000016</c:v>
                      </c:pt>
                      <c:pt idx="44">
                        <c:v>1.0935999999999986</c:v>
                      </c:pt>
                      <c:pt idx="45">
                        <c:v>1.0648</c:v>
                      </c:pt>
                      <c:pt idx="46">
                        <c:v>1.1015999999999995</c:v>
                      </c:pt>
                      <c:pt idx="47">
                        <c:v>1.0972000000000008</c:v>
                      </c:pt>
                      <c:pt idx="48">
                        <c:v>1.1039999999999992</c:v>
                      </c:pt>
                      <c:pt idx="49">
                        <c:v>1.1479999999999997</c:v>
                      </c:pt>
                      <c:pt idx="50">
                        <c:v>1.0831999999999997</c:v>
                      </c:pt>
                      <c:pt idx="51">
                        <c:v>1.1231999999999989</c:v>
                      </c:pt>
                      <c:pt idx="52">
                        <c:v>1.1519999999999992</c:v>
                      </c:pt>
                      <c:pt idx="53">
                        <c:v>1.1511999999999993</c:v>
                      </c:pt>
                      <c:pt idx="54">
                        <c:v>1.1571999999999996</c:v>
                      </c:pt>
                      <c:pt idx="55">
                        <c:v>1.1448</c:v>
                      </c:pt>
                      <c:pt idx="56">
                        <c:v>1.1491999999999987</c:v>
                      </c:pt>
                      <c:pt idx="57">
                        <c:v>1.1544000000000008</c:v>
                      </c:pt>
                      <c:pt idx="58">
                        <c:v>1.1807999999999996</c:v>
                      </c:pt>
                      <c:pt idx="59">
                        <c:v>1.1487999999999996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</c:dateAx>
      <c:valAx>
        <c:axId val="2636085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207B9C-5C58-48EE-A5F8-6788E04EB509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6F943-DB75-715A-585C-79082ED01C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3FFFB6-9FE3-1C45-838F-6DE8D3CCC49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Probability of a Bank Rate cut by December meeting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DC62A28-C8A0-33F9-809D-9FFDE4262732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0.64173</cdr:x>
      <cdr:y>0.22468</cdr:y>
    </cdr:from>
    <cdr:to>
      <cdr:x>0.64173</cdr:x>
      <cdr:y>0.86083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A195EB8-2C87-3E51-248A-923EF0C0BE30}"/>
            </a:ext>
          </a:extLst>
        </cdr:cNvPr>
        <cdr:cNvCxnSpPr/>
      </cdr:nvCxnSpPr>
      <cdr:spPr>
        <a:xfrm xmlns:a="http://schemas.openxmlformats.org/drawingml/2006/main">
          <a:off x="5409548" y="1513003"/>
          <a:ext cx="0" cy="4284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0.54414</cdr:x>
      <cdr:y>0.11941</cdr:y>
    </cdr:from>
    <cdr:to>
      <cdr:x>0.73366</cdr:x>
      <cdr:y>0.23648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742B3FE-A84E-0BFC-C182-BD18138CBA9C}"/>
            </a:ext>
          </a:extLst>
        </cdr:cNvPr>
        <cdr:cNvSpPr txBox="1"/>
      </cdr:nvSpPr>
      <cdr:spPr>
        <a:xfrm xmlns:a="http://schemas.openxmlformats.org/drawingml/2006/main">
          <a:off x="4586901" y="804104"/>
          <a:ext cx="1597583" cy="788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November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 MPC meeting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0.76723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A8856FC-2BA6-553E-89EF-44545BFB33C6}"/>
            </a:ext>
          </a:extLst>
        </cdr:cNvPr>
        <cdr:cNvSpPr txBox="1"/>
      </cdr:nvSpPr>
      <cdr:spPr>
        <a:xfrm xmlns:a="http://schemas.openxmlformats.org/drawingml/2006/main">
          <a:off x="0" y="508632"/>
          <a:ext cx="6467475" cy="3433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Probability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of a Bank Rate cut implied by market pricing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0.75518</cdr:x>
      <cdr:y>0.11787</cdr:y>
    </cdr:from>
    <cdr:to>
      <cdr:x>0.9447</cdr:x>
      <cdr:y>0.23494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618FFA8-DC86-E1D4-3036-A9009536ABC4}"/>
            </a:ext>
          </a:extLst>
        </cdr:cNvPr>
        <cdr:cNvSpPr txBox="1"/>
      </cdr:nvSpPr>
      <cdr:spPr>
        <a:xfrm xmlns:a="http://schemas.openxmlformats.org/drawingml/2006/main">
          <a:off x="6365875" y="793750"/>
          <a:ext cx="1597583" cy="788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Budget</a:t>
          </a:r>
        </a:p>
      </cdr:txBody>
    </cdr:sp>
  </cdr:relSizeAnchor>
  <cdr:relSizeAnchor xmlns:cdr="http://schemas.openxmlformats.org/drawingml/2006/chartDrawing">
    <cdr:from>
      <cdr:x>0.85228</cdr:x>
      <cdr:y>0.18696</cdr:y>
    </cdr:from>
    <cdr:to>
      <cdr:x>0.85228</cdr:x>
      <cdr:y>0.86054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0E2453F1-C1EE-E66C-22FA-7782ED107260}"/>
            </a:ext>
          </a:extLst>
        </cdr:cNvPr>
        <cdr:cNvCxnSpPr/>
      </cdr:nvCxnSpPr>
      <cdr:spPr>
        <a:xfrm xmlns:a="http://schemas.openxmlformats.org/drawingml/2006/main">
          <a:off x="7184373" y="1259003"/>
          <a:ext cx="0" cy="4536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0.09981</cdr:x>
      <cdr:y>0.1207</cdr:y>
    </cdr:from>
    <cdr:to>
      <cdr:x>0.28933</cdr:x>
      <cdr:y>0.23777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8CC4ADCE-8F61-6358-937E-D78913C3479C}"/>
            </a:ext>
          </a:extLst>
        </cdr:cNvPr>
        <cdr:cNvSpPr txBox="1"/>
      </cdr:nvSpPr>
      <cdr:spPr>
        <a:xfrm xmlns:a="http://schemas.openxmlformats.org/drawingml/2006/main">
          <a:off x="841375" y="812800"/>
          <a:ext cx="1597583" cy="788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September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 MPC meeting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0.13702</cdr:x>
      <cdr:y>0.22373</cdr:y>
    </cdr:from>
    <cdr:to>
      <cdr:x>0.13702</cdr:x>
      <cdr:y>0.85989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1A69C581-97F1-A9D4-B017-04A6E3F1260C}"/>
            </a:ext>
          </a:extLst>
        </cdr:cNvPr>
        <cdr:cNvCxnSpPr/>
      </cdr:nvCxnSpPr>
      <cdr:spPr>
        <a:xfrm xmlns:a="http://schemas.openxmlformats.org/drawingml/2006/main">
          <a:off x="1155048" y="1506653"/>
          <a:ext cx="0" cy="4284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9222-CB68-49E4-AA64-0A832E18671D}">
  <dimension ref="A1:G74"/>
  <sheetViews>
    <sheetView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B62" sqref="B62"/>
    </sheetView>
  </sheetViews>
  <sheetFormatPr defaultRowHeight="15" x14ac:dyDescent="0.25"/>
  <cols>
    <col min="1" max="1" width="10.42578125" bestFit="1" customWidth="1"/>
  </cols>
  <sheetData>
    <row r="1" spans="1:7" x14ac:dyDescent="0.25">
      <c r="A1" s="4" t="s">
        <v>150</v>
      </c>
      <c r="F1" t="s">
        <v>152</v>
      </c>
    </row>
    <row r="2" spans="1:7" x14ac:dyDescent="0.25">
      <c r="B2" t="s">
        <v>151</v>
      </c>
      <c r="C2" t="s">
        <v>178</v>
      </c>
      <c r="D2" s="7">
        <v>0.5</v>
      </c>
      <c r="F2" t="s">
        <v>151</v>
      </c>
      <c r="G2" t="s">
        <v>178</v>
      </c>
    </row>
    <row r="3" spans="1:7" x14ac:dyDescent="0.25">
      <c r="A3" s="5">
        <v>45915</v>
      </c>
      <c r="B3" s="7">
        <f t="shared" ref="B3:B5" si="0">IF(F3&lt;0,-F3/0.25,F3/0.25)</f>
        <v>0.33440000000000047</v>
      </c>
      <c r="C3" s="7">
        <f t="shared" ref="C3:C5" si="1">IF(G3&lt;0,-G3/0.25,G3/0.25)</f>
        <v>0.77040000000000042</v>
      </c>
      <c r="D3" s="7">
        <v>0.5</v>
      </c>
      <c r="F3" s="6">
        <f>HAVER!E104-HAVER!$B104</f>
        <v>-8.3600000000000119E-2</v>
      </c>
      <c r="G3" s="6">
        <f>HAVER!F104-HAVER!$B104</f>
        <v>-0.1926000000000001</v>
      </c>
    </row>
    <row r="4" spans="1:7" x14ac:dyDescent="0.25">
      <c r="A4" s="5">
        <v>45916</v>
      </c>
      <c r="B4" s="7">
        <f t="shared" si="0"/>
        <v>0.31320000000000014</v>
      </c>
      <c r="C4" s="7">
        <f t="shared" si="1"/>
        <v>0.73320000000000007</v>
      </c>
      <c r="D4" s="7">
        <v>0.5</v>
      </c>
      <c r="F4" s="6">
        <f>HAVER!E105-HAVER!$B105</f>
        <v>-7.8300000000000036E-2</v>
      </c>
      <c r="G4" s="6">
        <f>HAVER!F105-HAVER!$B105</f>
        <v>-0.18330000000000002</v>
      </c>
    </row>
    <row r="5" spans="1:7" x14ac:dyDescent="0.25">
      <c r="A5" s="5">
        <v>45917</v>
      </c>
      <c r="B5" s="7">
        <f t="shared" si="0"/>
        <v>0.26960000000000051</v>
      </c>
      <c r="C5" s="7">
        <f t="shared" si="1"/>
        <v>0.68159999999999954</v>
      </c>
      <c r="D5" s="7">
        <v>0.5</v>
      </c>
      <c r="F5" s="6">
        <f>HAVER!E106-HAVER!$B106</f>
        <v>-6.7400000000000126E-2</v>
      </c>
      <c r="G5" s="6">
        <f>HAVER!F106-HAVER!$B106</f>
        <v>-0.17039999999999988</v>
      </c>
    </row>
    <row r="6" spans="1:7" x14ac:dyDescent="0.25">
      <c r="A6" s="5">
        <v>45918</v>
      </c>
      <c r="B6" s="7">
        <f t="shared" ref="B6:B14" si="2">IF(F6&lt;0,-F6/0.25,F6/0.25)</f>
        <v>0.26560000000000095</v>
      </c>
      <c r="C6" s="7">
        <f t="shared" ref="C6:C14" si="3">IF(G6&lt;0,-G6/0.25,G6/0.25)</f>
        <v>0.68560000000000088</v>
      </c>
      <c r="D6" s="7">
        <v>0.5</v>
      </c>
      <c r="F6" s="6">
        <f>HAVER!E107-HAVER!$B107</f>
        <v>-6.6400000000000237E-2</v>
      </c>
      <c r="G6" s="6">
        <f>HAVER!F107-HAVER!$B107</f>
        <v>-0.17140000000000022</v>
      </c>
    </row>
    <row r="7" spans="1:7" x14ac:dyDescent="0.25">
      <c r="A7" s="5">
        <v>45919</v>
      </c>
      <c r="B7" s="7">
        <f t="shared" si="2"/>
        <v>0.24119999999999919</v>
      </c>
      <c r="C7" s="7">
        <f t="shared" si="3"/>
        <v>0.66920000000000002</v>
      </c>
      <c r="D7" s="7">
        <v>0.5</v>
      </c>
      <c r="F7" s="6">
        <f>HAVER!D108-HAVER!$B108</f>
        <v>-6.0299999999999798E-2</v>
      </c>
      <c r="G7" s="6">
        <f>HAVER!E108-HAVER!$B108</f>
        <v>-0.1673</v>
      </c>
    </row>
    <row r="8" spans="1:7" x14ac:dyDescent="0.25">
      <c r="A8" s="5">
        <f>A3+7</f>
        <v>45922</v>
      </c>
      <c r="B8" s="7">
        <f t="shared" si="2"/>
        <v>0.24039999999999928</v>
      </c>
      <c r="C8" s="7">
        <f t="shared" si="3"/>
        <v>0.66439999999999877</v>
      </c>
      <c r="D8" s="7">
        <v>0.5</v>
      </c>
      <c r="F8" s="6">
        <f>HAVER!D109-HAVER!$B109</f>
        <v>-6.009999999999982E-2</v>
      </c>
      <c r="G8" s="6">
        <f>HAVER!E109-HAVER!$B109</f>
        <v>-0.16609999999999969</v>
      </c>
    </row>
    <row r="9" spans="1:7" x14ac:dyDescent="0.25">
      <c r="A9" s="5">
        <f t="shared" ref="A9:A22" si="4">A4+7</f>
        <v>45923</v>
      </c>
      <c r="B9" s="7">
        <f t="shared" si="2"/>
        <v>0.24719999999999942</v>
      </c>
      <c r="C9" s="7">
        <f t="shared" si="3"/>
        <v>0.70720000000000027</v>
      </c>
      <c r="D9" s="7">
        <v>0.5</v>
      </c>
      <c r="F9" s="6">
        <f>HAVER!D110-HAVER!$B110</f>
        <v>-6.1799999999999855E-2</v>
      </c>
      <c r="G9" s="6">
        <f>HAVER!E110-HAVER!$B110</f>
        <v>-0.17680000000000007</v>
      </c>
    </row>
    <row r="10" spans="1:7" x14ac:dyDescent="0.25">
      <c r="A10" s="5">
        <f t="shared" si="4"/>
        <v>45924</v>
      </c>
      <c r="B10" s="7">
        <f t="shared" si="2"/>
        <v>0.24279999999999902</v>
      </c>
      <c r="C10" s="7">
        <f t="shared" si="3"/>
        <v>0.71479999999999855</v>
      </c>
      <c r="D10" s="7">
        <v>0.5</v>
      </c>
      <c r="F10" s="6">
        <f>HAVER!D111-HAVER!$B111</f>
        <v>-6.0699999999999754E-2</v>
      </c>
      <c r="G10" s="6">
        <f>HAVER!E111-HAVER!$B111</f>
        <v>-0.17869999999999964</v>
      </c>
    </row>
    <row r="11" spans="1:7" x14ac:dyDescent="0.25">
      <c r="A11" s="5">
        <f t="shared" si="4"/>
        <v>45925</v>
      </c>
      <c r="B11" s="7">
        <f t="shared" si="2"/>
        <v>0.19799999999999862</v>
      </c>
      <c r="C11" s="7">
        <f t="shared" si="3"/>
        <v>0.6379999999999999</v>
      </c>
      <c r="D11" s="7">
        <v>0.5</v>
      </c>
      <c r="F11" s="6">
        <f>HAVER!D112-HAVER!$B112</f>
        <v>-4.9499999999999655E-2</v>
      </c>
      <c r="G11" s="6">
        <f>HAVER!E112-HAVER!$B112</f>
        <v>-0.15949999999999998</v>
      </c>
    </row>
    <row r="12" spans="1:7" x14ac:dyDescent="0.25">
      <c r="A12" s="5">
        <f t="shared" si="4"/>
        <v>45926</v>
      </c>
      <c r="B12" s="7">
        <f t="shared" si="2"/>
        <v>0.18759999999999977</v>
      </c>
      <c r="C12" s="7">
        <f t="shared" si="3"/>
        <v>0.6075999999999997</v>
      </c>
      <c r="D12" s="7">
        <v>0.5</v>
      </c>
      <c r="F12" s="6">
        <f>HAVER!D113-HAVER!$B113</f>
        <v>-4.6899999999999942E-2</v>
      </c>
      <c r="G12" s="6">
        <f>HAVER!E113-HAVER!$B113</f>
        <v>-0.15189999999999992</v>
      </c>
    </row>
    <row r="13" spans="1:7" x14ac:dyDescent="0.25">
      <c r="A13" s="5">
        <f t="shared" si="4"/>
        <v>45929</v>
      </c>
      <c r="B13" s="7">
        <f t="shared" si="2"/>
        <v>0.18679999999999986</v>
      </c>
      <c r="C13" s="7">
        <f t="shared" si="3"/>
        <v>0.6147999999999989</v>
      </c>
      <c r="D13" s="7">
        <v>0.5</v>
      </c>
      <c r="F13" s="6">
        <f>HAVER!D114-HAVER!$B114</f>
        <v>-4.6699999999999964E-2</v>
      </c>
      <c r="G13" s="6">
        <f>HAVER!E114-HAVER!$B114</f>
        <v>-0.15369999999999973</v>
      </c>
    </row>
    <row r="14" spans="1:7" x14ac:dyDescent="0.25">
      <c r="A14" s="5">
        <f t="shared" si="4"/>
        <v>45930</v>
      </c>
      <c r="B14" s="7">
        <f t="shared" si="2"/>
        <v>0.19239999999999924</v>
      </c>
      <c r="C14" s="7">
        <f t="shared" si="3"/>
        <v>0.62040000000000006</v>
      </c>
      <c r="D14" s="7">
        <v>0.5</v>
      </c>
      <c r="F14" s="6">
        <f>HAVER!D115-HAVER!$B115</f>
        <v>-4.809999999999981E-2</v>
      </c>
      <c r="G14" s="6">
        <f>HAVER!E115-HAVER!$B115</f>
        <v>-0.15510000000000002</v>
      </c>
    </row>
    <row r="15" spans="1:7" x14ac:dyDescent="0.25">
      <c r="A15" s="5">
        <f t="shared" si="4"/>
        <v>45931</v>
      </c>
      <c r="B15" s="7">
        <f>IF(F15&lt;0,-F15/0.25,F15/0.25)</f>
        <v>0.22160000000000046</v>
      </c>
      <c r="C15" s="7">
        <f>IF(G15&lt;0,-G15/0.25,G15/0.25)</f>
        <v>0.66159999999999997</v>
      </c>
      <c r="D15" s="7">
        <v>0.5</v>
      </c>
      <c r="F15" s="6">
        <f>HAVER!D116-HAVER!$B116</f>
        <v>-5.5400000000000116E-2</v>
      </c>
      <c r="G15" s="6">
        <f>HAVER!E116-HAVER!$B116</f>
        <v>-0.16539999999999999</v>
      </c>
    </row>
    <row r="16" spans="1:7" x14ac:dyDescent="0.25">
      <c r="A16" s="5">
        <f t="shared" si="4"/>
        <v>45932</v>
      </c>
      <c r="B16" s="7">
        <f t="shared" ref="B16:B60" si="5">IF(F16&lt;0,-F16/0.25,F16/0.25)</f>
        <v>0.18159999999999954</v>
      </c>
      <c r="C16" s="7">
        <f t="shared" ref="C16:C60" si="6">IF(G16&lt;0,-G16/0.25,G16/0.25)</f>
        <v>0.60159999999999947</v>
      </c>
      <c r="D16" s="7">
        <v>0.5</v>
      </c>
      <c r="F16" s="6">
        <f>HAVER!D117-HAVER!$B117</f>
        <v>-4.5399999999999885E-2</v>
      </c>
      <c r="G16" s="6">
        <f>HAVER!E117-HAVER!$B117</f>
        <v>-0.15039999999999987</v>
      </c>
    </row>
    <row r="17" spans="1:7" x14ac:dyDescent="0.25">
      <c r="A17" s="5">
        <f t="shared" si="4"/>
        <v>45933</v>
      </c>
      <c r="B17" s="7">
        <f t="shared" si="5"/>
        <v>0.20480000000000054</v>
      </c>
      <c r="C17" s="7">
        <f t="shared" si="6"/>
        <v>0.64080000000000048</v>
      </c>
      <c r="D17" s="7">
        <v>0.5</v>
      </c>
      <c r="F17" s="6">
        <f>HAVER!D118-HAVER!$B118</f>
        <v>-5.1200000000000134E-2</v>
      </c>
      <c r="G17" s="6">
        <f>HAVER!E118-HAVER!$B118</f>
        <v>-0.16020000000000012</v>
      </c>
    </row>
    <row r="18" spans="1:7" x14ac:dyDescent="0.25">
      <c r="A18" s="5">
        <f t="shared" si="4"/>
        <v>45936</v>
      </c>
      <c r="B18" s="7">
        <f t="shared" si="5"/>
        <v>0.20560000000000045</v>
      </c>
      <c r="C18" s="7">
        <f t="shared" si="6"/>
        <v>0.62560000000000038</v>
      </c>
      <c r="D18" s="7">
        <v>0.5</v>
      </c>
      <c r="F18" s="6">
        <f>HAVER!D119-HAVER!$B119</f>
        <v>-5.1400000000000112E-2</v>
      </c>
      <c r="G18" s="6">
        <f>HAVER!E119-HAVER!$B119</f>
        <v>-0.15640000000000009</v>
      </c>
    </row>
    <row r="19" spans="1:7" x14ac:dyDescent="0.25">
      <c r="A19" s="5">
        <f t="shared" si="4"/>
        <v>45937</v>
      </c>
      <c r="B19" s="7">
        <f t="shared" si="5"/>
        <v>0.19040000000000035</v>
      </c>
      <c r="C19" s="7">
        <f t="shared" si="6"/>
        <v>0.61040000000000028</v>
      </c>
      <c r="D19" s="7">
        <v>0.5</v>
      </c>
      <c r="F19" s="6">
        <f>HAVER!D120-HAVER!$B120</f>
        <v>-4.7600000000000087E-2</v>
      </c>
      <c r="G19" s="6">
        <f>HAVER!E120-HAVER!$B120</f>
        <v>-0.15260000000000007</v>
      </c>
    </row>
    <row r="20" spans="1:7" x14ac:dyDescent="0.25">
      <c r="A20" s="5">
        <f t="shared" si="4"/>
        <v>45938</v>
      </c>
      <c r="B20" s="7">
        <f t="shared" si="5"/>
        <v>0.19079999999999941</v>
      </c>
      <c r="C20" s="7">
        <f t="shared" si="6"/>
        <v>0.60679999999999978</v>
      </c>
      <c r="D20" s="7">
        <v>0.5</v>
      </c>
      <c r="F20" s="6">
        <f>HAVER!D121-HAVER!$B121</f>
        <v>-4.7699999999999854E-2</v>
      </c>
      <c r="G20" s="6">
        <f>HAVER!E121-HAVER!$B121</f>
        <v>-0.15169999999999995</v>
      </c>
    </row>
    <row r="21" spans="1:7" x14ac:dyDescent="0.25">
      <c r="A21" s="5">
        <f t="shared" si="4"/>
        <v>45939</v>
      </c>
      <c r="B21" s="7">
        <f t="shared" si="5"/>
        <v>0.17120000000000068</v>
      </c>
      <c r="C21" s="7">
        <f t="shared" si="6"/>
        <v>0.57920000000000016</v>
      </c>
      <c r="D21" s="7">
        <v>0.5</v>
      </c>
      <c r="F21" s="6">
        <f>HAVER!D122-HAVER!$B122</f>
        <v>-4.2800000000000171E-2</v>
      </c>
      <c r="G21" s="6">
        <f>HAVER!E122-HAVER!$B122</f>
        <v>-0.14480000000000004</v>
      </c>
    </row>
    <row r="22" spans="1:7" x14ac:dyDescent="0.25">
      <c r="A22" s="5">
        <f t="shared" si="4"/>
        <v>45940</v>
      </c>
      <c r="B22" s="7">
        <f t="shared" si="5"/>
        <v>0.19919999999999938</v>
      </c>
      <c r="C22" s="7">
        <f t="shared" si="6"/>
        <v>0.62320000000000064</v>
      </c>
      <c r="D22" s="7">
        <v>0.5</v>
      </c>
      <c r="F22" s="6">
        <f>HAVER!D123-HAVER!$B123</f>
        <v>-4.9799999999999844E-2</v>
      </c>
      <c r="G22" s="6">
        <f>HAVER!E123-HAVER!$B123</f>
        <v>-0.15580000000000016</v>
      </c>
    </row>
    <row r="23" spans="1:7" x14ac:dyDescent="0.25">
      <c r="A23" s="5">
        <f t="shared" ref="A23:A62" si="7">+A18+7</f>
        <v>45943</v>
      </c>
      <c r="B23" s="7">
        <f t="shared" si="5"/>
        <v>0.22879999999999967</v>
      </c>
      <c r="C23" s="7">
        <f t="shared" si="6"/>
        <v>0.67280000000000051</v>
      </c>
      <c r="D23" s="7">
        <v>0.5</v>
      </c>
      <c r="F23" s="6">
        <f>HAVER!D124-HAVER!$B124</f>
        <v>-5.7199999999999918E-2</v>
      </c>
      <c r="G23" s="6">
        <f>HAVER!E124-HAVER!$B124</f>
        <v>-0.16820000000000013</v>
      </c>
    </row>
    <row r="24" spans="1:7" x14ac:dyDescent="0.25">
      <c r="A24" s="5">
        <f t="shared" si="7"/>
        <v>45944</v>
      </c>
      <c r="B24" s="7">
        <f t="shared" si="5"/>
        <v>0.33760000000000012</v>
      </c>
      <c r="C24" s="7">
        <f t="shared" si="6"/>
        <v>0.84960000000000058</v>
      </c>
      <c r="D24" s="7">
        <v>0.5</v>
      </c>
      <c r="F24" s="6">
        <f>HAVER!D125-HAVER!$B125</f>
        <v>-8.4400000000000031E-2</v>
      </c>
      <c r="G24" s="6">
        <f>HAVER!E125-HAVER!$B125</f>
        <v>-0.21240000000000014</v>
      </c>
    </row>
    <row r="25" spans="1:7" x14ac:dyDescent="0.25">
      <c r="A25" s="5">
        <f t="shared" si="7"/>
        <v>45945</v>
      </c>
      <c r="B25" s="7">
        <f t="shared" si="5"/>
        <v>0.35639999999999894</v>
      </c>
      <c r="C25" s="7">
        <f t="shared" si="6"/>
        <v>0.88839999999999897</v>
      </c>
      <c r="D25" s="7">
        <v>0.5</v>
      </c>
      <c r="F25" s="6">
        <f>HAVER!D126-HAVER!$B126</f>
        <v>-8.9099999999999735E-2</v>
      </c>
      <c r="G25" s="6">
        <f>HAVER!E126-HAVER!$B126</f>
        <v>-0.22209999999999974</v>
      </c>
    </row>
    <row r="26" spans="1:7" x14ac:dyDescent="0.25">
      <c r="A26" s="5">
        <f t="shared" si="7"/>
        <v>45946</v>
      </c>
      <c r="B26" s="7">
        <f t="shared" si="5"/>
        <v>0.40639999999999965</v>
      </c>
      <c r="C26" s="7">
        <f t="shared" si="6"/>
        <v>0.9784000000000006</v>
      </c>
      <c r="D26" s="7">
        <v>0.5</v>
      </c>
      <c r="F26" s="6">
        <f>HAVER!D127-HAVER!$B127</f>
        <v>-0.10159999999999991</v>
      </c>
      <c r="G26" s="6">
        <f>HAVER!E127-HAVER!$B127</f>
        <v>-0.24460000000000015</v>
      </c>
    </row>
    <row r="27" spans="1:7" x14ac:dyDescent="0.25">
      <c r="A27" s="5">
        <f t="shared" si="7"/>
        <v>45947</v>
      </c>
      <c r="B27" s="7">
        <f t="shared" si="5"/>
        <v>0.37679999999999936</v>
      </c>
      <c r="C27" s="7">
        <f t="shared" si="6"/>
        <v>0.92079999999999984</v>
      </c>
      <c r="D27" s="7">
        <v>0.5</v>
      </c>
      <c r="F27" s="6">
        <f>HAVER!D128-HAVER!$B128</f>
        <v>-9.4199999999999839E-2</v>
      </c>
      <c r="G27" s="6">
        <f>HAVER!E128-HAVER!$B128</f>
        <v>-0.23019999999999996</v>
      </c>
    </row>
    <row r="28" spans="1:7" x14ac:dyDescent="0.25">
      <c r="A28" s="5">
        <f t="shared" si="7"/>
        <v>45950</v>
      </c>
      <c r="B28" s="7">
        <f t="shared" si="5"/>
        <v>0.39279999999999937</v>
      </c>
      <c r="C28" s="7">
        <f t="shared" si="6"/>
        <v>0.94079999999999941</v>
      </c>
      <c r="D28" s="7">
        <v>0.5</v>
      </c>
      <c r="F28" s="6">
        <f>HAVER!D129-HAVER!$B129</f>
        <v>-9.8199999999999843E-2</v>
      </c>
      <c r="G28" s="6">
        <f>HAVER!E129-HAVER!$B129</f>
        <v>-0.23519999999999985</v>
      </c>
    </row>
    <row r="29" spans="1:7" x14ac:dyDescent="0.25">
      <c r="A29" s="5">
        <f t="shared" si="7"/>
        <v>45951</v>
      </c>
      <c r="B29" s="7">
        <f t="shared" si="5"/>
        <v>0.37519999999999953</v>
      </c>
      <c r="C29" s="7">
        <f t="shared" si="6"/>
        <v>0.91519999999999868</v>
      </c>
      <c r="D29" s="7">
        <v>0.5</v>
      </c>
      <c r="F29" s="6">
        <f>HAVER!D130-HAVER!$B130</f>
        <v>-9.3799999999999883E-2</v>
      </c>
      <c r="G29" s="6">
        <f>HAVER!E130-HAVER!$B130</f>
        <v>-0.22879999999999967</v>
      </c>
    </row>
    <row r="30" spans="1:7" x14ac:dyDescent="0.25">
      <c r="A30" s="5">
        <f t="shared" si="7"/>
        <v>45952</v>
      </c>
      <c r="B30" s="7">
        <f t="shared" si="5"/>
        <v>0.69080000000000119</v>
      </c>
      <c r="C30" s="7">
        <f t="shared" si="6"/>
        <v>1.2788000000000004</v>
      </c>
      <c r="D30" s="7">
        <v>0.5</v>
      </c>
      <c r="F30" s="6">
        <f>HAVER!D131-HAVER!$B131</f>
        <v>-0.1727000000000003</v>
      </c>
      <c r="G30" s="6">
        <f>HAVER!E131-HAVER!$B131</f>
        <v>-0.3197000000000001</v>
      </c>
    </row>
    <row r="31" spans="1:7" x14ac:dyDescent="0.25">
      <c r="A31" s="5">
        <f t="shared" si="7"/>
        <v>45953</v>
      </c>
      <c r="B31" s="7">
        <f t="shared" si="5"/>
        <v>0.67239999999999966</v>
      </c>
      <c r="C31" s="7">
        <f t="shared" si="6"/>
        <v>1.2804000000000002</v>
      </c>
      <c r="D31" s="7">
        <v>0.5</v>
      </c>
      <c r="F31" s="6">
        <f>HAVER!D132-HAVER!$B132</f>
        <v>-0.16809999999999992</v>
      </c>
      <c r="G31" s="6">
        <f>HAVER!E132-HAVER!$B132</f>
        <v>-0.32010000000000005</v>
      </c>
    </row>
    <row r="32" spans="1:7" x14ac:dyDescent="0.25">
      <c r="A32" s="5">
        <f t="shared" si="7"/>
        <v>45954</v>
      </c>
      <c r="B32" s="7">
        <f t="shared" si="5"/>
        <v>0.60040000000000049</v>
      </c>
      <c r="C32" s="7">
        <f t="shared" si="6"/>
        <v>1.2284000000000006</v>
      </c>
      <c r="D32" s="7">
        <v>0.5</v>
      </c>
      <c r="F32" s="6">
        <f>HAVER!D133-HAVER!$B133</f>
        <v>-0.15010000000000012</v>
      </c>
      <c r="G32" s="6">
        <f>HAVER!E133-HAVER!$B133</f>
        <v>-0.30710000000000015</v>
      </c>
    </row>
    <row r="33" spans="1:7" x14ac:dyDescent="0.25">
      <c r="A33" s="5">
        <f t="shared" si="7"/>
        <v>45957</v>
      </c>
      <c r="B33" s="7">
        <f t="shared" si="5"/>
        <v>0.59319999999999951</v>
      </c>
      <c r="C33" s="7">
        <f t="shared" si="6"/>
        <v>1.2012</v>
      </c>
      <c r="D33" s="7">
        <v>0.5</v>
      </c>
      <c r="F33" s="6">
        <f>HAVER!D134-HAVER!$B134</f>
        <v>-0.14829999999999988</v>
      </c>
      <c r="G33" s="6">
        <f>HAVER!E134-HAVER!$B134</f>
        <v>-0.30030000000000001</v>
      </c>
    </row>
    <row r="34" spans="1:7" x14ac:dyDescent="0.25">
      <c r="A34" s="5">
        <f t="shared" si="7"/>
        <v>45958</v>
      </c>
      <c r="B34" s="7">
        <f t="shared" si="5"/>
        <v>0.65359999999999907</v>
      </c>
      <c r="C34" s="7">
        <f t="shared" si="6"/>
        <v>1.2655999999999992</v>
      </c>
      <c r="D34" s="7">
        <v>0.5</v>
      </c>
      <c r="F34" s="6">
        <f>HAVER!D135-HAVER!$B135</f>
        <v>-0.16339999999999977</v>
      </c>
      <c r="G34" s="6">
        <f>HAVER!E135-HAVER!$B135</f>
        <v>-0.31639999999999979</v>
      </c>
    </row>
    <row r="35" spans="1:7" x14ac:dyDescent="0.25">
      <c r="A35" s="5">
        <f t="shared" si="7"/>
        <v>45959</v>
      </c>
      <c r="B35" s="7">
        <f t="shared" si="5"/>
        <v>0.62920000000000087</v>
      </c>
      <c r="C35" s="7">
        <f t="shared" si="6"/>
        <v>1.2492000000000001</v>
      </c>
      <c r="D35" s="7">
        <v>0.5</v>
      </c>
      <c r="F35" s="6">
        <f>HAVER!D136-HAVER!$B136</f>
        <v>-0.15730000000000022</v>
      </c>
      <c r="G35" s="6">
        <f>HAVER!E136-HAVER!$B136</f>
        <v>-0.31230000000000002</v>
      </c>
    </row>
    <row r="36" spans="1:7" x14ac:dyDescent="0.25">
      <c r="A36" s="5">
        <f t="shared" si="7"/>
        <v>45960</v>
      </c>
      <c r="B36" s="7">
        <f t="shared" si="5"/>
        <v>0.59720000000000084</v>
      </c>
      <c r="C36" s="7">
        <f t="shared" si="6"/>
        <v>1.1972000000000005</v>
      </c>
      <c r="D36" s="7">
        <v>0.5</v>
      </c>
      <c r="F36" s="6">
        <f>HAVER!D137-HAVER!$B137</f>
        <v>-0.14930000000000021</v>
      </c>
      <c r="G36" s="6">
        <f>HAVER!E137-HAVER!$B137</f>
        <v>-0.29930000000000012</v>
      </c>
    </row>
    <row r="37" spans="1:7" x14ac:dyDescent="0.25">
      <c r="A37" s="5">
        <f t="shared" si="7"/>
        <v>45961</v>
      </c>
      <c r="B37" s="7">
        <f t="shared" si="5"/>
        <v>0.63959999999999972</v>
      </c>
      <c r="C37" s="7">
        <f t="shared" si="6"/>
        <v>1.2396000000000011</v>
      </c>
      <c r="D37" s="7">
        <v>0.5</v>
      </c>
      <c r="F37" s="6">
        <f>HAVER!D138-HAVER!$B138</f>
        <v>-0.15989999999999993</v>
      </c>
      <c r="G37" s="6">
        <f>HAVER!E138-HAVER!$B138</f>
        <v>-0.30990000000000029</v>
      </c>
    </row>
    <row r="38" spans="1:7" x14ac:dyDescent="0.25">
      <c r="A38" s="5">
        <f t="shared" si="7"/>
        <v>45964</v>
      </c>
      <c r="B38" s="7">
        <f t="shared" si="5"/>
        <v>0.6335999999999995</v>
      </c>
      <c r="C38" s="7">
        <f t="shared" si="6"/>
        <v>1.1815999999999995</v>
      </c>
      <c r="D38" s="7">
        <v>0.5</v>
      </c>
      <c r="F38" s="6">
        <f>HAVER!D139-HAVER!$B139</f>
        <v>-0.15839999999999987</v>
      </c>
      <c r="G38" s="6">
        <f>HAVER!E139-HAVER!$B139</f>
        <v>-0.29539999999999988</v>
      </c>
    </row>
    <row r="39" spans="1:7" x14ac:dyDescent="0.25">
      <c r="A39" s="5">
        <f t="shared" si="7"/>
        <v>45965</v>
      </c>
      <c r="B39" s="7">
        <f t="shared" si="5"/>
        <v>0.66959999999999908</v>
      </c>
      <c r="C39" s="7">
        <f t="shared" si="6"/>
        <v>1.2175999999999991</v>
      </c>
      <c r="D39" s="7">
        <v>0.5</v>
      </c>
      <c r="F39" s="6">
        <f>HAVER!D140-HAVER!$B140</f>
        <v>-0.16739999999999977</v>
      </c>
      <c r="G39" s="6">
        <f>HAVER!E140-HAVER!$B140</f>
        <v>-0.30439999999999978</v>
      </c>
    </row>
    <row r="40" spans="1:7" x14ac:dyDescent="0.25">
      <c r="A40" s="5">
        <f t="shared" si="7"/>
        <v>45966</v>
      </c>
      <c r="B40" s="7">
        <f t="shared" si="5"/>
        <v>0.60959999999999859</v>
      </c>
      <c r="C40" s="7">
        <f t="shared" si="6"/>
        <v>1.1335999999999995</v>
      </c>
      <c r="D40" s="7">
        <v>0.5</v>
      </c>
      <c r="F40" s="6">
        <f>HAVER!D141-HAVER!$B141</f>
        <v>-0.15239999999999965</v>
      </c>
      <c r="G40" s="6">
        <f>HAVER!E141-HAVER!$B141</f>
        <v>-0.28339999999999987</v>
      </c>
    </row>
    <row r="41" spans="1:7" x14ac:dyDescent="0.25">
      <c r="A41" s="5">
        <f t="shared" si="7"/>
        <v>45967</v>
      </c>
      <c r="B41" s="7">
        <f t="shared" si="5"/>
        <v>0.67319999999999958</v>
      </c>
      <c r="C41" s="7">
        <f t="shared" si="6"/>
        <v>1.1052</v>
      </c>
      <c r="D41" s="7">
        <v>0.5</v>
      </c>
      <c r="F41" s="6">
        <f>HAVER!D142-HAVER!$B142</f>
        <v>-0.16829999999999989</v>
      </c>
      <c r="G41" s="6">
        <f>HAVER!E142-HAVER!$B142</f>
        <v>-0.27629999999999999</v>
      </c>
    </row>
    <row r="42" spans="1:7" x14ac:dyDescent="0.25">
      <c r="A42" s="5">
        <f t="shared" si="7"/>
        <v>45968</v>
      </c>
      <c r="B42" s="7">
        <f t="shared" si="5"/>
        <v>0.6828000000000003</v>
      </c>
      <c r="C42" s="7">
        <f t="shared" si="6"/>
        <v>1.0587999999999997</v>
      </c>
      <c r="D42" s="7">
        <v>0.5</v>
      </c>
      <c r="F42" s="6">
        <f>HAVER!C143-HAVER!$B143</f>
        <v>-0.17070000000000007</v>
      </c>
      <c r="G42" s="6">
        <f>HAVER!D143-HAVER!$B143</f>
        <v>-0.26469999999999994</v>
      </c>
    </row>
    <row r="43" spans="1:7" x14ac:dyDescent="0.25">
      <c r="A43" s="5">
        <f t="shared" si="7"/>
        <v>45971</v>
      </c>
      <c r="B43" s="7">
        <f t="shared" si="5"/>
        <v>0.68159999999999954</v>
      </c>
      <c r="C43" s="7">
        <f t="shared" si="6"/>
        <v>1.025599999999999</v>
      </c>
      <c r="D43" s="7">
        <v>0.5</v>
      </c>
      <c r="F43" s="6">
        <f>HAVER!C144-HAVER!$B144</f>
        <v>-0.17039999999999988</v>
      </c>
      <c r="G43" s="6">
        <f>HAVER!D144-HAVER!$B144</f>
        <v>-0.25639999999999974</v>
      </c>
    </row>
    <row r="44" spans="1:7" x14ac:dyDescent="0.25">
      <c r="A44" s="5">
        <f t="shared" si="7"/>
        <v>45972</v>
      </c>
      <c r="B44" s="7">
        <f t="shared" si="5"/>
        <v>0.82959999999999923</v>
      </c>
      <c r="C44" s="7">
        <f t="shared" si="6"/>
        <v>1.2495999999999992</v>
      </c>
      <c r="D44" s="7">
        <v>0.5</v>
      </c>
      <c r="F44" s="6">
        <f>HAVER!C145-HAVER!$B145</f>
        <v>-0.20739999999999981</v>
      </c>
      <c r="G44" s="6">
        <f>HAVER!D145-HAVER!$B145</f>
        <v>-0.31239999999999979</v>
      </c>
    </row>
    <row r="45" spans="1:7" x14ac:dyDescent="0.25">
      <c r="A45" s="5">
        <f t="shared" si="7"/>
        <v>45973</v>
      </c>
      <c r="B45" s="7">
        <f t="shared" si="5"/>
        <v>0.81679999999999886</v>
      </c>
      <c r="C45" s="7">
        <f t="shared" si="6"/>
        <v>1.2527999999999988</v>
      </c>
      <c r="D45" s="7">
        <v>0.5</v>
      </c>
      <c r="F45" s="6">
        <f>HAVER!C146-HAVER!$B146</f>
        <v>-0.20419999999999972</v>
      </c>
      <c r="G45" s="6">
        <f>HAVER!D146-HAVER!$B146</f>
        <v>-0.3131999999999997</v>
      </c>
    </row>
    <row r="46" spans="1:7" x14ac:dyDescent="0.25">
      <c r="A46" s="5">
        <f t="shared" si="7"/>
        <v>45974</v>
      </c>
      <c r="B46" s="7">
        <f t="shared" si="5"/>
        <v>0.80720000000000169</v>
      </c>
      <c r="C46" s="7">
        <f t="shared" si="6"/>
        <v>1.1952000000000016</v>
      </c>
      <c r="D46" s="7">
        <v>0.5</v>
      </c>
      <c r="F46" s="6">
        <f>HAVER!C147-HAVER!$B147</f>
        <v>-0.20180000000000042</v>
      </c>
      <c r="G46" s="6">
        <f>HAVER!D147-HAVER!$B147</f>
        <v>-0.2988000000000004</v>
      </c>
    </row>
    <row r="47" spans="1:7" x14ac:dyDescent="0.25">
      <c r="A47" s="5">
        <f t="shared" si="7"/>
        <v>45975</v>
      </c>
      <c r="B47" s="7">
        <f t="shared" si="5"/>
        <v>0.74959999999999916</v>
      </c>
      <c r="C47" s="7">
        <f t="shared" si="6"/>
        <v>1.0935999999999986</v>
      </c>
      <c r="D47" s="7">
        <v>0.5</v>
      </c>
      <c r="F47" s="6">
        <f>HAVER!C148-HAVER!$B148</f>
        <v>-0.18739999999999979</v>
      </c>
      <c r="G47" s="6">
        <f>HAVER!D148-HAVER!$B148</f>
        <v>-0.27339999999999964</v>
      </c>
    </row>
    <row r="48" spans="1:7" x14ac:dyDescent="0.25">
      <c r="A48" s="5">
        <f t="shared" si="7"/>
        <v>45978</v>
      </c>
      <c r="B48" s="7">
        <f t="shared" si="5"/>
        <v>0.72879999999999967</v>
      </c>
      <c r="C48" s="7">
        <f t="shared" si="6"/>
        <v>1.0648</v>
      </c>
      <c r="D48" s="7">
        <v>0.5</v>
      </c>
      <c r="F48" s="6">
        <f>HAVER!C149-HAVER!$B149</f>
        <v>-0.18219999999999992</v>
      </c>
      <c r="G48" s="6">
        <f>HAVER!D149-HAVER!$B149</f>
        <v>-0.26619999999999999</v>
      </c>
    </row>
    <row r="49" spans="1:7" x14ac:dyDescent="0.25">
      <c r="A49" s="5">
        <f t="shared" si="7"/>
        <v>45979</v>
      </c>
      <c r="B49" s="7">
        <f t="shared" si="5"/>
        <v>0.75760000000000005</v>
      </c>
      <c r="C49" s="7">
        <f t="shared" si="6"/>
        <v>1.1015999999999995</v>
      </c>
      <c r="D49" s="7">
        <v>0.5</v>
      </c>
      <c r="F49" s="6">
        <f>HAVER!C150-HAVER!$B150</f>
        <v>-0.18940000000000001</v>
      </c>
      <c r="G49" s="6">
        <f>HAVER!D150-HAVER!$B150</f>
        <v>-0.27539999999999987</v>
      </c>
    </row>
    <row r="50" spans="1:7" x14ac:dyDescent="0.25">
      <c r="A50" s="5">
        <f t="shared" si="7"/>
        <v>45980</v>
      </c>
      <c r="B50" s="7">
        <f t="shared" si="5"/>
        <v>0.8252000000000006</v>
      </c>
      <c r="C50" s="7">
        <f t="shared" si="6"/>
        <v>1.0972000000000008</v>
      </c>
      <c r="D50" s="7">
        <v>0.5</v>
      </c>
      <c r="F50" s="6">
        <f>HAVER!C151-HAVER!$B151</f>
        <v>-0.20630000000000015</v>
      </c>
      <c r="G50" s="6">
        <f>HAVER!D151-HAVER!$B151</f>
        <v>-0.27430000000000021</v>
      </c>
    </row>
    <row r="51" spans="1:7" x14ac:dyDescent="0.25">
      <c r="A51" s="5">
        <f t="shared" si="7"/>
        <v>45981</v>
      </c>
      <c r="B51" s="7">
        <f t="shared" si="5"/>
        <v>0.82000000000000028</v>
      </c>
      <c r="C51" s="7">
        <f t="shared" si="6"/>
        <v>1.1039999999999992</v>
      </c>
      <c r="D51" s="7">
        <v>0.5</v>
      </c>
      <c r="F51" s="6">
        <f>HAVER!C152-HAVER!$B152</f>
        <v>-0.20500000000000007</v>
      </c>
      <c r="G51" s="6">
        <f>HAVER!D152-HAVER!$B152</f>
        <v>-0.2759999999999998</v>
      </c>
    </row>
    <row r="52" spans="1:7" x14ac:dyDescent="0.25">
      <c r="A52" s="5">
        <f t="shared" si="7"/>
        <v>45982</v>
      </c>
      <c r="B52" s="7">
        <f t="shared" si="5"/>
        <v>0.84399999999999942</v>
      </c>
      <c r="C52" s="7">
        <f t="shared" si="6"/>
        <v>1.1479999999999997</v>
      </c>
      <c r="D52" s="7">
        <v>0.5</v>
      </c>
      <c r="F52" s="6">
        <f>HAVER!C153-HAVER!$B153</f>
        <v>-0.21099999999999985</v>
      </c>
      <c r="G52" s="6">
        <f>HAVER!D153-HAVER!$B153</f>
        <v>-0.28699999999999992</v>
      </c>
    </row>
    <row r="53" spans="1:7" x14ac:dyDescent="0.25">
      <c r="A53" s="5">
        <f t="shared" si="7"/>
        <v>45985</v>
      </c>
      <c r="B53" s="7">
        <f t="shared" si="5"/>
        <v>0.83520000000000039</v>
      </c>
      <c r="C53" s="7">
        <f t="shared" si="6"/>
        <v>1.0831999999999997</v>
      </c>
      <c r="D53" s="7">
        <v>0.5</v>
      </c>
      <c r="F53" s="6">
        <f>HAVER!C154-HAVER!$B154</f>
        <v>-0.2088000000000001</v>
      </c>
      <c r="G53" s="6">
        <f>HAVER!D154-HAVER!$B154</f>
        <v>-0.27079999999999993</v>
      </c>
    </row>
    <row r="54" spans="1:7" x14ac:dyDescent="0.25">
      <c r="A54" s="5">
        <f t="shared" si="7"/>
        <v>45986</v>
      </c>
      <c r="B54" s="7">
        <f t="shared" si="5"/>
        <v>0.84319999999999951</v>
      </c>
      <c r="C54" s="7">
        <f t="shared" si="6"/>
        <v>1.1231999999999989</v>
      </c>
      <c r="D54" s="7">
        <v>0.5</v>
      </c>
      <c r="F54" s="6">
        <f>HAVER!C155-HAVER!$B155</f>
        <v>-0.21079999999999988</v>
      </c>
      <c r="G54" s="6">
        <f>HAVER!D155-HAVER!$B155</f>
        <v>-0.28079999999999972</v>
      </c>
    </row>
    <row r="55" spans="1:7" x14ac:dyDescent="0.25">
      <c r="A55" s="5">
        <f t="shared" si="7"/>
        <v>45987</v>
      </c>
      <c r="B55" s="7">
        <f t="shared" si="5"/>
        <v>0.87999999999999901</v>
      </c>
      <c r="C55" s="7">
        <f t="shared" si="6"/>
        <v>1.1519999999999992</v>
      </c>
      <c r="D55" s="7">
        <v>0.5</v>
      </c>
      <c r="F55" s="6">
        <f>HAVER!C156-HAVER!$B156</f>
        <v>-0.21999999999999975</v>
      </c>
      <c r="G55" s="6">
        <f>HAVER!D156-HAVER!$B156</f>
        <v>-0.28799999999999981</v>
      </c>
    </row>
    <row r="56" spans="1:7" x14ac:dyDescent="0.25">
      <c r="A56" s="5">
        <f t="shared" si="7"/>
        <v>45988</v>
      </c>
      <c r="B56" s="7">
        <f t="shared" si="5"/>
        <v>0.88719999999999999</v>
      </c>
      <c r="C56" s="7">
        <f t="shared" si="6"/>
        <v>1.1511999999999993</v>
      </c>
      <c r="D56" s="7">
        <v>0.5</v>
      </c>
      <c r="F56" s="6">
        <f>HAVER!C157-HAVER!$B157</f>
        <v>-0.2218</v>
      </c>
      <c r="G56" s="6">
        <f>HAVER!D157-HAVER!$B157</f>
        <v>-0.28779999999999983</v>
      </c>
    </row>
    <row r="57" spans="1:7" x14ac:dyDescent="0.25">
      <c r="A57" s="5">
        <f t="shared" si="7"/>
        <v>45989</v>
      </c>
      <c r="B57" s="7">
        <f t="shared" si="5"/>
        <v>0.89320000000000022</v>
      </c>
      <c r="C57" s="7">
        <f t="shared" si="6"/>
        <v>1.1571999999999996</v>
      </c>
      <c r="D57" s="7">
        <v>0.5</v>
      </c>
      <c r="F57" s="6">
        <f>HAVER!C158-HAVER!$B158</f>
        <v>-0.22330000000000005</v>
      </c>
      <c r="G57" s="6">
        <f>HAVER!D158-HAVER!$B158</f>
        <v>-0.28929999999999989</v>
      </c>
    </row>
    <row r="58" spans="1:7" x14ac:dyDescent="0.25">
      <c r="A58" s="5">
        <f t="shared" si="7"/>
        <v>45992</v>
      </c>
      <c r="B58" s="7">
        <f t="shared" si="5"/>
        <v>0.87680000000000113</v>
      </c>
      <c r="C58" s="7">
        <f t="shared" si="6"/>
        <v>1.1448</v>
      </c>
      <c r="D58" s="7">
        <v>0.5</v>
      </c>
      <c r="F58" s="6">
        <f>HAVER!C159-HAVER!$B159</f>
        <v>-0.21920000000000028</v>
      </c>
      <c r="G58" s="6">
        <f>HAVER!D159-HAVER!$B159</f>
        <v>-0.28620000000000001</v>
      </c>
    </row>
    <row r="59" spans="1:7" x14ac:dyDescent="0.25">
      <c r="A59" s="5">
        <f t="shared" si="7"/>
        <v>45993</v>
      </c>
      <c r="B59" s="7">
        <f t="shared" si="5"/>
        <v>0.88519999999999932</v>
      </c>
      <c r="C59" s="7">
        <f t="shared" si="6"/>
        <v>1.1491999999999987</v>
      </c>
      <c r="D59" s="7">
        <v>0.5</v>
      </c>
      <c r="F59" s="6">
        <f>HAVER!C160-HAVER!$B160</f>
        <v>-0.22129999999999983</v>
      </c>
      <c r="G59" s="6">
        <f>HAVER!D160-HAVER!$B160</f>
        <v>-0.28729999999999967</v>
      </c>
    </row>
    <row r="60" spans="1:7" x14ac:dyDescent="0.25">
      <c r="A60" s="5">
        <f t="shared" si="7"/>
        <v>45994</v>
      </c>
      <c r="B60" s="7">
        <f t="shared" si="5"/>
        <v>0.88640000000000008</v>
      </c>
      <c r="C60" s="7">
        <f t="shared" si="6"/>
        <v>1.1544000000000008</v>
      </c>
      <c r="D60" s="7">
        <v>0.5</v>
      </c>
      <c r="F60" s="6">
        <f>HAVER!C161-HAVER!$B161</f>
        <v>-0.22160000000000002</v>
      </c>
      <c r="G60" s="6">
        <f>HAVER!D161-HAVER!$B161</f>
        <v>-0.28860000000000019</v>
      </c>
    </row>
    <row r="61" spans="1:7" x14ac:dyDescent="0.25">
      <c r="A61" s="5">
        <f t="shared" si="7"/>
        <v>45995</v>
      </c>
      <c r="B61" s="7">
        <f t="shared" ref="B61" si="8">IF(F61&lt;0,-F61/0.25,F61/0.25)</f>
        <v>0.89279999999999937</v>
      </c>
      <c r="C61" s="7">
        <f t="shared" ref="C61" si="9">IF(G61&lt;0,-G61/0.25,G61/0.25)</f>
        <v>1.1807999999999996</v>
      </c>
      <c r="D61" s="7">
        <v>0.5</v>
      </c>
      <c r="F61" s="6">
        <f>HAVER!C162-HAVER!$B162</f>
        <v>-0.22319999999999984</v>
      </c>
      <c r="G61" s="6">
        <f>HAVER!D162-HAVER!$B162</f>
        <v>-0.29519999999999991</v>
      </c>
    </row>
    <row r="62" spans="1:7" x14ac:dyDescent="0.25">
      <c r="A62" s="5">
        <f t="shared" si="7"/>
        <v>45996</v>
      </c>
      <c r="B62" s="7">
        <f t="shared" ref="B62" si="10">IF(F62&lt;0,-F62/0.25,F62/0.25)</f>
        <v>0.8727999999999998</v>
      </c>
      <c r="C62" s="7">
        <f t="shared" ref="C62" si="11">IF(G62&lt;0,-G62/0.25,G62/0.25)</f>
        <v>1.1487999999999996</v>
      </c>
      <c r="D62" s="7">
        <v>0.5</v>
      </c>
      <c r="F62" s="6">
        <f>HAVER!C163-HAVER!$B163</f>
        <v>-0.21819999999999995</v>
      </c>
      <c r="G62" s="6">
        <f>HAVER!D163-HAVER!$B163</f>
        <v>-0.2871999999999999</v>
      </c>
    </row>
    <row r="63" spans="1:7" x14ac:dyDescent="0.25">
      <c r="A63" s="5"/>
      <c r="B63" s="7"/>
      <c r="C63" s="7"/>
      <c r="D63" s="7"/>
      <c r="F63" s="6"/>
      <c r="G63" s="6"/>
    </row>
    <row r="64" spans="1:7" x14ac:dyDescent="0.25">
      <c r="A64" s="5"/>
      <c r="B64" s="7"/>
      <c r="C64" s="7"/>
      <c r="D64" s="7"/>
      <c r="F64" s="6"/>
      <c r="G64" s="6"/>
    </row>
    <row r="65" spans="1:7" x14ac:dyDescent="0.25">
      <c r="A65" s="5"/>
      <c r="B65" s="7"/>
      <c r="C65" s="7"/>
      <c r="D65" s="7"/>
      <c r="F65" s="6"/>
      <c r="G65" s="6"/>
    </row>
    <row r="66" spans="1:7" x14ac:dyDescent="0.25">
      <c r="A66" s="5"/>
      <c r="B66" s="7"/>
      <c r="C66" s="7"/>
      <c r="D66" s="7"/>
      <c r="F66" s="6"/>
      <c r="G66" s="6"/>
    </row>
    <row r="67" spans="1:7" x14ac:dyDescent="0.25">
      <c r="A67" s="5"/>
      <c r="B67" s="7"/>
      <c r="C67" s="7"/>
      <c r="D67" s="7"/>
      <c r="F67" s="6"/>
      <c r="G67" s="6"/>
    </row>
    <row r="68" spans="1:7" x14ac:dyDescent="0.25">
      <c r="A68" s="5"/>
      <c r="B68" s="7"/>
      <c r="C68" s="7"/>
      <c r="D68" s="7"/>
      <c r="F68" s="6"/>
      <c r="G68" s="6"/>
    </row>
    <row r="69" spans="1:7" x14ac:dyDescent="0.25">
      <c r="A69" s="5"/>
      <c r="B69" s="7"/>
      <c r="C69" s="7"/>
      <c r="D69" s="7"/>
      <c r="F69" s="6"/>
      <c r="G69" s="6"/>
    </row>
    <row r="70" spans="1:7" x14ac:dyDescent="0.25">
      <c r="A70" s="5"/>
      <c r="B70" s="7"/>
      <c r="C70" s="7"/>
      <c r="D70" s="7"/>
      <c r="F70" s="6"/>
      <c r="G70" s="6"/>
    </row>
    <row r="71" spans="1:7" x14ac:dyDescent="0.25">
      <c r="A71" s="5"/>
      <c r="B71" s="7"/>
      <c r="C71" s="7"/>
      <c r="D71" s="7"/>
      <c r="F71" s="6"/>
      <c r="G71" s="6"/>
    </row>
    <row r="72" spans="1:7" x14ac:dyDescent="0.25">
      <c r="A72" s="5"/>
      <c r="B72" s="7"/>
      <c r="C72" s="7"/>
      <c r="D72" s="7"/>
      <c r="F72" s="6"/>
      <c r="G72" s="6"/>
    </row>
    <row r="73" spans="1:7" x14ac:dyDescent="0.25">
      <c r="A73" s="5"/>
      <c r="B73" s="7"/>
      <c r="C73" s="7"/>
      <c r="D73" s="7"/>
      <c r="F73" s="6"/>
      <c r="G73" s="6"/>
    </row>
    <row r="74" spans="1:7" x14ac:dyDescent="0.25">
      <c r="A74" s="5"/>
      <c r="B74" s="7"/>
      <c r="C74" s="7"/>
      <c r="D7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EB58-D21F-421B-97FE-121274FA0CD0}">
  <dimension ref="A1:F163"/>
  <sheetViews>
    <sheetView workbookViewId="0">
      <pane xSplit="1" ySplit="6" topLeftCell="B151" activePane="bottomRight" state="frozen"/>
      <selection pane="topRight" activeCell="B1" sqref="B1"/>
      <selection pane="bottomLeft" activeCell="A7" sqref="A7"/>
      <selection pane="bottomRight" activeCell="B163" sqref="B163"/>
    </sheetView>
  </sheetViews>
  <sheetFormatPr defaultRowHeight="15" x14ac:dyDescent="0.25"/>
  <cols>
    <col min="2" max="6" width="24.7109375" customWidth="1"/>
  </cols>
  <sheetData>
    <row r="1" spans="1:6" x14ac:dyDescent="0.25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s="3" customFormat="1" ht="45" x14ac:dyDescent="0.25">
      <c r="A2" s="3" t="s">
        <v>11</v>
      </c>
      <c r="B2" s="3" t="s">
        <v>14</v>
      </c>
      <c r="C2" s="3" t="s">
        <v>17</v>
      </c>
      <c r="D2" s="3" t="s">
        <v>18</v>
      </c>
      <c r="E2" s="3" t="s">
        <v>19</v>
      </c>
      <c r="F2" s="3" t="s">
        <v>20</v>
      </c>
    </row>
    <row r="3" spans="1:6" x14ac:dyDescent="0.25">
      <c r="A3" t="s">
        <v>10</v>
      </c>
      <c r="B3" t="s">
        <v>13</v>
      </c>
      <c r="C3" t="s">
        <v>16</v>
      </c>
      <c r="D3" t="s">
        <v>16</v>
      </c>
      <c r="E3" t="s">
        <v>16</v>
      </c>
      <c r="F3" t="s">
        <v>16</v>
      </c>
    </row>
    <row r="4" spans="1:6" x14ac:dyDescent="0.25">
      <c r="A4" t="s">
        <v>9</v>
      </c>
      <c r="B4" t="s">
        <v>179</v>
      </c>
      <c r="C4" t="s">
        <v>183</v>
      </c>
      <c r="D4" t="s">
        <v>183</v>
      </c>
      <c r="E4" t="s">
        <v>183</v>
      </c>
      <c r="F4" t="s">
        <v>183</v>
      </c>
    </row>
    <row r="5" spans="1:6" x14ac:dyDescent="0.25">
      <c r="A5" t="s">
        <v>8</v>
      </c>
      <c r="B5" t="s">
        <v>12</v>
      </c>
      <c r="C5" t="s">
        <v>15</v>
      </c>
      <c r="D5" t="s">
        <v>15</v>
      </c>
      <c r="E5" t="s">
        <v>15</v>
      </c>
      <c r="F5" t="s">
        <v>15</v>
      </c>
    </row>
    <row r="6" spans="1:6" x14ac:dyDescent="0.25">
      <c r="A6" t="s">
        <v>7</v>
      </c>
      <c r="B6" t="s">
        <v>181</v>
      </c>
      <c r="C6" t="s">
        <v>182</v>
      </c>
      <c r="D6" t="s">
        <v>182</v>
      </c>
      <c r="E6" t="s">
        <v>182</v>
      </c>
      <c r="F6" t="s">
        <v>182</v>
      </c>
    </row>
    <row r="7" spans="1:6" x14ac:dyDescent="0.25">
      <c r="A7" t="s">
        <v>6</v>
      </c>
      <c r="B7" s="2">
        <v>4.4585999999999997</v>
      </c>
      <c r="C7" s="2">
        <v>4.2</v>
      </c>
      <c r="D7" s="2">
        <v>4.0620000000000003</v>
      </c>
      <c r="E7" s="2">
        <v>3.8519999999999999</v>
      </c>
      <c r="F7" s="2">
        <v>3.7149999999999999</v>
      </c>
    </row>
    <row r="8" spans="1:6" x14ac:dyDescent="0.25">
      <c r="A8" t="s">
        <v>21</v>
      </c>
      <c r="B8" s="2">
        <v>4.4593999999999996</v>
      </c>
      <c r="C8" s="2">
        <v>4.2039999999999997</v>
      </c>
      <c r="D8" s="2">
        <v>4.0750000000000002</v>
      </c>
      <c r="E8" s="2">
        <v>3.8730000000000002</v>
      </c>
      <c r="F8" s="2">
        <v>3.7349999999999999</v>
      </c>
    </row>
    <row r="9" spans="1:6" x14ac:dyDescent="0.25">
      <c r="A9" t="s">
        <v>22</v>
      </c>
      <c r="B9" s="2" t="e">
        <v>#N/A</v>
      </c>
      <c r="C9" s="2">
        <v>4.2080000000000002</v>
      </c>
      <c r="D9" s="2">
        <v>4.0780000000000003</v>
      </c>
      <c r="E9" s="2">
        <v>3.875</v>
      </c>
      <c r="F9" s="2">
        <v>3.74</v>
      </c>
    </row>
    <row r="10" spans="1:6" x14ac:dyDescent="0.25">
      <c r="A10" t="s">
        <v>23</v>
      </c>
      <c r="B10" s="2">
        <v>4.4589999999999996</v>
      </c>
      <c r="C10" s="2">
        <v>4.2</v>
      </c>
      <c r="D10" s="2">
        <v>4.0679999999999996</v>
      </c>
      <c r="E10" s="2">
        <v>3.8660000000000001</v>
      </c>
      <c r="F10" s="2">
        <v>3.7250000000000001</v>
      </c>
    </row>
    <row r="11" spans="1:6" x14ac:dyDescent="0.25">
      <c r="A11" t="s">
        <v>24</v>
      </c>
      <c r="B11" s="2">
        <v>4.4600999999999997</v>
      </c>
      <c r="C11" s="2">
        <v>4.2039999999999997</v>
      </c>
      <c r="D11" s="2">
        <v>4.0730000000000004</v>
      </c>
      <c r="E11" s="2">
        <v>3.8719999999999999</v>
      </c>
      <c r="F11" s="2">
        <v>3.726</v>
      </c>
    </row>
    <row r="12" spans="1:6" x14ac:dyDescent="0.25">
      <c r="A12" t="s">
        <v>25</v>
      </c>
      <c r="B12" s="2">
        <v>4.21</v>
      </c>
      <c r="C12" s="2">
        <v>4.2190000000000003</v>
      </c>
      <c r="D12" s="2">
        <v>4.1719999999999997</v>
      </c>
      <c r="E12" s="2">
        <v>3.9870000000000001</v>
      </c>
      <c r="F12" s="2">
        <v>3.8759999999999999</v>
      </c>
    </row>
    <row r="13" spans="1:6" x14ac:dyDescent="0.25">
      <c r="A13" t="s">
        <v>26</v>
      </c>
      <c r="B13" s="2">
        <v>4.2103000000000002</v>
      </c>
      <c r="C13" s="2">
        <v>4.1660000000000004</v>
      </c>
      <c r="D13" s="2">
        <v>3.976</v>
      </c>
      <c r="E13" s="2">
        <v>3.8730000000000002</v>
      </c>
      <c r="F13" s="2">
        <v>3.7120000000000002</v>
      </c>
    </row>
    <row r="14" spans="1:6" x14ac:dyDescent="0.25">
      <c r="A14" t="s">
        <v>27</v>
      </c>
      <c r="B14" s="2">
        <v>4.21</v>
      </c>
      <c r="C14" s="2">
        <v>4.1900000000000004</v>
      </c>
      <c r="D14" s="2">
        <v>4.01</v>
      </c>
      <c r="E14" s="2">
        <v>3.9340000000000002</v>
      </c>
      <c r="F14" s="2">
        <v>3.7919999999999998</v>
      </c>
    </row>
    <row r="15" spans="1:6" x14ac:dyDescent="0.25">
      <c r="A15" t="s">
        <v>28</v>
      </c>
      <c r="B15" s="2">
        <v>4.2106000000000003</v>
      </c>
      <c r="C15" s="2">
        <v>4.1950000000000003</v>
      </c>
      <c r="D15" s="2">
        <v>4.0179999999999998</v>
      </c>
      <c r="E15" s="2">
        <v>3.9460000000000002</v>
      </c>
      <c r="F15" s="2">
        <v>3.798</v>
      </c>
    </row>
    <row r="16" spans="1:6" x14ac:dyDescent="0.25">
      <c r="A16" t="s">
        <v>29</v>
      </c>
      <c r="B16" s="2">
        <v>4.2107999999999999</v>
      </c>
      <c r="C16" s="2">
        <v>4.1989999999999998</v>
      </c>
      <c r="D16" s="2">
        <v>4.0410000000000004</v>
      </c>
      <c r="E16" s="2">
        <v>3.984</v>
      </c>
      <c r="F16" s="2">
        <v>3.8530000000000002</v>
      </c>
    </row>
    <row r="17" spans="1:6" x14ac:dyDescent="0.25">
      <c r="A17" t="s">
        <v>30</v>
      </c>
      <c r="B17" s="2">
        <v>4.2111000000000001</v>
      </c>
      <c r="C17" s="2">
        <v>4.1989999999999998</v>
      </c>
      <c r="D17" s="2">
        <v>4.0380000000000003</v>
      </c>
      <c r="E17" s="2">
        <v>3.9710000000000001</v>
      </c>
      <c r="F17" s="2">
        <v>3.8330000000000002</v>
      </c>
    </row>
    <row r="18" spans="1:6" x14ac:dyDescent="0.25">
      <c r="A18" t="s">
        <v>31</v>
      </c>
      <c r="B18" s="2">
        <v>4.2106000000000003</v>
      </c>
      <c r="C18" s="2">
        <v>4.202</v>
      </c>
      <c r="D18" s="2">
        <v>4.0490000000000004</v>
      </c>
      <c r="E18" s="2">
        <v>3.98</v>
      </c>
      <c r="F18" s="2">
        <v>3.8460000000000001</v>
      </c>
    </row>
    <row r="19" spans="1:6" x14ac:dyDescent="0.25">
      <c r="A19" t="s">
        <v>32</v>
      </c>
      <c r="B19" s="2">
        <v>4.2108999999999996</v>
      </c>
      <c r="C19" s="2">
        <v>4.1989999999999998</v>
      </c>
      <c r="D19" s="2">
        <v>4.0410000000000004</v>
      </c>
      <c r="E19" s="2">
        <v>3.9809999999999999</v>
      </c>
      <c r="F19" s="2">
        <v>3.8530000000000002</v>
      </c>
    </row>
    <row r="20" spans="1:6" x14ac:dyDescent="0.25">
      <c r="A20" t="s">
        <v>33</v>
      </c>
      <c r="B20" s="2">
        <v>4.2107999999999999</v>
      </c>
      <c r="C20" s="2">
        <v>4.2030000000000003</v>
      </c>
      <c r="D20" s="2">
        <v>4.056</v>
      </c>
      <c r="E20" s="2">
        <v>3.996</v>
      </c>
      <c r="F20" s="2">
        <v>3.8719999999999999</v>
      </c>
    </row>
    <row r="21" spans="1:6" x14ac:dyDescent="0.25">
      <c r="A21" t="s">
        <v>34</v>
      </c>
      <c r="B21" s="2">
        <v>4.2115</v>
      </c>
      <c r="C21" s="2">
        <v>4.2130000000000001</v>
      </c>
      <c r="D21" s="2">
        <v>4.0949999999999998</v>
      </c>
      <c r="E21" s="2">
        <v>4.0350000000000001</v>
      </c>
      <c r="F21" s="2">
        <v>3.9079999999999999</v>
      </c>
    </row>
    <row r="22" spans="1:6" x14ac:dyDescent="0.25">
      <c r="A22" t="s">
        <v>35</v>
      </c>
      <c r="B22" s="2">
        <v>4.2114000000000003</v>
      </c>
      <c r="C22" s="2">
        <v>4.2130000000000001</v>
      </c>
      <c r="D22" s="2">
        <v>4.09</v>
      </c>
      <c r="E22" s="2">
        <v>4.0250000000000004</v>
      </c>
      <c r="F22" s="2">
        <v>3.89</v>
      </c>
    </row>
    <row r="23" spans="1:6" x14ac:dyDescent="0.25">
      <c r="A23" t="s">
        <v>36</v>
      </c>
      <c r="B23" s="2">
        <v>4.2107999999999999</v>
      </c>
      <c r="C23" s="2">
        <v>4.2149999999999999</v>
      </c>
      <c r="D23" s="2">
        <v>4.0880000000000001</v>
      </c>
      <c r="E23" s="2">
        <v>4.0279999999999996</v>
      </c>
      <c r="F23" s="2">
        <v>3.8839999999999999</v>
      </c>
    </row>
    <row r="24" spans="1:6" x14ac:dyDescent="0.25">
      <c r="A24" t="s">
        <v>37</v>
      </c>
      <c r="B24" s="2" t="e">
        <v>#N/A</v>
      </c>
      <c r="C24" s="2">
        <v>4.218</v>
      </c>
      <c r="D24" s="2">
        <v>4.093</v>
      </c>
      <c r="E24" s="2">
        <v>4.0330000000000004</v>
      </c>
      <c r="F24" s="2">
        <v>3.8839999999999999</v>
      </c>
    </row>
    <row r="25" spans="1:6" x14ac:dyDescent="0.25">
      <c r="A25" t="s">
        <v>38</v>
      </c>
      <c r="B25" s="2">
        <v>4.2107000000000001</v>
      </c>
      <c r="C25" s="2">
        <v>4.218</v>
      </c>
      <c r="D25" s="2">
        <v>4.1020000000000003</v>
      </c>
      <c r="E25" s="2">
        <v>4.0519999999999996</v>
      </c>
      <c r="F25" s="2">
        <v>3.9119999999999999</v>
      </c>
    </row>
    <row r="26" spans="1:6" x14ac:dyDescent="0.25">
      <c r="A26" t="s">
        <v>39</v>
      </c>
      <c r="B26" s="2">
        <v>4.2103999999999999</v>
      </c>
      <c r="C26" s="2">
        <v>4.2190000000000003</v>
      </c>
      <c r="D26" s="2">
        <v>4.1040000000000001</v>
      </c>
      <c r="E26" s="2">
        <v>4.0609999999999999</v>
      </c>
      <c r="F26" s="2">
        <v>3.9239999999999999</v>
      </c>
    </row>
    <row r="27" spans="1:6" x14ac:dyDescent="0.25">
      <c r="A27" t="s">
        <v>40</v>
      </c>
      <c r="B27" s="2">
        <v>4.2107000000000001</v>
      </c>
      <c r="C27" s="2">
        <v>4.2169999999999996</v>
      </c>
      <c r="D27" s="2">
        <v>4.101</v>
      </c>
      <c r="E27" s="2">
        <v>4.056</v>
      </c>
      <c r="F27" s="2">
        <v>3.907</v>
      </c>
    </row>
    <row r="28" spans="1:6" x14ac:dyDescent="0.25">
      <c r="A28" t="s">
        <v>41</v>
      </c>
      <c r="B28" s="2">
        <v>4.2111000000000001</v>
      </c>
      <c r="C28" s="2">
        <v>4.21</v>
      </c>
      <c r="D28" s="2">
        <v>4.0979999999999999</v>
      </c>
      <c r="E28" s="2">
        <v>4.0529999999999999</v>
      </c>
      <c r="F28" s="2">
        <v>3.9089999999999998</v>
      </c>
    </row>
    <row r="29" spans="1:6" x14ac:dyDescent="0.25">
      <c r="A29" t="s">
        <v>42</v>
      </c>
      <c r="B29" s="2">
        <v>4.2111999999999998</v>
      </c>
      <c r="C29" s="2">
        <v>4.2160000000000002</v>
      </c>
      <c r="D29" s="2">
        <v>4.0999999999999996</v>
      </c>
      <c r="E29" s="2">
        <v>4.056</v>
      </c>
      <c r="F29" s="2">
        <v>3.9159999999999999</v>
      </c>
    </row>
    <row r="30" spans="1:6" x14ac:dyDescent="0.25">
      <c r="A30" t="s">
        <v>43</v>
      </c>
      <c r="B30" s="2">
        <v>4.2111999999999998</v>
      </c>
      <c r="C30" s="2">
        <v>4.2169999999999996</v>
      </c>
      <c r="D30" s="2">
        <v>4.0739999999999998</v>
      </c>
      <c r="E30" s="2">
        <v>4.0279999999999996</v>
      </c>
      <c r="F30" s="2">
        <v>3.8889999999999998</v>
      </c>
    </row>
    <row r="31" spans="1:6" x14ac:dyDescent="0.25">
      <c r="A31" t="s">
        <v>44</v>
      </c>
      <c r="B31" s="2">
        <v>4.2111000000000001</v>
      </c>
      <c r="C31" s="2">
        <v>4.2130000000000001</v>
      </c>
      <c r="D31" s="2">
        <v>4.0650000000000004</v>
      </c>
      <c r="E31" s="2">
        <v>4.016</v>
      </c>
      <c r="F31" s="2">
        <v>3.8690000000000002</v>
      </c>
    </row>
    <row r="32" spans="1:6" x14ac:dyDescent="0.25">
      <c r="A32" t="s">
        <v>45</v>
      </c>
      <c r="B32" s="2">
        <v>4.2119</v>
      </c>
      <c r="C32" s="2">
        <v>4.2169999999999996</v>
      </c>
      <c r="D32" s="2">
        <v>4.0629999999999997</v>
      </c>
      <c r="E32" s="2">
        <v>4.0190000000000001</v>
      </c>
      <c r="F32" s="2">
        <v>3.8769999999999998</v>
      </c>
    </row>
    <row r="33" spans="1:6" x14ac:dyDescent="0.25">
      <c r="A33" t="s">
        <v>46</v>
      </c>
      <c r="B33" s="2">
        <v>4.2118000000000002</v>
      </c>
      <c r="C33" s="2">
        <v>4.2160000000000002</v>
      </c>
      <c r="D33" s="2">
        <v>4.0620000000000003</v>
      </c>
      <c r="E33" s="2">
        <v>4.0250000000000004</v>
      </c>
      <c r="F33" s="2">
        <v>3.891</v>
      </c>
    </row>
    <row r="34" spans="1:6" x14ac:dyDescent="0.25">
      <c r="A34" t="s">
        <v>47</v>
      </c>
      <c r="B34" s="2">
        <v>4.2127999999999997</v>
      </c>
      <c r="C34" s="2">
        <v>4.2140000000000004</v>
      </c>
      <c r="D34" s="2">
        <v>4.0540000000000003</v>
      </c>
      <c r="E34" s="2">
        <v>4.01</v>
      </c>
      <c r="F34" s="2">
        <v>3.867</v>
      </c>
    </row>
    <row r="35" spans="1:6" x14ac:dyDescent="0.25">
      <c r="A35" t="s">
        <v>48</v>
      </c>
      <c r="B35" s="2">
        <v>4.2126000000000001</v>
      </c>
      <c r="C35" s="2">
        <v>4.2069999999999999</v>
      </c>
      <c r="D35" s="2">
        <v>4.0170000000000003</v>
      </c>
      <c r="E35" s="2">
        <v>3.9569999999999999</v>
      </c>
      <c r="F35" s="2">
        <v>3.802</v>
      </c>
    </row>
    <row r="36" spans="1:6" x14ac:dyDescent="0.25">
      <c r="A36" t="s">
        <v>49</v>
      </c>
      <c r="B36" s="2">
        <v>4.2129000000000003</v>
      </c>
      <c r="C36" s="2">
        <v>4.2080000000000002</v>
      </c>
      <c r="D36" s="2">
        <v>4.0179999999999998</v>
      </c>
      <c r="E36" s="2">
        <v>3.956</v>
      </c>
      <c r="F36" s="2">
        <v>3.8010000000000002</v>
      </c>
    </row>
    <row r="37" spans="1:6" x14ac:dyDescent="0.25">
      <c r="A37" t="s">
        <v>50</v>
      </c>
      <c r="B37" s="2">
        <v>4.2126000000000001</v>
      </c>
      <c r="C37" s="2">
        <v>4.2050000000000001</v>
      </c>
      <c r="D37" s="2">
        <v>4.01</v>
      </c>
      <c r="E37" s="2">
        <v>3.9430000000000001</v>
      </c>
      <c r="F37" s="2">
        <v>3.778</v>
      </c>
    </row>
    <row r="38" spans="1:6" x14ac:dyDescent="0.25">
      <c r="A38" t="s">
        <v>51</v>
      </c>
      <c r="B38" s="2">
        <v>4.2126999999999999</v>
      </c>
      <c r="C38" s="2">
        <v>4.2089999999999996</v>
      </c>
      <c r="D38" s="2">
        <v>4.0170000000000003</v>
      </c>
      <c r="E38" s="2">
        <v>3.9649999999999999</v>
      </c>
      <c r="F38" s="2">
        <v>3.8149999999999999</v>
      </c>
    </row>
    <row r="39" spans="1:6" x14ac:dyDescent="0.25">
      <c r="A39" t="s">
        <v>52</v>
      </c>
      <c r="B39" s="2">
        <v>4.2148000000000003</v>
      </c>
      <c r="C39" s="2">
        <v>4.2119999999999997</v>
      </c>
      <c r="D39" s="2">
        <v>4.024</v>
      </c>
      <c r="E39" s="2">
        <v>3.9630000000000001</v>
      </c>
      <c r="F39" s="2">
        <v>3.8050000000000002</v>
      </c>
    </row>
    <row r="40" spans="1:6" x14ac:dyDescent="0.25">
      <c r="A40" t="s">
        <v>53</v>
      </c>
      <c r="B40" s="2">
        <v>4.2160000000000002</v>
      </c>
      <c r="C40" s="2">
        <v>4.2140000000000004</v>
      </c>
      <c r="D40" s="2">
        <v>4.0250000000000004</v>
      </c>
      <c r="E40" s="2">
        <v>3.9660000000000002</v>
      </c>
      <c r="F40" s="2">
        <v>3.8109999999999999</v>
      </c>
    </row>
    <row r="41" spans="1:6" x14ac:dyDescent="0.25">
      <c r="A41" t="s">
        <v>54</v>
      </c>
      <c r="B41" s="2">
        <v>4.2163000000000004</v>
      </c>
      <c r="C41" s="2">
        <v>4.2220000000000004</v>
      </c>
      <c r="D41" s="2">
        <v>4.0309999999999997</v>
      </c>
      <c r="E41" s="2">
        <v>3.9769999999999999</v>
      </c>
      <c r="F41" s="2">
        <v>3.8239999999999998</v>
      </c>
    </row>
    <row r="42" spans="1:6" x14ac:dyDescent="0.25">
      <c r="A42" t="s">
        <v>55</v>
      </c>
      <c r="B42" s="2">
        <v>4.2168999999999999</v>
      </c>
      <c r="C42" s="2">
        <v>4.226</v>
      </c>
      <c r="D42" s="2">
        <v>4.03</v>
      </c>
      <c r="E42" s="2">
        <v>3.968</v>
      </c>
      <c r="F42" s="2">
        <v>3.8109999999999999</v>
      </c>
    </row>
    <row r="43" spans="1:6" x14ac:dyDescent="0.25">
      <c r="A43" t="s">
        <v>56</v>
      </c>
      <c r="B43" s="2">
        <v>4.2164000000000001</v>
      </c>
      <c r="C43" s="2">
        <v>4.0270000000000001</v>
      </c>
      <c r="D43" s="2">
        <v>3.9630000000000001</v>
      </c>
      <c r="E43" s="2">
        <v>3.8039999999999998</v>
      </c>
      <c r="F43" s="2">
        <v>3.7330000000000001</v>
      </c>
    </row>
    <row r="44" spans="1:6" x14ac:dyDescent="0.25">
      <c r="A44" t="s">
        <v>57</v>
      </c>
      <c r="B44" s="2">
        <v>4.2165999999999997</v>
      </c>
      <c r="C44" s="2">
        <v>4.0220000000000002</v>
      </c>
      <c r="D44" s="2">
        <v>3.9649999999999999</v>
      </c>
      <c r="E44" s="2">
        <v>3.802</v>
      </c>
      <c r="F44" s="2">
        <v>3.72</v>
      </c>
    </row>
    <row r="45" spans="1:6" x14ac:dyDescent="0.25">
      <c r="A45" t="s">
        <v>58</v>
      </c>
      <c r="B45" s="2">
        <v>4.2169999999999996</v>
      </c>
      <c r="C45" s="2">
        <v>4.0190000000000001</v>
      </c>
      <c r="D45" s="2">
        <v>3.9540000000000002</v>
      </c>
      <c r="E45" s="2">
        <v>3.7850000000000001</v>
      </c>
      <c r="F45" s="2">
        <v>3.7029999999999998</v>
      </c>
    </row>
    <row r="46" spans="1:6" x14ac:dyDescent="0.25">
      <c r="A46" t="s">
        <v>59</v>
      </c>
      <c r="B46" s="2">
        <v>4.2172000000000001</v>
      </c>
      <c r="C46" s="2">
        <v>4.0129999999999999</v>
      </c>
      <c r="D46" s="2">
        <v>3.9430000000000001</v>
      </c>
      <c r="E46" s="2">
        <v>3.7690000000000001</v>
      </c>
      <c r="F46" s="2">
        <v>3.6789999999999998</v>
      </c>
    </row>
    <row r="47" spans="1:6" x14ac:dyDescent="0.25">
      <c r="A47" t="s">
        <v>60</v>
      </c>
      <c r="B47" s="2">
        <v>4.2169999999999996</v>
      </c>
      <c r="C47" s="2">
        <v>4.0149999999999997</v>
      </c>
      <c r="D47" s="2">
        <v>3.9489999999999998</v>
      </c>
      <c r="E47" s="2">
        <v>3.7719999999999998</v>
      </c>
      <c r="F47" s="2">
        <v>3.6739999999999999</v>
      </c>
    </row>
    <row r="48" spans="1:6" x14ac:dyDescent="0.25">
      <c r="A48" t="s">
        <v>61</v>
      </c>
      <c r="B48" s="2">
        <v>4.2172000000000001</v>
      </c>
      <c r="C48" s="2">
        <v>4.016</v>
      </c>
      <c r="D48" s="2">
        <v>3.9529999999999998</v>
      </c>
      <c r="E48" s="2">
        <v>3.7829999999999999</v>
      </c>
      <c r="F48" s="2">
        <v>3.6869999999999998</v>
      </c>
    </row>
    <row r="49" spans="1:6" x14ac:dyDescent="0.25">
      <c r="A49" t="s">
        <v>62</v>
      </c>
      <c r="B49" s="2">
        <v>4.2171000000000003</v>
      </c>
      <c r="C49" s="2">
        <v>4.0119999999999996</v>
      </c>
      <c r="D49" s="2">
        <v>3.9359999999999999</v>
      </c>
      <c r="E49" s="2">
        <v>3.7629999999999999</v>
      </c>
      <c r="F49" s="2">
        <v>3.6619999999999999</v>
      </c>
    </row>
    <row r="50" spans="1:6" x14ac:dyDescent="0.25">
      <c r="A50" t="s">
        <v>63</v>
      </c>
      <c r="B50" s="2">
        <v>4.2176</v>
      </c>
      <c r="C50" s="2">
        <v>4.0069999999999997</v>
      </c>
      <c r="D50" s="2">
        <v>3.9350000000000001</v>
      </c>
      <c r="E50" s="2">
        <v>3.7629999999999999</v>
      </c>
      <c r="F50" s="2">
        <v>3.6720000000000002</v>
      </c>
    </row>
    <row r="51" spans="1:6" x14ac:dyDescent="0.25">
      <c r="A51" t="s">
        <v>64</v>
      </c>
      <c r="B51" s="2">
        <v>4.2171000000000003</v>
      </c>
      <c r="C51" s="2">
        <v>4.008</v>
      </c>
      <c r="D51" s="2">
        <v>3.9430000000000001</v>
      </c>
      <c r="E51" s="2">
        <v>3.774</v>
      </c>
      <c r="F51" s="2">
        <v>3.6909999999999998</v>
      </c>
    </row>
    <row r="52" spans="1:6" x14ac:dyDescent="0.25">
      <c r="A52" t="s">
        <v>65</v>
      </c>
      <c r="B52" s="2">
        <v>4.2172999999999998</v>
      </c>
      <c r="C52" s="2">
        <v>4.0039999999999996</v>
      </c>
      <c r="D52" s="2">
        <v>3.9359999999999999</v>
      </c>
      <c r="E52" s="2">
        <v>3.7650000000000001</v>
      </c>
      <c r="F52" s="2">
        <v>3.6819999999999999</v>
      </c>
    </row>
    <row r="53" spans="1:6" x14ac:dyDescent="0.25">
      <c r="A53" t="s">
        <v>66</v>
      </c>
      <c r="B53" s="2">
        <v>4.2172999999999998</v>
      </c>
      <c r="C53" s="2">
        <v>4.0060000000000002</v>
      </c>
      <c r="D53" s="2">
        <v>3.9380000000000002</v>
      </c>
      <c r="E53" s="2">
        <v>3.7629999999999999</v>
      </c>
      <c r="F53" s="2">
        <v>3.6749999999999998</v>
      </c>
    </row>
    <row r="54" spans="1:6" x14ac:dyDescent="0.25">
      <c r="A54" t="s">
        <v>67</v>
      </c>
      <c r="B54" s="2">
        <v>4.2169999999999996</v>
      </c>
      <c r="C54" s="2">
        <v>4.0039999999999996</v>
      </c>
      <c r="D54" s="2">
        <v>3.9420000000000002</v>
      </c>
      <c r="E54" s="2">
        <v>3.7709999999999999</v>
      </c>
      <c r="F54" s="2">
        <v>3.6850000000000001</v>
      </c>
    </row>
    <row r="55" spans="1:6" x14ac:dyDescent="0.25">
      <c r="A55" t="s">
        <v>68</v>
      </c>
      <c r="B55" s="2">
        <v>4.2169999999999996</v>
      </c>
      <c r="C55" s="2">
        <v>4.01</v>
      </c>
      <c r="D55" s="2">
        <v>3.95</v>
      </c>
      <c r="E55" s="2">
        <v>3.7829999999999999</v>
      </c>
      <c r="F55" s="2">
        <v>3.7010000000000001</v>
      </c>
    </row>
    <row r="56" spans="1:6" x14ac:dyDescent="0.25">
      <c r="A56" t="s">
        <v>69</v>
      </c>
      <c r="B56" s="2">
        <v>4.2168999999999999</v>
      </c>
      <c r="C56" s="2">
        <v>4.008</v>
      </c>
      <c r="D56" s="2">
        <v>3.9510000000000001</v>
      </c>
      <c r="E56" s="2">
        <v>3.7839999999999998</v>
      </c>
      <c r="F56" s="2">
        <v>3.7029999999999998</v>
      </c>
    </row>
    <row r="57" spans="1:6" x14ac:dyDescent="0.25">
      <c r="A57" t="s">
        <v>70</v>
      </c>
      <c r="B57" s="2">
        <v>4.2175000000000002</v>
      </c>
      <c r="C57" s="2">
        <v>4.0060000000000002</v>
      </c>
      <c r="D57" s="2">
        <v>3.948</v>
      </c>
      <c r="E57" s="2">
        <v>3.78</v>
      </c>
      <c r="F57" s="2">
        <v>3.6989999999999998</v>
      </c>
    </row>
    <row r="58" spans="1:6" x14ac:dyDescent="0.25">
      <c r="A58" t="s">
        <v>71</v>
      </c>
      <c r="B58" s="2">
        <v>4.2172000000000001</v>
      </c>
      <c r="C58" s="2">
        <v>4.008</v>
      </c>
      <c r="D58" s="2">
        <v>3.95</v>
      </c>
      <c r="E58" s="2">
        <v>3.7850000000000001</v>
      </c>
      <c r="F58" s="2">
        <v>3.7050000000000001</v>
      </c>
    </row>
    <row r="59" spans="1:6" x14ac:dyDescent="0.25">
      <c r="A59" t="s">
        <v>72</v>
      </c>
      <c r="B59" s="2">
        <v>4.2171000000000003</v>
      </c>
      <c r="C59" s="2">
        <v>3.992</v>
      </c>
      <c r="D59" s="2">
        <v>3.9209999999999998</v>
      </c>
      <c r="E59" s="2">
        <v>3.742</v>
      </c>
      <c r="F59" s="2">
        <v>3.6560000000000001</v>
      </c>
    </row>
    <row r="60" spans="1:6" x14ac:dyDescent="0.25">
      <c r="A60" t="s">
        <v>73</v>
      </c>
      <c r="B60" s="2">
        <v>4.2172000000000001</v>
      </c>
      <c r="C60" s="2">
        <v>4.0010000000000003</v>
      </c>
      <c r="D60" s="2">
        <v>3.93</v>
      </c>
      <c r="E60" s="2">
        <v>3.7629999999999999</v>
      </c>
      <c r="F60" s="2">
        <v>3.6760000000000002</v>
      </c>
    </row>
    <row r="61" spans="1:6" x14ac:dyDescent="0.25">
      <c r="A61" t="s">
        <v>74</v>
      </c>
      <c r="B61" s="2">
        <v>4.2169999999999996</v>
      </c>
      <c r="C61" s="2">
        <v>4.008</v>
      </c>
      <c r="D61" s="2">
        <v>3.9580000000000002</v>
      </c>
      <c r="E61" s="2">
        <v>3.79</v>
      </c>
      <c r="F61" s="2">
        <v>3.702</v>
      </c>
    </row>
    <row r="62" spans="1:6" x14ac:dyDescent="0.25">
      <c r="A62" t="s">
        <v>75</v>
      </c>
      <c r="B62" s="2">
        <v>4.2175000000000002</v>
      </c>
      <c r="C62" s="2">
        <v>4.0049999999999999</v>
      </c>
      <c r="D62" s="2">
        <v>3.9710000000000001</v>
      </c>
      <c r="E62" s="2">
        <v>3.8159999999999998</v>
      </c>
      <c r="F62" s="2">
        <v>3.7549999999999999</v>
      </c>
    </row>
    <row r="63" spans="1:6" x14ac:dyDescent="0.25">
      <c r="A63" t="s">
        <v>76</v>
      </c>
      <c r="B63" s="2">
        <v>4.2173999999999996</v>
      </c>
      <c r="C63" s="2">
        <v>4.0010000000000003</v>
      </c>
      <c r="D63" s="2">
        <v>3.9660000000000002</v>
      </c>
      <c r="E63" s="2">
        <v>3.8109999999999999</v>
      </c>
      <c r="F63" s="2">
        <v>3.746</v>
      </c>
    </row>
    <row r="64" spans="1:6" x14ac:dyDescent="0.25">
      <c r="A64" t="s">
        <v>77</v>
      </c>
      <c r="B64" s="2">
        <v>4.2168000000000001</v>
      </c>
      <c r="C64" s="2">
        <v>3.9950000000000001</v>
      </c>
      <c r="D64" s="2">
        <v>3.9620000000000002</v>
      </c>
      <c r="E64" s="2">
        <v>3.8109999999999999</v>
      </c>
      <c r="F64" s="2">
        <v>3.7429999999999999</v>
      </c>
    </row>
    <row r="65" spans="1:6" x14ac:dyDescent="0.25">
      <c r="A65" t="s">
        <v>78</v>
      </c>
      <c r="B65" s="2">
        <v>4.2172000000000001</v>
      </c>
      <c r="C65" s="2">
        <v>3.9929999999999999</v>
      </c>
      <c r="D65" s="2">
        <v>3.952</v>
      </c>
      <c r="E65" s="2">
        <v>3.7919999999999998</v>
      </c>
      <c r="F65" s="2">
        <v>3.722</v>
      </c>
    </row>
    <row r="66" spans="1:6" x14ac:dyDescent="0.25">
      <c r="A66" t="s">
        <v>79</v>
      </c>
      <c r="B66" s="2">
        <v>4.2172000000000001</v>
      </c>
      <c r="C66" s="2">
        <v>3.9910000000000001</v>
      </c>
      <c r="D66" s="2">
        <v>3.9540000000000002</v>
      </c>
      <c r="E66" s="2">
        <v>3.802</v>
      </c>
      <c r="F66" s="2">
        <v>3.738</v>
      </c>
    </row>
    <row r="67" spans="1:6" x14ac:dyDescent="0.25">
      <c r="A67" t="s">
        <v>80</v>
      </c>
      <c r="B67" s="2">
        <v>4.2173999999999996</v>
      </c>
      <c r="C67" s="2">
        <v>3.992</v>
      </c>
      <c r="D67" s="2">
        <v>3.9529999999999998</v>
      </c>
      <c r="E67" s="2">
        <v>3.7970000000000002</v>
      </c>
      <c r="F67" s="2">
        <v>3.7330000000000001</v>
      </c>
    </row>
    <row r="68" spans="1:6" x14ac:dyDescent="0.25">
      <c r="A68" t="s">
        <v>81</v>
      </c>
      <c r="B68" s="2">
        <v>4.2173999999999996</v>
      </c>
      <c r="C68" s="2">
        <v>3.992</v>
      </c>
      <c r="D68" s="2">
        <v>3.9620000000000002</v>
      </c>
      <c r="E68" s="2">
        <v>3.8109999999999999</v>
      </c>
      <c r="F68" s="2">
        <v>3.758</v>
      </c>
    </row>
    <row r="69" spans="1:6" x14ac:dyDescent="0.25">
      <c r="A69" t="s">
        <v>82</v>
      </c>
      <c r="B69" s="2">
        <v>4.2171000000000003</v>
      </c>
      <c r="C69" s="2">
        <v>3.9910000000000001</v>
      </c>
      <c r="D69" s="2">
        <v>3.96</v>
      </c>
      <c r="E69" s="2">
        <v>3.8069999999999999</v>
      </c>
      <c r="F69" s="2">
        <v>3.7589999999999999</v>
      </c>
    </row>
    <row r="70" spans="1:6" x14ac:dyDescent="0.25">
      <c r="A70" t="s">
        <v>83</v>
      </c>
      <c r="B70" s="2">
        <v>4.2171000000000003</v>
      </c>
      <c r="C70" s="2">
        <v>3.9940000000000002</v>
      </c>
      <c r="D70" s="2">
        <v>3.9630000000000001</v>
      </c>
      <c r="E70" s="2">
        <v>3.8119999999999998</v>
      </c>
      <c r="F70" s="2">
        <v>3.7549999999999999</v>
      </c>
    </row>
    <row r="71" spans="1:6" x14ac:dyDescent="0.25">
      <c r="A71" t="s">
        <v>84</v>
      </c>
      <c r="B71" s="2">
        <v>4.2171000000000003</v>
      </c>
      <c r="C71" s="2">
        <v>3.9929999999999999</v>
      </c>
      <c r="D71" s="2">
        <v>3.9620000000000002</v>
      </c>
      <c r="E71" s="2">
        <v>3.8140000000000001</v>
      </c>
      <c r="F71" s="2">
        <v>3.7610000000000001</v>
      </c>
    </row>
    <row r="72" spans="1:6" x14ac:dyDescent="0.25">
      <c r="A72" t="s">
        <v>85</v>
      </c>
      <c r="B72" s="2">
        <v>4.2169999999999996</v>
      </c>
      <c r="C72" s="2">
        <v>3.9910000000000001</v>
      </c>
      <c r="D72" s="2">
        <v>3.9620000000000002</v>
      </c>
      <c r="E72" s="2">
        <v>3.8119999999999998</v>
      </c>
      <c r="F72" s="2">
        <v>3.7549999999999999</v>
      </c>
    </row>
    <row r="73" spans="1:6" x14ac:dyDescent="0.25">
      <c r="A73" t="s">
        <v>86</v>
      </c>
      <c r="B73" s="2">
        <v>4.2176</v>
      </c>
      <c r="C73" s="2">
        <v>3.984</v>
      </c>
      <c r="D73" s="2">
        <v>3.94</v>
      </c>
      <c r="E73" s="2">
        <v>3.77</v>
      </c>
      <c r="F73" s="2">
        <v>3.6909999999999998</v>
      </c>
    </row>
    <row r="74" spans="1:6" x14ac:dyDescent="0.25">
      <c r="A74" t="s">
        <v>87</v>
      </c>
      <c r="B74" s="2">
        <v>4.2168999999999999</v>
      </c>
      <c r="C74" s="2">
        <v>3.9830000000000001</v>
      </c>
      <c r="D74" s="2">
        <v>3.9449999999999998</v>
      </c>
      <c r="E74" s="2">
        <v>3.786</v>
      </c>
      <c r="F74" s="2">
        <v>3.7160000000000002</v>
      </c>
    </row>
    <row r="75" spans="1:6" x14ac:dyDescent="0.25">
      <c r="A75" t="s">
        <v>88</v>
      </c>
      <c r="B75" s="2">
        <v>4.2168000000000001</v>
      </c>
      <c r="C75" s="2">
        <v>3.984</v>
      </c>
      <c r="D75" s="2">
        <v>3.95</v>
      </c>
      <c r="E75" s="2">
        <v>3.802</v>
      </c>
      <c r="F75" s="2">
        <v>3.7349999999999999</v>
      </c>
    </row>
    <row r="76" spans="1:6" x14ac:dyDescent="0.25">
      <c r="A76" t="s">
        <v>89</v>
      </c>
      <c r="B76" s="2">
        <v>4.2169999999999996</v>
      </c>
      <c r="C76" s="2">
        <v>3.9849999999999999</v>
      </c>
      <c r="D76" s="2">
        <v>3.9449999999999998</v>
      </c>
      <c r="E76" s="2">
        <v>3.7949999999999999</v>
      </c>
      <c r="F76" s="2">
        <v>3.7290000000000001</v>
      </c>
    </row>
    <row r="77" spans="1:6" x14ac:dyDescent="0.25">
      <c r="A77" t="s">
        <v>90</v>
      </c>
      <c r="B77" s="2">
        <v>3.9676</v>
      </c>
      <c r="C77" s="2">
        <v>3.976</v>
      </c>
      <c r="D77" s="2">
        <v>3.964</v>
      </c>
      <c r="E77" s="2">
        <v>3.8460000000000001</v>
      </c>
      <c r="F77" s="2">
        <v>3.786</v>
      </c>
    </row>
    <row r="78" spans="1:6" x14ac:dyDescent="0.25">
      <c r="A78" t="s">
        <v>91</v>
      </c>
      <c r="B78" s="2">
        <v>3.9672000000000001</v>
      </c>
      <c r="C78" s="2">
        <v>3.9689999999999999</v>
      </c>
      <c r="D78" s="2">
        <v>3.863</v>
      </c>
      <c r="E78" s="2">
        <v>3.8039999999999998</v>
      </c>
      <c r="F78" s="2">
        <v>3.7050000000000001</v>
      </c>
    </row>
    <row r="79" spans="1:6" x14ac:dyDescent="0.25">
      <c r="A79" t="s">
        <v>92</v>
      </c>
      <c r="B79" s="2">
        <v>3.9668999999999999</v>
      </c>
      <c r="C79" s="2">
        <v>3.9590000000000001</v>
      </c>
      <c r="D79" s="2">
        <v>3.8460000000000001</v>
      </c>
      <c r="E79" s="2">
        <v>3.782</v>
      </c>
      <c r="F79" s="2">
        <v>3.6789999999999998</v>
      </c>
    </row>
    <row r="80" spans="1:6" x14ac:dyDescent="0.25">
      <c r="A80" t="s">
        <v>93</v>
      </c>
      <c r="B80" s="2">
        <v>3.9670000000000001</v>
      </c>
      <c r="C80" s="2">
        <v>3.9670000000000001</v>
      </c>
      <c r="D80" s="2">
        <v>3.8639999999999999</v>
      </c>
      <c r="E80" s="2">
        <v>3.8069999999999999</v>
      </c>
      <c r="F80" s="2">
        <v>3.7040000000000002</v>
      </c>
    </row>
    <row r="81" spans="1:6" x14ac:dyDescent="0.25">
      <c r="A81" t="s">
        <v>94</v>
      </c>
      <c r="B81" s="2">
        <v>3.9672000000000001</v>
      </c>
      <c r="C81" s="2">
        <v>3.9710000000000001</v>
      </c>
      <c r="D81" s="2">
        <v>3.8679999999999999</v>
      </c>
      <c r="E81" s="2">
        <v>3.806</v>
      </c>
      <c r="F81" s="2">
        <v>3.6970000000000001</v>
      </c>
    </row>
    <row r="82" spans="1:6" x14ac:dyDescent="0.25">
      <c r="A82" t="s">
        <v>95</v>
      </c>
      <c r="B82" s="2">
        <v>3.9674</v>
      </c>
      <c r="C82" s="2">
        <v>3.972</v>
      </c>
      <c r="D82" s="2">
        <v>3.883</v>
      </c>
      <c r="E82" s="2">
        <v>3.8250000000000002</v>
      </c>
      <c r="F82" s="2">
        <v>3.72</v>
      </c>
    </row>
    <row r="83" spans="1:6" x14ac:dyDescent="0.25">
      <c r="A83" t="s">
        <v>96</v>
      </c>
      <c r="B83" s="2">
        <v>3.9670999999999998</v>
      </c>
      <c r="C83" s="2">
        <v>3.9740000000000002</v>
      </c>
      <c r="D83" s="2">
        <v>3.89</v>
      </c>
      <c r="E83" s="2">
        <v>3.8359999999999999</v>
      </c>
      <c r="F83" s="2">
        <v>3.7309999999999999</v>
      </c>
    </row>
    <row r="84" spans="1:6" x14ac:dyDescent="0.25">
      <c r="A84" t="s">
        <v>97</v>
      </c>
      <c r="B84" s="2">
        <v>3.9668999999999999</v>
      </c>
      <c r="C84" s="2">
        <v>3.9710000000000001</v>
      </c>
      <c r="D84" s="2">
        <v>3.895</v>
      </c>
      <c r="E84" s="2">
        <v>3.8439999999999999</v>
      </c>
      <c r="F84" s="2">
        <v>3.7450000000000001</v>
      </c>
    </row>
    <row r="85" spans="1:6" x14ac:dyDescent="0.25">
      <c r="A85" t="s">
        <v>98</v>
      </c>
      <c r="B85" s="2">
        <v>3.9670999999999998</v>
      </c>
      <c r="C85" s="2">
        <v>3.9710000000000001</v>
      </c>
      <c r="D85" s="2">
        <v>3.8929999999999998</v>
      </c>
      <c r="E85" s="2">
        <v>3.85</v>
      </c>
      <c r="F85" s="2">
        <v>3.7530000000000001</v>
      </c>
    </row>
    <row r="86" spans="1:6" x14ac:dyDescent="0.25">
      <c r="A86" t="s">
        <v>99</v>
      </c>
      <c r="B86" s="2">
        <v>3.9672999999999998</v>
      </c>
      <c r="C86" s="2">
        <v>3.972</v>
      </c>
      <c r="D86" s="2">
        <v>3.8980000000000001</v>
      </c>
      <c r="E86" s="2">
        <v>3.8460000000000001</v>
      </c>
      <c r="F86" s="2">
        <v>3.7440000000000002</v>
      </c>
    </row>
    <row r="87" spans="1:6" x14ac:dyDescent="0.25">
      <c r="A87" t="s">
        <v>100</v>
      </c>
      <c r="B87" s="2">
        <v>3.9674999999999998</v>
      </c>
      <c r="C87" s="2">
        <v>3.9740000000000002</v>
      </c>
      <c r="D87" s="2">
        <v>3.92</v>
      </c>
      <c r="E87" s="2">
        <v>3.8759999999999999</v>
      </c>
      <c r="F87" s="2">
        <v>3.7839999999999998</v>
      </c>
    </row>
    <row r="88" spans="1:6" x14ac:dyDescent="0.25">
      <c r="A88" t="s">
        <v>101</v>
      </c>
      <c r="B88" s="2">
        <v>3.9670999999999998</v>
      </c>
      <c r="C88" s="2">
        <v>3.9729999999999999</v>
      </c>
      <c r="D88" s="2">
        <v>3.9140000000000001</v>
      </c>
      <c r="E88" s="2">
        <v>3.8660000000000001</v>
      </c>
      <c r="F88" s="2">
        <v>3.7690000000000001</v>
      </c>
    </row>
    <row r="89" spans="1:6" x14ac:dyDescent="0.25">
      <c r="A89" t="s">
        <v>102</v>
      </c>
      <c r="B89" s="2" t="e">
        <v>#N/A</v>
      </c>
      <c r="C89" s="2">
        <v>3.9750000000000001</v>
      </c>
      <c r="D89" s="2">
        <v>3.9140000000000001</v>
      </c>
      <c r="E89" s="2">
        <v>3.863</v>
      </c>
      <c r="F89" s="2">
        <v>3.7639999999999998</v>
      </c>
    </row>
    <row r="90" spans="1:6" x14ac:dyDescent="0.25">
      <c r="A90" t="s">
        <v>103</v>
      </c>
      <c r="B90" s="2">
        <v>3.9674</v>
      </c>
      <c r="C90" s="2">
        <v>3.9750000000000001</v>
      </c>
      <c r="D90" s="2">
        <v>3.9180000000000001</v>
      </c>
      <c r="E90" s="2">
        <v>3.87</v>
      </c>
      <c r="F90" s="2">
        <v>3.7749999999999999</v>
      </c>
    </row>
    <row r="91" spans="1:6" x14ac:dyDescent="0.25">
      <c r="A91" t="s">
        <v>104</v>
      </c>
      <c r="B91" s="2">
        <v>3.9674999999999998</v>
      </c>
      <c r="C91" s="2">
        <v>3.9769999999999999</v>
      </c>
      <c r="D91" s="2">
        <v>3.9239999999999999</v>
      </c>
      <c r="E91" s="2">
        <v>3.879</v>
      </c>
      <c r="F91" s="2">
        <v>3.7839999999999998</v>
      </c>
    </row>
    <row r="92" spans="1:6" x14ac:dyDescent="0.25">
      <c r="A92" t="s">
        <v>105</v>
      </c>
      <c r="B92" s="2">
        <v>3.9674999999999998</v>
      </c>
      <c r="C92" s="2">
        <v>3.9740000000000002</v>
      </c>
      <c r="D92" s="2">
        <v>3.9239999999999999</v>
      </c>
      <c r="E92" s="2">
        <v>3.8719999999999999</v>
      </c>
      <c r="F92" s="2">
        <v>3.7730000000000001</v>
      </c>
    </row>
    <row r="93" spans="1:6" x14ac:dyDescent="0.25">
      <c r="A93" t="s">
        <v>106</v>
      </c>
      <c r="B93" s="2">
        <v>3.9664999999999999</v>
      </c>
      <c r="C93" s="2">
        <v>3.9740000000000002</v>
      </c>
      <c r="D93" s="2">
        <v>3.9279999999999999</v>
      </c>
      <c r="E93" s="2">
        <v>3.8740000000000001</v>
      </c>
      <c r="F93" s="2">
        <v>3.778</v>
      </c>
    </row>
    <row r="94" spans="1:6" x14ac:dyDescent="0.25">
      <c r="A94" t="s">
        <v>107</v>
      </c>
      <c r="B94" s="2">
        <v>3.9668999999999999</v>
      </c>
      <c r="C94" s="2">
        <v>3.9740000000000002</v>
      </c>
      <c r="D94" s="2">
        <v>3.9249999999999998</v>
      </c>
      <c r="E94" s="2">
        <v>3.8740000000000001</v>
      </c>
      <c r="F94" s="2">
        <v>3.7789999999999999</v>
      </c>
    </row>
    <row r="95" spans="1:6" x14ac:dyDescent="0.25">
      <c r="A95" t="s">
        <v>108</v>
      </c>
      <c r="B95" s="2">
        <v>3.9668999999999999</v>
      </c>
      <c r="C95" s="2">
        <v>3.9729999999999999</v>
      </c>
      <c r="D95" s="2">
        <v>3.927</v>
      </c>
      <c r="E95" s="2">
        <v>3.883</v>
      </c>
      <c r="F95" s="2">
        <v>3.7919999999999998</v>
      </c>
    </row>
    <row r="96" spans="1:6" x14ac:dyDescent="0.25">
      <c r="A96" t="s">
        <v>109</v>
      </c>
      <c r="B96" s="2">
        <v>3.9670000000000001</v>
      </c>
      <c r="C96" s="2">
        <v>3.9740000000000002</v>
      </c>
      <c r="D96" s="2">
        <v>3.9239999999999999</v>
      </c>
      <c r="E96" s="2">
        <v>3.8769999999999998</v>
      </c>
      <c r="F96" s="2">
        <v>3.7810000000000001</v>
      </c>
    </row>
    <row r="97" spans="1:6" x14ac:dyDescent="0.25">
      <c r="A97" t="s">
        <v>110</v>
      </c>
      <c r="B97" s="2">
        <v>3.9670999999999998</v>
      </c>
      <c r="C97" s="2">
        <v>3.9729999999999999</v>
      </c>
      <c r="D97" s="2">
        <v>3.927</v>
      </c>
      <c r="E97" s="2">
        <v>3.871</v>
      </c>
      <c r="F97" s="2">
        <v>3.77</v>
      </c>
    </row>
    <row r="98" spans="1:6" x14ac:dyDescent="0.25">
      <c r="A98" t="s">
        <v>111</v>
      </c>
      <c r="B98" s="2">
        <v>3.9668999999999999</v>
      </c>
      <c r="C98" s="2">
        <v>3.9710000000000001</v>
      </c>
      <c r="D98" s="2">
        <v>3.9169999999999998</v>
      </c>
      <c r="E98" s="2">
        <v>3.8570000000000002</v>
      </c>
      <c r="F98" s="2">
        <v>3.7440000000000002</v>
      </c>
    </row>
    <row r="99" spans="1:6" x14ac:dyDescent="0.25">
      <c r="A99" t="s">
        <v>112</v>
      </c>
      <c r="B99" s="2">
        <v>3.9670000000000001</v>
      </c>
      <c r="C99" s="2">
        <v>3.9750000000000001</v>
      </c>
      <c r="D99" s="2">
        <v>3.9159999999999999</v>
      </c>
      <c r="E99" s="2">
        <v>3.859</v>
      </c>
      <c r="F99" s="2">
        <v>3.7429999999999999</v>
      </c>
    </row>
    <row r="100" spans="1:6" x14ac:dyDescent="0.25">
      <c r="A100" t="s">
        <v>113</v>
      </c>
      <c r="B100" s="2">
        <v>3.9670000000000001</v>
      </c>
      <c r="C100" s="2">
        <v>3.9740000000000002</v>
      </c>
      <c r="D100" s="2">
        <v>3.9159999999999999</v>
      </c>
      <c r="E100" s="2">
        <v>3.8639999999999999</v>
      </c>
      <c r="F100" s="2">
        <v>3.7519999999999998</v>
      </c>
    </row>
    <row r="101" spans="1:6" x14ac:dyDescent="0.25">
      <c r="A101" t="s">
        <v>114</v>
      </c>
      <c r="B101" s="2">
        <v>3.9670000000000001</v>
      </c>
      <c r="C101" s="2">
        <v>3.9729999999999999</v>
      </c>
      <c r="D101" s="2">
        <v>3.92</v>
      </c>
      <c r="E101" s="2">
        <v>3.87</v>
      </c>
      <c r="F101" s="2">
        <v>3.7629999999999999</v>
      </c>
    </row>
    <row r="102" spans="1:6" x14ac:dyDescent="0.25">
      <c r="A102" t="s">
        <v>115</v>
      </c>
      <c r="B102" s="2">
        <v>3.9670000000000001</v>
      </c>
      <c r="C102" s="2">
        <v>3.9740000000000002</v>
      </c>
      <c r="D102" s="2">
        <v>3.92</v>
      </c>
      <c r="E102" s="2">
        <v>3.8660000000000001</v>
      </c>
      <c r="F102" s="2">
        <v>3.7570000000000001</v>
      </c>
    </row>
    <row r="103" spans="1:6" x14ac:dyDescent="0.25">
      <c r="A103" t="s">
        <v>116</v>
      </c>
      <c r="B103" s="2">
        <v>3.9672000000000001</v>
      </c>
      <c r="C103" s="2">
        <v>3.976</v>
      </c>
      <c r="D103" s="2">
        <v>3.94</v>
      </c>
      <c r="E103" s="2">
        <v>3.891</v>
      </c>
      <c r="F103" s="2">
        <v>3.7789999999999999</v>
      </c>
    </row>
    <row r="104" spans="1:6" x14ac:dyDescent="0.25">
      <c r="A104" t="s">
        <v>117</v>
      </c>
      <c r="B104" s="2">
        <v>3.9676</v>
      </c>
      <c r="C104" s="2">
        <v>3.972</v>
      </c>
      <c r="D104" s="2">
        <v>3.9289999999999998</v>
      </c>
      <c r="E104" s="2">
        <v>3.8839999999999999</v>
      </c>
      <c r="F104" s="2">
        <v>3.7749999999999999</v>
      </c>
    </row>
    <row r="105" spans="1:6" x14ac:dyDescent="0.25">
      <c r="A105" t="s">
        <v>118</v>
      </c>
      <c r="B105" s="2">
        <v>3.9672999999999998</v>
      </c>
      <c r="C105" s="2">
        <v>3.976</v>
      </c>
      <c r="D105" s="2">
        <v>3.931</v>
      </c>
      <c r="E105" s="2">
        <v>3.8889999999999998</v>
      </c>
      <c r="F105" s="2">
        <v>3.7839999999999998</v>
      </c>
    </row>
    <row r="106" spans="1:6" x14ac:dyDescent="0.25">
      <c r="A106" t="s">
        <v>119</v>
      </c>
      <c r="B106" s="2">
        <v>3.9674</v>
      </c>
      <c r="C106" s="2">
        <v>3.9780000000000002</v>
      </c>
      <c r="D106" s="2">
        <v>3.9409999999999998</v>
      </c>
      <c r="E106" s="2">
        <v>3.9</v>
      </c>
      <c r="F106" s="2">
        <v>3.7970000000000002</v>
      </c>
    </row>
    <row r="107" spans="1:6" x14ac:dyDescent="0.25">
      <c r="A107" t="s">
        <v>120</v>
      </c>
      <c r="B107" s="2">
        <v>3.9674</v>
      </c>
      <c r="C107" s="2">
        <v>3.9780000000000002</v>
      </c>
      <c r="D107" s="2">
        <v>3.944</v>
      </c>
      <c r="E107" s="2">
        <v>3.9009999999999998</v>
      </c>
      <c r="F107" s="2">
        <v>3.7959999999999998</v>
      </c>
    </row>
    <row r="108" spans="1:6" x14ac:dyDescent="0.25">
      <c r="A108" t="s">
        <v>121</v>
      </c>
      <c r="B108" s="2">
        <v>3.9672999999999998</v>
      </c>
      <c r="C108" s="2">
        <v>3.9540000000000002</v>
      </c>
      <c r="D108" s="2">
        <v>3.907</v>
      </c>
      <c r="E108" s="2">
        <v>3.8</v>
      </c>
      <c r="F108" s="2">
        <v>3.7650000000000001</v>
      </c>
    </row>
    <row r="109" spans="1:6" x14ac:dyDescent="0.25">
      <c r="A109" t="s">
        <v>122</v>
      </c>
      <c r="B109" s="2">
        <v>3.9670999999999998</v>
      </c>
      <c r="C109" s="2">
        <v>3.9540000000000002</v>
      </c>
      <c r="D109" s="2">
        <v>3.907</v>
      </c>
      <c r="E109" s="2">
        <v>3.8010000000000002</v>
      </c>
      <c r="F109" s="2">
        <v>3.7669999999999999</v>
      </c>
    </row>
    <row r="110" spans="1:6" x14ac:dyDescent="0.25">
      <c r="A110" t="s">
        <v>123</v>
      </c>
      <c r="B110" s="2">
        <v>3.9678</v>
      </c>
      <c r="C110" s="2">
        <v>3.9510000000000001</v>
      </c>
      <c r="D110" s="2">
        <v>3.9060000000000001</v>
      </c>
      <c r="E110" s="2">
        <v>3.7909999999999999</v>
      </c>
      <c r="F110" s="2">
        <v>3.7509999999999999</v>
      </c>
    </row>
    <row r="111" spans="1:6" x14ac:dyDescent="0.25">
      <c r="A111" t="s">
        <v>124</v>
      </c>
      <c r="B111" s="2">
        <v>3.9676999999999998</v>
      </c>
      <c r="C111" s="2">
        <v>3.9510000000000001</v>
      </c>
      <c r="D111" s="2">
        <v>3.907</v>
      </c>
      <c r="E111" s="2">
        <v>3.7890000000000001</v>
      </c>
      <c r="F111" s="2">
        <v>3.7480000000000002</v>
      </c>
    </row>
    <row r="112" spans="1:6" x14ac:dyDescent="0.25">
      <c r="A112" t="s">
        <v>125</v>
      </c>
      <c r="B112" s="2">
        <v>3.9674999999999998</v>
      </c>
      <c r="C112" s="2">
        <v>3.956</v>
      </c>
      <c r="D112" s="2">
        <v>3.9180000000000001</v>
      </c>
      <c r="E112" s="2">
        <v>3.8079999999999998</v>
      </c>
      <c r="F112" s="2">
        <v>3.7789999999999999</v>
      </c>
    </row>
    <row r="113" spans="1:6" x14ac:dyDescent="0.25">
      <c r="A113" t="s">
        <v>126</v>
      </c>
      <c r="B113" s="2">
        <v>3.9668999999999999</v>
      </c>
      <c r="C113" s="2">
        <v>3.9590000000000001</v>
      </c>
      <c r="D113" s="2">
        <v>3.92</v>
      </c>
      <c r="E113" s="2">
        <v>3.8149999999999999</v>
      </c>
      <c r="F113" s="2">
        <v>3.7850000000000001</v>
      </c>
    </row>
    <row r="114" spans="1:6" x14ac:dyDescent="0.25">
      <c r="A114" t="s">
        <v>127</v>
      </c>
      <c r="B114" s="2">
        <v>3.9666999999999999</v>
      </c>
      <c r="C114" s="2">
        <v>3.9590000000000001</v>
      </c>
      <c r="D114" s="2">
        <v>3.92</v>
      </c>
      <c r="E114" s="2">
        <v>3.8130000000000002</v>
      </c>
      <c r="F114" s="2">
        <v>3.7810000000000001</v>
      </c>
    </row>
    <row r="115" spans="1:6" x14ac:dyDescent="0.25">
      <c r="A115" t="s">
        <v>128</v>
      </c>
      <c r="B115" s="2">
        <v>3.9670999999999998</v>
      </c>
      <c r="C115" s="2">
        <v>3.9550000000000001</v>
      </c>
      <c r="D115" s="2">
        <v>3.919</v>
      </c>
      <c r="E115" s="2">
        <v>3.8119999999999998</v>
      </c>
      <c r="F115" s="2">
        <v>3.778</v>
      </c>
    </row>
    <row r="116" spans="1:6" x14ac:dyDescent="0.25">
      <c r="A116" t="s">
        <v>129</v>
      </c>
      <c r="B116" s="2">
        <v>3.9674</v>
      </c>
      <c r="C116" s="2">
        <v>3.9529999999999998</v>
      </c>
      <c r="D116" s="2">
        <v>3.9119999999999999</v>
      </c>
      <c r="E116" s="2">
        <v>3.802</v>
      </c>
      <c r="F116" s="2">
        <v>3.7690000000000001</v>
      </c>
    </row>
    <row r="117" spans="1:6" x14ac:dyDescent="0.25">
      <c r="A117" t="s">
        <v>130</v>
      </c>
      <c r="B117" s="2">
        <v>3.9674</v>
      </c>
      <c r="C117" s="2">
        <v>3.9620000000000002</v>
      </c>
      <c r="D117" s="2">
        <v>3.9220000000000002</v>
      </c>
      <c r="E117" s="2">
        <v>3.8170000000000002</v>
      </c>
      <c r="F117" s="2">
        <v>3.7829999999999999</v>
      </c>
    </row>
    <row r="118" spans="1:6" x14ac:dyDescent="0.25">
      <c r="A118" t="s">
        <v>131</v>
      </c>
      <c r="B118" s="2">
        <v>3.9672000000000001</v>
      </c>
      <c r="C118" s="2">
        <v>3.9609999999999999</v>
      </c>
      <c r="D118" s="2">
        <v>3.9159999999999999</v>
      </c>
      <c r="E118" s="2">
        <v>3.8069999999999999</v>
      </c>
      <c r="F118" s="2">
        <v>3.7719999999999998</v>
      </c>
    </row>
    <row r="119" spans="1:6" x14ac:dyDescent="0.25">
      <c r="A119" t="s">
        <v>132</v>
      </c>
      <c r="B119" s="2">
        <v>3.9674</v>
      </c>
      <c r="C119" s="2">
        <v>3.96</v>
      </c>
      <c r="D119" s="2">
        <v>3.9159999999999999</v>
      </c>
      <c r="E119" s="2">
        <v>3.8109999999999999</v>
      </c>
      <c r="F119" s="2">
        <v>3.782</v>
      </c>
    </row>
    <row r="120" spans="1:6" x14ac:dyDescent="0.25">
      <c r="A120" t="s">
        <v>133</v>
      </c>
      <c r="B120" s="2">
        <v>3.9676</v>
      </c>
      <c r="C120" s="2">
        <v>3.9609999999999999</v>
      </c>
      <c r="D120" s="2">
        <v>3.92</v>
      </c>
      <c r="E120" s="2">
        <v>3.8149999999999999</v>
      </c>
      <c r="F120" s="2">
        <v>3.7850000000000001</v>
      </c>
    </row>
    <row r="121" spans="1:6" x14ac:dyDescent="0.25">
      <c r="A121" t="s">
        <v>134</v>
      </c>
      <c r="B121" s="2">
        <v>3.9676999999999998</v>
      </c>
      <c r="C121" s="2">
        <v>3.9590000000000001</v>
      </c>
      <c r="D121" s="2">
        <v>3.92</v>
      </c>
      <c r="E121" s="2">
        <v>3.8159999999999998</v>
      </c>
      <c r="F121" s="2">
        <v>3.7829999999999999</v>
      </c>
    </row>
    <row r="122" spans="1:6" x14ac:dyDescent="0.25">
      <c r="A122" t="s">
        <v>135</v>
      </c>
      <c r="B122" s="2">
        <v>3.9678</v>
      </c>
      <c r="C122" s="2">
        <v>3.9609999999999999</v>
      </c>
      <c r="D122" s="2">
        <v>3.9249999999999998</v>
      </c>
      <c r="E122" s="2">
        <v>3.823</v>
      </c>
      <c r="F122" s="2">
        <v>3.7930000000000001</v>
      </c>
    </row>
    <row r="123" spans="1:6" x14ac:dyDescent="0.25">
      <c r="A123" t="s">
        <v>136</v>
      </c>
      <c r="B123" s="2">
        <v>3.9678</v>
      </c>
      <c r="C123" s="2">
        <v>3.9620000000000002</v>
      </c>
      <c r="D123" s="2">
        <v>3.9180000000000001</v>
      </c>
      <c r="E123" s="2">
        <v>3.8119999999999998</v>
      </c>
      <c r="F123" s="2">
        <v>3.7749999999999999</v>
      </c>
    </row>
    <row r="124" spans="1:6" x14ac:dyDescent="0.25">
      <c r="A124" t="s">
        <v>137</v>
      </c>
      <c r="B124" s="2">
        <v>3.9672000000000001</v>
      </c>
      <c r="C124" s="2">
        <v>3.956</v>
      </c>
      <c r="D124" s="2">
        <v>3.91</v>
      </c>
      <c r="E124" s="2">
        <v>3.7989999999999999</v>
      </c>
      <c r="F124" s="2">
        <v>3.76</v>
      </c>
    </row>
    <row r="125" spans="1:6" x14ac:dyDescent="0.25">
      <c r="A125" t="s">
        <v>138</v>
      </c>
      <c r="B125" s="2">
        <v>3.9674</v>
      </c>
      <c r="C125" s="2">
        <v>3.9430000000000001</v>
      </c>
      <c r="D125" s="2">
        <v>3.883</v>
      </c>
      <c r="E125" s="2">
        <v>3.7549999999999999</v>
      </c>
      <c r="F125" s="2">
        <v>3.71</v>
      </c>
    </row>
    <row r="126" spans="1:6" x14ac:dyDescent="0.25">
      <c r="A126" t="s">
        <v>139</v>
      </c>
      <c r="B126" s="2">
        <v>3.9670999999999998</v>
      </c>
      <c r="C126" s="2">
        <v>3.9449999999999998</v>
      </c>
      <c r="D126" s="2">
        <v>3.8780000000000001</v>
      </c>
      <c r="E126" s="2">
        <v>3.7450000000000001</v>
      </c>
      <c r="F126" s="2">
        <v>3.7</v>
      </c>
    </row>
    <row r="127" spans="1:6" x14ac:dyDescent="0.25">
      <c r="A127" t="s">
        <v>140</v>
      </c>
      <c r="B127" s="2">
        <v>3.9676</v>
      </c>
      <c r="C127" s="2">
        <v>3.9449999999999998</v>
      </c>
      <c r="D127" s="2">
        <v>3.8660000000000001</v>
      </c>
      <c r="E127" s="2">
        <v>3.7229999999999999</v>
      </c>
      <c r="F127" s="2">
        <v>3.6669999999999998</v>
      </c>
    </row>
    <row r="128" spans="1:6" x14ac:dyDescent="0.25">
      <c r="A128" t="s">
        <v>141</v>
      </c>
      <c r="B128" s="2">
        <v>3.9681999999999999</v>
      </c>
      <c r="C128" s="2">
        <v>3.9460000000000002</v>
      </c>
      <c r="D128" s="2">
        <v>3.8740000000000001</v>
      </c>
      <c r="E128" s="2">
        <v>3.738</v>
      </c>
      <c r="F128" s="2">
        <v>3.6829999999999998</v>
      </c>
    </row>
    <row r="129" spans="1:6" x14ac:dyDescent="0.25">
      <c r="A129" t="s">
        <v>142</v>
      </c>
      <c r="B129" s="2">
        <v>3.9681999999999999</v>
      </c>
      <c r="C129" s="2">
        <v>3.9409999999999998</v>
      </c>
      <c r="D129" s="2">
        <v>3.87</v>
      </c>
      <c r="E129" s="2">
        <v>3.7330000000000001</v>
      </c>
      <c r="F129" s="2">
        <v>3.6789999999999998</v>
      </c>
    </row>
    <row r="130" spans="1:6" x14ac:dyDescent="0.25">
      <c r="A130" t="s">
        <v>143</v>
      </c>
      <c r="B130" s="2">
        <v>3.9687999999999999</v>
      </c>
      <c r="C130" s="2">
        <v>3.9430000000000001</v>
      </c>
      <c r="D130" s="2">
        <v>3.875</v>
      </c>
      <c r="E130" s="2">
        <v>3.74</v>
      </c>
      <c r="F130" s="2">
        <v>3.6890000000000001</v>
      </c>
    </row>
    <row r="131" spans="1:6" x14ac:dyDescent="0.25">
      <c r="A131" t="s">
        <v>144</v>
      </c>
      <c r="B131" s="2">
        <v>3.9687000000000001</v>
      </c>
      <c r="C131" s="2">
        <v>3.88</v>
      </c>
      <c r="D131" s="2">
        <v>3.7959999999999998</v>
      </c>
      <c r="E131" s="2">
        <v>3.649</v>
      </c>
      <c r="F131" s="2">
        <v>3.5870000000000002</v>
      </c>
    </row>
    <row r="132" spans="1:6" x14ac:dyDescent="0.25">
      <c r="A132" t="s">
        <v>145</v>
      </c>
      <c r="B132" s="2">
        <v>3.9691000000000001</v>
      </c>
      <c r="C132" s="2">
        <v>3.8919999999999999</v>
      </c>
      <c r="D132" s="2">
        <v>3.8010000000000002</v>
      </c>
      <c r="E132" s="2">
        <v>3.649</v>
      </c>
      <c r="F132" s="2">
        <v>3.5870000000000002</v>
      </c>
    </row>
    <row r="133" spans="1:6" x14ac:dyDescent="0.25">
      <c r="A133" t="s">
        <v>146</v>
      </c>
      <c r="B133" s="2">
        <v>3.9691000000000001</v>
      </c>
      <c r="C133" s="2">
        <v>3.9180000000000001</v>
      </c>
      <c r="D133" s="2">
        <v>3.819</v>
      </c>
      <c r="E133" s="2">
        <v>3.6619999999999999</v>
      </c>
      <c r="F133" s="2">
        <v>3.6040000000000001</v>
      </c>
    </row>
    <row r="134" spans="1:6" x14ac:dyDescent="0.25">
      <c r="A134" t="s">
        <v>147</v>
      </c>
      <c r="B134" s="2">
        <v>3.9693000000000001</v>
      </c>
      <c r="C134" s="2">
        <v>3.9140000000000001</v>
      </c>
      <c r="D134" s="2">
        <v>3.8210000000000002</v>
      </c>
      <c r="E134" s="2">
        <v>3.669</v>
      </c>
      <c r="F134" s="2">
        <v>3.6110000000000002</v>
      </c>
    </row>
    <row r="135" spans="1:6" x14ac:dyDescent="0.25">
      <c r="A135" t="s">
        <v>148</v>
      </c>
      <c r="B135" s="2">
        <v>3.9693999999999998</v>
      </c>
      <c r="C135" s="2">
        <v>3.9</v>
      </c>
      <c r="D135" s="2">
        <v>3.806</v>
      </c>
      <c r="E135" s="2">
        <v>3.653</v>
      </c>
      <c r="F135" s="2">
        <v>3.589</v>
      </c>
    </row>
    <row r="136" spans="1:6" x14ac:dyDescent="0.25">
      <c r="A136" t="s">
        <v>149</v>
      </c>
      <c r="B136" s="2">
        <v>3.9693000000000001</v>
      </c>
      <c r="C136" s="2">
        <v>3.9060000000000001</v>
      </c>
      <c r="D136" s="2">
        <v>3.8119999999999998</v>
      </c>
      <c r="E136" s="2">
        <v>3.657</v>
      </c>
      <c r="F136" s="2">
        <v>3.59</v>
      </c>
    </row>
    <row r="137" spans="1:6" x14ac:dyDescent="0.25">
      <c r="A137" t="s">
        <v>153</v>
      </c>
      <c r="B137" s="2">
        <v>3.9693000000000001</v>
      </c>
      <c r="C137" s="2">
        <v>3.9119999999999999</v>
      </c>
      <c r="D137" s="2">
        <v>3.82</v>
      </c>
      <c r="E137" s="2">
        <v>3.67</v>
      </c>
      <c r="F137" s="2">
        <v>3.609</v>
      </c>
    </row>
    <row r="138" spans="1:6" x14ac:dyDescent="0.25">
      <c r="A138" t="s">
        <v>154</v>
      </c>
      <c r="B138" s="2">
        <v>3.9689000000000001</v>
      </c>
      <c r="C138" s="2">
        <v>3.9049999999999998</v>
      </c>
      <c r="D138" s="2">
        <v>3.8090000000000002</v>
      </c>
      <c r="E138" s="2">
        <v>3.6589999999999998</v>
      </c>
      <c r="F138" s="2">
        <v>3.5960000000000001</v>
      </c>
    </row>
    <row r="139" spans="1:6" x14ac:dyDescent="0.25">
      <c r="A139" t="s">
        <v>155</v>
      </c>
      <c r="B139" s="2">
        <v>3.9693999999999998</v>
      </c>
      <c r="C139" s="2">
        <v>3.9039999999999999</v>
      </c>
      <c r="D139" s="2">
        <v>3.8109999999999999</v>
      </c>
      <c r="E139" s="2">
        <v>3.6739999999999999</v>
      </c>
      <c r="F139" s="2">
        <v>3.6150000000000002</v>
      </c>
    </row>
    <row r="140" spans="1:6" x14ac:dyDescent="0.25">
      <c r="A140" t="s">
        <v>156</v>
      </c>
      <c r="B140" s="2">
        <v>3.9693999999999998</v>
      </c>
      <c r="C140" s="2">
        <v>3.9</v>
      </c>
      <c r="D140" s="2">
        <v>3.802</v>
      </c>
      <c r="E140" s="2">
        <v>3.665</v>
      </c>
      <c r="F140" s="2">
        <v>3.6019999999999999</v>
      </c>
    </row>
    <row r="141" spans="1:6" x14ac:dyDescent="0.25">
      <c r="A141" t="s">
        <v>157</v>
      </c>
      <c r="B141" s="2">
        <v>3.9693999999999998</v>
      </c>
      <c r="C141" s="2">
        <v>3.9159999999999999</v>
      </c>
      <c r="D141" s="2">
        <v>3.8170000000000002</v>
      </c>
      <c r="E141" s="2">
        <v>3.6859999999999999</v>
      </c>
      <c r="F141" s="2">
        <v>3.633</v>
      </c>
    </row>
    <row r="142" spans="1:6" x14ac:dyDescent="0.25">
      <c r="A142" t="s">
        <v>158</v>
      </c>
      <c r="B142" s="2">
        <v>3.9693000000000001</v>
      </c>
      <c r="C142" s="2">
        <v>3.9790000000000001</v>
      </c>
      <c r="D142" s="2">
        <v>3.8010000000000002</v>
      </c>
      <c r="E142" s="2">
        <v>3.6930000000000001</v>
      </c>
      <c r="F142" s="2">
        <v>3.6230000000000002</v>
      </c>
    </row>
    <row r="143" spans="1:6" x14ac:dyDescent="0.25">
      <c r="A143" t="s">
        <v>159</v>
      </c>
      <c r="B143" s="2">
        <v>3.9697</v>
      </c>
      <c r="C143" s="2">
        <v>3.7989999999999999</v>
      </c>
      <c r="D143" s="2">
        <v>3.7050000000000001</v>
      </c>
      <c r="E143" s="2">
        <v>3.633</v>
      </c>
      <c r="F143" s="2">
        <v>3.5329999999999999</v>
      </c>
    </row>
    <row r="144" spans="1:6" x14ac:dyDescent="0.25">
      <c r="A144" t="s">
        <v>160</v>
      </c>
      <c r="B144" s="2">
        <v>3.9693999999999998</v>
      </c>
      <c r="C144" s="2">
        <v>3.7989999999999999</v>
      </c>
      <c r="D144" s="2">
        <v>3.7130000000000001</v>
      </c>
      <c r="E144" s="2">
        <v>3.637</v>
      </c>
      <c r="F144" s="2">
        <v>3.5329999999999999</v>
      </c>
    </row>
    <row r="145" spans="1:6" x14ac:dyDescent="0.25">
      <c r="A145" t="s">
        <v>161</v>
      </c>
      <c r="B145" s="2">
        <v>3.9693999999999998</v>
      </c>
      <c r="C145" s="2">
        <v>3.762</v>
      </c>
      <c r="D145" s="2">
        <v>3.657</v>
      </c>
      <c r="E145" s="2">
        <v>3.5649999999999999</v>
      </c>
      <c r="F145" s="2">
        <v>3.45</v>
      </c>
    </row>
    <row r="146" spans="1:6" x14ac:dyDescent="0.25">
      <c r="A146" t="s">
        <v>162</v>
      </c>
      <c r="B146" s="2">
        <v>3.9691999999999998</v>
      </c>
      <c r="C146" s="2">
        <v>3.7650000000000001</v>
      </c>
      <c r="D146" s="2">
        <v>3.6560000000000001</v>
      </c>
      <c r="E146" s="2">
        <v>3.5609999999999999</v>
      </c>
      <c r="F146" s="2">
        <v>3.448</v>
      </c>
    </row>
    <row r="147" spans="1:6" x14ac:dyDescent="0.25">
      <c r="A147" t="s">
        <v>163</v>
      </c>
      <c r="B147" s="2">
        <v>3.9698000000000002</v>
      </c>
      <c r="C147" s="2">
        <v>3.7679999999999998</v>
      </c>
      <c r="D147" s="2">
        <v>3.6709999999999998</v>
      </c>
      <c r="E147" s="2">
        <v>3.5739999999999998</v>
      </c>
      <c r="F147" s="2">
        <v>3.4689999999999999</v>
      </c>
    </row>
    <row r="148" spans="1:6" x14ac:dyDescent="0.25">
      <c r="A148" t="s">
        <v>164</v>
      </c>
      <c r="B148" s="2">
        <v>3.9693999999999998</v>
      </c>
      <c r="C148" s="2">
        <v>3.782</v>
      </c>
      <c r="D148" s="2">
        <v>3.6960000000000002</v>
      </c>
      <c r="E148" s="2">
        <v>3.6219999999999999</v>
      </c>
      <c r="F148" s="2">
        <v>3.5310000000000001</v>
      </c>
    </row>
    <row r="149" spans="1:6" x14ac:dyDescent="0.25">
      <c r="A149" t="s">
        <v>165</v>
      </c>
      <c r="B149" s="2">
        <v>3.9691999999999998</v>
      </c>
      <c r="C149" s="2">
        <v>3.7869999999999999</v>
      </c>
      <c r="D149" s="2">
        <v>3.7029999999999998</v>
      </c>
      <c r="E149" s="2">
        <v>3.6269999999999998</v>
      </c>
      <c r="F149" s="2">
        <v>3.5289999999999999</v>
      </c>
    </row>
    <row r="150" spans="1:6" x14ac:dyDescent="0.25">
      <c r="A150" t="s">
        <v>166</v>
      </c>
      <c r="B150" s="2">
        <v>3.9693999999999998</v>
      </c>
      <c r="C150" s="2">
        <v>3.78</v>
      </c>
      <c r="D150" s="2">
        <v>3.694</v>
      </c>
      <c r="E150" s="2">
        <v>3.6150000000000002</v>
      </c>
      <c r="F150" s="2">
        <v>3.5110000000000001</v>
      </c>
    </row>
    <row r="151" spans="1:6" x14ac:dyDescent="0.25">
      <c r="A151" t="s">
        <v>167</v>
      </c>
      <c r="B151" s="2">
        <v>3.9693000000000001</v>
      </c>
      <c r="C151" s="2">
        <v>3.7629999999999999</v>
      </c>
      <c r="D151" s="2">
        <v>3.6949999999999998</v>
      </c>
      <c r="E151" s="2">
        <v>3.6179999999999999</v>
      </c>
      <c r="F151" s="2">
        <v>3.5259999999999998</v>
      </c>
    </row>
    <row r="152" spans="1:6" x14ac:dyDescent="0.25">
      <c r="A152" t="s">
        <v>168</v>
      </c>
      <c r="B152" s="2">
        <v>3.9689999999999999</v>
      </c>
      <c r="C152" s="2">
        <v>3.7639999999999998</v>
      </c>
      <c r="D152" s="2">
        <v>3.6930000000000001</v>
      </c>
      <c r="E152" s="2">
        <v>3.6070000000000002</v>
      </c>
      <c r="F152" s="2">
        <v>3.5070000000000001</v>
      </c>
    </row>
    <row r="153" spans="1:6" x14ac:dyDescent="0.25">
      <c r="A153" t="s">
        <v>169</v>
      </c>
      <c r="B153" s="2">
        <v>3.9689999999999999</v>
      </c>
      <c r="C153" s="2">
        <v>3.758</v>
      </c>
      <c r="D153" s="2">
        <v>3.6819999999999999</v>
      </c>
      <c r="E153" s="2">
        <v>3.5920000000000001</v>
      </c>
      <c r="F153" s="2">
        <v>3.49</v>
      </c>
    </row>
    <row r="154" spans="1:6" x14ac:dyDescent="0.25">
      <c r="A154" t="s">
        <v>170</v>
      </c>
      <c r="B154" s="2">
        <v>3.9687999999999999</v>
      </c>
      <c r="C154" s="2">
        <v>3.76</v>
      </c>
      <c r="D154" s="2">
        <v>3.698</v>
      </c>
      <c r="E154" s="2">
        <v>3.6040000000000001</v>
      </c>
      <c r="F154" s="2">
        <v>3.5009999999999999</v>
      </c>
    </row>
    <row r="155" spans="1:6" x14ac:dyDescent="0.25">
      <c r="A155" t="s">
        <v>171</v>
      </c>
      <c r="B155" s="2">
        <v>3.9687999999999999</v>
      </c>
      <c r="C155" s="2">
        <v>3.758</v>
      </c>
      <c r="D155" s="2">
        <v>3.6880000000000002</v>
      </c>
      <c r="E155" s="2">
        <v>3.5990000000000002</v>
      </c>
      <c r="F155" s="2">
        <v>3.4950000000000001</v>
      </c>
    </row>
    <row r="156" spans="1:6" x14ac:dyDescent="0.25">
      <c r="A156" t="s">
        <v>172</v>
      </c>
      <c r="B156" s="2">
        <v>3.9689999999999999</v>
      </c>
      <c r="C156" s="2">
        <v>3.7490000000000001</v>
      </c>
      <c r="D156" s="2">
        <v>3.681</v>
      </c>
      <c r="E156" s="2">
        <v>3.5870000000000002</v>
      </c>
      <c r="F156" s="2">
        <v>3.4780000000000002</v>
      </c>
    </row>
    <row r="157" spans="1:6" x14ac:dyDescent="0.25">
      <c r="A157" t="s">
        <v>173</v>
      </c>
      <c r="B157" s="2">
        <v>3.9687999999999999</v>
      </c>
      <c r="C157" s="2">
        <v>3.7469999999999999</v>
      </c>
      <c r="D157" s="2">
        <v>3.681</v>
      </c>
      <c r="E157" s="2">
        <v>3.59</v>
      </c>
      <c r="F157" s="2">
        <v>3.484</v>
      </c>
    </row>
    <row r="158" spans="1:6" x14ac:dyDescent="0.25">
      <c r="A158" t="s">
        <v>174</v>
      </c>
      <c r="B158" s="2">
        <v>3.9693000000000001</v>
      </c>
      <c r="C158" s="2">
        <v>3.746</v>
      </c>
      <c r="D158" s="2">
        <v>3.68</v>
      </c>
      <c r="E158" s="2">
        <v>3.5910000000000002</v>
      </c>
      <c r="F158" s="2">
        <v>3.488</v>
      </c>
    </row>
    <row r="159" spans="1:6" x14ac:dyDescent="0.25">
      <c r="A159" t="s">
        <v>175</v>
      </c>
      <c r="B159" s="2">
        <v>3.9702000000000002</v>
      </c>
      <c r="C159" s="2">
        <v>3.7509999999999999</v>
      </c>
      <c r="D159" s="2">
        <v>3.6840000000000002</v>
      </c>
      <c r="E159" s="2">
        <v>3.5990000000000002</v>
      </c>
      <c r="F159" s="2">
        <v>3.4910000000000001</v>
      </c>
    </row>
    <row r="160" spans="1:6" x14ac:dyDescent="0.25">
      <c r="A160" t="s">
        <v>176</v>
      </c>
      <c r="B160" s="2">
        <v>3.9712999999999998</v>
      </c>
      <c r="C160" s="2">
        <v>3.75</v>
      </c>
      <c r="D160" s="2">
        <v>3.6840000000000002</v>
      </c>
      <c r="E160" s="2">
        <v>3.5990000000000002</v>
      </c>
      <c r="F160" s="2">
        <v>3.49</v>
      </c>
    </row>
    <row r="161" spans="1:6" x14ac:dyDescent="0.25">
      <c r="A161" t="s">
        <v>177</v>
      </c>
      <c r="B161" s="2">
        <v>3.9716</v>
      </c>
      <c r="C161" s="2">
        <v>3.75</v>
      </c>
      <c r="D161" s="2">
        <v>3.6829999999999998</v>
      </c>
      <c r="E161" s="2">
        <v>3.593</v>
      </c>
      <c r="F161" s="2">
        <v>3.4809999999999999</v>
      </c>
    </row>
    <row r="162" spans="1:6" x14ac:dyDescent="0.25">
      <c r="A162" t="s">
        <v>180</v>
      </c>
      <c r="B162" s="2">
        <v>3.9731999999999998</v>
      </c>
      <c r="C162" s="2">
        <v>3.75</v>
      </c>
      <c r="D162" s="2">
        <v>3.6779999999999999</v>
      </c>
      <c r="E162" s="2">
        <v>3.5910000000000002</v>
      </c>
      <c r="F162" s="2">
        <v>3.4820000000000002</v>
      </c>
    </row>
    <row r="163" spans="1:6" x14ac:dyDescent="0.25">
      <c r="A163" t="s">
        <v>184</v>
      </c>
      <c r="B163" s="2">
        <f>B162</f>
        <v>3.9731999999999998</v>
      </c>
      <c r="C163" s="2">
        <v>3.7549999999999999</v>
      </c>
      <c r="D163" s="2">
        <v>3.6859999999999999</v>
      </c>
      <c r="E163" s="2">
        <v>3.6070000000000002</v>
      </c>
      <c r="F163" s="2">
        <v>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Chart Data</vt:lpstr>
      <vt:lpstr>HAVER</vt:lpstr>
      <vt:lpstr>Chart1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2025-10-30T14:01:56Z</dcterms:created>
  <dcterms:modified xsi:type="dcterms:W3CDTF">2025-12-08T21:29:17Z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2025-10-30T14:03:29Z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7d56c2c5-d2cb-4e2d-9cda-36bbe53ceae8</vt:lpwstr>
  </property>
  <property fmtid="{D5CDD505-2E9C-101B-9397-08002B2CF9AE}" pid="8" name="MSIP_Label_3b83b38b-8e91-4f17-8371-95d3d41e26c0_ContentBits">
    <vt:lpwstr>0</vt:lpwstr>
  </property>
  <property fmtid="{D5CDD505-2E9C-101B-9397-08002B2CF9AE}" pid="9" name="MSIP_Label_3b83b38b-8e91-4f17-8371-95d3d41e26c0_Tag">
    <vt:lpwstr>10, 0, 1, 1</vt:lpwstr>
  </property>
</Properties>
</file>