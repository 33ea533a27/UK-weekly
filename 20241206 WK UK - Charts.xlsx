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charts/chart2.xml" ContentType="application/vnd.openxmlformats-officedocument.drawingml.chart+xml"/>
  <Override PartName="/xl/theme/themeOverride2.xml" ContentType="application/vnd.openxmlformats-officedocument.themeOverrid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Z:\UK Team\UK Weekly\"/>
    </mc:Choice>
  </mc:AlternateContent>
  <xr:revisionPtr revIDLastSave="0" documentId="13_ncr:1_{5552AB7E-02DA-4A89-9B03-E30E074BCC31}" xr6:coauthVersionLast="47" xr6:coauthVersionMax="47" xr10:uidLastSave="{00000000-0000-0000-0000-000000000000}"/>
  <bookViews>
    <workbookView xWindow="-120" yWindow="-120" windowWidth="29040" windowHeight="15840" xr2:uid="{1032D599-5928-4B42-9CEE-6562DDB1F596}"/>
  </bookViews>
  <sheets>
    <sheet name="Chart - Emp &amp; unemp" sheetId="7" r:id="rId1"/>
    <sheet name="Chart - Emp" sheetId="5" r:id="rId2"/>
    <sheet name="Chart - Unemp" sheetId="6" r:id="rId3"/>
    <sheet name="Chart Data" sheetId="4" r:id="rId4"/>
    <sheet name="Figure 3" sheetId="3" r:id="rId5"/>
    <sheet name="Figure 4"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8" i="4" l="1"/>
  <c r="F4" i="4"/>
  <c r="G4" i="4"/>
  <c r="F5" i="4"/>
  <c r="G5" i="4"/>
  <c r="F6" i="4"/>
  <c r="G6" i="4"/>
  <c r="F7" i="4"/>
  <c r="G7" i="4"/>
  <c r="F8" i="4"/>
  <c r="G8" i="4"/>
  <c r="F9" i="4"/>
  <c r="G9" i="4"/>
  <c r="F10" i="4"/>
  <c r="G10" i="4"/>
  <c r="F11" i="4"/>
  <c r="G11" i="4"/>
  <c r="F12" i="4"/>
  <c r="G12" i="4"/>
  <c r="F13" i="4"/>
  <c r="G13"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G30" i="4"/>
  <c r="F31" i="4"/>
  <c r="G31" i="4"/>
  <c r="F32" i="4"/>
  <c r="G32" i="4"/>
  <c r="F33" i="4"/>
  <c r="G33" i="4"/>
  <c r="F34" i="4"/>
  <c r="G34" i="4"/>
  <c r="F35" i="4"/>
  <c r="G35" i="4"/>
  <c r="F36" i="4"/>
  <c r="G36" i="4"/>
  <c r="F37" i="4"/>
  <c r="G37" i="4"/>
  <c r="F38" i="4"/>
  <c r="G38" i="4"/>
  <c r="F39" i="4"/>
  <c r="G39" i="4"/>
  <c r="F40" i="4"/>
  <c r="G40" i="4"/>
  <c r="F41" i="4"/>
  <c r="G41" i="4"/>
  <c r="F42" i="4"/>
  <c r="G42" i="4"/>
  <c r="F43" i="4"/>
  <c r="G43" i="4"/>
  <c r="F44" i="4"/>
  <c r="G44" i="4"/>
  <c r="F45" i="4"/>
  <c r="G45" i="4"/>
  <c r="F46" i="4"/>
  <c r="G46" i="4"/>
  <c r="F47" i="4"/>
  <c r="G47" i="4"/>
  <c r="F48" i="4"/>
  <c r="G48" i="4"/>
  <c r="F49" i="4"/>
  <c r="G49" i="4"/>
  <c r="F50" i="4"/>
  <c r="G50" i="4"/>
  <c r="F51" i="4"/>
  <c r="G51" i="4"/>
  <c r="F52" i="4"/>
  <c r="G52" i="4"/>
  <c r="F53" i="4"/>
  <c r="G53" i="4"/>
  <c r="F54" i="4"/>
  <c r="G54" i="4"/>
  <c r="F55" i="4"/>
  <c r="G55" i="4"/>
  <c r="F56" i="4"/>
  <c r="G56" i="4"/>
  <c r="F57" i="4"/>
  <c r="G57" i="4"/>
  <c r="F58" i="4"/>
  <c r="G58" i="4"/>
  <c r="F59" i="4"/>
  <c r="G59" i="4"/>
  <c r="F60" i="4"/>
  <c r="G60" i="4"/>
  <c r="F61" i="4"/>
  <c r="G61" i="4"/>
  <c r="F62" i="4"/>
  <c r="G62" i="4"/>
  <c r="F63" i="4"/>
  <c r="G63" i="4"/>
  <c r="F64" i="4"/>
  <c r="G64" i="4"/>
  <c r="F65" i="4"/>
  <c r="G65" i="4"/>
  <c r="F66" i="4"/>
  <c r="G66" i="4"/>
  <c r="F67" i="4"/>
  <c r="G67" i="4"/>
  <c r="F68" i="4"/>
  <c r="G68" i="4"/>
  <c r="F69" i="4"/>
  <c r="G69" i="4"/>
  <c r="F70" i="4"/>
  <c r="G70" i="4"/>
  <c r="F71" i="4"/>
  <c r="G71" i="4"/>
  <c r="F72" i="4"/>
  <c r="G72" i="4"/>
  <c r="F73" i="4"/>
  <c r="G73" i="4"/>
  <c r="F74" i="4"/>
  <c r="G74" i="4"/>
  <c r="F75" i="4"/>
  <c r="G75" i="4"/>
  <c r="F76" i="4"/>
  <c r="G76" i="4"/>
  <c r="F77" i="4"/>
  <c r="G77" i="4"/>
  <c r="F78" i="4"/>
  <c r="G78" i="4"/>
  <c r="G3" i="4"/>
  <c r="F3" i="4"/>
  <c r="B4" i="4"/>
  <c r="C4" i="4"/>
  <c r="B5" i="4"/>
  <c r="C5" i="4"/>
  <c r="B6" i="4"/>
  <c r="C6" i="4"/>
  <c r="B7" i="4"/>
  <c r="C7" i="4"/>
  <c r="B8" i="4"/>
  <c r="C8" i="4"/>
  <c r="B9" i="4"/>
  <c r="C9" i="4"/>
  <c r="B10" i="4"/>
  <c r="C10" i="4"/>
  <c r="B11" i="4"/>
  <c r="C11" i="4"/>
  <c r="B12" i="4"/>
  <c r="C12" i="4"/>
  <c r="B13" i="4"/>
  <c r="C13" i="4"/>
  <c r="B14" i="4"/>
  <c r="C14" i="4"/>
  <c r="B15" i="4"/>
  <c r="C15" i="4"/>
  <c r="B16" i="4"/>
  <c r="C16" i="4"/>
  <c r="B17" i="4"/>
  <c r="C17" i="4"/>
  <c r="B18" i="4"/>
  <c r="C18" i="4"/>
  <c r="B19" i="4"/>
  <c r="C19" i="4"/>
  <c r="B20" i="4"/>
  <c r="C20" i="4"/>
  <c r="B21" i="4"/>
  <c r="C21" i="4"/>
  <c r="B22" i="4"/>
  <c r="C22" i="4"/>
  <c r="B23" i="4"/>
  <c r="C23" i="4"/>
  <c r="B24" i="4"/>
  <c r="C24" i="4"/>
  <c r="B25" i="4"/>
  <c r="C25" i="4"/>
  <c r="B26" i="4"/>
  <c r="C26" i="4"/>
  <c r="B27" i="4"/>
  <c r="C27" i="4"/>
  <c r="B28" i="4"/>
  <c r="C28" i="4"/>
  <c r="B29" i="4"/>
  <c r="C29" i="4"/>
  <c r="B30" i="4"/>
  <c r="C30" i="4"/>
  <c r="B31" i="4"/>
  <c r="C31" i="4"/>
  <c r="B32" i="4"/>
  <c r="C32" i="4"/>
  <c r="B33" i="4"/>
  <c r="C33" i="4"/>
  <c r="B34" i="4"/>
  <c r="C34" i="4"/>
  <c r="B35" i="4"/>
  <c r="C35" i="4"/>
  <c r="B36" i="4"/>
  <c r="C36" i="4"/>
  <c r="B37" i="4"/>
  <c r="C37" i="4"/>
  <c r="B38" i="4"/>
  <c r="C38" i="4"/>
  <c r="B39" i="4"/>
  <c r="C39" i="4"/>
  <c r="B40" i="4"/>
  <c r="C40" i="4"/>
  <c r="B41" i="4"/>
  <c r="C41" i="4"/>
  <c r="B42" i="4"/>
  <c r="C42" i="4"/>
  <c r="B43" i="4"/>
  <c r="C43" i="4"/>
  <c r="B44" i="4"/>
  <c r="C44" i="4"/>
  <c r="B45" i="4"/>
  <c r="C45" i="4"/>
  <c r="B46" i="4"/>
  <c r="C46" i="4"/>
  <c r="B47" i="4"/>
  <c r="C47" i="4"/>
  <c r="B48" i="4"/>
  <c r="C48" i="4"/>
  <c r="B49" i="4"/>
  <c r="C49" i="4"/>
  <c r="B50" i="4"/>
  <c r="C50" i="4"/>
  <c r="B51" i="4"/>
  <c r="C51" i="4"/>
  <c r="B52" i="4"/>
  <c r="C52" i="4"/>
  <c r="B53" i="4"/>
  <c r="C53" i="4"/>
  <c r="B54" i="4"/>
  <c r="C54" i="4"/>
  <c r="B55" i="4"/>
  <c r="C55" i="4"/>
  <c r="B56" i="4"/>
  <c r="C56" i="4"/>
  <c r="B57" i="4"/>
  <c r="C57" i="4"/>
  <c r="B58" i="4"/>
  <c r="C58" i="4"/>
  <c r="B59" i="4"/>
  <c r="C59" i="4"/>
  <c r="B60" i="4"/>
  <c r="C60" i="4"/>
  <c r="B61" i="4"/>
  <c r="C61" i="4"/>
  <c r="B62" i="4"/>
  <c r="C62" i="4"/>
  <c r="B63" i="4"/>
  <c r="C63" i="4"/>
  <c r="B64" i="4"/>
  <c r="C64" i="4"/>
  <c r="B65" i="4"/>
  <c r="C65" i="4"/>
  <c r="B66" i="4"/>
  <c r="C66" i="4"/>
  <c r="B67" i="4"/>
  <c r="C67" i="4"/>
  <c r="B68" i="4"/>
  <c r="C68" i="4"/>
  <c r="B69" i="4"/>
  <c r="C69" i="4"/>
  <c r="B70" i="4"/>
  <c r="C70" i="4"/>
  <c r="B71" i="4"/>
  <c r="C71" i="4"/>
  <c r="B72" i="4"/>
  <c r="C72" i="4"/>
  <c r="B73" i="4"/>
  <c r="C73" i="4"/>
  <c r="B74" i="4"/>
  <c r="C74" i="4"/>
  <c r="B75" i="4"/>
  <c r="C75" i="4"/>
  <c r="B76" i="4"/>
  <c r="C76" i="4"/>
  <c r="B77" i="4"/>
  <c r="C77" i="4"/>
  <c r="B78" i="4"/>
  <c r="C78" i="4"/>
  <c r="C3" i="4"/>
  <c r="B3" i="4"/>
</calcChain>
</file>

<file path=xl/sharedStrings.xml><?xml version="1.0" encoding="utf-8"?>
<sst xmlns="http://schemas.openxmlformats.org/spreadsheetml/2006/main" count="185" uniqueCount="103">
  <si>
    <t>Notes:</t>
  </si>
  <si>
    <t>Units:</t>
  </si>
  <si>
    <t>per cent</t>
  </si>
  <si>
    <t>Period</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</si>
  <si>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</si>
  <si>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</si>
  <si>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</si>
  <si>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</si>
  <si>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</si>
  <si>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</si>
  <si>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</si>
  <si>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</si>
  <si>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</si>
  <si>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</si>
  <si>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</si>
  <si>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</si>
  <si>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</si>
  <si>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</si>
  <si>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</si>
  <si>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Figure 7: New weights have minimal impact on the rates across all three labour market groups</t>
  </si>
  <si>
    <t>Rates of Employment (aged 16 to 64), Unemployment (aged 16 years and over) and Economic Inactivity (aged 16 to 64), UK, seasonally adjusted, between January to March 2018 and April to June 2024</t>
  </si>
  <si>
    <t>Increased volatility of Labour Force Survey (LFS) estimates resulting from smaller achieved sample sizes, means that estimates of change should be treated with additional caution.</t>
  </si>
  <si>
    <t>Employment rate - old weights</t>
  </si>
  <si>
    <t>Employment rate - new weights</t>
  </si>
  <si>
    <t>Unemployment rate - old weights</t>
  </si>
  <si>
    <t>Unemployment rate - new weights</t>
  </si>
  <si>
    <t>Economic Inactivity rate - old weights</t>
  </si>
  <si>
    <t>Economic Inactivity rate - new weights</t>
  </si>
  <si>
    <t>Jan-Mar 2018</t>
  </si>
  <si>
    <t>Feb-Apr 2018</t>
  </si>
  <si>
    <t>Mar-May 2018</t>
  </si>
  <si>
    <t>Apr-Jun 2018</t>
  </si>
  <si>
    <t>May-Jul 2018</t>
  </si>
  <si>
    <t>Jun-Aug 2018</t>
  </si>
  <si>
    <t>Jul-Sep 2018</t>
  </si>
  <si>
    <t>Aug-Oct 2018</t>
  </si>
  <si>
    <t>Sep-Nov 2018</t>
  </si>
  <si>
    <t>Oct-Dec 2018</t>
  </si>
  <si>
    <t>Nov-Jan 2019</t>
  </si>
  <si>
    <t>Dec-Feb 2019</t>
  </si>
  <si>
    <t>Jan-Mar 2019</t>
  </si>
  <si>
    <t>Feb-Apr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</si>
  <si>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</si>
  <si>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</si>
  <si>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</si>
  <si>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</si>
  <si>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</si>
  <si>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</si>
  <si>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</si>
  <si>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</si>
  <si>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</si>
  <si>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</si>
  <si>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</si>
  <si>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</si>
  <si>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</si>
  <si>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</si>
  <si>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</si>
  <si>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</si>
  <si>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</si>
  <si>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</si>
  <si>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</si>
  <si>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</si>
  <si>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</si>
  <si>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</si>
  <si>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</si>
  <si>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</si>
  <si>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</si>
  <si>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</si>
  <si>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</si>
  <si>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</si>
  <si>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</si>
  <si>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</si>
  <si>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</si>
  <si>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</si>
  <si>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</si>
  <si>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</si>
  <si>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</si>
  <si>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</si>
  <si>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</si>
  <si>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</si>
  <si>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</si>
  <si>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</si>
  <si>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Oct-Dec 2023</t>
  </si>
  <si>
    <t>Nov-Jan 2024</t>
  </si>
  <si>
    <t>Dec-Feb 2024</t>
  </si>
  <si>
    <t>Jan-Mar 2024</t>
  </si>
  <si>
    <t>Feb-Apr 2024</t>
  </si>
  <si>
    <t>Mar-May 2024</t>
  </si>
  <si>
    <t>Apr-Jun 2024</t>
  </si>
  <si>
    <t>https://www.ons.gov.uk/employmentandlabourmarket/peopleinwork/employmentandemployeetypes/articles/impactofreweightingonlabourforcesurveykeyindicators/december2024</t>
  </si>
  <si>
    <t>Figure 6: New weights revises up the number of people in all three labour market groups compared with old weights</t>
  </si>
  <si>
    <t>Number of people Employed, Unemployed and Economically Inactive (aged 16 years and over), UK, seasonally adjusted, between January to March 2018 and April to June 2024</t>
  </si>
  <si>
    <t>Thousands</t>
  </si>
  <si>
    <t>Employment - old weights</t>
  </si>
  <si>
    <t>Employment - new weights</t>
  </si>
  <si>
    <t>Unemployment - old weights</t>
  </si>
  <si>
    <t>Unemployment - new weights</t>
  </si>
  <si>
    <t>Economic Inactivity - old weights</t>
  </si>
  <si>
    <t>Economic Inactivity - new weights</t>
  </si>
  <si>
    <t>Employment</t>
  </si>
  <si>
    <t>Old</t>
  </si>
  <si>
    <t>New</t>
  </si>
  <si>
    <t>Unemployment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</si>
</sst>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7" x14ac:knownFonts="1">
    <font>
      <sz val="11"/>
      <color theme="1"/>
      <name val="Calibri"/>
      <family val="2"/>
      <scheme val="minor"/>
    </font>
    <font>
      <b/>
      <sz val="12"/>
      <color theme="1"/>
      <name val="Arial"/>
      <family val="2"/>
    </font>
    <font>
      <i/>
      <sz val="12"/>
      <color theme="1"/>
      <name val="Arial"/>
      <family val="2"/>
    </font>
    <font>
      <sz val="10"/>
      <name val="Arial"/>
      <family val="2"/>
    </font>
    <font>
      <sz val="11"/>
      <name val="Calibri"/>
      <family val="2"/>
    </font>
    <font>
      <sz val="10"/>
      <color rgb="FF323132"/>
      <name val="Open Sans"/>
      <family val="2"/>
    </font>
    <font>
      <b/>
      <sz val="11"/>
      <color theme="1"/>
      <name val="Calibri"/>
      <family val="2"/>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2" fillId="0" borderId="0" xfId="0" applyFont="1" applyAlignment="1">
      <alignment vertical="center"/>
    </xf>
    <xf numFmtId="164" fontId="0" fillId="0" borderId="0" xfId="0" applyNumberFormat="1"/>
    <xf numFmtId="164" fontId="3" fillId="0" borderId="0" xfId="0" applyNumberFormat="1" applyFont="1" applyAlignment="1">
      <alignment horizontal="right"/>
    </xf>
    <xf numFmtId="0" fontId="4" fillId="0" borderId="0" xfId="0" applyFont="1"/>
    <xf numFmtId="0" fontId="5" fillId="0" borderId="0" xfId="0" applyFont="1"/>
    <xf numFmtId="0" fontId="3" fillId="0" borderId="0" xfId="0" applyFont="1"/>
    <xf numFmtId="164" fontId="3" fillId="0" borderId="1" xfId="0" applyNumberFormat="1" applyFont="1" applyBorder="1" applyAlignment="1">
      <alignment horizontal="right"/>
    </xf>
    <xf numFmtId="165" fontId="3" fillId="0" borderId="0" xfId="0" applyNumberFormat="1" applyFont="1"/>
    <xf numFmtId="0" fontId="6" fillId="0" borderId="0" xfId="0" applyFont="1"/>
    <xf numFmtId="14" fontId="0" fillId="0" borderId="0" xfId="0" applyNumberFormat="1"/>
  </cellXfs>
  <cellStyles count="1">
    <cellStyle name="Normal" xfId="0" builtinId="0"/>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chartsheet" Target="chart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worksheet" Target="worksheets/sheet3.xml"/><Relationship Id="rId11" Type="http://schemas.openxmlformats.org/officeDocument/2006/relationships/customXml" Target="../customXml/item1.xml"/><Relationship Id="rId5" Type="http://schemas.openxmlformats.org/officeDocument/2006/relationships/worksheet" Target="worksheets/sheet2.xml"/><Relationship Id="rId10" Type="http://schemas.openxmlformats.org/officeDocument/2006/relationships/calcChain" Target="calcChain.xml"/><Relationship Id="rId4" Type="http://schemas.openxmlformats.org/officeDocument/2006/relationships/worksheet" Target="worksheets/sheet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3.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themeOverride" Target="../theme/themeOverrid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5819357326096954E-2"/>
          <c:y val="0.14725688325786473"/>
          <c:w val="0.38497145483933154"/>
          <c:h val="0.71318700601518292"/>
        </c:manualLayout>
      </c:layout>
      <c:lineChart>
        <c:grouping val="standard"/>
        <c:varyColors val="0"/>
        <c:ser>
          <c:idx val="0"/>
          <c:order val="0"/>
          <c:tx>
            <c:strRef>
              <c:f>'Chart Data'!$B$2</c:f>
              <c:strCache>
                <c:ptCount val="1"/>
                <c:pt idx="0">
                  <c:v>Old</c:v>
                </c:pt>
              </c:strCache>
            </c:strRef>
          </c:tx>
          <c:spPr>
            <a:ln w="38100">
              <a:solidFill>
                <a:srgbClr val="BD1B21"/>
              </a:solidFill>
            </a:ln>
          </c:spPr>
          <c:marker>
            <c:symbol val="none"/>
          </c:marker>
          <c:cat>
            <c:numRef>
              <c:f>'Chart Data'!$A$3:$A$80</c:f>
              <c:numCache>
                <c:formatCode>m/d/yyyy</c:formatCode>
                <c:ptCount val="78"/>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numCache>
            </c:numRef>
          </c:cat>
          <c:val>
            <c:numRef>
              <c:f>'Chart Data'!$B$3:$B$80</c:f>
              <c:numCache>
                <c:formatCode>General</c:formatCode>
                <c:ptCount val="78"/>
                <c:pt idx="0">
                  <c:v>32364259.000041544</c:v>
                </c:pt>
                <c:pt idx="1">
                  <c:v>32408829.128860582</c:v>
                </c:pt>
                <c:pt idx="2">
                  <c:v>32413229.385216579</c:v>
                </c:pt>
                <c:pt idx="3">
                  <c:v>32403445.611182101</c:v>
                </c:pt>
                <c:pt idx="4">
                  <c:v>32423238.899848133</c:v>
                </c:pt>
                <c:pt idx="5">
                  <c:v>32427119.853311062</c:v>
                </c:pt>
                <c:pt idx="6">
                  <c:v>32448405.812577598</c:v>
                </c:pt>
                <c:pt idx="7">
                  <c:v>32510956.405211654</c:v>
                </c:pt>
                <c:pt idx="8">
                  <c:v>32562339.272496566</c:v>
                </c:pt>
                <c:pt idx="9">
                  <c:v>32618379.374894254</c:v>
                </c:pt>
                <c:pt idx="10">
                  <c:v>32735930.414915513</c:v>
                </c:pt>
                <c:pt idx="11">
                  <c:v>32744128.442298282</c:v>
                </c:pt>
                <c:pt idx="12">
                  <c:v>32721046.980082858</c:v>
                </c:pt>
                <c:pt idx="13">
                  <c:v>32771570.354701638</c:v>
                </c:pt>
                <c:pt idx="14">
                  <c:v>32775474.269628525</c:v>
                </c:pt>
                <c:pt idx="15">
                  <c:v>32838889.10009433</c:v>
                </c:pt>
                <c:pt idx="16">
                  <c:v>32805829.137577116</c:v>
                </c:pt>
                <c:pt idx="17">
                  <c:v>32719866.665046345</c:v>
                </c:pt>
                <c:pt idx="18">
                  <c:v>32778692.080618687</c:v>
                </c:pt>
                <c:pt idx="19">
                  <c:v>32825161.590042867</c:v>
                </c:pt>
                <c:pt idx="20">
                  <c:v>32923054.718077075</c:v>
                </c:pt>
                <c:pt idx="21">
                  <c:v>32954046.06377982</c:v>
                </c:pt>
                <c:pt idx="22">
                  <c:v>33003797.836426921</c:v>
                </c:pt>
                <c:pt idx="23">
                  <c:v>33090173.430666279</c:v>
                </c:pt>
                <c:pt idx="24">
                  <c:v>32999837.726564106</c:v>
                </c:pt>
                <c:pt idx="25">
                  <c:v>32793096.818656716</c:v>
                </c:pt>
                <c:pt idx="26">
                  <c:v>32690661.675259575</c:v>
                </c:pt>
                <c:pt idx="27">
                  <c:v>32570744.582722265</c:v>
                </c:pt>
                <c:pt idx="28">
                  <c:v>32557447.585428182</c:v>
                </c:pt>
                <c:pt idx="29">
                  <c:v>32475671.190835118</c:v>
                </c:pt>
                <c:pt idx="30">
                  <c:v>32353993.76094998</c:v>
                </c:pt>
                <c:pt idx="31">
                  <c:v>32335266.891900677</c:v>
                </c:pt>
                <c:pt idx="32">
                  <c:v>32338613.491386343</c:v>
                </c:pt>
                <c:pt idx="33">
                  <c:v>32197965.732435003</c:v>
                </c:pt>
                <c:pt idx="34">
                  <c:v>32170466.215324402</c:v>
                </c:pt>
                <c:pt idx="35">
                  <c:v>32218137.311327443</c:v>
                </c:pt>
                <c:pt idx="36">
                  <c:v>32220976.956143875</c:v>
                </c:pt>
                <c:pt idx="37">
                  <c:v>32236308.346037962</c:v>
                </c:pt>
                <c:pt idx="38">
                  <c:v>32259596.508449972</c:v>
                </c:pt>
                <c:pt idx="39">
                  <c:v>32376948.518541768</c:v>
                </c:pt>
                <c:pt idx="40">
                  <c:v>32489468.413986504</c:v>
                </c:pt>
                <c:pt idx="41">
                  <c:v>32577076.1821041</c:v>
                </c:pt>
                <c:pt idx="42">
                  <c:v>32687486.092751186</c:v>
                </c:pt>
                <c:pt idx="43">
                  <c:v>32686196.661170371</c:v>
                </c:pt>
                <c:pt idx="44">
                  <c:v>32672655.105072513</c:v>
                </c:pt>
                <c:pt idx="45">
                  <c:v>32686457.874989584</c:v>
                </c:pt>
                <c:pt idx="46">
                  <c:v>32656934.368439727</c:v>
                </c:pt>
                <c:pt idx="47">
                  <c:v>32701192.840239991</c:v>
                </c:pt>
                <c:pt idx="48">
                  <c:v>32774623.682307199</c:v>
                </c:pt>
                <c:pt idx="49">
                  <c:v>32857183.785200432</c:v>
                </c:pt>
                <c:pt idx="50">
                  <c:v>33020760.136879906</c:v>
                </c:pt>
                <c:pt idx="51">
                  <c:v>32957882.609964505</c:v>
                </c:pt>
                <c:pt idx="52">
                  <c:v>32920197.864500284</c:v>
                </c:pt>
                <c:pt idx="53">
                  <c:v>32929161.680980314</c:v>
                </c:pt>
                <c:pt idx="54">
                  <c:v>32915867.68014048</c:v>
                </c:pt>
                <c:pt idx="55">
                  <c:v>32951175.218337636</c:v>
                </c:pt>
                <c:pt idx="56">
                  <c:v>33076041.793732978</c:v>
                </c:pt>
                <c:pt idx="57">
                  <c:v>33066998.467332862</c:v>
                </c:pt>
                <c:pt idx="58">
                  <c:v>33099434.59521031</c:v>
                </c:pt>
                <c:pt idx="59">
                  <c:v>33175551.150607992</c:v>
                </c:pt>
                <c:pt idx="60">
                  <c:v>33200617.484037101</c:v>
                </c:pt>
                <c:pt idx="61">
                  <c:v>33325667.59716491</c:v>
                </c:pt>
                <c:pt idx="62">
                  <c:v>33310556.782075748</c:v>
                </c:pt>
                <c:pt idx="63">
                  <c:v>33162821.434882224</c:v>
                </c:pt>
                <c:pt idx="64">
                  <c:v>33082006.654214859</c:v>
                </c:pt>
                <c:pt idx="65">
                  <c:v>33027892.868683748</c:v>
                </c:pt>
                <c:pt idx="66">
                  <c:v>33102185.803718034</c:v>
                </c:pt>
                <c:pt idx="67">
                  <c:v>33195699.011369571</c:v>
                </c:pt>
                <c:pt idx="68">
                  <c:v>33136212.169415653</c:v>
                </c:pt>
                <c:pt idx="69">
                  <c:v>33174381.338151298</c:v>
                </c:pt>
                <c:pt idx="70">
                  <c:v>33106562.48480536</c:v>
                </c:pt>
                <c:pt idx="71">
                  <c:v>32980161.130869344</c:v>
                </c:pt>
                <c:pt idx="72">
                  <c:v>32996864.785134993</c:v>
                </c:pt>
                <c:pt idx="73">
                  <c:v>32967067.910872966</c:v>
                </c:pt>
                <c:pt idx="74">
                  <c:v>32998858.403031953</c:v>
                </c:pt>
                <c:pt idx="75">
                  <c:v>33093586.292802013</c:v>
                </c:pt>
              </c:numCache>
            </c:numRef>
          </c:val>
          <c:smooth val="0"/>
          <c:extLst>
            <c:ext xmlns:c16="http://schemas.microsoft.com/office/drawing/2014/chart" uri="{C3380CC4-5D6E-409C-BE32-E72D297353CC}">
              <c16:uniqueId val="{00000000-8681-4DC3-85A6-53F803C23F60}"/>
            </c:ext>
          </c:extLst>
        </c:ser>
        <c:ser>
          <c:idx val="1"/>
          <c:order val="1"/>
          <c:tx>
            <c:strRef>
              <c:f>'Chart Data'!$C$2</c:f>
              <c:strCache>
                <c:ptCount val="1"/>
                <c:pt idx="0">
                  <c:v>New</c:v>
                </c:pt>
              </c:strCache>
            </c:strRef>
          </c:tx>
          <c:spPr>
            <a:ln w="38100">
              <a:solidFill>
                <a:srgbClr val="003469"/>
              </a:solidFill>
            </a:ln>
          </c:spPr>
          <c:marker>
            <c:symbol val="none"/>
          </c:marker>
          <c:cat>
            <c:numRef>
              <c:f>'Chart Data'!$A$3:$A$80</c:f>
              <c:numCache>
                <c:formatCode>m/d/yyyy</c:formatCode>
                <c:ptCount val="78"/>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numCache>
            </c:numRef>
          </c:cat>
          <c:val>
            <c:numRef>
              <c:f>'Chart Data'!$C$3:$C$80</c:f>
              <c:numCache>
                <c:formatCode>General</c:formatCode>
                <c:ptCount val="78"/>
                <c:pt idx="0">
                  <c:v>32409793.264386788</c:v>
                </c:pt>
                <c:pt idx="1">
                  <c:v>32454860.542105317</c:v>
                </c:pt>
                <c:pt idx="2">
                  <c:v>32459349.149326134</c:v>
                </c:pt>
                <c:pt idx="3">
                  <c:v>32450587.814803652</c:v>
                </c:pt>
                <c:pt idx="4">
                  <c:v>32470690.327440254</c:v>
                </c:pt>
                <c:pt idx="5">
                  <c:v>32475532.321780838</c:v>
                </c:pt>
                <c:pt idx="6">
                  <c:v>32497327.633414298</c:v>
                </c:pt>
                <c:pt idx="7">
                  <c:v>32560227.766210005</c:v>
                </c:pt>
                <c:pt idx="8">
                  <c:v>32612102.987842817</c:v>
                </c:pt>
                <c:pt idx="9">
                  <c:v>32668554.513481632</c:v>
                </c:pt>
                <c:pt idx="10">
                  <c:v>32786455.546686105</c:v>
                </c:pt>
                <c:pt idx="11">
                  <c:v>32795520.965745583</c:v>
                </c:pt>
                <c:pt idx="12">
                  <c:v>32773158.536973979</c:v>
                </c:pt>
                <c:pt idx="13">
                  <c:v>32844334.962939829</c:v>
                </c:pt>
                <c:pt idx="14">
                  <c:v>32885067.118593182</c:v>
                </c:pt>
                <c:pt idx="15">
                  <c:v>32965095.493959799</c:v>
                </c:pt>
                <c:pt idx="16">
                  <c:v>32906371.487719417</c:v>
                </c:pt>
                <c:pt idx="17">
                  <c:v>32875813.318274505</c:v>
                </c:pt>
                <c:pt idx="18">
                  <c:v>32893537.0352671</c:v>
                </c:pt>
                <c:pt idx="19">
                  <c:v>32904940.279579423</c:v>
                </c:pt>
                <c:pt idx="20">
                  <c:v>33005937.647908516</c:v>
                </c:pt>
                <c:pt idx="21">
                  <c:v>33055245.136594936</c:v>
                </c:pt>
                <c:pt idx="22">
                  <c:v>33102736.146274775</c:v>
                </c:pt>
                <c:pt idx="23">
                  <c:v>33182628.527639266</c:v>
                </c:pt>
                <c:pt idx="24">
                  <c:v>32971523.741793387</c:v>
                </c:pt>
                <c:pt idx="25">
                  <c:v>32820030.711504046</c:v>
                </c:pt>
                <c:pt idx="26">
                  <c:v>32713646.571418263</c:v>
                </c:pt>
                <c:pt idx="27">
                  <c:v>32636332.193497106</c:v>
                </c:pt>
                <c:pt idx="28">
                  <c:v>32578006.215596505</c:v>
                </c:pt>
                <c:pt idx="29">
                  <c:v>32492503.082189828</c:v>
                </c:pt>
                <c:pt idx="30">
                  <c:v>32351671.254584588</c:v>
                </c:pt>
                <c:pt idx="31">
                  <c:v>32320106.286577389</c:v>
                </c:pt>
                <c:pt idx="32">
                  <c:v>32357990.361480318</c:v>
                </c:pt>
                <c:pt idx="33">
                  <c:v>32265793.981766716</c:v>
                </c:pt>
                <c:pt idx="34">
                  <c:v>32272011.531120382</c:v>
                </c:pt>
                <c:pt idx="35">
                  <c:v>32346508.586019658</c:v>
                </c:pt>
                <c:pt idx="36">
                  <c:v>32307895.319055267</c:v>
                </c:pt>
                <c:pt idx="37">
                  <c:v>32312598.754818223</c:v>
                </c:pt>
                <c:pt idx="38">
                  <c:v>32338798.354169525</c:v>
                </c:pt>
                <c:pt idx="39">
                  <c:v>32454054.716516741</c:v>
                </c:pt>
                <c:pt idx="40">
                  <c:v>32525448.595171571</c:v>
                </c:pt>
                <c:pt idx="41">
                  <c:v>32614321.658631191</c:v>
                </c:pt>
                <c:pt idx="42">
                  <c:v>32712258.602366053</c:v>
                </c:pt>
                <c:pt idx="43">
                  <c:v>32690041.040790379</c:v>
                </c:pt>
                <c:pt idx="44">
                  <c:v>32692871.823918596</c:v>
                </c:pt>
                <c:pt idx="45">
                  <c:v>32729136.485665642</c:v>
                </c:pt>
                <c:pt idx="46">
                  <c:v>32740235.12942522</c:v>
                </c:pt>
                <c:pt idx="47">
                  <c:v>32770991.345435619</c:v>
                </c:pt>
                <c:pt idx="48">
                  <c:v>32784341.352800094</c:v>
                </c:pt>
                <c:pt idx="49">
                  <c:v>32876119.766932007</c:v>
                </c:pt>
                <c:pt idx="50">
                  <c:v>33061153.249525789</c:v>
                </c:pt>
                <c:pt idx="51">
                  <c:v>33007320.376316726</c:v>
                </c:pt>
                <c:pt idx="52">
                  <c:v>32918268.100043818</c:v>
                </c:pt>
                <c:pt idx="53">
                  <c:v>32925199.605902851</c:v>
                </c:pt>
                <c:pt idx="54">
                  <c:v>32903509.898753934</c:v>
                </c:pt>
                <c:pt idx="55">
                  <c:v>32968365.085393768</c:v>
                </c:pt>
                <c:pt idx="56">
                  <c:v>33026472.477541491</c:v>
                </c:pt>
                <c:pt idx="57">
                  <c:v>33114244.250537656</c:v>
                </c:pt>
                <c:pt idx="58">
                  <c:v>33163853.129783556</c:v>
                </c:pt>
                <c:pt idx="59">
                  <c:v>33252056.723807592</c:v>
                </c:pt>
                <c:pt idx="60">
                  <c:v>33319527.436923962</c:v>
                </c:pt>
                <c:pt idx="61">
                  <c:v>33476276.604355443</c:v>
                </c:pt>
                <c:pt idx="62">
                  <c:v>33465335.673965126</c:v>
                </c:pt>
                <c:pt idx="63">
                  <c:v>33356152.168103416</c:v>
                </c:pt>
                <c:pt idx="64">
                  <c:v>33282828.697448112</c:v>
                </c:pt>
                <c:pt idx="65">
                  <c:v>33207667.78418066</c:v>
                </c:pt>
                <c:pt idx="66">
                  <c:v>33326169.808636535</c:v>
                </c:pt>
                <c:pt idx="67">
                  <c:v>33361341.205835901</c:v>
                </c:pt>
                <c:pt idx="68">
                  <c:v>33345036.145811401</c:v>
                </c:pt>
                <c:pt idx="69">
                  <c:v>33377438.503215149</c:v>
                </c:pt>
                <c:pt idx="70">
                  <c:v>33322855.589263916</c:v>
                </c:pt>
                <c:pt idx="71">
                  <c:v>33319934.024576746</c:v>
                </c:pt>
                <c:pt idx="72">
                  <c:v>33330641.340445034</c:v>
                </c:pt>
                <c:pt idx="73">
                  <c:v>33348191.878007077</c:v>
                </c:pt>
                <c:pt idx="74">
                  <c:v>33386440.681214262</c:v>
                </c:pt>
                <c:pt idx="75">
                  <c:v>33496084.403651848</c:v>
                </c:pt>
              </c:numCache>
            </c:numRef>
          </c:val>
          <c:smooth val="0"/>
          <c:extLst>
            <c:ext xmlns:c16="http://schemas.microsoft.com/office/drawing/2014/chart" uri="{C3380CC4-5D6E-409C-BE32-E72D297353CC}">
              <c16:uniqueId val="{00000001-8681-4DC3-85A6-53F803C23F6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24"/>
        <c:majorTimeUnit val="months"/>
      </c:dateAx>
      <c:valAx>
        <c:axId val="263608576"/>
        <c:scaling>
          <c:orientation val="minMax"/>
          <c:min val="32000000"/>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dispUnits>
          <c:builtInUnit val="millions"/>
        </c:dispUnits>
      </c:valAx>
      <c:spPr>
        <a:noFill/>
        <a:ln w="25400">
          <a:noFill/>
        </a:ln>
      </c:spPr>
    </c:plotArea>
    <c:legend>
      <c:legendPos val="t"/>
      <c:layout>
        <c:manualLayout>
          <c:xMode val="edge"/>
          <c:yMode val="edge"/>
          <c:x val="0.33936076634488488"/>
          <c:y val="0.67512450462105822"/>
          <c:w val="0.12942236457730918"/>
          <c:h val="0.1467526190954176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451856401997737"/>
          <c:y val="0.14725688325786473"/>
          <c:w val="0.77777475445465938"/>
          <c:h val="0.71318700601518292"/>
        </c:manualLayout>
      </c:layout>
      <c:lineChart>
        <c:grouping val="standard"/>
        <c:varyColors val="0"/>
        <c:ser>
          <c:idx val="0"/>
          <c:order val="0"/>
          <c:tx>
            <c:strRef>
              <c:f>'Chart Data'!$F$2</c:f>
              <c:strCache>
                <c:ptCount val="1"/>
                <c:pt idx="0">
                  <c:v>Old</c:v>
                </c:pt>
              </c:strCache>
            </c:strRef>
          </c:tx>
          <c:spPr>
            <a:ln w="38100">
              <a:solidFill>
                <a:srgbClr val="BD1B21"/>
              </a:solidFill>
            </a:ln>
          </c:spPr>
          <c:marker>
            <c:symbol val="none"/>
          </c:marker>
          <c:cat>
            <c:numRef>
              <c:f>'Chart Data'!$E$3:$E$80</c:f>
              <c:numCache>
                <c:formatCode>m/d/yyyy</c:formatCode>
                <c:ptCount val="78"/>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numCache>
            </c:numRef>
          </c:cat>
          <c:val>
            <c:numRef>
              <c:f>'Chart Data'!$F$3:$F$80</c:f>
              <c:numCache>
                <c:formatCode>General</c:formatCode>
                <c:ptCount val="78"/>
                <c:pt idx="0">
                  <c:v>4.274112946376647</c:v>
                </c:pt>
                <c:pt idx="1">
                  <c:v>4.2662377975254442</c:v>
                </c:pt>
                <c:pt idx="2">
                  <c:v>4.2439954223670373</c:v>
                </c:pt>
                <c:pt idx="3">
                  <c:v>4.1167855718264219</c:v>
                </c:pt>
                <c:pt idx="4">
                  <c:v>4.1027206224827424</c:v>
                </c:pt>
                <c:pt idx="5">
                  <c:v>4.1173915087104724</c:v>
                </c:pt>
                <c:pt idx="6">
                  <c:v>4.1571836392831241</c:v>
                </c:pt>
                <c:pt idx="7">
                  <c:v>4.1402464212405548</c:v>
                </c:pt>
                <c:pt idx="8">
                  <c:v>4.1251512650438187</c:v>
                </c:pt>
                <c:pt idx="9">
                  <c:v>4.1007504335879696</c:v>
                </c:pt>
                <c:pt idx="10">
                  <c:v>4.0188923959034968</c:v>
                </c:pt>
                <c:pt idx="11">
                  <c:v>4.0310422840945836</c:v>
                </c:pt>
                <c:pt idx="12">
                  <c:v>3.9089322797454127</c:v>
                </c:pt>
                <c:pt idx="13">
                  <c:v>3.9224684919943908</c:v>
                </c:pt>
                <c:pt idx="14">
                  <c:v>3.8891254199918102</c:v>
                </c:pt>
                <c:pt idx="15">
                  <c:v>3.9871349837011545</c:v>
                </c:pt>
                <c:pt idx="16">
                  <c:v>3.8929458876393817</c:v>
                </c:pt>
                <c:pt idx="17">
                  <c:v>3.9594890392180906</c:v>
                </c:pt>
                <c:pt idx="18">
                  <c:v>3.9306425657461315</c:v>
                </c:pt>
                <c:pt idx="19">
                  <c:v>3.8554363866787114</c:v>
                </c:pt>
                <c:pt idx="20">
                  <c:v>3.9171865643833401</c:v>
                </c:pt>
                <c:pt idx="21">
                  <c:v>3.8679595092723367</c:v>
                </c:pt>
                <c:pt idx="22">
                  <c:v>4.0125425717360583</c:v>
                </c:pt>
                <c:pt idx="23">
                  <c:v>4.0613023537873616</c:v>
                </c:pt>
                <c:pt idx="24">
                  <c:v>4.1044152397387137</c:v>
                </c:pt>
                <c:pt idx="25">
                  <c:v>4.1541733249648072</c:v>
                </c:pt>
                <c:pt idx="26">
                  <c:v>4.2209771339853353</c:v>
                </c:pt>
                <c:pt idx="27">
                  <c:v>4.2191017401238833</c:v>
                </c:pt>
                <c:pt idx="28">
                  <c:v>4.443064440937718</c:v>
                </c:pt>
                <c:pt idx="29">
                  <c:v>4.6604332753369784</c:v>
                </c:pt>
                <c:pt idx="30">
                  <c:v>4.9864893417114136</c:v>
                </c:pt>
                <c:pt idx="31">
                  <c:v>5.165749260611233</c:v>
                </c:pt>
                <c:pt idx="32">
                  <c:v>5.2380391201937497</c:v>
                </c:pt>
                <c:pt idx="33">
                  <c:v>5.3356019356950908</c:v>
                </c:pt>
                <c:pt idx="34">
                  <c:v>5.2560059256593652</c:v>
                </c:pt>
                <c:pt idx="35">
                  <c:v>5.176620114156723</c:v>
                </c:pt>
                <c:pt idx="36">
                  <c:v>5.0611393984675717</c:v>
                </c:pt>
                <c:pt idx="37">
                  <c:v>5.0108705411333503</c:v>
                </c:pt>
                <c:pt idx="38">
                  <c:v>4.9811900840464185</c:v>
                </c:pt>
                <c:pt idx="39">
                  <c:v>4.8395852525967396</c:v>
                </c:pt>
                <c:pt idx="40">
                  <c:v>4.7044344906006899</c:v>
                </c:pt>
                <c:pt idx="41">
                  <c:v>4.5680070616558526</c:v>
                </c:pt>
                <c:pt idx="42">
                  <c:v>4.3900589010258875</c:v>
                </c:pt>
                <c:pt idx="43">
                  <c:v>4.3133334682024067</c:v>
                </c:pt>
                <c:pt idx="44">
                  <c:v>4.2028358643128323</c:v>
                </c:pt>
                <c:pt idx="45">
                  <c:v>4.1760976570385653</c:v>
                </c:pt>
                <c:pt idx="46">
                  <c:v>4.108312348453282</c:v>
                </c:pt>
                <c:pt idx="47">
                  <c:v>3.9682272672751968</c:v>
                </c:pt>
                <c:pt idx="48">
                  <c:v>3.8522226766717904</c:v>
                </c:pt>
                <c:pt idx="49">
                  <c:v>3.9602974535382001</c:v>
                </c:pt>
                <c:pt idx="50">
                  <c:v>3.9040561119136377</c:v>
                </c:pt>
                <c:pt idx="51">
                  <c:v>3.9368428094980188</c:v>
                </c:pt>
                <c:pt idx="52">
                  <c:v>3.747758062152815</c:v>
                </c:pt>
                <c:pt idx="53">
                  <c:v>3.6467168387156348</c:v>
                </c:pt>
                <c:pt idx="54">
                  <c:v>3.7521614029149157</c:v>
                </c:pt>
                <c:pt idx="55">
                  <c:v>3.8567966242491853</c:v>
                </c:pt>
                <c:pt idx="56">
                  <c:v>3.8031557381406573</c:v>
                </c:pt>
                <c:pt idx="57">
                  <c:v>3.8738682444316539</c:v>
                </c:pt>
                <c:pt idx="58">
                  <c:v>3.8196509811528716</c:v>
                </c:pt>
                <c:pt idx="59">
                  <c:v>3.8995530292897382</c:v>
                </c:pt>
                <c:pt idx="60">
                  <c:v>3.9991661583418958</c:v>
                </c:pt>
                <c:pt idx="61">
                  <c:v>3.9016813870957088</c:v>
                </c:pt>
                <c:pt idx="62">
                  <c:v>4.01972314419322</c:v>
                </c:pt>
                <c:pt idx="63">
                  <c:v>4.2180538042103279</c:v>
                </c:pt>
                <c:pt idx="64">
                  <c:v>4.3275575199322773</c:v>
                </c:pt>
                <c:pt idx="65">
                  <c:v>4.2120859995807702</c:v>
                </c:pt>
                <c:pt idx="66">
                  <c:v>4.0762415382543065</c:v>
                </c:pt>
                <c:pt idx="67">
                  <c:v>3.9545749337805907</c:v>
                </c:pt>
                <c:pt idx="68">
                  <c:v>3.9291770747650485</c:v>
                </c:pt>
                <c:pt idx="69">
                  <c:v>3.8266183265595859</c:v>
                </c:pt>
                <c:pt idx="70">
                  <c:v>3.9813393091892415</c:v>
                </c:pt>
                <c:pt idx="71">
                  <c:v>4.1839208793008158</c:v>
                </c:pt>
                <c:pt idx="72">
                  <c:v>4.3103508738017107</c:v>
                </c:pt>
                <c:pt idx="73">
                  <c:v>4.3808288523937495</c:v>
                </c:pt>
                <c:pt idx="74">
                  <c:v>4.4250895901641769</c:v>
                </c:pt>
                <c:pt idx="75">
                  <c:v>4.1570667392558356</c:v>
                </c:pt>
              </c:numCache>
            </c:numRef>
          </c:val>
          <c:smooth val="0"/>
          <c:extLst>
            <c:ext xmlns:c16="http://schemas.microsoft.com/office/drawing/2014/chart" uri="{C3380CC4-5D6E-409C-BE32-E72D297353CC}">
              <c16:uniqueId val="{00000000-FC1A-4520-9840-551D27C1D135}"/>
            </c:ext>
          </c:extLst>
        </c:ser>
        <c:ser>
          <c:idx val="1"/>
          <c:order val="1"/>
          <c:tx>
            <c:strRef>
              <c:f>'Chart Data'!$G$2</c:f>
              <c:strCache>
                <c:ptCount val="1"/>
                <c:pt idx="0">
                  <c:v>New</c:v>
                </c:pt>
              </c:strCache>
            </c:strRef>
          </c:tx>
          <c:spPr>
            <a:ln w="38100">
              <a:solidFill>
                <a:srgbClr val="002060"/>
              </a:solidFill>
            </a:ln>
          </c:spPr>
          <c:marker>
            <c:symbol val="none"/>
          </c:marker>
          <c:cat>
            <c:numRef>
              <c:f>'Chart Data'!$E$3:$E$80</c:f>
              <c:numCache>
                <c:formatCode>m/d/yyyy</c:formatCode>
                <c:ptCount val="78"/>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numCache>
            </c:numRef>
          </c:cat>
          <c:val>
            <c:numRef>
              <c:f>'Chart Data'!$G$3:$G$80</c:f>
              <c:numCache>
                <c:formatCode>General</c:formatCode>
                <c:ptCount val="78"/>
                <c:pt idx="0">
                  <c:v>4.202200396588367</c:v>
                </c:pt>
                <c:pt idx="1">
                  <c:v>4.1933860148888522</c:v>
                </c:pt>
                <c:pt idx="2">
                  <c:v>4.1702589256730125</c:v>
                </c:pt>
                <c:pt idx="3">
                  <c:v>4.0420492389406304</c:v>
                </c:pt>
                <c:pt idx="4">
                  <c:v>4.0271923743650273</c:v>
                </c:pt>
                <c:pt idx="5">
                  <c:v>4.0411905884859189</c:v>
                </c:pt>
                <c:pt idx="6">
                  <c:v>4.0802006695805542</c:v>
                </c:pt>
                <c:pt idx="7">
                  <c:v>4.0625833370688369</c:v>
                </c:pt>
                <c:pt idx="8">
                  <c:v>4.0469848725974362</c:v>
                </c:pt>
                <c:pt idx="9">
                  <c:v>4.0218132170533094</c:v>
                </c:pt>
                <c:pt idx="10">
                  <c:v>3.9395767730086866</c:v>
                </c:pt>
                <c:pt idx="11">
                  <c:v>3.9507557148809465</c:v>
                </c:pt>
                <c:pt idx="12">
                  <c:v>3.8279984907169622</c:v>
                </c:pt>
                <c:pt idx="13">
                  <c:v>3.8414931010237545</c:v>
                </c:pt>
                <c:pt idx="14">
                  <c:v>3.8019975450148578</c:v>
                </c:pt>
                <c:pt idx="15">
                  <c:v>3.8804678009504117</c:v>
                </c:pt>
                <c:pt idx="16">
                  <c:v>3.85514174668308</c:v>
                </c:pt>
                <c:pt idx="17">
                  <c:v>3.8804250458904175</c:v>
                </c:pt>
                <c:pt idx="18">
                  <c:v>3.8753238440804068</c:v>
                </c:pt>
                <c:pt idx="19">
                  <c:v>3.804013838760858</c:v>
                </c:pt>
                <c:pt idx="20">
                  <c:v>3.8297574612898115</c:v>
                </c:pt>
                <c:pt idx="21">
                  <c:v>3.741670223038235</c:v>
                </c:pt>
                <c:pt idx="22">
                  <c:v>3.8901186667181959</c:v>
                </c:pt>
                <c:pt idx="23">
                  <c:v>3.9487879437826017</c:v>
                </c:pt>
                <c:pt idx="24">
                  <c:v>4.1031150292789551</c:v>
                </c:pt>
                <c:pt idx="25">
                  <c:v>4.0912203408677215</c:v>
                </c:pt>
                <c:pt idx="26">
                  <c:v>4.1254578109898761</c:v>
                </c:pt>
                <c:pt idx="27">
                  <c:v>4.0807819990747021</c:v>
                </c:pt>
                <c:pt idx="28">
                  <c:v>4.3626503133234236</c:v>
                </c:pt>
                <c:pt idx="29">
                  <c:v>4.6266979641371737</c:v>
                </c:pt>
                <c:pt idx="30">
                  <c:v>4.9676309202496798</c:v>
                </c:pt>
                <c:pt idx="31">
                  <c:v>5.1636341205567229</c:v>
                </c:pt>
                <c:pt idx="32">
                  <c:v>5.2251541709040392</c:v>
                </c:pt>
                <c:pt idx="33">
                  <c:v>5.2668681704276272</c:v>
                </c:pt>
                <c:pt idx="34">
                  <c:v>5.1693948186451193</c:v>
                </c:pt>
                <c:pt idx="35">
                  <c:v>5.0464083897389891</c:v>
                </c:pt>
                <c:pt idx="36">
                  <c:v>4.9056039570523247</c:v>
                </c:pt>
                <c:pt idx="37">
                  <c:v>4.8293460430231629</c:v>
                </c:pt>
                <c:pt idx="38">
                  <c:v>4.7913883605690781</c:v>
                </c:pt>
                <c:pt idx="39">
                  <c:v>4.6635244305596748</c:v>
                </c:pt>
                <c:pt idx="40">
                  <c:v>4.581491046164424</c:v>
                </c:pt>
                <c:pt idx="41">
                  <c:v>4.5113601581111453</c:v>
                </c:pt>
                <c:pt idx="42">
                  <c:v>4.3840002462664609</c:v>
                </c:pt>
                <c:pt idx="43">
                  <c:v>4.3170988028735495</c:v>
                </c:pt>
                <c:pt idx="44">
                  <c:v>4.2182710122549114</c:v>
                </c:pt>
                <c:pt idx="45">
                  <c:v>4.1857707793964298</c:v>
                </c:pt>
                <c:pt idx="46">
                  <c:v>4.1006707202963222</c:v>
                </c:pt>
                <c:pt idx="47">
                  <c:v>3.9156879752737126</c:v>
                </c:pt>
                <c:pt idx="48">
                  <c:v>3.7862292087079301</c:v>
                </c:pt>
                <c:pt idx="49">
                  <c:v>3.8213077154595232</c:v>
                </c:pt>
                <c:pt idx="50">
                  <c:v>3.7258665196975591</c:v>
                </c:pt>
                <c:pt idx="51">
                  <c:v>3.7771862580964473</c:v>
                </c:pt>
                <c:pt idx="52">
                  <c:v>3.6272295955684508</c:v>
                </c:pt>
                <c:pt idx="53">
                  <c:v>3.588658518271536</c:v>
                </c:pt>
                <c:pt idx="54">
                  <c:v>3.7390206558913146</c:v>
                </c:pt>
                <c:pt idx="55">
                  <c:v>3.8444595598171984</c:v>
                </c:pt>
                <c:pt idx="56">
                  <c:v>3.890060364973575</c:v>
                </c:pt>
                <c:pt idx="57">
                  <c:v>3.9299769274571843</c:v>
                </c:pt>
                <c:pt idx="58">
                  <c:v>3.8648128479275097</c:v>
                </c:pt>
                <c:pt idx="59">
                  <c:v>3.9742389177852888</c:v>
                </c:pt>
                <c:pt idx="60">
                  <c:v>3.9935856433739834</c:v>
                </c:pt>
                <c:pt idx="61">
                  <c:v>3.8758732517899368</c:v>
                </c:pt>
                <c:pt idx="62">
                  <c:v>3.9986138021709445</c:v>
                </c:pt>
                <c:pt idx="63">
                  <c:v>4.2196643964789091</c:v>
                </c:pt>
                <c:pt idx="64">
                  <c:v>4.3339091681629007</c:v>
                </c:pt>
                <c:pt idx="65">
                  <c:v>4.2721178579651475</c:v>
                </c:pt>
                <c:pt idx="66">
                  <c:v>4.1139011605137474</c:v>
                </c:pt>
                <c:pt idx="67">
                  <c:v>4.0231264174551367</c:v>
                </c:pt>
                <c:pt idx="68">
                  <c:v>3.9791071356697154</c:v>
                </c:pt>
                <c:pt idx="69">
                  <c:v>3.8704063015919665</c:v>
                </c:pt>
                <c:pt idx="70">
                  <c:v>4.0658239507051652</c:v>
                </c:pt>
                <c:pt idx="71">
                  <c:v>4.1981867793116647</c:v>
                </c:pt>
                <c:pt idx="72">
                  <c:v>4.3353253987590481</c:v>
                </c:pt>
                <c:pt idx="73">
                  <c:v>4.3708565284403305</c:v>
                </c:pt>
                <c:pt idx="74">
                  <c:v>4.4296542313994891</c:v>
                </c:pt>
                <c:pt idx="75">
                  <c:v>4.1913071532874016</c:v>
                </c:pt>
              </c:numCache>
            </c:numRef>
          </c:val>
          <c:smooth val="0"/>
          <c:extLst>
            <c:ext xmlns:c16="http://schemas.microsoft.com/office/drawing/2014/chart" uri="{C3380CC4-5D6E-409C-BE32-E72D297353CC}">
              <c16:uniqueId val="{00000001-FC1A-4520-9840-551D27C1D135}"/>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24"/>
        <c:majorTimeUnit val="months"/>
      </c:dateAx>
      <c:valAx>
        <c:axId val="263608576"/>
        <c:scaling>
          <c:orientation val="minMax"/>
          <c:min val="3.4"/>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0.2"/>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5819357326096954E-2"/>
          <c:y val="0.14725688325786473"/>
          <c:w val="0.86858727404837122"/>
          <c:h val="0.71318700601518292"/>
        </c:manualLayout>
      </c:layout>
      <c:lineChart>
        <c:grouping val="standard"/>
        <c:varyColors val="0"/>
        <c:ser>
          <c:idx val="0"/>
          <c:order val="0"/>
          <c:tx>
            <c:strRef>
              <c:f>'Chart Data'!$B$2</c:f>
              <c:strCache>
                <c:ptCount val="1"/>
                <c:pt idx="0">
                  <c:v>Old</c:v>
                </c:pt>
              </c:strCache>
            </c:strRef>
          </c:tx>
          <c:spPr>
            <a:ln w="38100">
              <a:solidFill>
                <a:srgbClr val="BD1B21"/>
              </a:solidFill>
            </a:ln>
          </c:spPr>
          <c:marker>
            <c:symbol val="none"/>
          </c:marker>
          <c:cat>
            <c:numRef>
              <c:f>'Chart Data'!$A$3:$A$80</c:f>
              <c:numCache>
                <c:formatCode>m/d/yyyy</c:formatCode>
                <c:ptCount val="78"/>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numCache>
            </c:numRef>
          </c:cat>
          <c:val>
            <c:numRef>
              <c:f>'Chart Data'!$B$3:$B$80</c:f>
              <c:numCache>
                <c:formatCode>General</c:formatCode>
                <c:ptCount val="78"/>
                <c:pt idx="0">
                  <c:v>32364259.000041544</c:v>
                </c:pt>
                <c:pt idx="1">
                  <c:v>32408829.128860582</c:v>
                </c:pt>
                <c:pt idx="2">
                  <c:v>32413229.385216579</c:v>
                </c:pt>
                <c:pt idx="3">
                  <c:v>32403445.611182101</c:v>
                </c:pt>
                <c:pt idx="4">
                  <c:v>32423238.899848133</c:v>
                </c:pt>
                <c:pt idx="5">
                  <c:v>32427119.853311062</c:v>
                </c:pt>
                <c:pt idx="6">
                  <c:v>32448405.812577598</c:v>
                </c:pt>
                <c:pt idx="7">
                  <c:v>32510956.405211654</c:v>
                </c:pt>
                <c:pt idx="8">
                  <c:v>32562339.272496566</c:v>
                </c:pt>
                <c:pt idx="9">
                  <c:v>32618379.374894254</c:v>
                </c:pt>
                <c:pt idx="10">
                  <c:v>32735930.414915513</c:v>
                </c:pt>
                <c:pt idx="11">
                  <c:v>32744128.442298282</c:v>
                </c:pt>
                <c:pt idx="12">
                  <c:v>32721046.980082858</c:v>
                </c:pt>
                <c:pt idx="13">
                  <c:v>32771570.354701638</c:v>
                </c:pt>
                <c:pt idx="14">
                  <c:v>32775474.269628525</c:v>
                </c:pt>
                <c:pt idx="15">
                  <c:v>32838889.10009433</c:v>
                </c:pt>
                <c:pt idx="16">
                  <c:v>32805829.137577116</c:v>
                </c:pt>
                <c:pt idx="17">
                  <c:v>32719866.665046345</c:v>
                </c:pt>
                <c:pt idx="18">
                  <c:v>32778692.080618687</c:v>
                </c:pt>
                <c:pt idx="19">
                  <c:v>32825161.590042867</c:v>
                </c:pt>
                <c:pt idx="20">
                  <c:v>32923054.718077075</c:v>
                </c:pt>
                <c:pt idx="21">
                  <c:v>32954046.06377982</c:v>
                </c:pt>
                <c:pt idx="22">
                  <c:v>33003797.836426921</c:v>
                </c:pt>
                <c:pt idx="23">
                  <c:v>33090173.430666279</c:v>
                </c:pt>
                <c:pt idx="24">
                  <c:v>32999837.726564106</c:v>
                </c:pt>
                <c:pt idx="25">
                  <c:v>32793096.818656716</c:v>
                </c:pt>
                <c:pt idx="26">
                  <c:v>32690661.675259575</c:v>
                </c:pt>
                <c:pt idx="27">
                  <c:v>32570744.582722265</c:v>
                </c:pt>
                <c:pt idx="28">
                  <c:v>32557447.585428182</c:v>
                </c:pt>
                <c:pt idx="29">
                  <c:v>32475671.190835118</c:v>
                </c:pt>
                <c:pt idx="30">
                  <c:v>32353993.76094998</c:v>
                </c:pt>
                <c:pt idx="31">
                  <c:v>32335266.891900677</c:v>
                </c:pt>
                <c:pt idx="32">
                  <c:v>32338613.491386343</c:v>
                </c:pt>
                <c:pt idx="33">
                  <c:v>32197965.732435003</c:v>
                </c:pt>
                <c:pt idx="34">
                  <c:v>32170466.215324402</c:v>
                </c:pt>
                <c:pt idx="35">
                  <c:v>32218137.311327443</c:v>
                </c:pt>
                <c:pt idx="36">
                  <c:v>32220976.956143875</c:v>
                </c:pt>
                <c:pt idx="37">
                  <c:v>32236308.346037962</c:v>
                </c:pt>
                <c:pt idx="38">
                  <c:v>32259596.508449972</c:v>
                </c:pt>
                <c:pt idx="39">
                  <c:v>32376948.518541768</c:v>
                </c:pt>
                <c:pt idx="40">
                  <c:v>32489468.413986504</c:v>
                </c:pt>
                <c:pt idx="41">
                  <c:v>32577076.1821041</c:v>
                </c:pt>
                <c:pt idx="42">
                  <c:v>32687486.092751186</c:v>
                </c:pt>
                <c:pt idx="43">
                  <c:v>32686196.661170371</c:v>
                </c:pt>
                <c:pt idx="44">
                  <c:v>32672655.105072513</c:v>
                </c:pt>
                <c:pt idx="45">
                  <c:v>32686457.874989584</c:v>
                </c:pt>
                <c:pt idx="46">
                  <c:v>32656934.368439727</c:v>
                </c:pt>
                <c:pt idx="47">
                  <c:v>32701192.840239991</c:v>
                </c:pt>
                <c:pt idx="48">
                  <c:v>32774623.682307199</c:v>
                </c:pt>
                <c:pt idx="49">
                  <c:v>32857183.785200432</c:v>
                </c:pt>
                <c:pt idx="50">
                  <c:v>33020760.136879906</c:v>
                </c:pt>
                <c:pt idx="51">
                  <c:v>32957882.609964505</c:v>
                </c:pt>
                <c:pt idx="52">
                  <c:v>32920197.864500284</c:v>
                </c:pt>
                <c:pt idx="53">
                  <c:v>32929161.680980314</c:v>
                </c:pt>
                <c:pt idx="54">
                  <c:v>32915867.68014048</c:v>
                </c:pt>
                <c:pt idx="55">
                  <c:v>32951175.218337636</c:v>
                </c:pt>
                <c:pt idx="56">
                  <c:v>33076041.793732978</c:v>
                </c:pt>
                <c:pt idx="57">
                  <c:v>33066998.467332862</c:v>
                </c:pt>
                <c:pt idx="58">
                  <c:v>33099434.59521031</c:v>
                </c:pt>
                <c:pt idx="59">
                  <c:v>33175551.150607992</c:v>
                </c:pt>
                <c:pt idx="60">
                  <c:v>33200617.484037101</c:v>
                </c:pt>
                <c:pt idx="61">
                  <c:v>33325667.59716491</c:v>
                </c:pt>
                <c:pt idx="62">
                  <c:v>33310556.782075748</c:v>
                </c:pt>
                <c:pt idx="63">
                  <c:v>33162821.434882224</c:v>
                </c:pt>
                <c:pt idx="64">
                  <c:v>33082006.654214859</c:v>
                </c:pt>
                <c:pt idx="65">
                  <c:v>33027892.868683748</c:v>
                </c:pt>
                <c:pt idx="66">
                  <c:v>33102185.803718034</c:v>
                </c:pt>
                <c:pt idx="67">
                  <c:v>33195699.011369571</c:v>
                </c:pt>
                <c:pt idx="68">
                  <c:v>33136212.169415653</c:v>
                </c:pt>
                <c:pt idx="69">
                  <c:v>33174381.338151298</c:v>
                </c:pt>
                <c:pt idx="70">
                  <c:v>33106562.48480536</c:v>
                </c:pt>
                <c:pt idx="71">
                  <c:v>32980161.130869344</c:v>
                </c:pt>
                <c:pt idx="72">
                  <c:v>32996864.785134993</c:v>
                </c:pt>
                <c:pt idx="73">
                  <c:v>32967067.910872966</c:v>
                </c:pt>
                <c:pt idx="74">
                  <c:v>32998858.403031953</c:v>
                </c:pt>
                <c:pt idx="75">
                  <c:v>33093586.292802013</c:v>
                </c:pt>
              </c:numCache>
            </c:numRef>
          </c:val>
          <c:smooth val="0"/>
          <c:extLst>
            <c:ext xmlns:c16="http://schemas.microsoft.com/office/drawing/2014/chart" uri="{C3380CC4-5D6E-409C-BE32-E72D297353CC}">
              <c16:uniqueId val="{00000000-E850-417B-95DA-4ED900504230}"/>
            </c:ext>
          </c:extLst>
        </c:ser>
        <c:ser>
          <c:idx val="1"/>
          <c:order val="1"/>
          <c:tx>
            <c:strRef>
              <c:f>'Chart Data'!$C$2</c:f>
              <c:strCache>
                <c:ptCount val="1"/>
                <c:pt idx="0">
                  <c:v>New</c:v>
                </c:pt>
              </c:strCache>
            </c:strRef>
          </c:tx>
          <c:spPr>
            <a:ln w="38100">
              <a:solidFill>
                <a:srgbClr val="003469"/>
              </a:solidFill>
            </a:ln>
          </c:spPr>
          <c:marker>
            <c:symbol val="none"/>
          </c:marker>
          <c:cat>
            <c:numRef>
              <c:f>'Chart Data'!$A$3:$A$80</c:f>
              <c:numCache>
                <c:formatCode>m/d/yyyy</c:formatCode>
                <c:ptCount val="78"/>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numCache>
            </c:numRef>
          </c:cat>
          <c:val>
            <c:numRef>
              <c:f>'Chart Data'!$C$3:$C$80</c:f>
              <c:numCache>
                <c:formatCode>General</c:formatCode>
                <c:ptCount val="78"/>
                <c:pt idx="0">
                  <c:v>32409793.264386788</c:v>
                </c:pt>
                <c:pt idx="1">
                  <c:v>32454860.542105317</c:v>
                </c:pt>
                <c:pt idx="2">
                  <c:v>32459349.149326134</c:v>
                </c:pt>
                <c:pt idx="3">
                  <c:v>32450587.814803652</c:v>
                </c:pt>
                <c:pt idx="4">
                  <c:v>32470690.327440254</c:v>
                </c:pt>
                <c:pt idx="5">
                  <c:v>32475532.321780838</c:v>
                </c:pt>
                <c:pt idx="6">
                  <c:v>32497327.633414298</c:v>
                </c:pt>
                <c:pt idx="7">
                  <c:v>32560227.766210005</c:v>
                </c:pt>
                <c:pt idx="8">
                  <c:v>32612102.987842817</c:v>
                </c:pt>
                <c:pt idx="9">
                  <c:v>32668554.513481632</c:v>
                </c:pt>
                <c:pt idx="10">
                  <c:v>32786455.546686105</c:v>
                </c:pt>
                <c:pt idx="11">
                  <c:v>32795520.965745583</c:v>
                </c:pt>
                <c:pt idx="12">
                  <c:v>32773158.536973979</c:v>
                </c:pt>
                <c:pt idx="13">
                  <c:v>32844334.962939829</c:v>
                </c:pt>
                <c:pt idx="14">
                  <c:v>32885067.118593182</c:v>
                </c:pt>
                <c:pt idx="15">
                  <c:v>32965095.493959799</c:v>
                </c:pt>
                <c:pt idx="16">
                  <c:v>32906371.487719417</c:v>
                </c:pt>
                <c:pt idx="17">
                  <c:v>32875813.318274505</c:v>
                </c:pt>
                <c:pt idx="18">
                  <c:v>32893537.0352671</c:v>
                </c:pt>
                <c:pt idx="19">
                  <c:v>32904940.279579423</c:v>
                </c:pt>
                <c:pt idx="20">
                  <c:v>33005937.647908516</c:v>
                </c:pt>
                <c:pt idx="21">
                  <c:v>33055245.136594936</c:v>
                </c:pt>
                <c:pt idx="22">
                  <c:v>33102736.146274775</c:v>
                </c:pt>
                <c:pt idx="23">
                  <c:v>33182628.527639266</c:v>
                </c:pt>
                <c:pt idx="24">
                  <c:v>32971523.741793387</c:v>
                </c:pt>
                <c:pt idx="25">
                  <c:v>32820030.711504046</c:v>
                </c:pt>
                <c:pt idx="26">
                  <c:v>32713646.571418263</c:v>
                </c:pt>
                <c:pt idx="27">
                  <c:v>32636332.193497106</c:v>
                </c:pt>
                <c:pt idx="28">
                  <c:v>32578006.215596505</c:v>
                </c:pt>
                <c:pt idx="29">
                  <c:v>32492503.082189828</c:v>
                </c:pt>
                <c:pt idx="30">
                  <c:v>32351671.254584588</c:v>
                </c:pt>
                <c:pt idx="31">
                  <c:v>32320106.286577389</c:v>
                </c:pt>
                <c:pt idx="32">
                  <c:v>32357990.361480318</c:v>
                </c:pt>
                <c:pt idx="33">
                  <c:v>32265793.981766716</c:v>
                </c:pt>
                <c:pt idx="34">
                  <c:v>32272011.531120382</c:v>
                </c:pt>
                <c:pt idx="35">
                  <c:v>32346508.586019658</c:v>
                </c:pt>
                <c:pt idx="36">
                  <c:v>32307895.319055267</c:v>
                </c:pt>
                <c:pt idx="37">
                  <c:v>32312598.754818223</c:v>
                </c:pt>
                <c:pt idx="38">
                  <c:v>32338798.354169525</c:v>
                </c:pt>
                <c:pt idx="39">
                  <c:v>32454054.716516741</c:v>
                </c:pt>
                <c:pt idx="40">
                  <c:v>32525448.595171571</c:v>
                </c:pt>
                <c:pt idx="41">
                  <c:v>32614321.658631191</c:v>
                </c:pt>
                <c:pt idx="42">
                  <c:v>32712258.602366053</c:v>
                </c:pt>
                <c:pt idx="43">
                  <c:v>32690041.040790379</c:v>
                </c:pt>
                <c:pt idx="44">
                  <c:v>32692871.823918596</c:v>
                </c:pt>
                <c:pt idx="45">
                  <c:v>32729136.485665642</c:v>
                </c:pt>
                <c:pt idx="46">
                  <c:v>32740235.12942522</c:v>
                </c:pt>
                <c:pt idx="47">
                  <c:v>32770991.345435619</c:v>
                </c:pt>
                <c:pt idx="48">
                  <c:v>32784341.352800094</c:v>
                </c:pt>
                <c:pt idx="49">
                  <c:v>32876119.766932007</c:v>
                </c:pt>
                <c:pt idx="50">
                  <c:v>33061153.249525789</c:v>
                </c:pt>
                <c:pt idx="51">
                  <c:v>33007320.376316726</c:v>
                </c:pt>
                <c:pt idx="52">
                  <c:v>32918268.100043818</c:v>
                </c:pt>
                <c:pt idx="53">
                  <c:v>32925199.605902851</c:v>
                </c:pt>
                <c:pt idx="54">
                  <c:v>32903509.898753934</c:v>
                </c:pt>
                <c:pt idx="55">
                  <c:v>32968365.085393768</c:v>
                </c:pt>
                <c:pt idx="56">
                  <c:v>33026472.477541491</c:v>
                </c:pt>
                <c:pt idx="57">
                  <c:v>33114244.250537656</c:v>
                </c:pt>
                <c:pt idx="58">
                  <c:v>33163853.129783556</c:v>
                </c:pt>
                <c:pt idx="59">
                  <c:v>33252056.723807592</c:v>
                </c:pt>
                <c:pt idx="60">
                  <c:v>33319527.436923962</c:v>
                </c:pt>
                <c:pt idx="61">
                  <c:v>33476276.604355443</c:v>
                </c:pt>
                <c:pt idx="62">
                  <c:v>33465335.673965126</c:v>
                </c:pt>
                <c:pt idx="63">
                  <c:v>33356152.168103416</c:v>
                </c:pt>
                <c:pt idx="64">
                  <c:v>33282828.697448112</c:v>
                </c:pt>
                <c:pt idx="65">
                  <c:v>33207667.78418066</c:v>
                </c:pt>
                <c:pt idx="66">
                  <c:v>33326169.808636535</c:v>
                </c:pt>
                <c:pt idx="67">
                  <c:v>33361341.205835901</c:v>
                </c:pt>
                <c:pt idx="68">
                  <c:v>33345036.145811401</c:v>
                </c:pt>
                <c:pt idx="69">
                  <c:v>33377438.503215149</c:v>
                </c:pt>
                <c:pt idx="70">
                  <c:v>33322855.589263916</c:v>
                </c:pt>
                <c:pt idx="71">
                  <c:v>33319934.024576746</c:v>
                </c:pt>
                <c:pt idx="72">
                  <c:v>33330641.340445034</c:v>
                </c:pt>
                <c:pt idx="73">
                  <c:v>33348191.878007077</c:v>
                </c:pt>
                <c:pt idx="74">
                  <c:v>33386440.681214262</c:v>
                </c:pt>
                <c:pt idx="75">
                  <c:v>33496084.403651848</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2000000"/>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dispUnits>
          <c:builtInUnit val="millions"/>
        </c:dispUnits>
      </c:valAx>
      <c:spPr>
        <a:noFill/>
        <a:ln w="25400">
          <a:noFill/>
        </a:ln>
      </c:spPr>
    </c:plotArea>
    <c:legend>
      <c:legendPos val="t"/>
      <c:layout>
        <c:manualLayout>
          <c:xMode val="edge"/>
          <c:yMode val="edge"/>
          <c:x val="0.32128167029968713"/>
          <c:y val="0.11799513729339073"/>
          <c:w val="0.32377264706318487"/>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3766626629298462E-2"/>
          <c:y val="0.14725688325786473"/>
          <c:w val="0.88064000474516968"/>
          <c:h val="0.71318700601518292"/>
        </c:manualLayout>
      </c:layout>
      <c:lineChart>
        <c:grouping val="standard"/>
        <c:varyColors val="0"/>
        <c:ser>
          <c:idx val="0"/>
          <c:order val="0"/>
          <c:tx>
            <c:strRef>
              <c:f>'Chart Data'!$F$2</c:f>
              <c:strCache>
                <c:ptCount val="1"/>
                <c:pt idx="0">
                  <c:v>Old</c:v>
                </c:pt>
              </c:strCache>
            </c:strRef>
          </c:tx>
          <c:spPr>
            <a:ln w="38100">
              <a:solidFill>
                <a:srgbClr val="BD1B21"/>
              </a:solidFill>
            </a:ln>
          </c:spPr>
          <c:marker>
            <c:symbol val="none"/>
          </c:marker>
          <c:cat>
            <c:numRef>
              <c:f>'Chart Data'!$E$3:$E$80</c:f>
              <c:numCache>
                <c:formatCode>m/d/yyyy</c:formatCode>
                <c:ptCount val="78"/>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numCache>
            </c:numRef>
          </c:cat>
          <c:val>
            <c:numRef>
              <c:f>'Chart Data'!$F$3:$F$80</c:f>
              <c:numCache>
                <c:formatCode>General</c:formatCode>
                <c:ptCount val="78"/>
                <c:pt idx="0">
                  <c:v>4.274112946376647</c:v>
                </c:pt>
                <c:pt idx="1">
                  <c:v>4.2662377975254442</c:v>
                </c:pt>
                <c:pt idx="2">
                  <c:v>4.2439954223670373</c:v>
                </c:pt>
                <c:pt idx="3">
                  <c:v>4.1167855718264219</c:v>
                </c:pt>
                <c:pt idx="4">
                  <c:v>4.1027206224827424</c:v>
                </c:pt>
                <c:pt idx="5">
                  <c:v>4.1173915087104724</c:v>
                </c:pt>
                <c:pt idx="6">
                  <c:v>4.1571836392831241</c:v>
                </c:pt>
                <c:pt idx="7">
                  <c:v>4.1402464212405548</c:v>
                </c:pt>
                <c:pt idx="8">
                  <c:v>4.1251512650438187</c:v>
                </c:pt>
                <c:pt idx="9">
                  <c:v>4.1007504335879696</c:v>
                </c:pt>
                <c:pt idx="10">
                  <c:v>4.0188923959034968</c:v>
                </c:pt>
                <c:pt idx="11">
                  <c:v>4.0310422840945836</c:v>
                </c:pt>
                <c:pt idx="12">
                  <c:v>3.9089322797454127</c:v>
                </c:pt>
                <c:pt idx="13">
                  <c:v>3.9224684919943908</c:v>
                </c:pt>
                <c:pt idx="14">
                  <c:v>3.8891254199918102</c:v>
                </c:pt>
                <c:pt idx="15">
                  <c:v>3.9871349837011545</c:v>
                </c:pt>
                <c:pt idx="16">
                  <c:v>3.8929458876393817</c:v>
                </c:pt>
                <c:pt idx="17">
                  <c:v>3.9594890392180906</c:v>
                </c:pt>
                <c:pt idx="18">
                  <c:v>3.9306425657461315</c:v>
                </c:pt>
                <c:pt idx="19">
                  <c:v>3.8554363866787114</c:v>
                </c:pt>
                <c:pt idx="20">
                  <c:v>3.9171865643833401</c:v>
                </c:pt>
                <c:pt idx="21">
                  <c:v>3.8679595092723367</c:v>
                </c:pt>
                <c:pt idx="22">
                  <c:v>4.0125425717360583</c:v>
                </c:pt>
                <c:pt idx="23">
                  <c:v>4.0613023537873616</c:v>
                </c:pt>
                <c:pt idx="24">
                  <c:v>4.1044152397387137</c:v>
                </c:pt>
                <c:pt idx="25">
                  <c:v>4.1541733249648072</c:v>
                </c:pt>
                <c:pt idx="26">
                  <c:v>4.2209771339853353</c:v>
                </c:pt>
                <c:pt idx="27">
                  <c:v>4.2191017401238833</c:v>
                </c:pt>
                <c:pt idx="28">
                  <c:v>4.443064440937718</c:v>
                </c:pt>
                <c:pt idx="29">
                  <c:v>4.6604332753369784</c:v>
                </c:pt>
                <c:pt idx="30">
                  <c:v>4.9864893417114136</c:v>
                </c:pt>
                <c:pt idx="31">
                  <c:v>5.165749260611233</c:v>
                </c:pt>
                <c:pt idx="32">
                  <c:v>5.2380391201937497</c:v>
                </c:pt>
                <c:pt idx="33">
                  <c:v>5.3356019356950908</c:v>
                </c:pt>
                <c:pt idx="34">
                  <c:v>5.2560059256593652</c:v>
                </c:pt>
                <c:pt idx="35">
                  <c:v>5.176620114156723</c:v>
                </c:pt>
                <c:pt idx="36">
                  <c:v>5.0611393984675717</c:v>
                </c:pt>
                <c:pt idx="37">
                  <c:v>5.0108705411333503</c:v>
                </c:pt>
                <c:pt idx="38">
                  <c:v>4.9811900840464185</c:v>
                </c:pt>
                <c:pt idx="39">
                  <c:v>4.8395852525967396</c:v>
                </c:pt>
                <c:pt idx="40">
                  <c:v>4.7044344906006899</c:v>
                </c:pt>
                <c:pt idx="41">
                  <c:v>4.5680070616558526</c:v>
                </c:pt>
                <c:pt idx="42">
                  <c:v>4.3900589010258875</c:v>
                </c:pt>
                <c:pt idx="43">
                  <c:v>4.3133334682024067</c:v>
                </c:pt>
                <c:pt idx="44">
                  <c:v>4.2028358643128323</c:v>
                </c:pt>
                <c:pt idx="45">
                  <c:v>4.1760976570385653</c:v>
                </c:pt>
                <c:pt idx="46">
                  <c:v>4.108312348453282</c:v>
                </c:pt>
                <c:pt idx="47">
                  <c:v>3.9682272672751968</c:v>
                </c:pt>
                <c:pt idx="48">
                  <c:v>3.8522226766717904</c:v>
                </c:pt>
                <c:pt idx="49">
                  <c:v>3.9602974535382001</c:v>
                </c:pt>
                <c:pt idx="50">
                  <c:v>3.9040561119136377</c:v>
                </c:pt>
                <c:pt idx="51">
                  <c:v>3.9368428094980188</c:v>
                </c:pt>
                <c:pt idx="52">
                  <c:v>3.747758062152815</c:v>
                </c:pt>
                <c:pt idx="53">
                  <c:v>3.6467168387156348</c:v>
                </c:pt>
                <c:pt idx="54">
                  <c:v>3.7521614029149157</c:v>
                </c:pt>
                <c:pt idx="55">
                  <c:v>3.8567966242491853</c:v>
                </c:pt>
                <c:pt idx="56">
                  <c:v>3.8031557381406573</c:v>
                </c:pt>
                <c:pt idx="57">
                  <c:v>3.8738682444316539</c:v>
                </c:pt>
                <c:pt idx="58">
                  <c:v>3.8196509811528716</c:v>
                </c:pt>
                <c:pt idx="59">
                  <c:v>3.8995530292897382</c:v>
                </c:pt>
                <c:pt idx="60">
                  <c:v>3.9991661583418958</c:v>
                </c:pt>
                <c:pt idx="61">
                  <c:v>3.9016813870957088</c:v>
                </c:pt>
                <c:pt idx="62">
                  <c:v>4.01972314419322</c:v>
                </c:pt>
                <c:pt idx="63">
                  <c:v>4.2180538042103279</c:v>
                </c:pt>
                <c:pt idx="64">
                  <c:v>4.3275575199322773</c:v>
                </c:pt>
                <c:pt idx="65">
                  <c:v>4.2120859995807702</c:v>
                </c:pt>
                <c:pt idx="66">
                  <c:v>4.0762415382543065</c:v>
                </c:pt>
                <c:pt idx="67">
                  <c:v>3.9545749337805907</c:v>
                </c:pt>
                <c:pt idx="68">
                  <c:v>3.9291770747650485</c:v>
                </c:pt>
                <c:pt idx="69">
                  <c:v>3.8266183265595859</c:v>
                </c:pt>
                <c:pt idx="70">
                  <c:v>3.9813393091892415</c:v>
                </c:pt>
                <c:pt idx="71">
                  <c:v>4.1839208793008158</c:v>
                </c:pt>
                <c:pt idx="72">
                  <c:v>4.3103508738017107</c:v>
                </c:pt>
                <c:pt idx="73">
                  <c:v>4.3808288523937495</c:v>
                </c:pt>
                <c:pt idx="74">
                  <c:v>4.4250895901641769</c:v>
                </c:pt>
                <c:pt idx="75">
                  <c:v>4.1570667392558356</c:v>
                </c:pt>
              </c:numCache>
            </c:numRef>
          </c:val>
          <c:smooth val="0"/>
          <c:extLst>
            <c:ext xmlns:c16="http://schemas.microsoft.com/office/drawing/2014/chart" uri="{C3380CC4-5D6E-409C-BE32-E72D297353CC}">
              <c16:uniqueId val="{00000000-7861-4D25-A750-A4FA3CF45F08}"/>
            </c:ext>
          </c:extLst>
        </c:ser>
        <c:ser>
          <c:idx val="1"/>
          <c:order val="1"/>
          <c:tx>
            <c:strRef>
              <c:f>'Chart Data'!$G$2</c:f>
              <c:strCache>
                <c:ptCount val="1"/>
                <c:pt idx="0">
                  <c:v>New</c:v>
                </c:pt>
              </c:strCache>
            </c:strRef>
          </c:tx>
          <c:spPr>
            <a:ln w="38100">
              <a:solidFill>
                <a:srgbClr val="002060"/>
              </a:solidFill>
            </a:ln>
          </c:spPr>
          <c:marker>
            <c:symbol val="none"/>
          </c:marker>
          <c:cat>
            <c:numRef>
              <c:f>'Chart Data'!$E$3:$E$80</c:f>
              <c:numCache>
                <c:formatCode>m/d/yyyy</c:formatCode>
                <c:ptCount val="78"/>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numCache>
            </c:numRef>
          </c:cat>
          <c:val>
            <c:numRef>
              <c:f>'Chart Data'!$G$3:$G$80</c:f>
              <c:numCache>
                <c:formatCode>General</c:formatCode>
                <c:ptCount val="78"/>
                <c:pt idx="0">
                  <c:v>4.202200396588367</c:v>
                </c:pt>
                <c:pt idx="1">
                  <c:v>4.1933860148888522</c:v>
                </c:pt>
                <c:pt idx="2">
                  <c:v>4.1702589256730125</c:v>
                </c:pt>
                <c:pt idx="3">
                  <c:v>4.0420492389406304</c:v>
                </c:pt>
                <c:pt idx="4">
                  <c:v>4.0271923743650273</c:v>
                </c:pt>
                <c:pt idx="5">
                  <c:v>4.0411905884859189</c:v>
                </c:pt>
                <c:pt idx="6">
                  <c:v>4.0802006695805542</c:v>
                </c:pt>
                <c:pt idx="7">
                  <c:v>4.0625833370688369</c:v>
                </c:pt>
                <c:pt idx="8">
                  <c:v>4.0469848725974362</c:v>
                </c:pt>
                <c:pt idx="9">
                  <c:v>4.0218132170533094</c:v>
                </c:pt>
                <c:pt idx="10">
                  <c:v>3.9395767730086866</c:v>
                </c:pt>
                <c:pt idx="11">
                  <c:v>3.9507557148809465</c:v>
                </c:pt>
                <c:pt idx="12">
                  <c:v>3.8279984907169622</c:v>
                </c:pt>
                <c:pt idx="13">
                  <c:v>3.8414931010237545</c:v>
                </c:pt>
                <c:pt idx="14">
                  <c:v>3.8019975450148578</c:v>
                </c:pt>
                <c:pt idx="15">
                  <c:v>3.8804678009504117</c:v>
                </c:pt>
                <c:pt idx="16">
                  <c:v>3.85514174668308</c:v>
                </c:pt>
                <c:pt idx="17">
                  <c:v>3.8804250458904175</c:v>
                </c:pt>
                <c:pt idx="18">
                  <c:v>3.8753238440804068</c:v>
                </c:pt>
                <c:pt idx="19">
                  <c:v>3.804013838760858</c:v>
                </c:pt>
                <c:pt idx="20">
                  <c:v>3.8297574612898115</c:v>
                </c:pt>
                <c:pt idx="21">
                  <c:v>3.741670223038235</c:v>
                </c:pt>
                <c:pt idx="22">
                  <c:v>3.8901186667181959</c:v>
                </c:pt>
                <c:pt idx="23">
                  <c:v>3.9487879437826017</c:v>
                </c:pt>
                <c:pt idx="24">
                  <c:v>4.1031150292789551</c:v>
                </c:pt>
                <c:pt idx="25">
                  <c:v>4.0912203408677215</c:v>
                </c:pt>
                <c:pt idx="26">
                  <c:v>4.1254578109898761</c:v>
                </c:pt>
                <c:pt idx="27">
                  <c:v>4.0807819990747021</c:v>
                </c:pt>
                <c:pt idx="28">
                  <c:v>4.3626503133234236</c:v>
                </c:pt>
                <c:pt idx="29">
                  <c:v>4.6266979641371737</c:v>
                </c:pt>
                <c:pt idx="30">
                  <c:v>4.9676309202496798</c:v>
                </c:pt>
                <c:pt idx="31">
                  <c:v>5.1636341205567229</c:v>
                </c:pt>
                <c:pt idx="32">
                  <c:v>5.2251541709040392</c:v>
                </c:pt>
                <c:pt idx="33">
                  <c:v>5.2668681704276272</c:v>
                </c:pt>
                <c:pt idx="34">
                  <c:v>5.1693948186451193</c:v>
                </c:pt>
                <c:pt idx="35">
                  <c:v>5.0464083897389891</c:v>
                </c:pt>
                <c:pt idx="36">
                  <c:v>4.9056039570523247</c:v>
                </c:pt>
                <c:pt idx="37">
                  <c:v>4.8293460430231629</c:v>
                </c:pt>
                <c:pt idx="38">
                  <c:v>4.7913883605690781</c:v>
                </c:pt>
                <c:pt idx="39">
                  <c:v>4.6635244305596748</c:v>
                </c:pt>
                <c:pt idx="40">
                  <c:v>4.581491046164424</c:v>
                </c:pt>
                <c:pt idx="41">
                  <c:v>4.5113601581111453</c:v>
                </c:pt>
                <c:pt idx="42">
                  <c:v>4.3840002462664609</c:v>
                </c:pt>
                <c:pt idx="43">
                  <c:v>4.3170988028735495</c:v>
                </c:pt>
                <c:pt idx="44">
                  <c:v>4.2182710122549114</c:v>
                </c:pt>
                <c:pt idx="45">
                  <c:v>4.1857707793964298</c:v>
                </c:pt>
                <c:pt idx="46">
                  <c:v>4.1006707202963222</c:v>
                </c:pt>
                <c:pt idx="47">
                  <c:v>3.9156879752737126</c:v>
                </c:pt>
                <c:pt idx="48">
                  <c:v>3.7862292087079301</c:v>
                </c:pt>
                <c:pt idx="49">
                  <c:v>3.8213077154595232</c:v>
                </c:pt>
                <c:pt idx="50">
                  <c:v>3.7258665196975591</c:v>
                </c:pt>
                <c:pt idx="51">
                  <c:v>3.7771862580964473</c:v>
                </c:pt>
                <c:pt idx="52">
                  <c:v>3.6272295955684508</c:v>
                </c:pt>
                <c:pt idx="53">
                  <c:v>3.588658518271536</c:v>
                </c:pt>
                <c:pt idx="54">
                  <c:v>3.7390206558913146</c:v>
                </c:pt>
                <c:pt idx="55">
                  <c:v>3.8444595598171984</c:v>
                </c:pt>
                <c:pt idx="56">
                  <c:v>3.890060364973575</c:v>
                </c:pt>
                <c:pt idx="57">
                  <c:v>3.9299769274571843</c:v>
                </c:pt>
                <c:pt idx="58">
                  <c:v>3.8648128479275097</c:v>
                </c:pt>
                <c:pt idx="59">
                  <c:v>3.9742389177852888</c:v>
                </c:pt>
                <c:pt idx="60">
                  <c:v>3.9935856433739834</c:v>
                </c:pt>
                <c:pt idx="61">
                  <c:v>3.8758732517899368</c:v>
                </c:pt>
                <c:pt idx="62">
                  <c:v>3.9986138021709445</c:v>
                </c:pt>
                <c:pt idx="63">
                  <c:v>4.2196643964789091</c:v>
                </c:pt>
                <c:pt idx="64">
                  <c:v>4.3339091681629007</c:v>
                </c:pt>
                <c:pt idx="65">
                  <c:v>4.2721178579651475</c:v>
                </c:pt>
                <c:pt idx="66">
                  <c:v>4.1139011605137474</c:v>
                </c:pt>
                <c:pt idx="67">
                  <c:v>4.0231264174551367</c:v>
                </c:pt>
                <c:pt idx="68">
                  <c:v>3.9791071356697154</c:v>
                </c:pt>
                <c:pt idx="69">
                  <c:v>3.8704063015919665</c:v>
                </c:pt>
                <c:pt idx="70">
                  <c:v>4.0658239507051652</c:v>
                </c:pt>
                <c:pt idx="71">
                  <c:v>4.1981867793116647</c:v>
                </c:pt>
                <c:pt idx="72">
                  <c:v>4.3353253987590481</c:v>
                </c:pt>
                <c:pt idx="73">
                  <c:v>4.3708565284403305</c:v>
                </c:pt>
                <c:pt idx="74">
                  <c:v>4.4296542313994891</c:v>
                </c:pt>
                <c:pt idx="75">
                  <c:v>4.1913071532874016</c:v>
                </c:pt>
              </c:numCache>
            </c:numRef>
          </c:val>
          <c:smooth val="0"/>
          <c:extLst>
            <c:ext xmlns:c16="http://schemas.microsoft.com/office/drawing/2014/chart" uri="{C3380CC4-5D6E-409C-BE32-E72D297353CC}">
              <c16:uniqueId val="{00000001-7861-4D25-A750-A4FA3CF45F08}"/>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4"/>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0.2"/>
      </c:valAx>
      <c:spPr>
        <a:noFill/>
        <a:ln w="25400">
          <a:noFill/>
        </a:ln>
      </c:spPr>
    </c:plotArea>
    <c:legend>
      <c:legendPos val="t"/>
      <c:layout>
        <c:manualLayout>
          <c:xMode val="edge"/>
          <c:yMode val="edge"/>
          <c:x val="0.3468937230303839"/>
          <c:y val="9.5332247774977133E-2"/>
          <c:w val="0.32377264706318487"/>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0866FF1-666A-4A37-9C82-2B81A55B4035}">
  <sheetPr/>
  <sheetViews>
    <sheetView tabSelected="1"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CCC100-6C75-4598-B460-123905E80528}">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ED59A21-CCB5-4319-A54C-047EF7CBF2E6}">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3FA07B0D-D7DF-9B83-BA3B-F1877885642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C6D2274E-31EF-FCEB-A90F-83893C61891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Labour Force Survey revisions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6B722F66-62AE-80D5-BA8B-34D665C31467}"/>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a:t>
          </a:r>
        </a:p>
      </cdr:txBody>
    </cdr:sp>
  </cdr:relSizeAnchor>
  <cdr:relSizeAnchor xmlns:cdr="http://schemas.openxmlformats.org/drawingml/2006/chartDrawing">
    <cdr:from>
      <cdr:x>0</cdr:x>
      <cdr:y>0.07406</cdr:y>
    </cdr:from>
    <cdr:to>
      <cdr:x>0.21353</cdr:x>
      <cdr:y>0.12502</cdr:y>
    </cdr:to>
    <cdr:sp macro="" textlink="">
      <cdr:nvSpPr>
        <cdr:cNvPr id="6" name="TextBox 5">
          <a:extLst xmlns:a="http://schemas.openxmlformats.org/drawingml/2006/main">
            <a:ext uri="{FF2B5EF4-FFF2-40B4-BE49-F238E27FC236}">
              <a16:creationId xmlns:a16="http://schemas.microsoft.com/office/drawing/2014/main" id="{50FA2F85-C18A-D64E-D7E0-DD808F7A7CC6}"/>
            </a:ext>
          </a:extLst>
        </cdr:cNvPr>
        <cdr:cNvSpPr txBox="1"/>
      </cdr:nvSpPr>
      <cdr:spPr>
        <a:xfrm xmlns:a="http://schemas.openxmlformats.org/drawingml/2006/main">
          <a:off x="0" y="498052"/>
          <a:ext cx="1799978" cy="34268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Millions</a:t>
          </a:r>
        </a:p>
      </cdr:txBody>
    </cdr:sp>
  </cdr:relSizeAnchor>
  <cdr:relSizeAnchor xmlns:cdr="http://schemas.openxmlformats.org/drawingml/2006/chartDrawing">
    <cdr:from>
      <cdr:x>0.50734</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C7E8B930-7B7B-A731-1874-A517610F588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0.08588</cdr:x>
      <cdr:y>0.09773</cdr:y>
    </cdr:from>
    <cdr:to>
      <cdr:x>0.46328</cdr:x>
      <cdr:y>0.16997</cdr:y>
    </cdr:to>
    <cdr:sp macro="" textlink="">
      <cdr:nvSpPr>
        <cdr:cNvPr id="8" name="TextBox 7">
          <a:extLst xmlns:a="http://schemas.openxmlformats.org/drawingml/2006/main">
            <a:ext uri="{FF2B5EF4-FFF2-40B4-BE49-F238E27FC236}">
              <a16:creationId xmlns:a16="http://schemas.microsoft.com/office/drawing/2014/main" id="{0F052CD2-4A71-A432-2910-B6945B117120}"/>
            </a:ext>
          </a:extLst>
        </cdr:cNvPr>
        <cdr:cNvSpPr txBox="1"/>
      </cdr:nvSpPr>
      <cdr:spPr>
        <a:xfrm xmlns:a="http://schemas.openxmlformats.org/drawingml/2006/main">
          <a:off x="723900" y="657225"/>
          <a:ext cx="3181349" cy="4857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Employment</a:t>
          </a:r>
        </a:p>
      </cdr:txBody>
    </cdr:sp>
  </cdr:relSizeAnchor>
</c:userShapes>
</file>

<file path=xl/drawings/drawing3.xml><?xml version="1.0" encoding="utf-8"?>
<c:userShapes xmlns:c="http://schemas.openxmlformats.org/drawingml/2006/chart">
  <cdr:relSizeAnchor xmlns:cdr="http://schemas.openxmlformats.org/drawingml/2006/chartDrawing">
    <cdr:from>
      <cdr:x>0</cdr:x>
      <cdr:y>0.07407</cdr:y>
    </cdr:from>
    <cdr:to>
      <cdr:x>0.21353</cdr:x>
      <cdr:y>0.12502</cdr:y>
    </cdr:to>
    <cdr:sp macro="" textlink="">
      <cdr:nvSpPr>
        <cdr:cNvPr id="6" name="TextBox 5">
          <a:extLst xmlns:a="http://schemas.openxmlformats.org/drawingml/2006/main">
            <a:ext uri="{FF2B5EF4-FFF2-40B4-BE49-F238E27FC236}">
              <a16:creationId xmlns:a16="http://schemas.microsoft.com/office/drawing/2014/main" id="{50FA2F85-C18A-D64E-D7E0-DD808F7A7CC6}"/>
            </a:ext>
          </a:extLst>
        </cdr:cNvPr>
        <cdr:cNvSpPr txBox="1"/>
      </cdr:nvSpPr>
      <cdr:spPr>
        <a:xfrm xmlns:a="http://schemas.openxmlformats.org/drawingml/2006/main">
          <a:off x="0" y="498109"/>
          <a:ext cx="886768" cy="34262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dr:relSizeAnchor xmlns:cdr="http://schemas.openxmlformats.org/drawingml/2006/chartDrawing">
    <cdr:from>
      <cdr:x>0.14985</cdr:x>
      <cdr:y>0.09679</cdr:y>
    </cdr:from>
    <cdr:to>
      <cdr:x>0.9159</cdr:x>
      <cdr:y>0.16903</cdr:y>
    </cdr:to>
    <cdr:sp macro="" textlink="">
      <cdr:nvSpPr>
        <cdr:cNvPr id="4" name="TextBox 1">
          <a:extLst xmlns:a="http://schemas.openxmlformats.org/drawingml/2006/main">
            <a:ext uri="{FF2B5EF4-FFF2-40B4-BE49-F238E27FC236}">
              <a16:creationId xmlns:a16="http://schemas.microsoft.com/office/drawing/2014/main" id="{CEF3FA2A-D318-6F1B-129F-9ED36ED5BCB1}"/>
            </a:ext>
          </a:extLst>
        </cdr:cNvPr>
        <cdr:cNvSpPr txBox="1"/>
      </cdr:nvSpPr>
      <cdr:spPr>
        <a:xfrm xmlns:a="http://schemas.openxmlformats.org/drawingml/2006/main">
          <a:off x="622300" y="650875"/>
          <a:ext cx="3181349" cy="4857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Unemployment</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21284836-BE76-BCA0-3908-03A0FEDEE34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C6D2274E-31EF-FCEB-A90F-83893C61891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LFS estimates</a:t>
          </a:r>
          <a:r>
            <a:rPr lang="en-GB" sz="2400" b="0" baseline="0">
              <a:solidFill>
                <a:srgbClr val="495057"/>
              </a:solidFill>
              <a:latin typeface="Segoe UI" panose="020B0502040204020203" pitchFamily="34" charset="0"/>
              <a:cs typeface="Segoe UI" panose="020B0502040204020203" pitchFamily="34" charset="0"/>
            </a:rPr>
            <a:t> of employment</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6B722F66-62AE-80D5-BA8B-34D665C31467}"/>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a:t>
          </a:r>
        </a:p>
      </cdr:txBody>
    </cdr:sp>
  </cdr:relSizeAnchor>
  <cdr:relSizeAnchor xmlns:cdr="http://schemas.openxmlformats.org/drawingml/2006/chartDrawing">
    <cdr:from>
      <cdr:x>0</cdr:x>
      <cdr:y>0.07548</cdr:y>
    </cdr:from>
    <cdr:to>
      <cdr:x>0.21353</cdr:x>
      <cdr:y>0.12644</cdr:y>
    </cdr:to>
    <cdr:sp macro="" textlink="">
      <cdr:nvSpPr>
        <cdr:cNvPr id="6" name="TextBox 5">
          <a:extLst xmlns:a="http://schemas.openxmlformats.org/drawingml/2006/main">
            <a:ext uri="{FF2B5EF4-FFF2-40B4-BE49-F238E27FC236}">
              <a16:creationId xmlns:a16="http://schemas.microsoft.com/office/drawing/2014/main" id="{50FA2F85-C18A-D64E-D7E0-DD808F7A7CC6}"/>
            </a:ext>
          </a:extLst>
        </cdr:cNvPr>
        <cdr:cNvSpPr txBox="1"/>
      </cdr:nvSpPr>
      <cdr:spPr>
        <a:xfrm xmlns:a="http://schemas.openxmlformats.org/drawingml/2006/main">
          <a:off x="0" y="507610"/>
          <a:ext cx="1800000" cy="34263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Millions</a:t>
          </a: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0BE9ADE2-66B1-8AAE-8B06-6AEE90E3373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C6D2274E-31EF-FCEB-A90F-83893C61891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LFS estimates</a:t>
          </a:r>
          <a:r>
            <a:rPr lang="en-GB" sz="2400" b="0" baseline="0">
              <a:solidFill>
                <a:srgbClr val="495057"/>
              </a:solidFill>
              <a:latin typeface="Segoe UI" panose="020B0502040204020203" pitchFamily="34" charset="0"/>
              <a:cs typeface="Segoe UI" panose="020B0502040204020203" pitchFamily="34" charset="0"/>
            </a:rPr>
            <a:t> of unemployment</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6B722F66-62AE-80D5-BA8B-34D665C31467}"/>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a:t>
          </a:r>
        </a:p>
      </cdr:txBody>
    </cdr:sp>
  </cdr:relSizeAnchor>
  <cdr:relSizeAnchor xmlns:cdr="http://schemas.openxmlformats.org/drawingml/2006/chartDrawing">
    <cdr:from>
      <cdr:x>0.00113</cdr:x>
      <cdr:y>0.06699</cdr:y>
    </cdr:from>
    <cdr:to>
      <cdr:x>0.21466</cdr:x>
      <cdr:y>0.11794</cdr:y>
    </cdr:to>
    <cdr:sp macro="" textlink="">
      <cdr:nvSpPr>
        <cdr:cNvPr id="6" name="TextBox 5">
          <a:extLst xmlns:a="http://schemas.openxmlformats.org/drawingml/2006/main">
            <a:ext uri="{FF2B5EF4-FFF2-40B4-BE49-F238E27FC236}">
              <a16:creationId xmlns:a16="http://schemas.microsoft.com/office/drawing/2014/main" id="{50FA2F85-C18A-D64E-D7E0-DD808F7A7CC6}"/>
            </a:ext>
          </a:extLst>
        </cdr:cNvPr>
        <cdr:cNvSpPr txBox="1"/>
      </cdr:nvSpPr>
      <cdr:spPr>
        <a:xfrm xmlns:a="http://schemas.openxmlformats.org/drawingml/2006/main">
          <a:off x="9525" y="450494"/>
          <a:ext cx="1800000" cy="34262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0694D-49A2-4663-BF95-BCA74523B227}">
  <dimension ref="A1:K86"/>
  <sheetViews>
    <sheetView topLeftCell="A54" workbookViewId="0">
      <selection activeCell="B79" sqref="B79"/>
    </sheetView>
  </sheetViews>
  <sheetFormatPr defaultRowHeight="15" x14ac:dyDescent="0.25"/>
  <cols>
    <col min="1" max="1" width="10.7109375" bestFit="1" customWidth="1"/>
    <col min="5" max="5" width="10.5703125" customWidth="1"/>
  </cols>
  <sheetData>
    <row r="1" spans="1:7" x14ac:dyDescent="0.25">
      <c r="A1" s="10" t="s">
        <v>99</v>
      </c>
      <c r="E1" s="10" t="s">
        <v>102</v>
      </c>
    </row>
    <row r="2" spans="1:7" x14ac:dyDescent="0.25">
      <c r="B2" t="s">
        <v>100</v>
      </c>
      <c r="C2" t="s">
        <v>101</v>
      </c>
      <c r="F2" t="s">
        <v>100</v>
      </c>
      <c r="G2" t="s">
        <v>101</v>
      </c>
    </row>
    <row r="3" spans="1:7" x14ac:dyDescent="0.25">
      <c r="A3" s="11">
        <v>43101</v>
      </c>
      <c r="B3">
        <f>'Figure 3'!B8</f>
        <v>32364259.000041544</v>
      </c>
      <c r="C3">
        <f>'Figure 3'!C8</f>
        <v>32409793.264386788</v>
      </c>
      <c r="E3" s="11">
        <v>43101</v>
      </c>
      <c r="F3">
        <f>'Figure 4'!D8</f>
        <v>4.274112946376647</v>
      </c>
      <c r="G3">
        <f>'Figure 4'!E8</f>
        <v>4.202200396588367</v>
      </c>
    </row>
    <row r="4" spans="1:7" x14ac:dyDescent="0.25">
      <c r="A4" s="11">
        <v>43132</v>
      </c>
      <c r="B4">
        <f>'Figure 3'!B9</f>
        <v>32408829.128860582</v>
      </c>
      <c r="C4">
        <f>'Figure 3'!C9</f>
        <v>32454860.542105317</v>
      </c>
      <c r="E4" s="11">
        <v>43132</v>
      </c>
      <c r="F4">
        <f>'Figure 4'!D9</f>
        <v>4.2662377975254442</v>
      </c>
      <c r="G4">
        <f>'Figure 4'!E9</f>
        <v>4.1933860148888522</v>
      </c>
    </row>
    <row r="5" spans="1:7" x14ac:dyDescent="0.25">
      <c r="A5" s="11">
        <v>43160</v>
      </c>
      <c r="B5">
        <f>'Figure 3'!B10</f>
        <v>32413229.385216579</v>
      </c>
      <c r="C5">
        <f>'Figure 3'!C10</f>
        <v>32459349.149326134</v>
      </c>
      <c r="E5" s="11">
        <v>43160</v>
      </c>
      <c r="F5">
        <f>'Figure 4'!D10</f>
        <v>4.2439954223670373</v>
      </c>
      <c r="G5">
        <f>'Figure 4'!E10</f>
        <v>4.1702589256730125</v>
      </c>
    </row>
    <row r="6" spans="1:7" x14ac:dyDescent="0.25">
      <c r="A6" s="11">
        <v>43191</v>
      </c>
      <c r="B6">
        <f>'Figure 3'!B11</f>
        <v>32403445.611182101</v>
      </c>
      <c r="C6">
        <f>'Figure 3'!C11</f>
        <v>32450587.814803652</v>
      </c>
      <c r="E6" s="11">
        <v>43191</v>
      </c>
      <c r="F6">
        <f>'Figure 4'!D11</f>
        <v>4.1167855718264219</v>
      </c>
      <c r="G6">
        <f>'Figure 4'!E11</f>
        <v>4.0420492389406304</v>
      </c>
    </row>
    <row r="7" spans="1:7" x14ac:dyDescent="0.25">
      <c r="A7" s="11">
        <v>43221</v>
      </c>
      <c r="B7">
        <f>'Figure 3'!B12</f>
        <v>32423238.899848133</v>
      </c>
      <c r="C7">
        <f>'Figure 3'!C12</f>
        <v>32470690.327440254</v>
      </c>
      <c r="E7" s="11">
        <v>43221</v>
      </c>
      <c r="F7">
        <f>'Figure 4'!D12</f>
        <v>4.1027206224827424</v>
      </c>
      <c r="G7">
        <f>'Figure 4'!E12</f>
        <v>4.0271923743650273</v>
      </c>
    </row>
    <row r="8" spans="1:7" x14ac:dyDescent="0.25">
      <c r="A8" s="11">
        <v>43252</v>
      </c>
      <c r="B8">
        <f>'Figure 3'!B13</f>
        <v>32427119.853311062</v>
      </c>
      <c r="C8">
        <f>'Figure 3'!C13</f>
        <v>32475532.321780838</v>
      </c>
      <c r="E8" s="11">
        <v>43252</v>
      </c>
      <c r="F8">
        <f>'Figure 4'!D13</f>
        <v>4.1173915087104724</v>
      </c>
      <c r="G8">
        <f>'Figure 4'!E13</f>
        <v>4.0411905884859189</v>
      </c>
    </row>
    <row r="9" spans="1:7" x14ac:dyDescent="0.25">
      <c r="A9" s="11">
        <v>43282</v>
      </c>
      <c r="B9">
        <f>'Figure 3'!B14</f>
        <v>32448405.812577598</v>
      </c>
      <c r="C9">
        <f>'Figure 3'!C14</f>
        <v>32497327.633414298</v>
      </c>
      <c r="E9" s="11">
        <v>43282</v>
      </c>
      <c r="F9">
        <f>'Figure 4'!D14</f>
        <v>4.1571836392831241</v>
      </c>
      <c r="G9">
        <f>'Figure 4'!E14</f>
        <v>4.0802006695805542</v>
      </c>
    </row>
    <row r="10" spans="1:7" x14ac:dyDescent="0.25">
      <c r="A10" s="11">
        <v>43313</v>
      </c>
      <c r="B10">
        <f>'Figure 3'!B15</f>
        <v>32510956.405211654</v>
      </c>
      <c r="C10">
        <f>'Figure 3'!C15</f>
        <v>32560227.766210005</v>
      </c>
      <c r="E10" s="11">
        <v>43313</v>
      </c>
      <c r="F10">
        <f>'Figure 4'!D15</f>
        <v>4.1402464212405548</v>
      </c>
      <c r="G10">
        <f>'Figure 4'!E15</f>
        <v>4.0625833370688369</v>
      </c>
    </row>
    <row r="11" spans="1:7" x14ac:dyDescent="0.25">
      <c r="A11" s="11">
        <v>43344</v>
      </c>
      <c r="B11">
        <f>'Figure 3'!B16</f>
        <v>32562339.272496566</v>
      </c>
      <c r="C11">
        <f>'Figure 3'!C16</f>
        <v>32612102.987842817</v>
      </c>
      <c r="E11" s="11">
        <v>43344</v>
      </c>
      <c r="F11">
        <f>'Figure 4'!D16</f>
        <v>4.1251512650438187</v>
      </c>
      <c r="G11">
        <f>'Figure 4'!E16</f>
        <v>4.0469848725974362</v>
      </c>
    </row>
    <row r="12" spans="1:7" x14ac:dyDescent="0.25">
      <c r="A12" s="11">
        <v>43374</v>
      </c>
      <c r="B12">
        <f>'Figure 3'!B17</f>
        <v>32618379.374894254</v>
      </c>
      <c r="C12">
        <f>'Figure 3'!C17</f>
        <v>32668554.513481632</v>
      </c>
      <c r="E12" s="11">
        <v>43374</v>
      </c>
      <c r="F12">
        <f>'Figure 4'!D17</f>
        <v>4.1007504335879696</v>
      </c>
      <c r="G12">
        <f>'Figure 4'!E17</f>
        <v>4.0218132170533094</v>
      </c>
    </row>
    <row r="13" spans="1:7" x14ac:dyDescent="0.25">
      <c r="A13" s="11">
        <v>43405</v>
      </c>
      <c r="B13">
        <f>'Figure 3'!B18</f>
        <v>32735930.414915513</v>
      </c>
      <c r="C13">
        <f>'Figure 3'!C18</f>
        <v>32786455.546686105</v>
      </c>
      <c r="E13" s="11">
        <v>43405</v>
      </c>
      <c r="F13">
        <f>'Figure 4'!D18</f>
        <v>4.0188923959034968</v>
      </c>
      <c r="G13">
        <f>'Figure 4'!E18</f>
        <v>3.9395767730086866</v>
      </c>
    </row>
    <row r="14" spans="1:7" x14ac:dyDescent="0.25">
      <c r="A14" s="11">
        <v>43435</v>
      </c>
      <c r="B14">
        <f>'Figure 3'!B19</f>
        <v>32744128.442298282</v>
      </c>
      <c r="C14">
        <f>'Figure 3'!C19</f>
        <v>32795520.965745583</v>
      </c>
      <c r="E14" s="11">
        <v>43435</v>
      </c>
      <c r="F14">
        <f>'Figure 4'!D19</f>
        <v>4.0310422840945836</v>
      </c>
      <c r="G14">
        <f>'Figure 4'!E19</f>
        <v>3.9507557148809465</v>
      </c>
    </row>
    <row r="15" spans="1:7" x14ac:dyDescent="0.25">
      <c r="A15" s="11">
        <v>43466</v>
      </c>
      <c r="B15">
        <f>'Figure 3'!B20</f>
        <v>32721046.980082858</v>
      </c>
      <c r="C15">
        <f>'Figure 3'!C20</f>
        <v>32773158.536973979</v>
      </c>
      <c r="E15" s="11">
        <v>43466</v>
      </c>
      <c r="F15">
        <f>'Figure 4'!D20</f>
        <v>3.9089322797454127</v>
      </c>
      <c r="G15">
        <f>'Figure 4'!E20</f>
        <v>3.8279984907169622</v>
      </c>
    </row>
    <row r="16" spans="1:7" x14ac:dyDescent="0.25">
      <c r="A16" s="11">
        <v>43497</v>
      </c>
      <c r="B16">
        <f>'Figure 3'!B21</f>
        <v>32771570.354701638</v>
      </c>
      <c r="C16">
        <f>'Figure 3'!C21</f>
        <v>32844334.962939829</v>
      </c>
      <c r="E16" s="11">
        <v>43497</v>
      </c>
      <c r="F16">
        <f>'Figure 4'!D21</f>
        <v>3.9224684919943908</v>
      </c>
      <c r="G16">
        <f>'Figure 4'!E21</f>
        <v>3.8414931010237545</v>
      </c>
    </row>
    <row r="17" spans="1:7" x14ac:dyDescent="0.25">
      <c r="A17" s="11">
        <v>43525</v>
      </c>
      <c r="B17">
        <f>'Figure 3'!B22</f>
        <v>32775474.269628525</v>
      </c>
      <c r="C17">
        <f>'Figure 3'!C22</f>
        <v>32885067.118593182</v>
      </c>
      <c r="E17" s="11">
        <v>43525</v>
      </c>
      <c r="F17">
        <f>'Figure 4'!D22</f>
        <v>3.8891254199918102</v>
      </c>
      <c r="G17">
        <f>'Figure 4'!E22</f>
        <v>3.8019975450148578</v>
      </c>
    </row>
    <row r="18" spans="1:7" x14ac:dyDescent="0.25">
      <c r="A18" s="11">
        <v>43556</v>
      </c>
      <c r="B18">
        <f>'Figure 3'!B23</f>
        <v>32838889.10009433</v>
      </c>
      <c r="C18">
        <f>'Figure 3'!C23</f>
        <v>32965095.493959799</v>
      </c>
      <c r="E18" s="11">
        <v>43556</v>
      </c>
      <c r="F18">
        <f>'Figure 4'!D23</f>
        <v>3.9871349837011545</v>
      </c>
      <c r="G18">
        <f>'Figure 4'!E23</f>
        <v>3.8804678009504117</v>
      </c>
    </row>
    <row r="19" spans="1:7" x14ac:dyDescent="0.25">
      <c r="A19" s="11">
        <v>43586</v>
      </c>
      <c r="B19">
        <f>'Figure 3'!B24</f>
        <v>32805829.137577116</v>
      </c>
      <c r="C19">
        <f>'Figure 3'!C24</f>
        <v>32906371.487719417</v>
      </c>
      <c r="E19" s="11">
        <v>43586</v>
      </c>
      <c r="F19">
        <f>'Figure 4'!D24</f>
        <v>3.8929458876393817</v>
      </c>
      <c r="G19">
        <f>'Figure 4'!E24</f>
        <v>3.85514174668308</v>
      </c>
    </row>
    <row r="20" spans="1:7" x14ac:dyDescent="0.25">
      <c r="A20" s="11">
        <v>43617</v>
      </c>
      <c r="B20">
        <f>'Figure 3'!B25</f>
        <v>32719866.665046345</v>
      </c>
      <c r="C20">
        <f>'Figure 3'!C25</f>
        <v>32875813.318274505</v>
      </c>
      <c r="E20" s="11">
        <v>43617</v>
      </c>
      <c r="F20">
        <f>'Figure 4'!D25</f>
        <v>3.9594890392180906</v>
      </c>
      <c r="G20">
        <f>'Figure 4'!E25</f>
        <v>3.8804250458904175</v>
      </c>
    </row>
    <row r="21" spans="1:7" x14ac:dyDescent="0.25">
      <c r="A21" s="11">
        <v>43647</v>
      </c>
      <c r="B21">
        <f>'Figure 3'!B26</f>
        <v>32778692.080618687</v>
      </c>
      <c r="C21">
        <f>'Figure 3'!C26</f>
        <v>32893537.0352671</v>
      </c>
      <c r="E21" s="11">
        <v>43647</v>
      </c>
      <c r="F21">
        <f>'Figure 4'!D26</f>
        <v>3.9306425657461315</v>
      </c>
      <c r="G21">
        <f>'Figure 4'!E26</f>
        <v>3.8753238440804068</v>
      </c>
    </row>
    <row r="22" spans="1:7" x14ac:dyDescent="0.25">
      <c r="A22" s="11">
        <v>43678</v>
      </c>
      <c r="B22">
        <f>'Figure 3'!B27</f>
        <v>32825161.590042867</v>
      </c>
      <c r="C22">
        <f>'Figure 3'!C27</f>
        <v>32904940.279579423</v>
      </c>
      <c r="E22" s="11">
        <v>43678</v>
      </c>
      <c r="F22">
        <f>'Figure 4'!D27</f>
        <v>3.8554363866787114</v>
      </c>
      <c r="G22">
        <f>'Figure 4'!E27</f>
        <v>3.804013838760858</v>
      </c>
    </row>
    <row r="23" spans="1:7" x14ac:dyDescent="0.25">
      <c r="A23" s="11">
        <v>43709</v>
      </c>
      <c r="B23">
        <f>'Figure 3'!B28</f>
        <v>32923054.718077075</v>
      </c>
      <c r="C23">
        <f>'Figure 3'!C28</f>
        <v>33005937.647908516</v>
      </c>
      <c r="E23" s="11">
        <v>43709</v>
      </c>
      <c r="F23">
        <f>'Figure 4'!D28</f>
        <v>3.9171865643833401</v>
      </c>
      <c r="G23">
        <f>'Figure 4'!E28</f>
        <v>3.8297574612898115</v>
      </c>
    </row>
    <row r="24" spans="1:7" x14ac:dyDescent="0.25">
      <c r="A24" s="11">
        <v>43739</v>
      </c>
      <c r="B24">
        <f>'Figure 3'!B29</f>
        <v>32954046.06377982</v>
      </c>
      <c r="C24">
        <f>'Figure 3'!C29</f>
        <v>33055245.136594936</v>
      </c>
      <c r="E24" s="11">
        <v>43739</v>
      </c>
      <c r="F24">
        <f>'Figure 4'!D29</f>
        <v>3.8679595092723367</v>
      </c>
      <c r="G24">
        <f>'Figure 4'!E29</f>
        <v>3.741670223038235</v>
      </c>
    </row>
    <row r="25" spans="1:7" x14ac:dyDescent="0.25">
      <c r="A25" s="11">
        <v>43770</v>
      </c>
      <c r="B25">
        <f>'Figure 3'!B30</f>
        <v>33003797.836426921</v>
      </c>
      <c r="C25">
        <f>'Figure 3'!C30</f>
        <v>33102736.146274775</v>
      </c>
      <c r="E25" s="11">
        <v>43770</v>
      </c>
      <c r="F25">
        <f>'Figure 4'!D30</f>
        <v>4.0125425717360583</v>
      </c>
      <c r="G25">
        <f>'Figure 4'!E30</f>
        <v>3.8901186667181959</v>
      </c>
    </row>
    <row r="26" spans="1:7" x14ac:dyDescent="0.25">
      <c r="A26" s="11">
        <v>43800</v>
      </c>
      <c r="B26">
        <f>'Figure 3'!B31</f>
        <v>33090173.430666279</v>
      </c>
      <c r="C26">
        <f>'Figure 3'!C31</f>
        <v>33182628.527639266</v>
      </c>
      <c r="E26" s="11">
        <v>43800</v>
      </c>
      <c r="F26">
        <f>'Figure 4'!D31</f>
        <v>4.0613023537873616</v>
      </c>
      <c r="G26">
        <f>'Figure 4'!E31</f>
        <v>3.9487879437826017</v>
      </c>
    </row>
    <row r="27" spans="1:7" x14ac:dyDescent="0.25">
      <c r="A27" s="11">
        <v>43831</v>
      </c>
      <c r="B27">
        <f>'Figure 3'!B32</f>
        <v>32999837.726564106</v>
      </c>
      <c r="C27">
        <f>'Figure 3'!C32</f>
        <v>32971523.741793387</v>
      </c>
      <c r="E27" s="11">
        <v>43831</v>
      </c>
      <c r="F27">
        <f>'Figure 4'!D32</f>
        <v>4.1044152397387137</v>
      </c>
      <c r="G27">
        <f>'Figure 4'!E32</f>
        <v>4.1031150292789551</v>
      </c>
    </row>
    <row r="28" spans="1:7" x14ac:dyDescent="0.25">
      <c r="A28" s="11">
        <v>43862</v>
      </c>
      <c r="B28">
        <f>'Figure 3'!B33</f>
        <v>32793096.818656716</v>
      </c>
      <c r="C28">
        <f>'Figure 3'!C33</f>
        <v>32820030.711504046</v>
      </c>
      <c r="E28" s="11">
        <v>43862</v>
      </c>
      <c r="F28">
        <f>'Figure 4'!D33</f>
        <v>4.1541733249648072</v>
      </c>
      <c r="G28">
        <f>'Figure 4'!E33</f>
        <v>4.0912203408677215</v>
      </c>
    </row>
    <row r="29" spans="1:7" x14ac:dyDescent="0.25">
      <c r="A29" s="11">
        <v>43891</v>
      </c>
      <c r="B29">
        <f>'Figure 3'!B34</f>
        <v>32690661.675259575</v>
      </c>
      <c r="C29">
        <f>'Figure 3'!C34</f>
        <v>32713646.571418263</v>
      </c>
      <c r="E29" s="11">
        <v>43891</v>
      </c>
      <c r="F29">
        <f>'Figure 4'!D34</f>
        <v>4.2209771339853353</v>
      </c>
      <c r="G29">
        <f>'Figure 4'!E34</f>
        <v>4.1254578109898761</v>
      </c>
    </row>
    <row r="30" spans="1:7" x14ac:dyDescent="0.25">
      <c r="A30" s="11">
        <v>43922</v>
      </c>
      <c r="B30">
        <f>'Figure 3'!B35</f>
        <v>32570744.582722265</v>
      </c>
      <c r="C30">
        <f>'Figure 3'!C35</f>
        <v>32636332.193497106</v>
      </c>
      <c r="E30" s="11">
        <v>43922</v>
      </c>
      <c r="F30">
        <f>'Figure 4'!D35</f>
        <v>4.2191017401238833</v>
      </c>
      <c r="G30">
        <f>'Figure 4'!E35</f>
        <v>4.0807819990747021</v>
      </c>
    </row>
    <row r="31" spans="1:7" x14ac:dyDescent="0.25">
      <c r="A31" s="11">
        <v>43952</v>
      </c>
      <c r="B31">
        <f>'Figure 3'!B36</f>
        <v>32557447.585428182</v>
      </c>
      <c r="C31">
        <f>'Figure 3'!C36</f>
        <v>32578006.215596505</v>
      </c>
      <c r="E31" s="11">
        <v>43952</v>
      </c>
      <c r="F31">
        <f>'Figure 4'!D36</f>
        <v>4.443064440937718</v>
      </c>
      <c r="G31">
        <f>'Figure 4'!E36</f>
        <v>4.3626503133234236</v>
      </c>
    </row>
    <row r="32" spans="1:7" x14ac:dyDescent="0.25">
      <c r="A32" s="11">
        <v>43983</v>
      </c>
      <c r="B32">
        <f>'Figure 3'!B37</f>
        <v>32475671.190835118</v>
      </c>
      <c r="C32">
        <f>'Figure 3'!C37</f>
        <v>32492503.082189828</v>
      </c>
      <c r="E32" s="11">
        <v>43983</v>
      </c>
      <c r="F32">
        <f>'Figure 4'!D37</f>
        <v>4.6604332753369784</v>
      </c>
      <c r="G32">
        <f>'Figure 4'!E37</f>
        <v>4.6266979641371737</v>
      </c>
    </row>
    <row r="33" spans="1:7" x14ac:dyDescent="0.25">
      <c r="A33" s="11">
        <v>44013</v>
      </c>
      <c r="B33">
        <f>'Figure 3'!B38</f>
        <v>32353993.76094998</v>
      </c>
      <c r="C33">
        <f>'Figure 3'!C38</f>
        <v>32351671.254584588</v>
      </c>
      <c r="E33" s="11">
        <v>44013</v>
      </c>
      <c r="F33">
        <f>'Figure 4'!D38</f>
        <v>4.9864893417114136</v>
      </c>
      <c r="G33">
        <f>'Figure 4'!E38</f>
        <v>4.9676309202496798</v>
      </c>
    </row>
    <row r="34" spans="1:7" x14ac:dyDescent="0.25">
      <c r="A34" s="11">
        <v>44044</v>
      </c>
      <c r="B34">
        <f>'Figure 3'!B39</f>
        <v>32335266.891900677</v>
      </c>
      <c r="C34">
        <f>'Figure 3'!C39</f>
        <v>32320106.286577389</v>
      </c>
      <c r="E34" s="11">
        <v>44044</v>
      </c>
      <c r="F34">
        <f>'Figure 4'!D39</f>
        <v>5.165749260611233</v>
      </c>
      <c r="G34">
        <f>'Figure 4'!E39</f>
        <v>5.1636341205567229</v>
      </c>
    </row>
    <row r="35" spans="1:7" x14ac:dyDescent="0.25">
      <c r="A35" s="11">
        <v>44075</v>
      </c>
      <c r="B35">
        <f>'Figure 3'!B40</f>
        <v>32338613.491386343</v>
      </c>
      <c r="C35">
        <f>'Figure 3'!C40</f>
        <v>32357990.361480318</v>
      </c>
      <c r="E35" s="11">
        <v>44075</v>
      </c>
      <c r="F35">
        <f>'Figure 4'!D40</f>
        <v>5.2380391201937497</v>
      </c>
      <c r="G35">
        <f>'Figure 4'!E40</f>
        <v>5.2251541709040392</v>
      </c>
    </row>
    <row r="36" spans="1:7" x14ac:dyDescent="0.25">
      <c r="A36" s="11">
        <v>44105</v>
      </c>
      <c r="B36">
        <f>'Figure 3'!B41</f>
        <v>32197965.732435003</v>
      </c>
      <c r="C36">
        <f>'Figure 3'!C41</f>
        <v>32265793.981766716</v>
      </c>
      <c r="E36" s="11">
        <v>44105</v>
      </c>
      <c r="F36">
        <f>'Figure 4'!D41</f>
        <v>5.3356019356950908</v>
      </c>
      <c r="G36">
        <f>'Figure 4'!E41</f>
        <v>5.2668681704276272</v>
      </c>
    </row>
    <row r="37" spans="1:7" x14ac:dyDescent="0.25">
      <c r="A37" s="11">
        <v>44136</v>
      </c>
      <c r="B37">
        <f>'Figure 3'!B42</f>
        <v>32170466.215324402</v>
      </c>
      <c r="C37">
        <f>'Figure 3'!C42</f>
        <v>32272011.531120382</v>
      </c>
      <c r="E37" s="11">
        <v>44136</v>
      </c>
      <c r="F37">
        <f>'Figure 4'!D42</f>
        <v>5.2560059256593652</v>
      </c>
      <c r="G37">
        <f>'Figure 4'!E42</f>
        <v>5.1693948186451193</v>
      </c>
    </row>
    <row r="38" spans="1:7" x14ac:dyDescent="0.25">
      <c r="A38" s="11">
        <v>44166</v>
      </c>
      <c r="B38">
        <f>'Figure 3'!B43</f>
        <v>32218137.311327443</v>
      </c>
      <c r="C38">
        <f>'Figure 3'!C43</f>
        <v>32346508.586019658</v>
      </c>
      <c r="E38" s="11">
        <v>44166</v>
      </c>
      <c r="F38">
        <f>'Figure 4'!D43</f>
        <v>5.176620114156723</v>
      </c>
      <c r="G38">
        <f>'Figure 4'!E43</f>
        <v>5.0464083897389891</v>
      </c>
    </row>
    <row r="39" spans="1:7" x14ac:dyDescent="0.25">
      <c r="A39" s="11">
        <v>44197</v>
      </c>
      <c r="B39">
        <f>'Figure 3'!B44</f>
        <v>32220976.956143875</v>
      </c>
      <c r="C39">
        <f>'Figure 3'!C44</f>
        <v>32307895.319055267</v>
      </c>
      <c r="E39" s="11">
        <v>44197</v>
      </c>
      <c r="F39">
        <f>'Figure 4'!D44</f>
        <v>5.0611393984675717</v>
      </c>
      <c r="G39">
        <f>'Figure 4'!E44</f>
        <v>4.9056039570523247</v>
      </c>
    </row>
    <row r="40" spans="1:7" x14ac:dyDescent="0.25">
      <c r="A40" s="11">
        <v>44228</v>
      </c>
      <c r="B40">
        <f>'Figure 3'!B45</f>
        <v>32236308.346037962</v>
      </c>
      <c r="C40">
        <f>'Figure 3'!C45</f>
        <v>32312598.754818223</v>
      </c>
      <c r="E40" s="11">
        <v>44228</v>
      </c>
      <c r="F40">
        <f>'Figure 4'!D45</f>
        <v>5.0108705411333503</v>
      </c>
      <c r="G40">
        <f>'Figure 4'!E45</f>
        <v>4.8293460430231629</v>
      </c>
    </row>
    <row r="41" spans="1:7" x14ac:dyDescent="0.25">
      <c r="A41" s="11">
        <v>44256</v>
      </c>
      <c r="B41">
        <f>'Figure 3'!B46</f>
        <v>32259596.508449972</v>
      </c>
      <c r="C41">
        <f>'Figure 3'!C46</f>
        <v>32338798.354169525</v>
      </c>
      <c r="E41" s="11">
        <v>44256</v>
      </c>
      <c r="F41">
        <f>'Figure 4'!D46</f>
        <v>4.9811900840464185</v>
      </c>
      <c r="G41">
        <f>'Figure 4'!E46</f>
        <v>4.7913883605690781</v>
      </c>
    </row>
    <row r="42" spans="1:7" x14ac:dyDescent="0.25">
      <c r="A42" s="11">
        <v>44287</v>
      </c>
      <c r="B42">
        <f>'Figure 3'!B47</f>
        <v>32376948.518541768</v>
      </c>
      <c r="C42">
        <f>'Figure 3'!C47</f>
        <v>32454054.716516741</v>
      </c>
      <c r="E42" s="11">
        <v>44287</v>
      </c>
      <c r="F42">
        <f>'Figure 4'!D47</f>
        <v>4.8395852525967396</v>
      </c>
      <c r="G42">
        <f>'Figure 4'!E47</f>
        <v>4.6635244305596748</v>
      </c>
    </row>
    <row r="43" spans="1:7" x14ac:dyDescent="0.25">
      <c r="A43" s="11">
        <v>44317</v>
      </c>
      <c r="B43">
        <f>'Figure 3'!B48</f>
        <v>32489468.413986504</v>
      </c>
      <c r="C43">
        <f>'Figure 3'!C48</f>
        <v>32525448.595171571</v>
      </c>
      <c r="E43" s="11">
        <v>44317</v>
      </c>
      <c r="F43">
        <f>'Figure 4'!D48</f>
        <v>4.7044344906006899</v>
      </c>
      <c r="G43">
        <f>'Figure 4'!E48</f>
        <v>4.581491046164424</v>
      </c>
    </row>
    <row r="44" spans="1:7" x14ac:dyDescent="0.25">
      <c r="A44" s="11">
        <v>44348</v>
      </c>
      <c r="B44">
        <f>'Figure 3'!B49</f>
        <v>32577076.1821041</v>
      </c>
      <c r="C44">
        <f>'Figure 3'!C49</f>
        <v>32614321.658631191</v>
      </c>
      <c r="E44" s="11">
        <v>44348</v>
      </c>
      <c r="F44">
        <f>'Figure 4'!D49</f>
        <v>4.5680070616558526</v>
      </c>
      <c r="G44">
        <f>'Figure 4'!E49</f>
        <v>4.5113601581111453</v>
      </c>
    </row>
    <row r="45" spans="1:7" x14ac:dyDescent="0.25">
      <c r="A45" s="11">
        <v>44378</v>
      </c>
      <c r="B45">
        <f>'Figure 3'!B50</f>
        <v>32687486.092751186</v>
      </c>
      <c r="C45">
        <f>'Figure 3'!C50</f>
        <v>32712258.602366053</v>
      </c>
      <c r="E45" s="11">
        <v>44378</v>
      </c>
      <c r="F45">
        <f>'Figure 4'!D50</f>
        <v>4.3900589010258875</v>
      </c>
      <c r="G45">
        <f>'Figure 4'!E50</f>
        <v>4.3840002462664609</v>
      </c>
    </row>
    <row r="46" spans="1:7" x14ac:dyDescent="0.25">
      <c r="A46" s="11">
        <v>44409</v>
      </c>
      <c r="B46">
        <f>'Figure 3'!B51</f>
        <v>32686196.661170371</v>
      </c>
      <c r="C46">
        <f>'Figure 3'!C51</f>
        <v>32690041.040790379</v>
      </c>
      <c r="E46" s="11">
        <v>44409</v>
      </c>
      <c r="F46">
        <f>'Figure 4'!D51</f>
        <v>4.3133334682024067</v>
      </c>
      <c r="G46">
        <f>'Figure 4'!E51</f>
        <v>4.3170988028735495</v>
      </c>
    </row>
    <row r="47" spans="1:7" x14ac:dyDescent="0.25">
      <c r="A47" s="11">
        <v>44440</v>
      </c>
      <c r="B47">
        <f>'Figure 3'!B52</f>
        <v>32672655.105072513</v>
      </c>
      <c r="C47">
        <f>'Figure 3'!C52</f>
        <v>32692871.823918596</v>
      </c>
      <c r="E47" s="11">
        <v>44440</v>
      </c>
      <c r="F47">
        <f>'Figure 4'!D52</f>
        <v>4.2028358643128323</v>
      </c>
      <c r="G47">
        <f>'Figure 4'!E52</f>
        <v>4.2182710122549114</v>
      </c>
    </row>
    <row r="48" spans="1:7" x14ac:dyDescent="0.25">
      <c r="A48" s="11">
        <v>44470</v>
      </c>
      <c r="B48">
        <f>'Figure 3'!B53</f>
        <v>32686457.874989584</v>
      </c>
      <c r="C48">
        <f>'Figure 3'!C53</f>
        <v>32729136.485665642</v>
      </c>
      <c r="E48" s="11">
        <v>44470</v>
      </c>
      <c r="F48">
        <f>'Figure 4'!D53</f>
        <v>4.1760976570385653</v>
      </c>
      <c r="G48">
        <f>'Figure 4'!E53</f>
        <v>4.1857707793964298</v>
      </c>
    </row>
    <row r="49" spans="1:7" x14ac:dyDescent="0.25">
      <c r="A49" s="11">
        <v>44501</v>
      </c>
      <c r="B49">
        <f>'Figure 3'!B54</f>
        <v>32656934.368439727</v>
      </c>
      <c r="C49">
        <f>'Figure 3'!C54</f>
        <v>32740235.12942522</v>
      </c>
      <c r="E49" s="11">
        <v>44501</v>
      </c>
      <c r="F49">
        <f>'Figure 4'!D54</f>
        <v>4.108312348453282</v>
      </c>
      <c r="G49">
        <f>'Figure 4'!E54</f>
        <v>4.1006707202963222</v>
      </c>
    </row>
    <row r="50" spans="1:7" x14ac:dyDescent="0.25">
      <c r="A50" s="11">
        <v>44531</v>
      </c>
      <c r="B50">
        <f>'Figure 3'!B55</f>
        <v>32701192.840239991</v>
      </c>
      <c r="C50">
        <f>'Figure 3'!C55</f>
        <v>32770991.345435619</v>
      </c>
      <c r="E50" s="11">
        <v>44531</v>
      </c>
      <c r="F50">
        <f>'Figure 4'!D55</f>
        <v>3.9682272672751968</v>
      </c>
      <c r="G50">
        <f>'Figure 4'!E55</f>
        <v>3.9156879752737126</v>
      </c>
    </row>
    <row r="51" spans="1:7" x14ac:dyDescent="0.25">
      <c r="A51" s="11">
        <v>44562</v>
      </c>
      <c r="B51">
        <f>'Figure 3'!B56</f>
        <v>32774623.682307199</v>
      </c>
      <c r="C51">
        <f>'Figure 3'!C56</f>
        <v>32784341.352800094</v>
      </c>
      <c r="E51" s="11">
        <v>44562</v>
      </c>
      <c r="F51">
        <f>'Figure 4'!D56</f>
        <v>3.8522226766717904</v>
      </c>
      <c r="G51">
        <f>'Figure 4'!E56</f>
        <v>3.7862292087079301</v>
      </c>
    </row>
    <row r="52" spans="1:7" x14ac:dyDescent="0.25">
      <c r="A52" s="11">
        <v>44593</v>
      </c>
      <c r="B52">
        <f>'Figure 3'!B57</f>
        <v>32857183.785200432</v>
      </c>
      <c r="C52">
        <f>'Figure 3'!C57</f>
        <v>32876119.766932007</v>
      </c>
      <c r="E52" s="11">
        <v>44593</v>
      </c>
      <c r="F52">
        <f>'Figure 4'!D57</f>
        <v>3.9602974535382001</v>
      </c>
      <c r="G52">
        <f>'Figure 4'!E57</f>
        <v>3.8213077154595232</v>
      </c>
    </row>
    <row r="53" spans="1:7" x14ac:dyDescent="0.25">
      <c r="A53" s="11">
        <v>44621</v>
      </c>
      <c r="B53">
        <f>'Figure 3'!B58</f>
        <v>33020760.136879906</v>
      </c>
      <c r="C53">
        <f>'Figure 3'!C58</f>
        <v>33061153.249525789</v>
      </c>
      <c r="E53" s="11">
        <v>44621</v>
      </c>
      <c r="F53">
        <f>'Figure 4'!D58</f>
        <v>3.9040561119136377</v>
      </c>
      <c r="G53">
        <f>'Figure 4'!E58</f>
        <v>3.7258665196975591</v>
      </c>
    </row>
    <row r="54" spans="1:7" x14ac:dyDescent="0.25">
      <c r="A54" s="11">
        <v>44652</v>
      </c>
      <c r="B54">
        <f>'Figure 3'!B59</f>
        <v>32957882.609964505</v>
      </c>
      <c r="C54">
        <f>'Figure 3'!C59</f>
        <v>33007320.376316726</v>
      </c>
      <c r="E54" s="11">
        <v>44652</v>
      </c>
      <c r="F54">
        <f>'Figure 4'!D59</f>
        <v>3.9368428094980188</v>
      </c>
      <c r="G54">
        <f>'Figure 4'!E59</f>
        <v>3.7771862580964473</v>
      </c>
    </row>
    <row r="55" spans="1:7" x14ac:dyDescent="0.25">
      <c r="A55" s="11">
        <v>44682</v>
      </c>
      <c r="B55">
        <f>'Figure 3'!B60</f>
        <v>32920197.864500284</v>
      </c>
      <c r="C55">
        <f>'Figure 3'!C60</f>
        <v>32918268.100043818</v>
      </c>
      <c r="E55" s="11">
        <v>44682</v>
      </c>
      <c r="F55">
        <f>'Figure 4'!D60</f>
        <v>3.747758062152815</v>
      </c>
      <c r="G55">
        <f>'Figure 4'!E60</f>
        <v>3.6272295955684508</v>
      </c>
    </row>
    <row r="56" spans="1:7" x14ac:dyDescent="0.25">
      <c r="A56" s="11">
        <v>44713</v>
      </c>
      <c r="B56">
        <f>'Figure 3'!B61</f>
        <v>32929161.680980314</v>
      </c>
      <c r="C56">
        <f>'Figure 3'!C61</f>
        <v>32925199.605902851</v>
      </c>
      <c r="E56" s="11">
        <v>44713</v>
      </c>
      <c r="F56">
        <f>'Figure 4'!D61</f>
        <v>3.6467168387156348</v>
      </c>
      <c r="G56">
        <f>'Figure 4'!E61</f>
        <v>3.588658518271536</v>
      </c>
    </row>
    <row r="57" spans="1:7" x14ac:dyDescent="0.25">
      <c r="A57" s="11">
        <v>44743</v>
      </c>
      <c r="B57">
        <f>'Figure 3'!B62</f>
        <v>32915867.68014048</v>
      </c>
      <c r="C57">
        <f>'Figure 3'!C62</f>
        <v>32903509.898753934</v>
      </c>
      <c r="E57" s="11">
        <v>44743</v>
      </c>
      <c r="F57">
        <f>'Figure 4'!D62</f>
        <v>3.7521614029149157</v>
      </c>
      <c r="G57">
        <f>'Figure 4'!E62</f>
        <v>3.7390206558913146</v>
      </c>
    </row>
    <row r="58" spans="1:7" x14ac:dyDescent="0.25">
      <c r="A58" s="11">
        <v>44774</v>
      </c>
      <c r="B58">
        <f>'Figure 3'!B63</f>
        <v>32951175.218337636</v>
      </c>
      <c r="C58">
        <f>'Figure 3'!C63</f>
        <v>32968365.085393768</v>
      </c>
      <c r="E58" s="11">
        <v>44774</v>
      </c>
      <c r="F58">
        <f>'Figure 4'!D63</f>
        <v>3.8567966242491853</v>
      </c>
      <c r="G58">
        <f>'Figure 4'!E63</f>
        <v>3.8444595598171984</v>
      </c>
    </row>
    <row r="59" spans="1:7" x14ac:dyDescent="0.25">
      <c r="A59" s="11">
        <v>44805</v>
      </c>
      <c r="B59">
        <f>'Figure 3'!B64</f>
        <v>33076041.793732978</v>
      </c>
      <c r="C59">
        <f>'Figure 3'!C64</f>
        <v>33026472.477541491</v>
      </c>
      <c r="E59" s="11">
        <v>44805</v>
      </c>
      <c r="F59">
        <f>'Figure 4'!D64</f>
        <v>3.8031557381406573</v>
      </c>
      <c r="G59">
        <f>'Figure 4'!E64</f>
        <v>3.890060364973575</v>
      </c>
    </row>
    <row r="60" spans="1:7" x14ac:dyDescent="0.25">
      <c r="A60" s="11">
        <v>44835</v>
      </c>
      <c r="B60">
        <f>'Figure 3'!B65</f>
        <v>33066998.467332862</v>
      </c>
      <c r="C60">
        <f>'Figure 3'!C65</f>
        <v>33114244.250537656</v>
      </c>
      <c r="E60" s="11">
        <v>44835</v>
      </c>
      <c r="F60">
        <f>'Figure 4'!D65</f>
        <v>3.8738682444316539</v>
      </c>
      <c r="G60">
        <f>'Figure 4'!E65</f>
        <v>3.9299769274571843</v>
      </c>
    </row>
    <row r="61" spans="1:7" x14ac:dyDescent="0.25">
      <c r="A61" s="11">
        <v>44866</v>
      </c>
      <c r="B61">
        <f>'Figure 3'!B66</f>
        <v>33099434.59521031</v>
      </c>
      <c r="C61">
        <f>'Figure 3'!C66</f>
        <v>33163853.129783556</v>
      </c>
      <c r="E61" s="11">
        <v>44866</v>
      </c>
      <c r="F61">
        <f>'Figure 4'!D66</f>
        <v>3.8196509811528716</v>
      </c>
      <c r="G61">
        <f>'Figure 4'!E66</f>
        <v>3.8648128479275097</v>
      </c>
    </row>
    <row r="62" spans="1:7" x14ac:dyDescent="0.25">
      <c r="A62" s="11">
        <v>44896</v>
      </c>
      <c r="B62">
        <f>'Figure 3'!B67</f>
        <v>33175551.150607992</v>
      </c>
      <c r="C62">
        <f>'Figure 3'!C67</f>
        <v>33252056.723807592</v>
      </c>
      <c r="E62" s="11">
        <v>44896</v>
      </c>
      <c r="F62">
        <f>'Figure 4'!D67</f>
        <v>3.8995530292897382</v>
      </c>
      <c r="G62">
        <f>'Figure 4'!E67</f>
        <v>3.9742389177852888</v>
      </c>
    </row>
    <row r="63" spans="1:7" x14ac:dyDescent="0.25">
      <c r="A63" s="11">
        <v>44927</v>
      </c>
      <c r="B63">
        <f>'Figure 3'!B68</f>
        <v>33200617.484037101</v>
      </c>
      <c r="C63">
        <f>'Figure 3'!C68</f>
        <v>33319527.436923962</v>
      </c>
      <c r="E63" s="11">
        <v>44927</v>
      </c>
      <c r="F63">
        <f>'Figure 4'!D68</f>
        <v>3.9991661583418958</v>
      </c>
      <c r="G63">
        <f>'Figure 4'!E68</f>
        <v>3.9935856433739834</v>
      </c>
    </row>
    <row r="64" spans="1:7" x14ac:dyDescent="0.25">
      <c r="A64" s="11">
        <v>44958</v>
      </c>
      <c r="B64">
        <f>'Figure 3'!B69</f>
        <v>33325667.59716491</v>
      </c>
      <c r="C64">
        <f>'Figure 3'!C69</f>
        <v>33476276.604355443</v>
      </c>
      <c r="E64" s="11">
        <v>44958</v>
      </c>
      <c r="F64">
        <f>'Figure 4'!D69</f>
        <v>3.9016813870957088</v>
      </c>
      <c r="G64">
        <f>'Figure 4'!E69</f>
        <v>3.8758732517899368</v>
      </c>
    </row>
    <row r="65" spans="1:11" x14ac:dyDescent="0.25">
      <c r="A65" s="11">
        <v>44986</v>
      </c>
      <c r="B65">
        <f>'Figure 3'!B70</f>
        <v>33310556.782075748</v>
      </c>
      <c r="C65">
        <f>'Figure 3'!C70</f>
        <v>33465335.673965126</v>
      </c>
      <c r="E65" s="11">
        <v>44986</v>
      </c>
      <c r="F65">
        <f>'Figure 4'!D70</f>
        <v>4.01972314419322</v>
      </c>
      <c r="G65">
        <f>'Figure 4'!E70</f>
        <v>3.9986138021709445</v>
      </c>
    </row>
    <row r="66" spans="1:11" x14ac:dyDescent="0.25">
      <c r="A66" s="11">
        <v>45017</v>
      </c>
      <c r="B66">
        <f>'Figure 3'!B71</f>
        <v>33162821.434882224</v>
      </c>
      <c r="C66">
        <f>'Figure 3'!C71</f>
        <v>33356152.168103416</v>
      </c>
      <c r="E66" s="11">
        <v>45017</v>
      </c>
      <c r="F66">
        <f>'Figure 4'!D71</f>
        <v>4.2180538042103279</v>
      </c>
      <c r="G66">
        <f>'Figure 4'!E71</f>
        <v>4.2196643964789091</v>
      </c>
    </row>
    <row r="67" spans="1:11" x14ac:dyDescent="0.25">
      <c r="A67" s="11">
        <v>45047</v>
      </c>
      <c r="B67">
        <f>'Figure 3'!B72</f>
        <v>33082006.654214859</v>
      </c>
      <c r="C67">
        <f>'Figure 3'!C72</f>
        <v>33282828.697448112</v>
      </c>
      <c r="E67" s="11">
        <v>45047</v>
      </c>
      <c r="F67">
        <f>'Figure 4'!D72</f>
        <v>4.3275575199322773</v>
      </c>
      <c r="G67">
        <f>'Figure 4'!E72</f>
        <v>4.3339091681629007</v>
      </c>
    </row>
    <row r="68" spans="1:11" x14ac:dyDescent="0.25">
      <c r="A68" s="11">
        <v>45078</v>
      </c>
      <c r="B68">
        <f>'Figure 3'!B73</f>
        <v>33027892.868683748</v>
      </c>
      <c r="C68">
        <f>'Figure 3'!C73</f>
        <v>33207667.78418066</v>
      </c>
      <c r="E68" s="11">
        <v>45078</v>
      </c>
      <c r="F68">
        <f>'Figure 4'!D73</f>
        <v>4.2120859995807702</v>
      </c>
      <c r="G68">
        <f>'Figure 4'!E73</f>
        <v>4.2721178579651475</v>
      </c>
    </row>
    <row r="69" spans="1:11" x14ac:dyDescent="0.25">
      <c r="A69" s="11">
        <v>45108</v>
      </c>
      <c r="B69">
        <f>'Figure 3'!B74</f>
        <v>33102185.803718034</v>
      </c>
      <c r="C69">
        <f>'Figure 3'!C74</f>
        <v>33326169.808636535</v>
      </c>
      <c r="E69" s="11">
        <v>45108</v>
      </c>
      <c r="F69">
        <f>'Figure 4'!D74</f>
        <v>4.0762415382543065</v>
      </c>
      <c r="G69">
        <f>'Figure 4'!E74</f>
        <v>4.1139011605137474</v>
      </c>
    </row>
    <row r="70" spans="1:11" x14ac:dyDescent="0.25">
      <c r="A70" s="11">
        <v>45139</v>
      </c>
      <c r="B70">
        <f>'Figure 3'!B75</f>
        <v>33195699.011369571</v>
      </c>
      <c r="C70">
        <f>'Figure 3'!C75</f>
        <v>33361341.205835901</v>
      </c>
      <c r="E70" s="11">
        <v>45139</v>
      </c>
      <c r="F70">
        <f>'Figure 4'!D75</f>
        <v>3.9545749337805907</v>
      </c>
      <c r="G70">
        <f>'Figure 4'!E75</f>
        <v>4.0231264174551367</v>
      </c>
    </row>
    <row r="71" spans="1:11" x14ac:dyDescent="0.25">
      <c r="A71" s="11">
        <v>45170</v>
      </c>
      <c r="B71">
        <f>'Figure 3'!B76</f>
        <v>33136212.169415653</v>
      </c>
      <c r="C71">
        <f>'Figure 3'!C76</f>
        <v>33345036.145811401</v>
      </c>
      <c r="E71" s="11">
        <v>45170</v>
      </c>
      <c r="F71">
        <f>'Figure 4'!D76</f>
        <v>3.9291770747650485</v>
      </c>
      <c r="G71">
        <f>'Figure 4'!E76</f>
        <v>3.9791071356697154</v>
      </c>
    </row>
    <row r="72" spans="1:11" x14ac:dyDescent="0.25">
      <c r="A72" s="11">
        <v>45200</v>
      </c>
      <c r="B72">
        <f>'Figure 3'!B77</f>
        <v>33174381.338151298</v>
      </c>
      <c r="C72">
        <f>'Figure 3'!C77</f>
        <v>33377438.503215149</v>
      </c>
      <c r="E72" s="11">
        <v>45200</v>
      </c>
      <c r="F72">
        <f>'Figure 4'!D77</f>
        <v>3.8266183265595859</v>
      </c>
      <c r="G72">
        <f>'Figure 4'!E77</f>
        <v>3.8704063015919665</v>
      </c>
    </row>
    <row r="73" spans="1:11" x14ac:dyDescent="0.25">
      <c r="A73" s="11">
        <v>45231</v>
      </c>
      <c r="B73">
        <f>'Figure 3'!B78</f>
        <v>33106562.48480536</v>
      </c>
      <c r="C73">
        <f>'Figure 3'!C78</f>
        <v>33322855.589263916</v>
      </c>
      <c r="E73" s="11">
        <v>45231</v>
      </c>
      <c r="F73">
        <f>'Figure 4'!D78</f>
        <v>3.9813393091892415</v>
      </c>
      <c r="G73">
        <f>'Figure 4'!E78</f>
        <v>4.0658239507051652</v>
      </c>
    </row>
    <row r="74" spans="1:11" x14ac:dyDescent="0.25">
      <c r="A74" s="11">
        <v>45261</v>
      </c>
      <c r="B74">
        <f>'Figure 3'!B79</f>
        <v>32980161.130869344</v>
      </c>
      <c r="C74">
        <f>'Figure 3'!C79</f>
        <v>33319934.024576746</v>
      </c>
      <c r="E74" s="11">
        <v>45261</v>
      </c>
      <c r="F74">
        <f>'Figure 4'!D79</f>
        <v>4.1839208793008158</v>
      </c>
      <c r="G74">
        <f>'Figure 4'!E79</f>
        <v>4.1981867793116647</v>
      </c>
    </row>
    <row r="75" spans="1:11" x14ac:dyDescent="0.25">
      <c r="A75" s="11">
        <v>45292</v>
      </c>
      <c r="B75">
        <f>'Figure 3'!B80</f>
        <v>32996864.785134993</v>
      </c>
      <c r="C75">
        <f>'Figure 3'!C80</f>
        <v>33330641.340445034</v>
      </c>
      <c r="E75" s="11">
        <v>45292</v>
      </c>
      <c r="F75">
        <f>'Figure 4'!D80</f>
        <v>4.3103508738017107</v>
      </c>
      <c r="G75">
        <f>'Figure 4'!E80</f>
        <v>4.3353253987590481</v>
      </c>
    </row>
    <row r="76" spans="1:11" x14ac:dyDescent="0.25">
      <c r="A76" s="11">
        <v>45323</v>
      </c>
      <c r="B76">
        <f>'Figure 3'!B81</f>
        <v>32967067.910872966</v>
      </c>
      <c r="C76">
        <f>'Figure 3'!C81</f>
        <v>33348191.878007077</v>
      </c>
      <c r="E76" s="11">
        <v>45323</v>
      </c>
      <c r="F76">
        <f>'Figure 4'!D81</f>
        <v>4.3808288523937495</v>
      </c>
      <c r="G76">
        <f>'Figure 4'!E81</f>
        <v>4.3708565284403305</v>
      </c>
    </row>
    <row r="77" spans="1:11" x14ac:dyDescent="0.25">
      <c r="A77" s="11">
        <v>45352</v>
      </c>
      <c r="B77">
        <f>'Figure 3'!B82</f>
        <v>32998858.403031953</v>
      </c>
      <c r="C77">
        <f>'Figure 3'!C82</f>
        <v>33386440.681214262</v>
      </c>
      <c r="E77" s="11">
        <v>45352</v>
      </c>
      <c r="F77">
        <f>'Figure 4'!D82</f>
        <v>4.4250895901641769</v>
      </c>
      <c r="G77">
        <f>'Figure 4'!E82</f>
        <v>4.4296542313994891</v>
      </c>
    </row>
    <row r="78" spans="1:11" x14ac:dyDescent="0.25">
      <c r="A78" s="11">
        <v>45383</v>
      </c>
      <c r="B78">
        <f>'Figure 3'!B83</f>
        <v>33093586.292802013</v>
      </c>
      <c r="C78">
        <f>'Figure 3'!C83</f>
        <v>33496084.403651848</v>
      </c>
      <c r="E78" s="11">
        <v>45383</v>
      </c>
      <c r="F78">
        <f>'Figure 4'!D83</f>
        <v>4.1570667392558356</v>
      </c>
      <c r="G78">
        <f>'Figure 4'!E83</f>
        <v>4.1913071532874016</v>
      </c>
      <c r="K78">
        <f>C78-B78</f>
        <v>402498.11084983498</v>
      </c>
    </row>
    <row r="79" spans="1:11" x14ac:dyDescent="0.25">
      <c r="A79" s="11">
        <v>45413</v>
      </c>
      <c r="E79" s="11">
        <v>45413</v>
      </c>
    </row>
    <row r="80" spans="1:11" x14ac:dyDescent="0.25">
      <c r="A80" s="11">
        <v>45444</v>
      </c>
      <c r="E80" s="11">
        <v>45444</v>
      </c>
    </row>
    <row r="81" spans="1:5" x14ac:dyDescent="0.25">
      <c r="A81" s="11"/>
      <c r="E81" s="11"/>
    </row>
    <row r="82" spans="1:5" x14ac:dyDescent="0.25">
      <c r="A82" s="11"/>
      <c r="E82" s="11"/>
    </row>
    <row r="83" spans="1:5" x14ac:dyDescent="0.25">
      <c r="A83" s="11"/>
      <c r="E83" s="11"/>
    </row>
    <row r="84" spans="1:5" x14ac:dyDescent="0.25">
      <c r="A84" s="11"/>
      <c r="E84" s="11"/>
    </row>
    <row r="85" spans="1:5" x14ac:dyDescent="0.25">
      <c r="A85" s="11"/>
      <c r="E85" s="11"/>
    </row>
    <row r="86" spans="1:5" x14ac:dyDescent="0.25">
      <c r="A86" s="11"/>
      <c r="E86"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B6EB-E70E-417D-88E2-F7B62D5BB4C9}">
  <dimension ref="A1:G83"/>
  <sheetViews>
    <sheetView workbookViewId="0">
      <pane xSplit="1" ySplit="7" topLeftCell="B57" activePane="bottomRight" state="frozen"/>
      <selection pane="topRight" activeCell="B1" sqref="B1"/>
      <selection pane="bottomLeft" activeCell="A8" sqref="A8"/>
      <selection pane="bottomRight" activeCell="B83" sqref="B83"/>
    </sheetView>
  </sheetViews>
  <sheetFormatPr defaultRowHeight="15" x14ac:dyDescent="0.25"/>
  <cols>
    <col min="1" max="1" width="14.7109375" customWidth="1"/>
    <col min="2" max="2" width="22.7109375" customWidth="1"/>
    <col min="3" max="3" width="23.28515625" bestFit="1" customWidth="1"/>
    <col min="4" max="4" width="24.7109375" bestFit="1" customWidth="1"/>
    <col min="5" max="5" width="25.7109375" bestFit="1" customWidth="1"/>
    <col min="6" max="6" width="28.140625" bestFit="1" customWidth="1"/>
    <col min="7" max="7" width="29" bestFit="1" customWidth="1"/>
    <col min="8" max="8" width="22.42578125" customWidth="1"/>
  </cols>
  <sheetData>
    <row r="1" spans="1:7" ht="15.75" x14ac:dyDescent="0.25">
      <c r="A1" s="1" t="s">
        <v>90</v>
      </c>
    </row>
    <row r="2" spans="1:7" x14ac:dyDescent="0.25">
      <c r="A2" s="2" t="s">
        <v>91</v>
      </c>
    </row>
    <row r="3" spans="1:7" x14ac:dyDescent="0.25">
      <c r="A3" s="5"/>
    </row>
    <row r="4" spans="1:7" ht="15.75" x14ac:dyDescent="0.3">
      <c r="A4" s="5" t="s">
        <v>0</v>
      </c>
      <c r="B4" s="6" t="s">
        <v>21</v>
      </c>
      <c r="C4" s="6"/>
    </row>
    <row r="5" spans="1:7" x14ac:dyDescent="0.25">
      <c r="A5" s="5" t="s">
        <v>1</v>
      </c>
      <c r="B5" t="s">
        <v>92</v>
      </c>
    </row>
    <row r="6" spans="1:7" x14ac:dyDescent="0.25">
      <c r="A6" s="5"/>
    </row>
    <row r="7" spans="1:7" x14ac:dyDescent="0.25">
      <c r="A7" t="s">
        <v>3</v>
      </c>
      <c r="B7" t="s">
        <v>93</v>
      </c>
      <c r="C7" t="s">
        <v>94</v>
      </c>
      <c r="D7" t="s">
        <v>95</v>
      </c>
      <c r="E7" t="s">
        <v>96</v>
      </c>
      <c r="F7" t="s">
        <v>97</v>
      </c>
      <c r="G7" t="s">
        <v>98</v>
      </c>
    </row>
    <row r="8" spans="1:7" x14ac:dyDescent="0.25">
      <c r="A8" s="7" t="s">
        <v>28</v>
      </c>
      <c r="B8" s="9">
        <v>32364259.000041544</v>
      </c>
      <c r="C8" s="9">
        <v>32409793.264386788</v>
      </c>
      <c r="D8" s="9">
        <v>1445047.9661209739</v>
      </c>
      <c r="E8" s="9">
        <v>1421665.7028947347</v>
      </c>
      <c r="F8" s="9">
        <v>8805081.8872435596</v>
      </c>
      <c r="G8" s="9">
        <v>8762030.9398897775</v>
      </c>
    </row>
    <row r="9" spans="1:7" x14ac:dyDescent="0.25">
      <c r="A9" s="7" t="s">
        <v>29</v>
      </c>
      <c r="B9" s="9">
        <v>32408829.128860582</v>
      </c>
      <c r="C9" s="9">
        <v>32454860.542105317</v>
      </c>
      <c r="D9" s="9">
        <v>1444252.9847585442</v>
      </c>
      <c r="E9" s="9">
        <v>1420525.7095672172</v>
      </c>
      <c r="F9" s="9">
        <v>8796629.149946155</v>
      </c>
      <c r="G9" s="9">
        <v>8753172.3307770863</v>
      </c>
    </row>
    <row r="10" spans="1:7" x14ac:dyDescent="0.25">
      <c r="A10" s="7" t="s">
        <v>30</v>
      </c>
      <c r="B10" s="9">
        <v>32413229.385216579</v>
      </c>
      <c r="C10" s="9">
        <v>32459349.149326134</v>
      </c>
      <c r="D10" s="9">
        <v>1436584.5540627753</v>
      </c>
      <c r="E10" s="9">
        <v>1412545.7190427314</v>
      </c>
      <c r="F10" s="9">
        <v>8793740.3345036078</v>
      </c>
      <c r="G10" s="9">
        <v>8749747.2389307879</v>
      </c>
    </row>
    <row r="11" spans="1:7" x14ac:dyDescent="0.25">
      <c r="A11" s="7" t="s">
        <v>31</v>
      </c>
      <c r="B11" s="9">
        <v>32403445.611182101</v>
      </c>
      <c r="C11" s="9">
        <v>32450587.814803652</v>
      </c>
      <c r="D11" s="9">
        <v>1391255.3742084394</v>
      </c>
      <c r="E11" s="9">
        <v>1366920.3306208155</v>
      </c>
      <c r="F11" s="9">
        <v>8872789.6532939561</v>
      </c>
      <c r="G11" s="9">
        <v>8828517.6623349674</v>
      </c>
    </row>
    <row r="12" spans="1:7" x14ac:dyDescent="0.25">
      <c r="A12" s="7" t="s">
        <v>32</v>
      </c>
      <c r="B12" s="9">
        <v>32423238.899848133</v>
      </c>
      <c r="C12" s="9">
        <v>32470690.327440254</v>
      </c>
      <c r="D12" s="9">
        <v>1387145.6181610762</v>
      </c>
      <c r="E12" s="9">
        <v>1362528.8215711976</v>
      </c>
      <c r="F12" s="9">
        <v>8894098.2218268756</v>
      </c>
      <c r="G12" s="9">
        <v>8849279.5557223354</v>
      </c>
    </row>
    <row r="13" spans="1:7" x14ac:dyDescent="0.25">
      <c r="A13" s="7" t="s">
        <v>33</v>
      </c>
      <c r="B13" s="9">
        <v>32427119.853311062</v>
      </c>
      <c r="C13" s="9">
        <v>32475532.321780838</v>
      </c>
      <c r="D13" s="9">
        <v>1392485.5616343496</v>
      </c>
      <c r="E13" s="9">
        <v>1367668.2357743336</v>
      </c>
      <c r="F13" s="9">
        <v>8878932.694661485</v>
      </c>
      <c r="G13" s="9">
        <v>8833726.6723434031</v>
      </c>
    </row>
    <row r="14" spans="1:7" x14ac:dyDescent="0.25">
      <c r="A14" s="7" t="s">
        <v>34</v>
      </c>
      <c r="B14" s="9">
        <v>32448405.812577598</v>
      </c>
      <c r="C14" s="9">
        <v>32497327.633414298</v>
      </c>
      <c r="D14" s="9">
        <v>1407450.1030643338</v>
      </c>
      <c r="E14" s="9">
        <v>1382359.2094128272</v>
      </c>
      <c r="F14" s="9">
        <v>8868294.3873298876</v>
      </c>
      <c r="G14" s="9">
        <v>8822831.0568592604</v>
      </c>
    </row>
    <row r="15" spans="1:7" x14ac:dyDescent="0.25">
      <c r="A15" s="7" t="s">
        <v>35</v>
      </c>
      <c r="B15" s="9">
        <v>32510956.405211654</v>
      </c>
      <c r="C15" s="9">
        <v>32560227.766210005</v>
      </c>
      <c r="D15" s="9">
        <v>1404169.7989260282</v>
      </c>
      <c r="E15" s="9">
        <v>1378801.3412839936</v>
      </c>
      <c r="F15" s="9">
        <v>8810633.0001898333</v>
      </c>
      <c r="G15" s="9">
        <v>8765021.7663082145</v>
      </c>
    </row>
    <row r="16" spans="1:7" x14ac:dyDescent="0.25">
      <c r="A16" s="7" t="s">
        <v>36</v>
      </c>
      <c r="B16" s="9">
        <v>32562339.272496566</v>
      </c>
      <c r="C16" s="9">
        <v>32612102.987842817</v>
      </c>
      <c r="D16" s="9">
        <v>1401040.8028289299</v>
      </c>
      <c r="E16" s="9">
        <v>1375472.0190934166</v>
      </c>
      <c r="F16" s="9">
        <v>8798117.5419938825</v>
      </c>
      <c r="G16" s="9">
        <v>8752087.3248350937</v>
      </c>
    </row>
    <row r="17" spans="1:7" x14ac:dyDescent="0.25">
      <c r="A17" s="7" t="s">
        <v>37</v>
      </c>
      <c r="B17" s="9">
        <v>32618379.374894254</v>
      </c>
      <c r="C17" s="9">
        <v>32668554.513481632</v>
      </c>
      <c r="D17" s="9">
        <v>1394795.4125741443</v>
      </c>
      <c r="E17" s="9">
        <v>1368923.8016287643</v>
      </c>
      <c r="F17" s="9">
        <v>8782994.4607776552</v>
      </c>
      <c r="G17" s="9">
        <v>8736672.5354194082</v>
      </c>
    </row>
    <row r="18" spans="1:7" x14ac:dyDescent="0.25">
      <c r="A18" s="7" t="s">
        <v>38</v>
      </c>
      <c r="B18" s="9">
        <v>32735930.414915513</v>
      </c>
      <c r="C18" s="9">
        <v>32786455.546686105</v>
      </c>
      <c r="D18" s="9">
        <v>1370709.1437202257</v>
      </c>
      <c r="E18" s="9">
        <v>1344619.9215236574</v>
      </c>
      <c r="F18" s="9">
        <v>8702216.5154729616</v>
      </c>
      <c r="G18" s="9">
        <v>8655419.9578413963</v>
      </c>
    </row>
    <row r="19" spans="1:7" x14ac:dyDescent="0.25">
      <c r="A19" s="7" t="s">
        <v>39</v>
      </c>
      <c r="B19" s="9">
        <v>32744128.442298282</v>
      </c>
      <c r="C19" s="9">
        <v>32795520.965745583</v>
      </c>
      <c r="D19" s="9">
        <v>1375371.4685269799</v>
      </c>
      <c r="E19" s="9">
        <v>1348965.2400939413</v>
      </c>
      <c r="F19" s="9">
        <v>8692516.7487276383</v>
      </c>
      <c r="G19" s="9">
        <v>8645371.450594835</v>
      </c>
    </row>
    <row r="20" spans="1:7" x14ac:dyDescent="0.25">
      <c r="A20" s="7" t="s">
        <v>40</v>
      </c>
      <c r="B20" s="9">
        <v>32721046.980082858</v>
      </c>
      <c r="C20" s="9">
        <v>32773158.536973979</v>
      </c>
      <c r="D20" s="9">
        <v>1331074.3631226369</v>
      </c>
      <c r="E20" s="9">
        <v>1304491.9461664157</v>
      </c>
      <c r="F20" s="9">
        <v>8768584.7658807971</v>
      </c>
      <c r="G20" s="9">
        <v>8720976.6543556303</v>
      </c>
    </row>
    <row r="21" spans="1:7" x14ac:dyDescent="0.25">
      <c r="A21" s="7" t="s">
        <v>41</v>
      </c>
      <c r="B21" s="9">
        <v>32771570.354701638</v>
      </c>
      <c r="C21" s="9">
        <v>32844334.962939829</v>
      </c>
      <c r="D21" s="9">
        <v>1337934.5839956729</v>
      </c>
      <c r="E21" s="9">
        <v>1312117.7755016694</v>
      </c>
      <c r="F21" s="9">
        <v>8742798.4810142219</v>
      </c>
      <c r="G21" s="9">
        <v>8671064.5083555579</v>
      </c>
    </row>
    <row r="22" spans="1:7" x14ac:dyDescent="0.25">
      <c r="A22" s="7" t="s">
        <v>42</v>
      </c>
      <c r="B22" s="9">
        <v>32775474.269628525</v>
      </c>
      <c r="C22" s="9">
        <v>32885067.118593182</v>
      </c>
      <c r="D22" s="9">
        <v>1326259.1844192222</v>
      </c>
      <c r="E22" s="9">
        <v>1299704.164970017</v>
      </c>
      <c r="F22" s="9">
        <v>8784303.8282120582</v>
      </c>
      <c r="G22" s="9">
        <v>8686275.5526072048</v>
      </c>
    </row>
    <row r="23" spans="1:7" x14ac:dyDescent="0.25">
      <c r="A23" s="7" t="s">
        <v>43</v>
      </c>
      <c r="B23" s="9">
        <v>32838889.10009433</v>
      </c>
      <c r="C23" s="9">
        <v>32965095.493959799</v>
      </c>
      <c r="D23" s="9">
        <v>1363703.5363400707</v>
      </c>
      <c r="E23" s="9">
        <v>1330842.8442479598</v>
      </c>
      <c r="F23" s="9">
        <v>8730169.3860065881</v>
      </c>
      <c r="G23" s="9">
        <v>8620391.4911490809</v>
      </c>
    </row>
    <row r="24" spans="1:7" x14ac:dyDescent="0.25">
      <c r="A24" s="7" t="s">
        <v>44</v>
      </c>
      <c r="B24" s="9">
        <v>32805829.137577116</v>
      </c>
      <c r="C24" s="9">
        <v>32906371.487719417</v>
      </c>
      <c r="D24" s="9">
        <v>1328844.3685145241</v>
      </c>
      <c r="E24" s="9">
        <v>1319454.08999334</v>
      </c>
      <c r="F24" s="9">
        <v>8757439.2663832977</v>
      </c>
      <c r="G24" s="9">
        <v>8650784.9450816233</v>
      </c>
    </row>
    <row r="25" spans="1:7" x14ac:dyDescent="0.25">
      <c r="A25" s="7" t="s">
        <v>45</v>
      </c>
      <c r="B25" s="9">
        <v>32719866.665046345</v>
      </c>
      <c r="C25" s="9">
        <v>32875813.318274505</v>
      </c>
      <c r="D25" s="9">
        <v>1348951.1054125032</v>
      </c>
      <c r="E25" s="9">
        <v>1327223.1953289118</v>
      </c>
      <c r="F25" s="9">
        <v>8848117.3932787664</v>
      </c>
      <c r="G25" s="9">
        <v>8696091.4397068098</v>
      </c>
    </row>
    <row r="26" spans="1:7" x14ac:dyDescent="0.25">
      <c r="A26" s="7" t="s">
        <v>46</v>
      </c>
      <c r="B26" s="9">
        <v>32778692.080618687</v>
      </c>
      <c r="C26" s="9">
        <v>32893537.0352671</v>
      </c>
      <c r="D26" s="9">
        <v>1341128.1784593952</v>
      </c>
      <c r="E26" s="9">
        <v>1326122.6303862289</v>
      </c>
      <c r="F26" s="9">
        <v>8789331.7727188654</v>
      </c>
      <c r="G26" s="9">
        <v>8666359.7864721231</v>
      </c>
    </row>
    <row r="27" spans="1:7" x14ac:dyDescent="0.25">
      <c r="A27" s="7" t="s">
        <v>47</v>
      </c>
      <c r="B27" s="9">
        <v>32825161.590042867</v>
      </c>
      <c r="C27" s="9">
        <v>32904940.279579423</v>
      </c>
      <c r="D27" s="9">
        <v>1316302.4266441711</v>
      </c>
      <c r="E27" s="9">
        <v>1301206.5594640744</v>
      </c>
      <c r="F27" s="9">
        <v>8780610.7290654518</v>
      </c>
      <c r="G27" s="9">
        <v>8684869.597313961</v>
      </c>
    </row>
    <row r="28" spans="1:7" x14ac:dyDescent="0.25">
      <c r="A28" s="7" t="s">
        <v>48</v>
      </c>
      <c r="B28" s="9">
        <v>32923054.718077075</v>
      </c>
      <c r="C28" s="9">
        <v>33005937.647908516</v>
      </c>
      <c r="D28" s="9">
        <v>1342235.3383368261</v>
      </c>
      <c r="E28" s="9">
        <v>1314385.1220200867</v>
      </c>
      <c r="F28" s="9">
        <v>8681905.436640799</v>
      </c>
      <c r="G28" s="9">
        <v>8598586.6990227997</v>
      </c>
    </row>
    <row r="29" spans="1:7" x14ac:dyDescent="0.25">
      <c r="A29" s="7" t="s">
        <v>49</v>
      </c>
      <c r="B29" s="9">
        <v>32954046.06377982</v>
      </c>
      <c r="C29" s="9">
        <v>33055245.136594936</v>
      </c>
      <c r="D29" s="9">
        <v>1325935.819012292</v>
      </c>
      <c r="E29" s="9">
        <v>1284894.7901901826</v>
      </c>
      <c r="F29" s="9">
        <v>8655406.6505794525</v>
      </c>
      <c r="G29" s="9">
        <v>8572307.2914526388</v>
      </c>
    </row>
    <row r="30" spans="1:7" x14ac:dyDescent="0.25">
      <c r="A30" s="7" t="s">
        <v>50</v>
      </c>
      <c r="B30" s="9">
        <v>33003797.836426921</v>
      </c>
      <c r="C30" s="9">
        <v>33102736.146274775</v>
      </c>
      <c r="D30" s="9">
        <v>1379650.5022190439</v>
      </c>
      <c r="E30" s="9">
        <v>1339857.7754510012</v>
      </c>
      <c r="F30" s="9">
        <v>8609991.0294190235</v>
      </c>
      <c r="G30" s="9">
        <v>8515601.4665355831</v>
      </c>
    </row>
    <row r="31" spans="1:7" x14ac:dyDescent="0.25">
      <c r="A31" s="7" t="s">
        <v>51</v>
      </c>
      <c r="B31" s="9">
        <v>33090173.430666279</v>
      </c>
      <c r="C31" s="9">
        <v>33182628.527639266</v>
      </c>
      <c r="D31" s="9">
        <v>1400781.9841038072</v>
      </c>
      <c r="E31" s="9">
        <v>1364180.2187386027</v>
      </c>
      <c r="F31" s="9">
        <v>8550512.673855627</v>
      </c>
      <c r="G31" s="9">
        <v>8447090.456373781</v>
      </c>
    </row>
    <row r="32" spans="1:7" x14ac:dyDescent="0.25">
      <c r="A32" s="7" t="s">
        <v>52</v>
      </c>
      <c r="B32" s="9">
        <v>32999837.726564106</v>
      </c>
      <c r="C32" s="9">
        <v>32971523.741793387</v>
      </c>
      <c r="D32" s="9">
        <v>1412422.0339489719</v>
      </c>
      <c r="E32" s="9">
        <v>1410743.9949116744</v>
      </c>
      <c r="F32" s="9">
        <v>8628271.3305572681</v>
      </c>
      <c r="G32" s="9">
        <v>8633802.5725060496</v>
      </c>
    </row>
    <row r="33" spans="1:7" x14ac:dyDescent="0.25">
      <c r="A33" s="7" t="s">
        <v>53</v>
      </c>
      <c r="B33" s="9">
        <v>32793096.818656716</v>
      </c>
      <c r="C33" s="9">
        <v>32820030.711504046</v>
      </c>
      <c r="D33" s="9">
        <v>1421326.4444881163</v>
      </c>
      <c r="E33" s="9">
        <v>1400017.5762013602</v>
      </c>
      <c r="F33" s="9">
        <v>8749281.2438284978</v>
      </c>
      <c r="G33" s="9">
        <v>8747358.0153087601</v>
      </c>
    </row>
    <row r="34" spans="1:7" x14ac:dyDescent="0.25">
      <c r="A34" s="7" t="s">
        <v>54</v>
      </c>
      <c r="B34" s="9">
        <v>32690661.675259575</v>
      </c>
      <c r="C34" s="9">
        <v>32713646.571418263</v>
      </c>
      <c r="D34" s="9">
        <v>1440675.9569801716</v>
      </c>
      <c r="E34" s="9">
        <v>1407660.1117735468</v>
      </c>
      <c r="F34" s="9">
        <v>8779118.4806156084</v>
      </c>
      <c r="G34" s="9">
        <v>8805341.0971784275</v>
      </c>
    </row>
    <row r="35" spans="1:7" x14ac:dyDescent="0.25">
      <c r="A35" s="7" t="s">
        <v>55</v>
      </c>
      <c r="B35" s="9">
        <v>32570744.582722265</v>
      </c>
      <c r="C35" s="9">
        <v>32636332.193497106</v>
      </c>
      <c r="D35" s="9">
        <v>1434725.3747113876</v>
      </c>
      <c r="E35" s="9">
        <v>1388478.3436178598</v>
      </c>
      <c r="F35" s="9">
        <v>8846584.3033538572</v>
      </c>
      <c r="G35" s="9">
        <v>8855682.124198081</v>
      </c>
    </row>
    <row r="36" spans="1:7" x14ac:dyDescent="0.25">
      <c r="A36" s="7" t="s">
        <v>56</v>
      </c>
      <c r="B36" s="9">
        <v>32557447.585428182</v>
      </c>
      <c r="C36" s="9">
        <v>32578006.215596505</v>
      </c>
      <c r="D36" s="9">
        <v>1513807.8341273365</v>
      </c>
      <c r="E36" s="9">
        <v>1486097.7378561173</v>
      </c>
      <c r="F36" s="9">
        <v>8841361.5003156848</v>
      </c>
      <c r="G36" s="9">
        <v>8832590.1318925321</v>
      </c>
    </row>
    <row r="37" spans="1:7" x14ac:dyDescent="0.25">
      <c r="A37" s="7" t="s">
        <v>57</v>
      </c>
      <c r="B37" s="9">
        <v>32475671.190835118</v>
      </c>
      <c r="C37" s="9">
        <v>32492503.082189828</v>
      </c>
      <c r="D37" s="9">
        <v>1587490.9427034149</v>
      </c>
      <c r="E37" s="9">
        <v>1576258.7081609007</v>
      </c>
      <c r="F37" s="9">
        <v>8889609.376770081</v>
      </c>
      <c r="G37" s="9">
        <v>8857969.6147196759</v>
      </c>
    </row>
    <row r="38" spans="1:7" x14ac:dyDescent="0.25">
      <c r="A38" s="7" t="s">
        <v>58</v>
      </c>
      <c r="B38" s="9">
        <v>32353993.76094998</v>
      </c>
      <c r="C38" s="9">
        <v>32351671.254584588</v>
      </c>
      <c r="D38" s="9">
        <v>1697998.9891227186</v>
      </c>
      <c r="E38" s="9">
        <v>1691120.2362129872</v>
      </c>
      <c r="F38" s="9">
        <v>8947068.3371991403</v>
      </c>
      <c r="G38" s="9">
        <v>8918508.0375391357</v>
      </c>
    </row>
    <row r="39" spans="1:7" x14ac:dyDescent="0.25">
      <c r="A39" s="7" t="s">
        <v>59</v>
      </c>
      <c r="B39" s="9">
        <v>32335266.891900677</v>
      </c>
      <c r="C39" s="9">
        <v>32320106.286577389</v>
      </c>
      <c r="D39" s="9">
        <v>1761345.5026657959</v>
      </c>
      <c r="E39" s="9">
        <v>1759759.5822423403</v>
      </c>
      <c r="F39" s="9">
        <v>8917537.1381849423</v>
      </c>
      <c r="G39" s="9">
        <v>8910046.3308619186</v>
      </c>
    </row>
    <row r="40" spans="1:7" x14ac:dyDescent="0.25">
      <c r="A40" s="7" t="s">
        <v>60</v>
      </c>
      <c r="B40" s="9">
        <v>32338613.491386343</v>
      </c>
      <c r="C40" s="9">
        <v>32357990.361480318</v>
      </c>
      <c r="D40" s="9">
        <v>1787541.3403017099</v>
      </c>
      <c r="E40" s="9">
        <v>1783970.0694871009</v>
      </c>
      <c r="F40" s="9">
        <v>8892306.5919854641</v>
      </c>
      <c r="G40" s="9">
        <v>8869680.1201981902</v>
      </c>
    </row>
    <row r="41" spans="1:7" x14ac:dyDescent="0.25">
      <c r="A41" s="7" t="s">
        <v>61</v>
      </c>
      <c r="B41" s="9">
        <v>32197965.732435003</v>
      </c>
      <c r="C41" s="9">
        <v>32265793.981766716</v>
      </c>
      <c r="D41" s="9">
        <v>1814784.9856999547</v>
      </c>
      <c r="E41" s="9">
        <v>1793878.0238139785</v>
      </c>
      <c r="F41" s="9">
        <v>8979779.6455458421</v>
      </c>
      <c r="G41" s="9">
        <v>8941627.4922803603</v>
      </c>
    </row>
    <row r="42" spans="1:7" x14ac:dyDescent="0.25">
      <c r="A42" s="7" t="s">
        <v>62</v>
      </c>
      <c r="B42" s="9">
        <v>32170466.215324402</v>
      </c>
      <c r="C42" s="9">
        <v>32272011.531120382</v>
      </c>
      <c r="D42" s="9">
        <v>1784684.7466267352</v>
      </c>
      <c r="E42" s="9">
        <v>1759208.104569071</v>
      </c>
      <c r="F42" s="9">
        <v>9018961.9962172974</v>
      </c>
      <c r="G42" s="9">
        <v>8973913.8012884837</v>
      </c>
    </row>
    <row r="43" spans="1:7" x14ac:dyDescent="0.25">
      <c r="A43" s="7" t="s">
        <v>63</v>
      </c>
      <c r="B43" s="9">
        <v>32218137.311327443</v>
      </c>
      <c r="C43" s="9">
        <v>32346508.586019658</v>
      </c>
      <c r="D43" s="9">
        <v>1758860.0812085222</v>
      </c>
      <c r="E43" s="9">
        <v>1719089.1838746862</v>
      </c>
      <c r="F43" s="9">
        <v>8995913.3124331981</v>
      </c>
      <c r="G43" s="9">
        <v>8946777.7666655015</v>
      </c>
    </row>
    <row r="44" spans="1:7" x14ac:dyDescent="0.25">
      <c r="A44" s="7" t="s">
        <v>64</v>
      </c>
      <c r="B44" s="9">
        <v>32220976.956143875</v>
      </c>
      <c r="C44" s="9">
        <v>32307895.319055267</v>
      </c>
      <c r="D44" s="9">
        <v>1717682.884507077</v>
      </c>
      <c r="E44" s="9">
        <v>1666656.9820750607</v>
      </c>
      <c r="F44" s="9">
        <v>9048436.8854330368</v>
      </c>
      <c r="G44" s="9">
        <v>9037819.7322381251</v>
      </c>
    </row>
    <row r="45" spans="1:7" x14ac:dyDescent="0.25">
      <c r="A45" s="7" t="s">
        <v>65</v>
      </c>
      <c r="B45" s="9">
        <v>32236308.346037962</v>
      </c>
      <c r="C45" s="9">
        <v>32312598.754818223</v>
      </c>
      <c r="D45" s="9">
        <v>1700531.0898864623</v>
      </c>
      <c r="E45" s="9">
        <v>1639672.6769043794</v>
      </c>
      <c r="F45" s="9">
        <v>9062382.3728793729</v>
      </c>
      <c r="G45" s="9">
        <v>9062654.3104376644</v>
      </c>
    </row>
    <row r="46" spans="1:7" x14ac:dyDescent="0.25">
      <c r="A46" s="7" t="s">
        <v>66</v>
      </c>
      <c r="B46" s="9">
        <v>32259596.508449972</v>
      </c>
      <c r="C46" s="9">
        <v>32338798.354169525</v>
      </c>
      <c r="D46" s="9">
        <v>1691151.2824183409</v>
      </c>
      <c r="E46" s="9">
        <v>1627455.1152554173</v>
      </c>
      <c r="F46" s="9">
        <v>9056285.9705444574</v>
      </c>
      <c r="G46" s="9">
        <v>9055678.5520695224</v>
      </c>
    </row>
    <row r="47" spans="1:7" x14ac:dyDescent="0.25">
      <c r="A47" s="7" t="s">
        <v>67</v>
      </c>
      <c r="B47" s="9">
        <v>32376948.518541768</v>
      </c>
      <c r="C47" s="9">
        <v>32454054.716516741</v>
      </c>
      <c r="D47" s="9">
        <v>1646598.5671704356</v>
      </c>
      <c r="E47" s="9">
        <v>1587537.9925384081</v>
      </c>
      <c r="F47" s="9">
        <v>8993020.3942392729</v>
      </c>
      <c r="G47" s="9">
        <v>8991582.7676854096</v>
      </c>
    </row>
    <row r="48" spans="1:7" x14ac:dyDescent="0.25">
      <c r="A48" s="7" t="s">
        <v>68</v>
      </c>
      <c r="B48" s="9">
        <v>32489468.413986504</v>
      </c>
      <c r="C48" s="9">
        <v>32525448.595171571</v>
      </c>
      <c r="D48" s="9">
        <v>1603900.1916932245</v>
      </c>
      <c r="E48" s="9">
        <v>1561699.6444930278</v>
      </c>
      <c r="F48" s="9">
        <v>8998014.3154665232</v>
      </c>
      <c r="G48" s="9">
        <v>8976812.3787602</v>
      </c>
    </row>
    <row r="49" spans="1:7" x14ac:dyDescent="0.25">
      <c r="A49" s="7" t="s">
        <v>69</v>
      </c>
      <c r="B49" s="9">
        <v>32577076.1821041</v>
      </c>
      <c r="C49" s="9">
        <v>32614321.658631191</v>
      </c>
      <c r="D49" s="9">
        <v>1559354.5672266902</v>
      </c>
      <c r="E49" s="9">
        <v>1540863.4111680496</v>
      </c>
      <c r="F49" s="9">
        <v>9010092.1337838657</v>
      </c>
      <c r="G49" s="9">
        <v>8962535.7175987214</v>
      </c>
    </row>
    <row r="50" spans="1:7" x14ac:dyDescent="0.25">
      <c r="A50" s="7" t="s">
        <v>70</v>
      </c>
      <c r="B50" s="9">
        <v>32687486.092751186</v>
      </c>
      <c r="C50" s="9">
        <v>32712258.602366053</v>
      </c>
      <c r="D50" s="9">
        <v>1500889.8407864617</v>
      </c>
      <c r="E50" s="9">
        <v>1499859.3346100026</v>
      </c>
      <c r="F50" s="9">
        <v>9041742.5874022245</v>
      </c>
      <c r="G50" s="9">
        <v>8973400.5037431121</v>
      </c>
    </row>
    <row r="51" spans="1:7" x14ac:dyDescent="0.25">
      <c r="A51" s="7" t="s">
        <v>71</v>
      </c>
      <c r="B51" s="9">
        <v>32686196.661170371</v>
      </c>
      <c r="C51" s="9">
        <v>32690041.040790379</v>
      </c>
      <c r="D51" s="9">
        <v>1473418.0959268841</v>
      </c>
      <c r="E51" s="9">
        <v>1474935.8064753334</v>
      </c>
      <c r="F51" s="9">
        <v>9057823.6767868325</v>
      </c>
      <c r="G51" s="9">
        <v>9024848.2459190283</v>
      </c>
    </row>
    <row r="52" spans="1:7" x14ac:dyDescent="0.25">
      <c r="A52" s="7" t="s">
        <v>72</v>
      </c>
      <c r="B52" s="9">
        <v>32672655.105072513</v>
      </c>
      <c r="C52" s="9">
        <v>32692871.823918596</v>
      </c>
      <c r="D52" s="9">
        <v>1433422.4598071135</v>
      </c>
      <c r="E52" s="9">
        <v>1439808.9800597136</v>
      </c>
      <c r="F52" s="9">
        <v>9082534.3785285391</v>
      </c>
      <c r="G52" s="9">
        <v>9058427.1992586441</v>
      </c>
    </row>
    <row r="53" spans="1:7" x14ac:dyDescent="0.25">
      <c r="A53" s="7" t="s">
        <v>73</v>
      </c>
      <c r="B53" s="9">
        <v>32686457.874989584</v>
      </c>
      <c r="C53" s="9">
        <v>32729136.485665642</v>
      </c>
      <c r="D53" s="9">
        <v>1424507.213869069</v>
      </c>
      <c r="E53" s="9">
        <v>1429815.4277393855</v>
      </c>
      <c r="F53" s="9">
        <v>9071044.9360409211</v>
      </c>
      <c r="G53" s="9">
        <v>9048626.5421203543</v>
      </c>
    </row>
    <row r="54" spans="1:7" x14ac:dyDescent="0.25">
      <c r="A54" s="7" t="s">
        <v>74</v>
      </c>
      <c r="B54" s="9">
        <v>32656934.368439727</v>
      </c>
      <c r="C54" s="9">
        <v>32740235.12942522</v>
      </c>
      <c r="D54" s="9">
        <v>1399129.4763318854</v>
      </c>
      <c r="E54" s="9">
        <v>1399977.7118281208</v>
      </c>
      <c r="F54" s="9">
        <v>9113871.9045305196</v>
      </c>
      <c r="G54" s="9">
        <v>9085217.4642395321</v>
      </c>
    </row>
    <row r="55" spans="1:7" x14ac:dyDescent="0.25">
      <c r="A55" s="7" t="s">
        <v>75</v>
      </c>
      <c r="B55" s="9">
        <v>32701192.840239991</v>
      </c>
      <c r="C55" s="9">
        <v>32770991.345435619</v>
      </c>
      <c r="D55" s="9">
        <v>1351279.4922804169</v>
      </c>
      <c r="E55" s="9">
        <v>1335503.9344622577</v>
      </c>
      <c r="F55" s="9">
        <v>9153525.4822055735</v>
      </c>
      <c r="G55" s="9">
        <v>9157835.2697406504</v>
      </c>
    </row>
    <row r="56" spans="1:7" x14ac:dyDescent="0.25">
      <c r="A56" s="7" t="s">
        <v>76</v>
      </c>
      <c r="B56" s="9">
        <v>32774623.682307199</v>
      </c>
      <c r="C56" s="9">
        <v>32784341.352800094</v>
      </c>
      <c r="D56" s="9">
        <v>1313136.4248160832</v>
      </c>
      <c r="E56" s="9">
        <v>1290137.8856409751</v>
      </c>
      <c r="F56" s="9">
        <v>9130340.133378977</v>
      </c>
      <c r="G56" s="9">
        <v>9183106.4107898939</v>
      </c>
    </row>
    <row r="57" spans="1:7" x14ac:dyDescent="0.25">
      <c r="A57" s="7" t="s">
        <v>77</v>
      </c>
      <c r="B57" s="9">
        <v>32857183.785200432</v>
      </c>
      <c r="C57" s="9">
        <v>32876119.766932007</v>
      </c>
      <c r="D57" s="9">
        <v>1354900.2946152904</v>
      </c>
      <c r="E57" s="9">
        <v>1306212.0843572961</v>
      </c>
      <c r="F57" s="9">
        <v>9086882.522723183</v>
      </c>
      <c r="G57" s="9">
        <v>9147818.3184225298</v>
      </c>
    </row>
    <row r="58" spans="1:7" x14ac:dyDescent="0.25">
      <c r="A58" s="7" t="s">
        <v>78</v>
      </c>
      <c r="B58" s="9">
        <v>33020760.136879906</v>
      </c>
      <c r="C58" s="9">
        <v>33061153.249525789</v>
      </c>
      <c r="D58" s="9">
        <v>1341522.8074824351</v>
      </c>
      <c r="E58" s="9">
        <v>1279486.3951717734</v>
      </c>
      <c r="F58" s="9">
        <v>9021749.3191012237</v>
      </c>
      <c r="G58" s="9">
        <v>9074661.5325807221</v>
      </c>
    </row>
    <row r="59" spans="1:7" x14ac:dyDescent="0.25">
      <c r="A59" s="7" t="s">
        <v>79</v>
      </c>
      <c r="B59" s="9">
        <v>32957882.609964505</v>
      </c>
      <c r="C59" s="9">
        <v>33007320.376316726</v>
      </c>
      <c r="D59" s="9">
        <v>1350673.9416445838</v>
      </c>
      <c r="E59" s="9">
        <v>1295688.5388575625</v>
      </c>
      <c r="F59" s="9">
        <v>9168947.4849046804</v>
      </c>
      <c r="G59" s="9">
        <v>9209694.0102950633</v>
      </c>
    </row>
    <row r="60" spans="1:7" x14ac:dyDescent="0.25">
      <c r="A60" s="7" t="s">
        <v>80</v>
      </c>
      <c r="B60" s="9">
        <v>32920197.864500284</v>
      </c>
      <c r="C60" s="9">
        <v>32918268.100043818</v>
      </c>
      <c r="D60" s="9">
        <v>1281808.4490334764</v>
      </c>
      <c r="E60" s="9">
        <v>1238961.1275701716</v>
      </c>
      <c r="F60" s="9">
        <v>9293562.7104381677</v>
      </c>
      <c r="G60" s="9">
        <v>9319584.8939097244</v>
      </c>
    </row>
    <row r="61" spans="1:7" x14ac:dyDescent="0.25">
      <c r="A61" s="7" t="s">
        <v>81</v>
      </c>
      <c r="B61" s="9">
        <v>32929161.680980314</v>
      </c>
      <c r="C61" s="9">
        <v>32925199.605902851</v>
      </c>
      <c r="D61" s="9">
        <v>1246281.6465300391</v>
      </c>
      <c r="E61" s="9">
        <v>1225553.9256645094</v>
      </c>
      <c r="F61" s="9">
        <v>9283641.6766562872</v>
      </c>
      <c r="G61" s="9">
        <v>9306367.3539513405</v>
      </c>
    </row>
    <row r="62" spans="1:7" x14ac:dyDescent="0.25">
      <c r="A62" s="7" t="s">
        <v>4</v>
      </c>
      <c r="B62" s="9">
        <v>32915867.68014048</v>
      </c>
      <c r="C62" s="9">
        <v>32903509.898753934</v>
      </c>
      <c r="D62" s="9">
        <v>1283204.3820734492</v>
      </c>
      <c r="E62" s="9">
        <v>1278055.8020605131</v>
      </c>
      <c r="F62" s="9">
        <v>9284928.8870722726</v>
      </c>
      <c r="G62" s="9">
        <v>9314086.2807861231</v>
      </c>
    </row>
    <row r="63" spans="1:7" x14ac:dyDescent="0.25">
      <c r="A63" s="7" t="s">
        <v>5</v>
      </c>
      <c r="B63" s="9">
        <v>32951175.218337636</v>
      </c>
      <c r="C63" s="9">
        <v>32968365.085393768</v>
      </c>
      <c r="D63" s="9">
        <v>1321840.5137848938</v>
      </c>
      <c r="E63" s="9">
        <v>1318130.4555501146</v>
      </c>
      <c r="F63" s="9">
        <v>9224506.9310776535</v>
      </c>
      <c r="G63" s="9">
        <v>9252465.0462044813</v>
      </c>
    </row>
    <row r="64" spans="1:7" x14ac:dyDescent="0.25">
      <c r="A64" s="7" t="s">
        <v>6</v>
      </c>
      <c r="B64" s="9">
        <v>33076041.793732978</v>
      </c>
      <c r="C64" s="9">
        <v>33026472.477541491</v>
      </c>
      <c r="D64" s="9">
        <v>1307665.9542010673</v>
      </c>
      <c r="E64" s="9">
        <v>1336750.1016820241</v>
      </c>
      <c r="F64" s="9">
        <v>9162051.9238811489</v>
      </c>
      <c r="G64" s="9">
        <v>9246771.6004669182</v>
      </c>
    </row>
    <row r="65" spans="1:7" x14ac:dyDescent="0.25">
      <c r="A65" s="7" t="s">
        <v>7</v>
      </c>
      <c r="B65" s="9">
        <v>33066998.467332862</v>
      </c>
      <c r="C65" s="9">
        <v>33114244.250537656</v>
      </c>
      <c r="D65" s="9">
        <v>1332594.9246246517</v>
      </c>
      <c r="E65" s="9">
        <v>1354618.3472499731</v>
      </c>
      <c r="F65" s="9">
        <v>9157767.7105435617</v>
      </c>
      <c r="G65" s="9">
        <v>9180879.0301827826</v>
      </c>
    </row>
    <row r="66" spans="1:7" x14ac:dyDescent="0.25">
      <c r="A66" s="7" t="s">
        <v>8</v>
      </c>
      <c r="B66" s="9">
        <v>33099434.59521031</v>
      </c>
      <c r="C66" s="9">
        <v>33163853.129783556</v>
      </c>
      <c r="D66" s="9">
        <v>1314491.8802740667</v>
      </c>
      <c r="E66" s="9">
        <v>1333248.4125715387</v>
      </c>
      <c r="F66" s="9">
        <v>9150880.9565901384</v>
      </c>
      <c r="G66" s="9">
        <v>9190489.1747543402</v>
      </c>
    </row>
    <row r="67" spans="1:7" x14ac:dyDescent="0.25">
      <c r="A67" s="7" t="s">
        <v>9</v>
      </c>
      <c r="B67" s="9">
        <v>33175551.150607992</v>
      </c>
      <c r="C67" s="9">
        <v>33252056.723807592</v>
      </c>
      <c r="D67" s="9">
        <v>1346193.7489961905</v>
      </c>
      <c r="E67" s="9">
        <v>1376210.0548728316</v>
      </c>
      <c r="F67" s="9">
        <v>9128877.6217022724</v>
      </c>
      <c r="G67" s="9">
        <v>9168362.2571031265</v>
      </c>
    </row>
    <row r="68" spans="1:7" x14ac:dyDescent="0.25">
      <c r="A68" s="7" t="s">
        <v>10</v>
      </c>
      <c r="B68" s="9">
        <v>33200617.484037101</v>
      </c>
      <c r="C68" s="9">
        <v>33319527.436923962</v>
      </c>
      <c r="D68" s="9">
        <v>1383058.6731903972</v>
      </c>
      <c r="E68" s="9">
        <v>1385994.7515779859</v>
      </c>
      <c r="F68" s="9">
        <v>9080527.839111032</v>
      </c>
      <c r="G68" s="9">
        <v>9119317.1931904163</v>
      </c>
    </row>
    <row r="69" spans="1:7" x14ac:dyDescent="0.25">
      <c r="A69" s="7" t="s">
        <v>11</v>
      </c>
      <c r="B69" s="9">
        <v>33325667.59716491</v>
      </c>
      <c r="C69" s="9">
        <v>33476276.604355443</v>
      </c>
      <c r="D69" s="9">
        <v>1353053.1944076773</v>
      </c>
      <c r="E69" s="9">
        <v>1349815.1759569417</v>
      </c>
      <c r="F69" s="9">
        <v>9048669.3069290593</v>
      </c>
      <c r="G69" s="9">
        <v>9076318.5059670638</v>
      </c>
    </row>
    <row r="70" spans="1:7" x14ac:dyDescent="0.25">
      <c r="A70" s="7" t="s">
        <v>12</v>
      </c>
      <c r="B70" s="9">
        <v>33310556.782075748</v>
      </c>
      <c r="C70" s="9">
        <v>33465335.673965126</v>
      </c>
      <c r="D70" s="9">
        <v>1395070.1167910984</v>
      </c>
      <c r="E70" s="9">
        <v>1393885.6345725004</v>
      </c>
      <c r="F70" s="9">
        <v>8993554.9817382433</v>
      </c>
      <c r="G70" s="9">
        <v>9042586.6800453458</v>
      </c>
    </row>
    <row r="71" spans="1:7" x14ac:dyDescent="0.25">
      <c r="A71" s="7" t="s">
        <v>13</v>
      </c>
      <c r="B71" s="9">
        <v>33162821.434882224</v>
      </c>
      <c r="C71" s="9">
        <v>33356152.168103416</v>
      </c>
      <c r="D71" s="9">
        <v>1460427.2586591234</v>
      </c>
      <c r="E71" s="9">
        <v>1469526.7752027428</v>
      </c>
      <c r="F71" s="9">
        <v>9059541.9535713885</v>
      </c>
      <c r="G71" s="9">
        <v>9086802.8797337599</v>
      </c>
    </row>
    <row r="72" spans="1:7" x14ac:dyDescent="0.25">
      <c r="A72" s="7" t="s">
        <v>14</v>
      </c>
      <c r="B72" s="9">
        <v>33082006.654214859</v>
      </c>
      <c r="C72" s="9">
        <v>33282828.697448112</v>
      </c>
      <c r="D72" s="9">
        <v>1496400.4572238638</v>
      </c>
      <c r="E72" s="9">
        <v>1507793.986145213</v>
      </c>
      <c r="F72" s="9">
        <v>9137641.5271183457</v>
      </c>
      <c r="G72" s="9">
        <v>9184573.0277044959</v>
      </c>
    </row>
    <row r="73" spans="1:7" x14ac:dyDescent="0.25">
      <c r="A73" s="7" t="s">
        <v>15</v>
      </c>
      <c r="B73" s="9">
        <v>33027892.868683748</v>
      </c>
      <c r="C73" s="9">
        <v>33207667.78418066</v>
      </c>
      <c r="D73" s="9">
        <v>1452336.9320604214</v>
      </c>
      <c r="E73" s="9">
        <v>1481982.7555745873</v>
      </c>
      <c r="F73" s="9">
        <v>9249449.2264839839</v>
      </c>
      <c r="G73" s="9">
        <v>9315550.9591152947</v>
      </c>
    </row>
    <row r="74" spans="1:7" x14ac:dyDescent="0.25">
      <c r="A74" s="7" t="s">
        <v>16</v>
      </c>
      <c r="B74" s="9">
        <v>33102185.803718034</v>
      </c>
      <c r="C74" s="9">
        <v>33326169.808636535</v>
      </c>
      <c r="D74" s="9">
        <v>1406664.0730506661</v>
      </c>
      <c r="E74" s="9">
        <v>1429827.3713349728</v>
      </c>
      <c r="F74" s="9">
        <v>9254602.8098649159</v>
      </c>
      <c r="G74" s="9">
        <v>9307077.3206800241</v>
      </c>
    </row>
    <row r="75" spans="1:7" x14ac:dyDescent="0.25">
      <c r="A75" s="7" t="s">
        <v>17</v>
      </c>
      <c r="B75" s="9">
        <v>33195699.011369571</v>
      </c>
      <c r="C75" s="9">
        <v>33361341.205835901</v>
      </c>
      <c r="D75" s="9">
        <v>1366799.9191963444</v>
      </c>
      <c r="E75" s="9">
        <v>1398429.5186642003</v>
      </c>
      <c r="F75" s="9">
        <v>9206272.9160031658</v>
      </c>
      <c r="G75" s="9">
        <v>9334778.8299519308</v>
      </c>
    </row>
    <row r="76" spans="1:7" x14ac:dyDescent="0.25">
      <c r="A76" s="7" t="s">
        <v>18</v>
      </c>
      <c r="B76" s="9">
        <v>33136212.169415653</v>
      </c>
      <c r="C76" s="9">
        <v>33345036.145811401</v>
      </c>
      <c r="D76" s="9">
        <v>1355229.8318704152</v>
      </c>
      <c r="E76" s="9">
        <v>1381818.7616150756</v>
      </c>
      <c r="F76" s="9">
        <v>9254044.9702211916</v>
      </c>
      <c r="G76" s="9">
        <v>9367674.927364856</v>
      </c>
    </row>
    <row r="77" spans="1:7" x14ac:dyDescent="0.25">
      <c r="A77" s="7" t="s">
        <v>82</v>
      </c>
      <c r="B77" s="9">
        <v>33174381.338151298</v>
      </c>
      <c r="C77" s="9">
        <v>33377438.503215149</v>
      </c>
      <c r="D77" s="9">
        <v>1319967.0573287522</v>
      </c>
      <c r="E77" s="9">
        <v>1343855.1370469553</v>
      </c>
      <c r="F77" s="9">
        <v>9278161.3081631847</v>
      </c>
      <c r="G77" s="9">
        <v>9411679.9039556254</v>
      </c>
    </row>
    <row r="78" spans="1:7" x14ac:dyDescent="0.25">
      <c r="A78" s="7" t="s">
        <v>83</v>
      </c>
      <c r="B78" s="9">
        <v>33106562.48480536</v>
      </c>
      <c r="C78" s="9">
        <v>33322855.589263916</v>
      </c>
      <c r="D78" s="9">
        <v>1372737.9414020493</v>
      </c>
      <c r="E78" s="9">
        <v>1412269.0154872565</v>
      </c>
      <c r="F78" s="9">
        <v>9301972.1143675521</v>
      </c>
      <c r="G78" s="9">
        <v>9430710.2190280724</v>
      </c>
    </row>
    <row r="79" spans="1:7" x14ac:dyDescent="0.25">
      <c r="A79" s="7" t="s">
        <v>84</v>
      </c>
      <c r="B79" s="9">
        <v>32980161.130869344</v>
      </c>
      <c r="C79" s="9">
        <v>33319934.024576746</v>
      </c>
      <c r="D79" s="9">
        <v>1440117.2123139007</v>
      </c>
      <c r="E79" s="9">
        <v>1460132.1395377023</v>
      </c>
      <c r="F79" s="9">
        <v>9403925.7911057044</v>
      </c>
      <c r="G79" s="9">
        <v>9452195.0520359464</v>
      </c>
    </row>
    <row r="80" spans="1:7" x14ac:dyDescent="0.25">
      <c r="A80" s="7" t="s">
        <v>85</v>
      </c>
      <c r="B80" s="9">
        <v>32996864.785134993</v>
      </c>
      <c r="C80" s="9">
        <v>33330641.340445034</v>
      </c>
      <c r="D80" s="9">
        <v>1486347.4394367253</v>
      </c>
      <c r="E80" s="9">
        <v>1510475.8006283469</v>
      </c>
      <c r="F80" s="9">
        <v>9382600.8434287924</v>
      </c>
      <c r="G80" s="9">
        <v>9451529.3818740398</v>
      </c>
    </row>
    <row r="81" spans="1:7" x14ac:dyDescent="0.25">
      <c r="A81" s="7" t="s">
        <v>86</v>
      </c>
      <c r="B81" s="9">
        <v>32967067.910872966</v>
      </c>
      <c r="C81" s="9">
        <v>33348191.878007077</v>
      </c>
      <c r="D81" s="9">
        <v>1510398.8096679072</v>
      </c>
      <c r="E81" s="9">
        <v>1524223.2324816072</v>
      </c>
      <c r="F81" s="9">
        <v>9433911.5555293392</v>
      </c>
      <c r="G81" s="9">
        <v>9490349.6839275695</v>
      </c>
    </row>
    <row r="82" spans="1:7" x14ac:dyDescent="0.25">
      <c r="A82" s="7" t="s">
        <v>87</v>
      </c>
      <c r="B82" s="9">
        <v>32998858.403031953</v>
      </c>
      <c r="C82" s="9">
        <v>33386440.681214262</v>
      </c>
      <c r="D82" s="9">
        <v>1527837.2135573654</v>
      </c>
      <c r="E82" s="9">
        <v>1547450.5930216894</v>
      </c>
      <c r="F82" s="9">
        <v>9383205.2698882744</v>
      </c>
      <c r="G82" s="9">
        <v>9452633.9401390702</v>
      </c>
    </row>
    <row r="83" spans="1:7" x14ac:dyDescent="0.25">
      <c r="A83" s="7" t="s">
        <v>88</v>
      </c>
      <c r="B83" s="9">
        <v>33093586.292802013</v>
      </c>
      <c r="C83" s="9">
        <v>33496084.403651848</v>
      </c>
      <c r="D83" s="9">
        <v>1435392.7011627431</v>
      </c>
      <c r="E83" s="9">
        <v>1465340.7117531896</v>
      </c>
      <c r="F83" s="9">
        <v>9409746.6463973913</v>
      </c>
      <c r="G83" s="9">
        <v>9469602.1074146889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5A186-9B59-46E4-A971-EE82DDD10D72}">
  <dimension ref="A1:M83"/>
  <sheetViews>
    <sheetView workbookViewId="0">
      <pane xSplit="1" ySplit="7" topLeftCell="B8" activePane="bottomRight" state="frozen"/>
      <selection pane="topRight" activeCell="B1" sqref="B1"/>
      <selection pane="bottomLeft" activeCell="A8" sqref="A8"/>
      <selection pane="bottomRight" activeCell="H8" sqref="H8"/>
    </sheetView>
  </sheetViews>
  <sheetFormatPr defaultRowHeight="15" x14ac:dyDescent="0.25"/>
  <cols>
    <col min="1" max="1" width="14.7109375" customWidth="1"/>
    <col min="2" max="2" width="26" customWidth="1"/>
    <col min="3" max="3" width="27.140625" bestFit="1" customWidth="1"/>
    <col min="4" max="4" width="28.5703125" bestFit="1" customWidth="1"/>
    <col min="5" max="5" width="29.5703125" bestFit="1" customWidth="1"/>
    <col min="6" max="6" width="32" bestFit="1" customWidth="1"/>
    <col min="7" max="7" width="32.85546875" bestFit="1" customWidth="1"/>
    <col min="8" max="8" width="22.42578125" customWidth="1"/>
  </cols>
  <sheetData>
    <row r="1" spans="1:8" ht="15.75" x14ac:dyDescent="0.25">
      <c r="A1" s="1" t="s">
        <v>19</v>
      </c>
      <c r="H1" t="s">
        <v>89</v>
      </c>
    </row>
    <row r="2" spans="1:8" x14ac:dyDescent="0.25">
      <c r="A2" s="2" t="s">
        <v>20</v>
      </c>
    </row>
    <row r="3" spans="1:8" x14ac:dyDescent="0.25">
      <c r="A3" s="5"/>
    </row>
    <row r="4" spans="1:8" ht="15.75" x14ac:dyDescent="0.3">
      <c r="A4" s="5" t="s">
        <v>0</v>
      </c>
      <c r="B4" s="6" t="s">
        <v>21</v>
      </c>
      <c r="C4" s="6"/>
    </row>
    <row r="5" spans="1:8" x14ac:dyDescent="0.25">
      <c r="A5" s="5" t="s">
        <v>1</v>
      </c>
      <c r="B5" t="s">
        <v>2</v>
      </c>
    </row>
    <row r="6" spans="1:8" x14ac:dyDescent="0.25">
      <c r="A6" s="5"/>
    </row>
    <row r="7" spans="1:8" x14ac:dyDescent="0.25">
      <c r="A7" t="s">
        <v>3</v>
      </c>
      <c r="B7" t="s">
        <v>22</v>
      </c>
      <c r="C7" t="s">
        <v>23</v>
      </c>
      <c r="D7" t="s">
        <v>24</v>
      </c>
      <c r="E7" t="s">
        <v>25</v>
      </c>
      <c r="F7" t="s">
        <v>26</v>
      </c>
      <c r="G7" t="s">
        <v>27</v>
      </c>
    </row>
    <row r="8" spans="1:8" x14ac:dyDescent="0.25">
      <c r="A8" s="7" t="s">
        <v>28</v>
      </c>
      <c r="B8" s="4">
        <v>75.301659008278506</v>
      </c>
      <c r="C8" s="4">
        <v>75.450975054308188</v>
      </c>
      <c r="D8" s="4">
        <v>4.274112946376647</v>
      </c>
      <c r="E8" s="4">
        <v>4.202200396588367</v>
      </c>
      <c r="F8" s="8">
        <v>21.261324682864316</v>
      </c>
      <c r="G8" s="8">
        <v>21.16808216754243</v>
      </c>
    </row>
    <row r="9" spans="1:8" x14ac:dyDescent="0.25">
      <c r="A9" s="7" t="s">
        <v>29</v>
      </c>
      <c r="B9" s="4">
        <v>75.328043921598905</v>
      </c>
      <c r="C9" s="4">
        <v>75.47903385519183</v>
      </c>
      <c r="D9" s="4">
        <v>4.2662377975254442</v>
      </c>
      <c r="E9" s="4">
        <v>4.1933860148888522</v>
      </c>
      <c r="F9" s="8">
        <v>21.235797707260165</v>
      </c>
      <c r="G9" s="8">
        <v>21.141700846515</v>
      </c>
    </row>
    <row r="10" spans="1:8" x14ac:dyDescent="0.25">
      <c r="A10" s="7" t="s">
        <v>30</v>
      </c>
      <c r="B10" s="4">
        <v>75.360391978441882</v>
      </c>
      <c r="C10" s="4">
        <v>75.512979847256091</v>
      </c>
      <c r="D10" s="4">
        <v>4.2439954223670373</v>
      </c>
      <c r="E10" s="4">
        <v>4.1702589256730125</v>
      </c>
      <c r="F10" s="8">
        <v>21.223443156386818</v>
      </c>
      <c r="G10" s="8">
        <v>21.128452533909229</v>
      </c>
    </row>
    <row r="11" spans="1:8" x14ac:dyDescent="0.25">
      <c r="A11" s="7" t="s">
        <v>31</v>
      </c>
      <c r="B11" s="4">
        <v>75.271689155578287</v>
      </c>
      <c r="C11" s="4">
        <v>75.425873025732528</v>
      </c>
      <c r="D11" s="4">
        <v>4.1167855718264219</v>
      </c>
      <c r="E11" s="4">
        <v>4.0420492389406304</v>
      </c>
      <c r="F11" s="8">
        <v>21.40942053325184</v>
      </c>
      <c r="G11" s="8">
        <v>21.313645363034095</v>
      </c>
    </row>
    <row r="12" spans="1:8" x14ac:dyDescent="0.25">
      <c r="A12" s="7" t="s">
        <v>32</v>
      </c>
      <c r="B12" s="4">
        <v>75.235827964833277</v>
      </c>
      <c r="C12" s="4">
        <v>75.391671878018542</v>
      </c>
      <c r="D12" s="4">
        <v>4.1027206224827424</v>
      </c>
      <c r="E12" s="4">
        <v>4.0271923743650273</v>
      </c>
      <c r="F12" s="8">
        <v>21.45552754215143</v>
      </c>
      <c r="G12" s="8">
        <v>21.358740857286083</v>
      </c>
    </row>
    <row r="13" spans="1:8" x14ac:dyDescent="0.25">
      <c r="A13" s="7" t="s">
        <v>33</v>
      </c>
      <c r="B13" s="4">
        <v>75.268678910802024</v>
      </c>
      <c r="C13" s="4">
        <v>75.426166134364706</v>
      </c>
      <c r="D13" s="4">
        <v>4.1173915087104724</v>
      </c>
      <c r="E13" s="4">
        <v>4.0411905884859189</v>
      </c>
      <c r="F13" s="8">
        <v>21.413406682603721</v>
      </c>
      <c r="G13" s="8">
        <v>21.315483369082667</v>
      </c>
    </row>
    <row r="14" spans="1:8" x14ac:dyDescent="0.25">
      <c r="A14" s="7" t="s">
        <v>34</v>
      </c>
      <c r="B14" s="4">
        <v>75.25915878717548</v>
      </c>
      <c r="C14" s="4">
        <v>75.417909341627677</v>
      </c>
      <c r="D14" s="4">
        <v>4.1571836392831241</v>
      </c>
      <c r="E14" s="4">
        <v>4.0802006695805542</v>
      </c>
      <c r="F14" s="8">
        <v>21.382027205821416</v>
      </c>
      <c r="G14" s="8">
        <v>21.283483896277808</v>
      </c>
    </row>
    <row r="15" spans="1:8" x14ac:dyDescent="0.25">
      <c r="A15" s="7" t="s">
        <v>35</v>
      </c>
      <c r="B15" s="4">
        <v>75.412284018962993</v>
      </c>
      <c r="C15" s="4">
        <v>75.57208095497343</v>
      </c>
      <c r="D15" s="4">
        <v>4.1402464212405548</v>
      </c>
      <c r="E15" s="4">
        <v>4.0625833370688369</v>
      </c>
      <c r="F15" s="8">
        <v>21.237281300871853</v>
      </c>
      <c r="G15" s="8">
        <v>21.138361164465618</v>
      </c>
    </row>
    <row r="16" spans="1:8" x14ac:dyDescent="0.25">
      <c r="A16" s="7" t="s">
        <v>36</v>
      </c>
      <c r="B16" s="4">
        <v>75.455718611920972</v>
      </c>
      <c r="C16" s="4">
        <v>75.616957871487543</v>
      </c>
      <c r="D16" s="4">
        <v>4.1251512650438187</v>
      </c>
      <c r="E16" s="4">
        <v>4.0469848725974362</v>
      </c>
      <c r="F16" s="8">
        <v>21.201392195748468</v>
      </c>
      <c r="G16" s="8">
        <v>21.101510651319487</v>
      </c>
    </row>
    <row r="17" spans="1:13" x14ac:dyDescent="0.25">
      <c r="A17" s="7" t="s">
        <v>37</v>
      </c>
      <c r="B17" s="4">
        <v>75.522342771015559</v>
      </c>
      <c r="C17" s="4">
        <v>75.684935450946185</v>
      </c>
      <c r="D17" s="4">
        <v>4.1007504335879696</v>
      </c>
      <c r="E17" s="4">
        <v>4.0218132170533094</v>
      </c>
      <c r="F17" s="8">
        <v>21.159210313112865</v>
      </c>
      <c r="G17" s="8">
        <v>21.058701304070617</v>
      </c>
    </row>
    <row r="18" spans="1:13" x14ac:dyDescent="0.25">
      <c r="A18" s="7" t="s">
        <v>38</v>
      </c>
      <c r="B18" s="4">
        <v>75.788590374710225</v>
      </c>
      <c r="C18" s="4">
        <v>75.952764090465436</v>
      </c>
      <c r="D18" s="4">
        <v>4.0188923959034968</v>
      </c>
      <c r="E18" s="4">
        <v>3.9395767730086866</v>
      </c>
      <c r="F18" s="8">
        <v>20.958824864095856</v>
      </c>
      <c r="G18" s="8">
        <v>20.857263307346333</v>
      </c>
    </row>
    <row r="19" spans="1:13" x14ac:dyDescent="0.25">
      <c r="A19" s="7" t="s">
        <v>39</v>
      </c>
      <c r="B19" s="4">
        <v>75.804542414377224</v>
      </c>
      <c r="C19" s="4">
        <v>75.970441265998801</v>
      </c>
      <c r="D19" s="4">
        <v>4.0310422840945836</v>
      </c>
      <c r="E19" s="4">
        <v>3.9507557148809465</v>
      </c>
      <c r="F19" s="8">
        <v>20.929981505103289</v>
      </c>
      <c r="G19" s="8">
        <v>20.827470147513459</v>
      </c>
    </row>
    <row r="20" spans="1:13" x14ac:dyDescent="0.25">
      <c r="A20" s="7" t="s">
        <v>40</v>
      </c>
      <c r="B20" s="4">
        <v>75.729159743254371</v>
      </c>
      <c r="C20" s="4">
        <v>75.896574838390109</v>
      </c>
      <c r="D20" s="4">
        <v>3.9089322797454127</v>
      </c>
      <c r="E20" s="4">
        <v>3.8279984907169622</v>
      </c>
      <c r="F20" s="8">
        <v>21.107525349481957</v>
      </c>
      <c r="G20" s="8">
        <v>21.003985118502147</v>
      </c>
    </row>
    <row r="21" spans="1:13" x14ac:dyDescent="0.25">
      <c r="A21" s="7" t="s">
        <v>41</v>
      </c>
      <c r="B21" s="4">
        <v>75.779875107634751</v>
      </c>
      <c r="C21" s="4">
        <v>76.005450690961553</v>
      </c>
      <c r="D21" s="4">
        <v>3.9224684919943908</v>
      </c>
      <c r="E21" s="4">
        <v>3.8414931010237545</v>
      </c>
      <c r="F21" s="8">
        <v>21.03974028226795</v>
      </c>
      <c r="G21" s="8">
        <v>20.87817337773528</v>
      </c>
    </row>
    <row r="22" spans="1:13" x14ac:dyDescent="0.25">
      <c r="A22" s="7" t="s">
        <v>42</v>
      </c>
      <c r="B22" s="4">
        <v>75.711127688138077</v>
      </c>
      <c r="C22" s="4">
        <v>76.003529071805914</v>
      </c>
      <c r="D22" s="4">
        <v>3.8891254199918102</v>
      </c>
      <c r="E22" s="4">
        <v>3.8019975450148578</v>
      </c>
      <c r="F22" s="8">
        <v>21.133921961501741</v>
      </c>
      <c r="G22" s="8">
        <v>20.909272098071064</v>
      </c>
    </row>
    <row r="23" spans="1:13" x14ac:dyDescent="0.25">
      <c r="A23" s="7" t="s">
        <v>43</v>
      </c>
      <c r="B23" s="4">
        <v>75.758488094913261</v>
      </c>
      <c r="C23" s="4">
        <v>76.092420445522819</v>
      </c>
      <c r="D23" s="4">
        <v>3.9871349837011545</v>
      </c>
      <c r="E23" s="4">
        <v>3.8804678009504117</v>
      </c>
      <c r="F23" s="8">
        <v>20.998111619058541</v>
      </c>
      <c r="G23" s="8">
        <v>20.744995710406659</v>
      </c>
    </row>
    <row r="24" spans="1:13" x14ac:dyDescent="0.25">
      <c r="A24" s="7" t="s">
        <v>44</v>
      </c>
      <c r="B24" s="4">
        <v>75.77715905656774</v>
      </c>
      <c r="C24" s="4">
        <v>76.048378455813832</v>
      </c>
      <c r="D24" s="4">
        <v>3.8929458876393817</v>
      </c>
      <c r="E24" s="4">
        <v>3.85514174668308</v>
      </c>
      <c r="F24" s="8">
        <v>21.057904752169588</v>
      </c>
      <c r="G24" s="8">
        <v>20.812644743216495</v>
      </c>
    </row>
    <row r="25" spans="1:13" x14ac:dyDescent="0.25">
      <c r="A25" s="7" t="s">
        <v>45</v>
      </c>
      <c r="B25" s="4">
        <v>75.522873508106201</v>
      </c>
      <c r="C25" s="4">
        <v>75.927246693412926</v>
      </c>
      <c r="D25" s="4">
        <v>3.9594890392180906</v>
      </c>
      <c r="E25" s="4">
        <v>3.8804250458904175</v>
      </c>
      <c r="F25" s="8">
        <v>21.271358764740405</v>
      </c>
      <c r="G25" s="8">
        <v>20.919857435910661</v>
      </c>
    </row>
    <row r="26" spans="1:13" x14ac:dyDescent="0.25">
      <c r="A26" s="7" t="s">
        <v>46</v>
      </c>
      <c r="B26" s="4">
        <v>75.690532613083363</v>
      </c>
      <c r="C26" s="4">
        <v>76.004498900474587</v>
      </c>
      <c r="D26" s="4">
        <v>3.9306425657461315</v>
      </c>
      <c r="E26" s="4">
        <v>3.8753238440804068</v>
      </c>
      <c r="F26" s="8">
        <v>21.1256695819716</v>
      </c>
      <c r="G26" s="8">
        <v>20.846291553886338</v>
      </c>
    </row>
    <row r="27" spans="1:13" x14ac:dyDescent="0.25">
      <c r="A27" s="7" t="s">
        <v>47</v>
      </c>
      <c r="B27" s="4">
        <v>75.79264145852494</v>
      </c>
      <c r="C27" s="4">
        <v>76.035534079683814</v>
      </c>
      <c r="D27" s="4">
        <v>3.8554363866787114</v>
      </c>
      <c r="E27" s="4">
        <v>3.804013838760858</v>
      </c>
      <c r="F27" s="8">
        <v>21.100325523675707</v>
      </c>
      <c r="G27" s="8">
        <v>20.888825780738408</v>
      </c>
      <c r="I27" s="3"/>
      <c r="K27" s="3"/>
      <c r="M27" s="3"/>
    </row>
    <row r="28" spans="1:13" x14ac:dyDescent="0.25">
      <c r="A28" s="7" t="s">
        <v>48</v>
      </c>
      <c r="B28" s="4">
        <v>75.97723870589202</v>
      </c>
      <c r="C28" s="4">
        <v>76.220056183042715</v>
      </c>
      <c r="D28" s="4">
        <v>3.9171865643833401</v>
      </c>
      <c r="E28" s="4">
        <v>3.8297574612898115</v>
      </c>
      <c r="F28" s="8">
        <v>20.858840017761395</v>
      </c>
      <c r="G28" s="8">
        <v>20.679360090400973</v>
      </c>
      <c r="I28" s="3"/>
      <c r="K28" s="3"/>
      <c r="M28" s="3"/>
    </row>
    <row r="29" spans="1:13" x14ac:dyDescent="0.25">
      <c r="A29" s="7" t="s">
        <v>49</v>
      </c>
      <c r="B29" s="4">
        <v>76.101559735730788</v>
      </c>
      <c r="C29" s="4">
        <v>76.375051155014162</v>
      </c>
      <c r="D29" s="4">
        <v>3.8679595092723367</v>
      </c>
      <c r="E29" s="4">
        <v>3.741670223038235</v>
      </c>
      <c r="F29" s="8">
        <v>20.790621288735004</v>
      </c>
      <c r="G29" s="8">
        <v>20.614342849039666</v>
      </c>
      <c r="I29" s="3"/>
      <c r="K29" s="3"/>
      <c r="M29" s="3"/>
    </row>
    <row r="30" spans="1:13" x14ac:dyDescent="0.25">
      <c r="A30" s="7" t="s">
        <v>50</v>
      </c>
      <c r="B30" s="4">
        <v>76.08338146378712</v>
      </c>
      <c r="C30" s="4">
        <v>76.37824381093094</v>
      </c>
      <c r="D30" s="4">
        <v>4.0125425717360583</v>
      </c>
      <c r="E30" s="4">
        <v>3.8901186667181959</v>
      </c>
      <c r="F30" s="8">
        <v>20.677194586570533</v>
      </c>
      <c r="G30" s="8">
        <v>20.47610043159461</v>
      </c>
      <c r="I30" s="3"/>
      <c r="K30" s="3"/>
      <c r="M30" s="3"/>
    </row>
    <row r="31" spans="1:13" x14ac:dyDescent="0.25">
      <c r="A31" s="7" t="s">
        <v>51</v>
      </c>
      <c r="B31" s="4">
        <v>76.184107397078137</v>
      </c>
      <c r="C31" s="4">
        <v>76.487425977184017</v>
      </c>
      <c r="D31" s="4">
        <v>4.0613023537873616</v>
      </c>
      <c r="E31" s="4">
        <v>3.9487879437826017</v>
      </c>
      <c r="F31" s="8">
        <v>20.529973476684312</v>
      </c>
      <c r="G31" s="8">
        <v>20.309392028796331</v>
      </c>
      <c r="I31" s="3"/>
      <c r="K31" s="3"/>
      <c r="M31" s="3"/>
    </row>
    <row r="32" spans="1:13" x14ac:dyDescent="0.25">
      <c r="A32" s="7" t="s">
        <v>52</v>
      </c>
      <c r="B32" s="4">
        <v>75.945869254465876</v>
      </c>
      <c r="C32" s="4">
        <v>75.919740087243255</v>
      </c>
      <c r="D32" s="4">
        <v>4.1044152397387137</v>
      </c>
      <c r="E32" s="4">
        <v>4.1031150292789551</v>
      </c>
      <c r="F32" s="8">
        <v>20.727049336433996</v>
      </c>
      <c r="G32" s="8">
        <v>20.756378308781073</v>
      </c>
      <c r="I32" s="3"/>
      <c r="K32" s="3"/>
      <c r="M32" s="3"/>
    </row>
    <row r="33" spans="1:13" x14ac:dyDescent="0.25">
      <c r="A33" s="7" t="s">
        <v>53</v>
      </c>
      <c r="B33" s="4">
        <v>75.603907535520094</v>
      </c>
      <c r="C33" s="4">
        <v>75.659182975569124</v>
      </c>
      <c r="D33" s="4">
        <v>4.1541733249648072</v>
      </c>
      <c r="E33" s="4">
        <v>4.0912203408677215</v>
      </c>
      <c r="F33" s="8">
        <v>21.031061660262562</v>
      </c>
      <c r="G33" s="8">
        <v>21.027453550770051</v>
      </c>
      <c r="I33" s="3"/>
      <c r="K33" s="3"/>
      <c r="M33" s="3"/>
    </row>
    <row r="34" spans="1:13" x14ac:dyDescent="0.25">
      <c r="A34" s="7" t="s">
        <v>54</v>
      </c>
      <c r="B34" s="4">
        <v>75.48671815552936</v>
      </c>
      <c r="C34" s="4">
        <v>75.512308846552514</v>
      </c>
      <c r="D34" s="4">
        <v>4.2209771339853353</v>
      </c>
      <c r="E34" s="4">
        <v>4.1254578109898761</v>
      </c>
      <c r="F34" s="8">
        <v>21.102593468042706</v>
      </c>
      <c r="G34" s="8">
        <v>21.164871052588204</v>
      </c>
      <c r="I34" s="3"/>
      <c r="K34" s="3"/>
      <c r="M34" s="3"/>
    </row>
    <row r="35" spans="1:13" x14ac:dyDescent="0.25">
      <c r="A35" s="7" t="s">
        <v>55</v>
      </c>
      <c r="B35" s="4">
        <v>75.322459895089082</v>
      </c>
      <c r="C35" s="4">
        <v>75.427300538895466</v>
      </c>
      <c r="D35" s="4">
        <v>4.2191017401238833</v>
      </c>
      <c r="E35" s="4">
        <v>4.0807819990747021</v>
      </c>
      <c r="F35" s="8">
        <v>21.269401794575685</v>
      </c>
      <c r="G35" s="8">
        <v>21.283794191200084</v>
      </c>
      <c r="I35" s="3"/>
      <c r="K35" s="3"/>
      <c r="M35" s="3"/>
    </row>
    <row r="36" spans="1:13" x14ac:dyDescent="0.25">
      <c r="A36" s="7" t="s">
        <v>56</v>
      </c>
      <c r="B36" s="4">
        <v>75.183674962013114</v>
      </c>
      <c r="C36" s="4">
        <v>75.261204184812627</v>
      </c>
      <c r="D36" s="4">
        <v>4.443064440937718</v>
      </c>
      <c r="E36" s="4">
        <v>4.3626503133234236</v>
      </c>
      <c r="F36" s="8">
        <v>21.235139865286971</v>
      </c>
      <c r="G36" s="8">
        <v>21.226391889513948</v>
      </c>
      <c r="I36" s="3"/>
      <c r="K36" s="3"/>
    </row>
    <row r="37" spans="1:13" x14ac:dyDescent="0.25">
      <c r="A37" s="7" t="s">
        <v>57</v>
      </c>
      <c r="B37" s="4">
        <v>74.905974682839954</v>
      </c>
      <c r="C37" s="4">
        <v>74.988932212469535</v>
      </c>
      <c r="D37" s="4">
        <v>4.6604332753369784</v>
      </c>
      <c r="E37" s="4">
        <v>4.6266979641371737</v>
      </c>
      <c r="F37" s="8">
        <v>21.336877785082358</v>
      </c>
      <c r="G37" s="8">
        <v>21.281611012235206</v>
      </c>
      <c r="J37" s="3"/>
    </row>
    <row r="38" spans="1:13" x14ac:dyDescent="0.25">
      <c r="A38" s="7" t="s">
        <v>58</v>
      </c>
      <c r="B38" s="4">
        <v>74.529709495462882</v>
      </c>
      <c r="C38" s="4">
        <v>74.592237638348323</v>
      </c>
      <c r="D38" s="4">
        <v>4.9864893417114136</v>
      </c>
      <c r="E38" s="4">
        <v>4.9676309202496798</v>
      </c>
      <c r="F38" s="8">
        <v>21.467162154886811</v>
      </c>
      <c r="G38" s="8">
        <v>21.421191911991482</v>
      </c>
      <c r="J38" s="3"/>
    </row>
    <row r="39" spans="1:13" x14ac:dyDescent="0.25">
      <c r="A39" s="7" t="s">
        <v>59</v>
      </c>
      <c r="B39" s="4">
        <v>74.446638352324044</v>
      </c>
      <c r="C39" s="4">
        <v>74.451305975879549</v>
      </c>
      <c r="D39" s="4">
        <v>5.165749260611233</v>
      </c>
      <c r="E39" s="4">
        <v>5.1636341205567229</v>
      </c>
      <c r="F39" s="8">
        <v>21.391466426381882</v>
      </c>
      <c r="G39" s="8">
        <v>21.394997824761759</v>
      </c>
      <c r="J39" s="3"/>
    </row>
    <row r="40" spans="1:13" x14ac:dyDescent="0.25">
      <c r="A40" s="7" t="s">
        <v>60</v>
      </c>
      <c r="B40" s="4">
        <v>74.460381911419077</v>
      </c>
      <c r="C40" s="4">
        <v>74.515890637705027</v>
      </c>
      <c r="D40" s="4">
        <v>5.2380391201937497</v>
      </c>
      <c r="E40" s="4">
        <v>5.2251541709040392</v>
      </c>
      <c r="F40" s="8">
        <v>21.3330771329464</v>
      </c>
      <c r="G40" s="8">
        <v>21.292136293306733</v>
      </c>
      <c r="J40" s="3"/>
    </row>
    <row r="41" spans="1:13" x14ac:dyDescent="0.25">
      <c r="A41" s="7" t="s">
        <v>61</v>
      </c>
      <c r="B41" s="4">
        <v>74.171572669653827</v>
      </c>
      <c r="C41" s="4">
        <v>74.314191753235406</v>
      </c>
      <c r="D41" s="4">
        <v>5.3356019356950908</v>
      </c>
      <c r="E41" s="4">
        <v>5.2668681704276272</v>
      </c>
      <c r="F41" s="8">
        <v>21.54388801550602</v>
      </c>
      <c r="G41" s="8">
        <v>21.459069421110552</v>
      </c>
      <c r="I41" s="3"/>
      <c r="J41" s="3"/>
      <c r="L41" s="3"/>
    </row>
    <row r="42" spans="1:13" x14ac:dyDescent="0.25">
      <c r="A42" s="7" t="s">
        <v>62</v>
      </c>
      <c r="B42" s="4">
        <v>74.149655075509628</v>
      </c>
      <c r="C42" s="4">
        <v>74.327203600747609</v>
      </c>
      <c r="D42" s="4">
        <v>5.2560059256593652</v>
      </c>
      <c r="E42" s="4">
        <v>5.1693948186451193</v>
      </c>
      <c r="F42" s="8">
        <v>21.641350513091957</v>
      </c>
      <c r="G42" s="8">
        <v>21.530644902244518</v>
      </c>
    </row>
    <row r="43" spans="1:13" x14ac:dyDescent="0.25">
      <c r="A43" s="7" t="s">
        <v>63</v>
      </c>
      <c r="B43" s="4">
        <v>74.27553613496643</v>
      </c>
      <c r="C43" s="4">
        <v>74.499317034611863</v>
      </c>
      <c r="D43" s="4">
        <v>5.176620114156723</v>
      </c>
      <c r="E43" s="4">
        <v>5.0464083897389891</v>
      </c>
      <c r="F43" s="8">
        <v>21.581474228560431</v>
      </c>
      <c r="G43" s="8">
        <v>21.459564809424762</v>
      </c>
    </row>
    <row r="44" spans="1:13" x14ac:dyDescent="0.25">
      <c r="A44" s="7" t="s">
        <v>64</v>
      </c>
      <c r="B44" s="4">
        <v>74.248377152612477</v>
      </c>
      <c r="C44" s="4">
        <v>74.409686541988236</v>
      </c>
      <c r="D44" s="4">
        <v>5.0611393984675717</v>
      </c>
      <c r="E44" s="4">
        <v>4.9056039570523247</v>
      </c>
      <c r="F44" s="8">
        <v>21.705721417369123</v>
      </c>
      <c r="G44" s="8">
        <v>21.67198433523609</v>
      </c>
    </row>
    <row r="45" spans="1:13" x14ac:dyDescent="0.25">
      <c r="A45" s="7" t="s">
        <v>65</v>
      </c>
      <c r="B45" s="4">
        <v>74.268200714916873</v>
      </c>
      <c r="C45" s="4">
        <v>74.426246554949316</v>
      </c>
      <c r="D45" s="4">
        <v>5.0108705411333503</v>
      </c>
      <c r="E45" s="4">
        <v>4.8293460430231629</v>
      </c>
      <c r="F45" s="8">
        <v>21.735534477665102</v>
      </c>
      <c r="G45" s="8">
        <v>21.725671732398137</v>
      </c>
    </row>
    <row r="46" spans="1:13" x14ac:dyDescent="0.25">
      <c r="A46" s="7" t="s">
        <v>66</v>
      </c>
      <c r="B46" s="4">
        <v>74.322069041306221</v>
      </c>
      <c r="C46" s="4">
        <v>74.485160714812949</v>
      </c>
      <c r="D46" s="4">
        <v>4.9811900840464185</v>
      </c>
      <c r="E46" s="4">
        <v>4.7913883605690781</v>
      </c>
      <c r="F46" s="8">
        <v>21.710863788495963</v>
      </c>
      <c r="G46" s="8">
        <v>21.702912653123839</v>
      </c>
    </row>
    <row r="47" spans="1:13" x14ac:dyDescent="0.25">
      <c r="A47" s="7" t="s">
        <v>67</v>
      </c>
      <c r="B47" s="4">
        <v>74.584293487973568</v>
      </c>
      <c r="C47" s="4">
        <v>74.738729095873197</v>
      </c>
      <c r="D47" s="4">
        <v>4.8395852525967396</v>
      </c>
      <c r="E47" s="4">
        <v>4.6635244305596748</v>
      </c>
      <c r="F47" s="8">
        <v>21.552588767825792</v>
      </c>
      <c r="G47" s="8">
        <v>21.543379129159558</v>
      </c>
    </row>
    <row r="48" spans="1:13" x14ac:dyDescent="0.25">
      <c r="A48" s="7" t="s">
        <v>68</v>
      </c>
      <c r="B48" s="4">
        <v>74.701663226800818</v>
      </c>
      <c r="C48" s="4">
        <v>74.836053178038</v>
      </c>
      <c r="D48" s="4">
        <v>4.7044344906006899</v>
      </c>
      <c r="E48" s="4">
        <v>4.581491046164424</v>
      </c>
      <c r="F48" s="8">
        <v>21.535828574289589</v>
      </c>
      <c r="G48" s="8">
        <v>21.502061861985254</v>
      </c>
    </row>
    <row r="49" spans="1:7" x14ac:dyDescent="0.25">
      <c r="A49" s="7" t="s">
        <v>69</v>
      </c>
      <c r="B49" s="4">
        <v>74.795855683503802</v>
      </c>
      <c r="C49" s="4">
        <v>74.933061785031967</v>
      </c>
      <c r="D49" s="4">
        <v>4.5680070616558526</v>
      </c>
      <c r="E49" s="4">
        <v>4.5113601581111453</v>
      </c>
      <c r="F49" s="8">
        <v>21.545101591378454</v>
      </c>
      <c r="G49" s="8">
        <v>21.454533070666393</v>
      </c>
    </row>
    <row r="50" spans="1:7" x14ac:dyDescent="0.25">
      <c r="A50" s="7" t="s">
        <v>70</v>
      </c>
      <c r="B50" s="4">
        <v>74.884967893588311</v>
      </c>
      <c r="C50" s="4">
        <v>75.023070594935263</v>
      </c>
      <c r="D50" s="4">
        <v>4.3900589010258875</v>
      </c>
      <c r="E50" s="4">
        <v>4.3840002462664609</v>
      </c>
      <c r="F50" s="8">
        <v>21.607537765506589</v>
      </c>
      <c r="G50" s="8">
        <v>21.467192614713703</v>
      </c>
    </row>
    <row r="51" spans="1:7" x14ac:dyDescent="0.25">
      <c r="A51" s="7" t="s">
        <v>71</v>
      </c>
      <c r="B51" s="4">
        <v>74.928227219076462</v>
      </c>
      <c r="C51" s="4">
        <v>74.978825594159673</v>
      </c>
      <c r="D51" s="4">
        <v>4.3133334682024067</v>
      </c>
      <c r="E51" s="4">
        <v>4.3170988028735495</v>
      </c>
      <c r="F51" s="8">
        <v>21.633947666584973</v>
      </c>
      <c r="G51" s="8">
        <v>21.57670494797674</v>
      </c>
    </row>
    <row r="52" spans="1:7" x14ac:dyDescent="0.25">
      <c r="A52" s="7" t="s">
        <v>72</v>
      </c>
      <c r="B52" s="4">
        <v>74.955228813943592</v>
      </c>
      <c r="C52" s="4">
        <v>74.9899137816669</v>
      </c>
      <c r="D52" s="4">
        <v>4.2028358643128323</v>
      </c>
      <c r="E52" s="4">
        <v>4.2182710122549114</v>
      </c>
      <c r="F52" s="8">
        <v>21.693363480958151</v>
      </c>
      <c r="G52" s="8">
        <v>21.643483409226054</v>
      </c>
    </row>
    <row r="53" spans="1:7" x14ac:dyDescent="0.25">
      <c r="A53" s="7" t="s">
        <v>73</v>
      </c>
      <c r="B53" s="4">
        <v>75.001618419318177</v>
      </c>
      <c r="C53" s="4">
        <v>75.052167371272688</v>
      </c>
      <c r="D53" s="4">
        <v>4.1760976570385653</v>
      </c>
      <c r="E53" s="4">
        <v>4.1857707793964298</v>
      </c>
      <c r="F53" s="8">
        <v>21.665211587573758</v>
      </c>
      <c r="G53" s="8">
        <v>21.606779125858928</v>
      </c>
    </row>
    <row r="54" spans="1:7" x14ac:dyDescent="0.25">
      <c r="A54" s="7" t="s">
        <v>74</v>
      </c>
      <c r="B54" s="4">
        <v>74.959602435623964</v>
      </c>
      <c r="C54" s="4">
        <v>75.047799843276593</v>
      </c>
      <c r="D54" s="4">
        <v>4.108312348453282</v>
      </c>
      <c r="E54" s="4">
        <v>4.1006707202963222</v>
      </c>
      <c r="F54" s="8">
        <v>21.765580166708602</v>
      </c>
      <c r="G54" s="8">
        <v>21.680588041363453</v>
      </c>
    </row>
    <row r="55" spans="1:7" x14ac:dyDescent="0.25">
      <c r="A55" s="7" t="s">
        <v>75</v>
      </c>
      <c r="B55" s="4">
        <v>74.98780337256899</v>
      </c>
      <c r="C55" s="4">
        <v>75.039552473903299</v>
      </c>
      <c r="D55" s="4">
        <v>3.9682272672751968</v>
      </c>
      <c r="E55" s="4">
        <v>3.9156879752737126</v>
      </c>
      <c r="F55" s="8">
        <v>21.848730609792973</v>
      </c>
      <c r="G55" s="8">
        <v>21.840292290614119</v>
      </c>
    </row>
    <row r="56" spans="1:7" x14ac:dyDescent="0.25">
      <c r="A56" s="7" t="s">
        <v>76</v>
      </c>
      <c r="B56" s="4">
        <v>75.142647232268743</v>
      </c>
      <c r="C56" s="4">
        <v>75.098842530075416</v>
      </c>
      <c r="D56" s="4">
        <v>3.8522226766717904</v>
      </c>
      <c r="E56" s="4">
        <v>3.7862292087079301</v>
      </c>
      <c r="F56" s="8">
        <v>21.778229538849793</v>
      </c>
      <c r="G56" s="8">
        <v>21.887039471005451</v>
      </c>
    </row>
    <row r="57" spans="1:7" x14ac:dyDescent="0.25">
      <c r="A57" s="7" t="s">
        <v>77</v>
      </c>
      <c r="B57" s="4">
        <v>75.159880357312574</v>
      </c>
      <c r="C57" s="4">
        <v>75.158398410065658</v>
      </c>
      <c r="D57" s="4">
        <v>3.9602974535382001</v>
      </c>
      <c r="E57" s="4">
        <v>3.8213077154595232</v>
      </c>
      <c r="F57" s="8">
        <v>21.664507813434742</v>
      </c>
      <c r="G57" s="8">
        <v>21.789327363164222</v>
      </c>
    </row>
    <row r="58" spans="1:7" x14ac:dyDescent="0.25">
      <c r="A58" s="7" t="s">
        <v>78</v>
      </c>
      <c r="B58" s="4">
        <v>75.370049931214623</v>
      </c>
      <c r="C58" s="4">
        <v>75.417861420773264</v>
      </c>
      <c r="D58" s="4">
        <v>3.9040561119136377</v>
      </c>
      <c r="E58" s="4">
        <v>3.7258665196975591</v>
      </c>
      <c r="F58" s="8">
        <v>21.493162618737792</v>
      </c>
      <c r="G58" s="8">
        <v>21.601671021394431</v>
      </c>
    </row>
    <row r="59" spans="1:7" x14ac:dyDescent="0.25">
      <c r="A59" s="7" t="s">
        <v>79</v>
      </c>
      <c r="B59" s="4">
        <v>75.021312548471343</v>
      </c>
      <c r="C59" s="4">
        <v>75.08293510867378</v>
      </c>
      <c r="D59" s="4">
        <v>3.9368428094980188</v>
      </c>
      <c r="E59" s="4">
        <v>3.7771862580964473</v>
      </c>
      <c r="F59" s="8">
        <v>21.830761324267563</v>
      </c>
      <c r="G59" s="8">
        <v>21.909530166024478</v>
      </c>
    </row>
    <row r="60" spans="1:7" x14ac:dyDescent="0.25">
      <c r="A60" s="7" t="s">
        <v>80</v>
      </c>
      <c r="B60" s="4">
        <v>74.924307419854415</v>
      </c>
      <c r="C60" s="4">
        <v>74.965191917338018</v>
      </c>
      <c r="D60" s="4">
        <v>3.747758062152815</v>
      </c>
      <c r="E60" s="4">
        <v>3.6272295955684508</v>
      </c>
      <c r="F60" s="8">
        <v>22.09128240946071</v>
      </c>
      <c r="G60" s="8">
        <v>22.157167920369023</v>
      </c>
    </row>
    <row r="61" spans="1:7" x14ac:dyDescent="0.25">
      <c r="A61" s="7" t="s">
        <v>81</v>
      </c>
      <c r="B61" s="4">
        <v>75.041479314939281</v>
      </c>
      <c r="C61" s="4">
        <v>75.036277745068531</v>
      </c>
      <c r="D61" s="4">
        <v>3.6467168387156348</v>
      </c>
      <c r="E61" s="4">
        <v>3.588658518271536</v>
      </c>
      <c r="F61" s="8">
        <v>22.051566864105297</v>
      </c>
      <c r="G61" s="8">
        <v>22.105852434630606</v>
      </c>
    </row>
    <row r="62" spans="1:7" x14ac:dyDescent="0.25">
      <c r="A62" s="7" t="s">
        <v>4</v>
      </c>
      <c r="B62" s="4">
        <v>74.969450969989609</v>
      </c>
      <c r="C62" s="4">
        <v>74.921079478398809</v>
      </c>
      <c r="D62" s="4">
        <v>3.7521614029149157</v>
      </c>
      <c r="E62" s="4">
        <v>3.7390206558913146</v>
      </c>
      <c r="F62" s="8">
        <v>22.044052990254823</v>
      </c>
      <c r="G62" s="8">
        <v>22.104178398067369</v>
      </c>
    </row>
    <row r="63" spans="1:7" x14ac:dyDescent="0.25">
      <c r="A63" s="7" t="s">
        <v>5</v>
      </c>
      <c r="B63" s="4">
        <v>75.043155320391421</v>
      </c>
      <c r="C63" s="4">
        <v>75.009996084717685</v>
      </c>
      <c r="D63" s="4">
        <v>3.8567966242491853</v>
      </c>
      <c r="E63" s="4">
        <v>3.8444595598171984</v>
      </c>
      <c r="F63" s="8">
        <v>21.893100212502951</v>
      </c>
      <c r="G63" s="8">
        <v>21.938107974083607</v>
      </c>
    </row>
    <row r="64" spans="1:7" x14ac:dyDescent="0.25">
      <c r="A64" s="7" t="s">
        <v>6</v>
      </c>
      <c r="B64" s="4">
        <v>75.236534403541725</v>
      </c>
      <c r="C64" s="4">
        <v>75.007150903798902</v>
      </c>
      <c r="D64" s="4">
        <v>3.8031557381406573</v>
      </c>
      <c r="E64" s="4">
        <v>3.890060364973575</v>
      </c>
      <c r="F64" s="8">
        <v>21.737720218338168</v>
      </c>
      <c r="G64" s="8">
        <v>21.904940162092313</v>
      </c>
    </row>
    <row r="65" spans="1:7" x14ac:dyDescent="0.25">
      <c r="A65" s="7" t="s">
        <v>7</v>
      </c>
      <c r="B65" s="4">
        <v>75.186090118403058</v>
      </c>
      <c r="C65" s="4">
        <v>75.131316908888991</v>
      </c>
      <c r="D65" s="4">
        <v>3.8738682444316539</v>
      </c>
      <c r="E65" s="4">
        <v>3.9299769274571843</v>
      </c>
      <c r="F65" s="8">
        <v>21.72023530205901</v>
      </c>
      <c r="G65" s="8">
        <v>21.729263232849018</v>
      </c>
    </row>
    <row r="66" spans="1:7" x14ac:dyDescent="0.25">
      <c r="A66" s="7" t="s">
        <v>8</v>
      </c>
      <c r="B66" s="4">
        <v>75.243637062923654</v>
      </c>
      <c r="C66" s="4">
        <v>75.17265338892453</v>
      </c>
      <c r="D66" s="4">
        <v>3.8196509811528716</v>
      </c>
      <c r="E66" s="4">
        <v>3.8648128479275097</v>
      </c>
      <c r="F66" s="8">
        <v>21.696165133579413</v>
      </c>
      <c r="G66" s="8">
        <v>21.732471937942034</v>
      </c>
    </row>
    <row r="67" spans="1:7" x14ac:dyDescent="0.25">
      <c r="A67" s="7" t="s">
        <v>9</v>
      </c>
      <c r="B67" s="4">
        <v>75.238481346871339</v>
      </c>
      <c r="C67" s="4">
        <v>75.155842596841055</v>
      </c>
      <c r="D67" s="4">
        <v>3.8995530292897382</v>
      </c>
      <c r="E67" s="4">
        <v>3.9742389177852888</v>
      </c>
      <c r="F67" s="8">
        <v>21.63693980148232</v>
      </c>
      <c r="G67" s="8">
        <v>21.660603466138738</v>
      </c>
    </row>
    <row r="68" spans="1:7" x14ac:dyDescent="0.25">
      <c r="A68" s="7" t="s">
        <v>10</v>
      </c>
      <c r="B68" s="4">
        <v>75.278703155886859</v>
      </c>
      <c r="C68" s="4">
        <v>75.273948926405581</v>
      </c>
      <c r="D68" s="4">
        <v>3.9991661583418958</v>
      </c>
      <c r="E68" s="4">
        <v>3.9935856433739834</v>
      </c>
      <c r="F68" s="8">
        <v>21.515253591833947</v>
      </c>
      <c r="G68" s="8">
        <v>21.525512564937305</v>
      </c>
    </row>
    <row r="69" spans="1:7" x14ac:dyDescent="0.25">
      <c r="A69" s="7" t="s">
        <v>11</v>
      </c>
      <c r="B69" s="4">
        <v>75.430690127966372</v>
      </c>
      <c r="C69" s="4">
        <v>75.478018622217959</v>
      </c>
      <c r="D69" s="4">
        <v>3.9016813870957088</v>
      </c>
      <c r="E69" s="4">
        <v>3.8758732517899368</v>
      </c>
      <c r="F69" s="8">
        <v>21.432343753840026</v>
      </c>
      <c r="G69" s="8">
        <v>21.404690108571607</v>
      </c>
    </row>
    <row r="70" spans="1:7" x14ac:dyDescent="0.25">
      <c r="A70" s="7" t="s">
        <v>12</v>
      </c>
      <c r="B70" s="4">
        <v>75.460292846986491</v>
      </c>
      <c r="C70" s="4">
        <v>75.467076775264402</v>
      </c>
      <c r="D70" s="4">
        <v>4.01972314419322</v>
      </c>
      <c r="E70" s="4">
        <v>3.9986138021709445</v>
      </c>
      <c r="F70" s="8">
        <v>21.294593964022248</v>
      </c>
      <c r="G70" s="8">
        <v>21.306149719465662</v>
      </c>
    </row>
    <row r="71" spans="1:7" x14ac:dyDescent="0.25">
      <c r="A71" s="7" t="s">
        <v>13</v>
      </c>
      <c r="B71" s="4">
        <v>75.169187769647309</v>
      </c>
      <c r="C71" s="4">
        <v>75.218319536057862</v>
      </c>
      <c r="D71" s="4">
        <v>4.2180538042103279</v>
      </c>
      <c r="E71" s="4">
        <v>4.2196643964789091</v>
      </c>
      <c r="F71" s="8">
        <v>21.443706769446834</v>
      </c>
      <c r="G71" s="8">
        <v>21.391194846994342</v>
      </c>
    </row>
    <row r="72" spans="1:7" x14ac:dyDescent="0.25">
      <c r="A72" s="7" t="s">
        <v>14</v>
      </c>
      <c r="B72" s="4">
        <v>74.911923036272327</v>
      </c>
      <c r="C72" s="4">
        <v>74.926810551228101</v>
      </c>
      <c r="D72" s="4">
        <v>4.3275575199322773</v>
      </c>
      <c r="E72" s="4">
        <v>4.3339091681629007</v>
      </c>
      <c r="F72" s="8">
        <v>21.621308038987426</v>
      </c>
      <c r="G72" s="8">
        <v>21.601884486201211</v>
      </c>
    </row>
    <row r="73" spans="1:7" x14ac:dyDescent="0.25">
      <c r="A73" s="7" t="s">
        <v>15</v>
      </c>
      <c r="B73" s="4">
        <v>74.744984698606416</v>
      </c>
      <c r="C73" s="4">
        <v>74.681642337545952</v>
      </c>
      <c r="D73" s="4">
        <v>4.2120859995807702</v>
      </c>
      <c r="E73" s="4">
        <v>4.2721178579651475</v>
      </c>
      <c r="F73" s="8">
        <v>21.87834331691883</v>
      </c>
      <c r="G73" s="8">
        <v>21.891716319301739</v>
      </c>
    </row>
    <row r="74" spans="1:7" x14ac:dyDescent="0.25">
      <c r="A74" s="7" t="s">
        <v>16</v>
      </c>
      <c r="B74" s="4">
        <v>74.84646884495379</v>
      </c>
      <c r="C74" s="4">
        <v>74.840552378337406</v>
      </c>
      <c r="D74" s="4">
        <v>4.0762415382543065</v>
      </c>
      <c r="E74" s="4">
        <v>4.1139011605137474</v>
      </c>
      <c r="F74" s="8">
        <v>21.882966456606983</v>
      </c>
      <c r="G74" s="8">
        <v>21.853632177990974</v>
      </c>
    </row>
    <row r="75" spans="1:7" x14ac:dyDescent="0.25">
      <c r="A75" s="7" t="s">
        <v>17</v>
      </c>
      <c r="B75" s="4">
        <v>75.062676757990417</v>
      </c>
      <c r="C75" s="4">
        <v>74.86939463786932</v>
      </c>
      <c r="D75" s="4">
        <v>3.9545749337805907</v>
      </c>
      <c r="E75" s="4">
        <v>4.0231264174551367</v>
      </c>
      <c r="F75" s="8">
        <v>21.760985742020562</v>
      </c>
      <c r="G75" s="8">
        <v>21.900592859580488</v>
      </c>
    </row>
    <row r="76" spans="1:7" x14ac:dyDescent="0.25">
      <c r="A76" s="7" t="s">
        <v>18</v>
      </c>
      <c r="B76" s="4">
        <v>74.987486198358013</v>
      </c>
      <c r="C76" s="4">
        <v>74.85616426701057</v>
      </c>
      <c r="D76" s="4">
        <v>3.9291770747650485</v>
      </c>
      <c r="E76" s="4">
        <v>3.9791071356697154</v>
      </c>
      <c r="F76" s="8">
        <v>21.866609111075601</v>
      </c>
      <c r="G76" s="8">
        <v>21.959522487033293</v>
      </c>
    </row>
    <row r="77" spans="1:7" x14ac:dyDescent="0.25">
      <c r="A77" s="7" t="s">
        <v>82</v>
      </c>
      <c r="B77" s="4">
        <v>75.008565237431483</v>
      </c>
      <c r="C77" s="4">
        <v>74.849990215909997</v>
      </c>
      <c r="D77" s="4">
        <v>3.8266183265595859</v>
      </c>
      <c r="E77" s="4">
        <v>3.8704063015919665</v>
      </c>
      <c r="F77" s="8">
        <v>21.916046391677551</v>
      </c>
      <c r="G77" s="8">
        <v>22.044314053987275</v>
      </c>
    </row>
    <row r="78" spans="1:7" x14ac:dyDescent="0.25">
      <c r="A78" s="7" t="s">
        <v>83</v>
      </c>
      <c r="B78" s="4">
        <v>74.845424346932461</v>
      </c>
      <c r="C78" s="4">
        <v>74.67449343310804</v>
      </c>
      <c r="D78" s="4">
        <v>3.9813393091892415</v>
      </c>
      <c r="E78" s="4">
        <v>4.0658239507051652</v>
      </c>
      <c r="F78" s="8">
        <v>21.964371883591863</v>
      </c>
      <c r="G78" s="8">
        <v>22.070476557742534</v>
      </c>
    </row>
    <row r="79" spans="1:7" x14ac:dyDescent="0.25">
      <c r="A79" s="7" t="s">
        <v>84</v>
      </c>
      <c r="B79" s="4">
        <v>74.48788745193859</v>
      </c>
      <c r="C79" s="4">
        <v>74.566705404558036</v>
      </c>
      <c r="D79" s="4">
        <v>4.1839208793008158</v>
      </c>
      <c r="E79" s="4">
        <v>4.1981867793116647</v>
      </c>
      <c r="F79" s="8">
        <v>22.197753021813842</v>
      </c>
      <c r="G79" s="8">
        <v>22.102565977407458</v>
      </c>
    </row>
    <row r="80" spans="1:7" x14ac:dyDescent="0.25">
      <c r="A80" s="7" t="s">
        <v>85</v>
      </c>
      <c r="B80" s="4">
        <v>74.451315607234932</v>
      </c>
      <c r="C80" s="4">
        <v>74.486831739252281</v>
      </c>
      <c r="D80" s="4">
        <v>4.3103508738017107</v>
      </c>
      <c r="E80" s="4">
        <v>4.3353253987590481</v>
      </c>
      <c r="F80" s="8">
        <v>22.13989303786671</v>
      </c>
      <c r="G80" s="8">
        <v>22.08263851108606</v>
      </c>
    </row>
    <row r="81" spans="1:7" x14ac:dyDescent="0.25">
      <c r="A81" s="7" t="s">
        <v>86</v>
      </c>
      <c r="B81" s="4">
        <v>74.298008082043182</v>
      </c>
      <c r="C81" s="4">
        <v>74.400076872432962</v>
      </c>
      <c r="D81" s="4">
        <v>4.3808288523937495</v>
      </c>
      <c r="E81" s="4">
        <v>4.3708565284403305</v>
      </c>
      <c r="F81" s="8">
        <v>22.253130948706616</v>
      </c>
      <c r="G81" s="8">
        <v>22.155025312123552</v>
      </c>
    </row>
    <row r="82" spans="1:7" x14ac:dyDescent="0.25">
      <c r="A82" s="7" t="s">
        <v>87</v>
      </c>
      <c r="B82" s="4">
        <v>74.361418750306527</v>
      </c>
      <c r="C82" s="4">
        <v>74.431289952911314</v>
      </c>
      <c r="D82" s="4">
        <v>4.4250895901641769</v>
      </c>
      <c r="E82" s="4">
        <v>4.4296542313994891</v>
      </c>
      <c r="F82" s="8">
        <v>22.125982560042736</v>
      </c>
      <c r="G82" s="8">
        <v>22.048770840461973</v>
      </c>
    </row>
    <row r="83" spans="1:7" x14ac:dyDescent="0.25">
      <c r="A83" s="7" t="s">
        <v>88</v>
      </c>
      <c r="B83" s="4">
        <v>74.517671939513392</v>
      </c>
      <c r="C83" s="4">
        <v>74.596510219458651</v>
      </c>
      <c r="D83" s="4">
        <v>4.1570667392558356</v>
      </c>
      <c r="E83" s="4">
        <v>4.1913071532874016</v>
      </c>
      <c r="F83" s="8">
        <v>22.180948104300295</v>
      </c>
      <c r="G83" s="8">
        <v>22.070153425276022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3E5BF6F49DB9C47B98627DE3A959718" ma:contentTypeVersion="16" ma:contentTypeDescription="Create a new document." ma:contentTypeScope="" ma:versionID="bd1888779aad4d3adf03b384ec033bfc">
  <xsd:schema xmlns:xsd="http://www.w3.org/2001/XMLSchema" xmlns:xs="http://www.w3.org/2001/XMLSchema" xmlns:p="http://schemas.microsoft.com/office/2006/metadata/properties" xmlns:ns2="c68e652e-8c60-467b-b51d-1d33608dc808" xmlns:ns3="53668f8d-1e49-450c-b720-df1fd2d62487" targetNamespace="http://schemas.microsoft.com/office/2006/metadata/properties" ma:root="true" ma:fieldsID="76bf65cefda757cfbed33b2d8802939a" ns2:_="" ns3:_="">
    <xsd:import namespace="c68e652e-8c60-467b-b51d-1d33608dc808"/>
    <xsd:import namespace="53668f8d-1e49-450c-b720-df1fd2d6248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8e652e-8c60-467b-b51d-1d33608dc8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6b1d3c1a-39dd-42b7-98c3-cb6e8f1d06f6}" ma:internalName="TaxCatchAll" ma:showField="CatchAllData" ma:web="53668f8d-1e49-450c-b720-df1fd2d624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8e652e-8c60-467b-b51d-1d33608dc808">
      <Terms xmlns="http://schemas.microsoft.com/office/infopath/2007/PartnerControls"/>
    </lcf76f155ced4ddcb4097134ff3c332f>
    <TaxCatchAll xmlns="53668f8d-1e49-450c-b720-df1fd2d62487" xsi:nil="true"/>
  </documentManagement>
</p:properties>
</file>

<file path=customXml/itemProps1.xml><?xml version="1.0" encoding="utf-8"?>
<ds:datastoreItem xmlns:ds="http://schemas.openxmlformats.org/officeDocument/2006/customXml" ds:itemID="{46EA5026-99E0-4D28-A5E7-83EFDE22562F}">
  <ds:schemaRefs>
    <ds:schemaRef ds:uri="http://schemas.microsoft.com/sharepoint/v3/contenttype/forms"/>
  </ds:schemaRefs>
</ds:datastoreItem>
</file>

<file path=customXml/itemProps2.xml><?xml version="1.0" encoding="utf-8"?>
<ds:datastoreItem xmlns:ds="http://schemas.openxmlformats.org/officeDocument/2006/customXml" ds:itemID="{03947D85-0376-4025-8F67-3078FA3EAE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8e652e-8c60-467b-b51d-1d33608dc808"/>
    <ds:schemaRef ds:uri="53668f8d-1e49-450c-b720-df1fd2d624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C25E54-34C9-49F5-A80F-81AF0AB8A59D}">
  <ds:schemaRefs>
    <ds:schemaRef ds:uri="http://purl.org/dc/dcmitype/"/>
    <ds:schemaRef ds:uri="http://schemas.microsoft.com/office/2006/documentManagement/types"/>
    <ds:schemaRef ds:uri="http://schemas.microsoft.com/office/2006/metadata/properties"/>
    <ds:schemaRef ds:uri="c68e652e-8c60-467b-b51d-1d33608dc808"/>
    <ds:schemaRef ds:uri="http://www.w3.org/XML/1998/namespace"/>
    <ds:schemaRef ds:uri="http://purl.org/dc/elements/1.1/"/>
    <ds:schemaRef ds:uri="http://schemas.microsoft.com/office/infopath/2007/PartnerControls"/>
    <ds:schemaRef ds:uri="http://schemas.openxmlformats.org/package/2006/metadata/core-properties"/>
    <ds:schemaRef ds:uri="53668f8d-1e49-450c-b720-df1fd2d62487"/>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3</vt:i4>
      </vt:variant>
    </vt:vector>
  </HeadingPairs>
  <TitlesOfParts>
    <vt:vector size="6" baseType="lpstr">
      <vt:lpstr>Chart Data</vt:lpstr>
      <vt:lpstr>Figure 3</vt:lpstr>
      <vt:lpstr>Figure 4</vt:lpstr>
      <vt:lpstr>Chart - Emp &amp; unemp</vt:lpstr>
      <vt:lpstr>Chart - Emp</vt:lpstr>
      <vt:lpstr>Chart - Unemp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Evans, Tom</dc:creator>
  <cp:keywords/>
  <dc:description/>
  <cp:lastModifiedBy>Andrew Goodwin</cp:lastModifiedBy>
  <cp:revision/>
  <dcterms:created xsi:type="dcterms:W3CDTF">2024-01-31T14:49:50Z</dcterms:created>
  <dcterms:modified xsi:type="dcterms:W3CDTF">2024-12-04T17:28:09Z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0x01010043E5BF6F49DB9C47B98627DE3A959718</vt:lpwstr>
  </property>
  <property fmtid="{D5CDD505-2E9C-101B-9397-08002B2CF9AE}" pid="3" name="MediaServiceImageTags">
    <vt:lpwstr/>
  </property>
  <property fmtid="{D5CDD505-2E9C-101B-9397-08002B2CF9AE}" pid="4" name="MSIP_Label_231f5784-19ed-4d1e-9a93-4ea41014d730_Enabled">
    <vt:lpwstr>true</vt:lpwstr>
  </property>
  <property fmtid="{D5CDD505-2E9C-101B-9397-08002B2CF9AE}" pid="5" name="MSIP_Label_231f5784-19ed-4d1e-9a93-4ea41014d730_SetDate">
    <vt:lpwstr>2024-12-04T16:54:58Z</vt:lpwstr>
  </property>
  <property fmtid="{D5CDD505-2E9C-101B-9397-08002B2CF9AE}" pid="6" name="MSIP_Label_231f5784-19ed-4d1e-9a93-4ea41014d730_Method">
    <vt:lpwstr>Privileged</vt:lpwstr>
  </property>
  <property fmtid="{D5CDD505-2E9C-101B-9397-08002B2CF9AE}" pid="7" name="MSIP_Label_231f5784-19ed-4d1e-9a93-4ea41014d730_Name">
    <vt:lpwstr>External</vt:lpwstr>
  </property>
  <property fmtid="{D5CDD505-2E9C-101B-9397-08002B2CF9AE}" pid="8" name="MSIP_Label_231f5784-19ed-4d1e-9a93-4ea41014d730_SiteId">
    <vt:lpwstr>2c277f63-6743-4f98-ac15-4851e55c0cc7</vt:lpwstr>
  </property>
  <property fmtid="{D5CDD505-2E9C-101B-9397-08002B2CF9AE}" pid="9" name="MSIP_Label_231f5784-19ed-4d1e-9a93-4ea41014d730_ActionId">
    <vt:lpwstr>69c782ab-94cd-4c95-bec4-ee827f785353</vt:lpwstr>
  </property>
  <property fmtid="{D5CDD505-2E9C-101B-9397-08002B2CF9AE}" pid="10" name="MSIP_Label_231f5784-19ed-4d1e-9a93-4ea41014d730_ContentBits">
    <vt:lpwstr>0</vt:lpwstr>
  </property>
</Properties>
</file>