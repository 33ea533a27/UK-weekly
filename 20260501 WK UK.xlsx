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A6ABCC95-4341-46A7-B502-EB60B853D865}" xr6:coauthVersionLast="47" xr6:coauthVersionMax="47" xr10:uidLastSave="{00000000-0000-0000-0000-000000000000}"/>
  <bookViews>
    <workbookView xWindow="-120" yWindow="-120" windowWidth="29040" windowHeight="15720" activeTab="1" xr2:uid="{C3088A1A-B6B6-4815-BB45-507208418F70}"/>
  </bookViews>
  <sheets>
    <sheet name="Chart2" sheetId="2" r:id="rId1"/>
    <sheet name="Chart Data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 a="1"/>
  <c r="P25" i="1" s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3" i="1"/>
  <c r="P53" i="1" l="1"/>
  <c r="P52" i="1"/>
  <c r="P30" i="1"/>
  <c r="P49" i="1"/>
  <c r="P48" i="1"/>
  <c r="P38" i="1"/>
  <c r="P63" i="1"/>
  <c r="P36" i="1"/>
  <c r="P35" i="1"/>
  <c r="P55" i="1"/>
  <c r="P54" i="1"/>
  <c r="P51" i="1"/>
  <c r="P47" i="1"/>
  <c r="P40" i="1"/>
  <c r="P37" i="1"/>
  <c r="P62" i="1"/>
  <c r="P56" i="1"/>
  <c r="P34" i="1"/>
  <c r="P33" i="1"/>
  <c r="P32" i="1"/>
  <c r="P31" i="1"/>
  <c r="P50" i="1"/>
  <c r="P46" i="1"/>
  <c r="P39" i="1"/>
  <c r="P61" i="1"/>
  <c r="P45" i="1"/>
  <c r="P29" i="1"/>
  <c r="P60" i="1"/>
  <c r="P44" i="1"/>
  <c r="P28" i="1"/>
  <c r="P59" i="1"/>
  <c r="P43" i="1"/>
  <c r="P27" i="1"/>
  <c r="P58" i="1"/>
  <c r="P42" i="1"/>
  <c r="P26" i="1"/>
  <c r="P57" i="1"/>
  <c r="P41" i="1"/>
  <c r="H28" i="1" l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27" i="1"/>
  <c r="I27" i="1" a="1"/>
  <c r="I27" i="1" s="1"/>
  <c r="J25" i="1" a="1"/>
  <c r="J25" i="1" s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H65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3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26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3" i="1"/>
  <c r="I58" i="1" l="1"/>
  <c r="I57" i="1"/>
  <c r="I56" i="1"/>
  <c r="I55" i="1"/>
  <c r="I54" i="1"/>
  <c r="J37" i="1"/>
  <c r="J35" i="1"/>
  <c r="J56" i="1"/>
  <c r="I42" i="1"/>
  <c r="J50" i="1"/>
  <c r="I41" i="1"/>
  <c r="J34" i="1"/>
  <c r="J53" i="1"/>
  <c r="J51" i="1"/>
  <c r="J49" i="1"/>
  <c r="I40" i="1"/>
  <c r="J40" i="1"/>
  <c r="I39" i="1"/>
  <c r="J55" i="1"/>
  <c r="J52" i="1"/>
  <c r="J39" i="1"/>
  <c r="I38" i="1"/>
  <c r="J36" i="1"/>
  <c r="J54" i="1"/>
  <c r="J38" i="1"/>
  <c r="I30" i="1"/>
  <c r="I37" i="1"/>
  <c r="I52" i="1"/>
  <c r="I35" i="1"/>
  <c r="I34" i="1"/>
  <c r="I49" i="1"/>
  <c r="I32" i="1"/>
  <c r="I63" i="1"/>
  <c r="I31" i="1"/>
  <c r="I46" i="1"/>
  <c r="I61" i="1"/>
  <c r="I29" i="1"/>
  <c r="I60" i="1"/>
  <c r="I44" i="1"/>
  <c r="I28" i="1"/>
  <c r="I53" i="1"/>
  <c r="I36" i="1"/>
  <c r="I51" i="1"/>
  <c r="I50" i="1"/>
  <c r="I33" i="1"/>
  <c r="I48" i="1"/>
  <c r="I47" i="1"/>
  <c r="I62" i="1"/>
  <c r="I45" i="1"/>
  <c r="I59" i="1"/>
  <c r="I43" i="1"/>
  <c r="J63" i="1"/>
  <c r="J65" i="1" s="1"/>
  <c r="J61" i="1"/>
  <c r="J27" i="1"/>
  <c r="J33" i="1"/>
  <c r="J48" i="1"/>
  <c r="J47" i="1"/>
  <c r="J62" i="1"/>
  <c r="J30" i="1"/>
  <c r="J29" i="1"/>
  <c r="J60" i="1"/>
  <c r="J28" i="1"/>
  <c r="J59" i="1"/>
  <c r="J58" i="1"/>
  <c r="J42" i="1"/>
  <c r="J26" i="1"/>
  <c r="J32" i="1"/>
  <c r="J31" i="1"/>
  <c r="J46" i="1"/>
  <c r="J45" i="1"/>
  <c r="J44" i="1"/>
  <c r="J43" i="1"/>
  <c r="J57" i="1"/>
  <c r="J41" i="1"/>
</calcChain>
</file>

<file path=xl/sharedStrings.xml><?xml version="1.0" encoding="utf-8"?>
<sst xmlns="http://schemas.openxmlformats.org/spreadsheetml/2006/main" count="14" uniqueCount="7">
  <si>
    <t>OE (Feb26)</t>
  </si>
  <si>
    <t>Migration assumptions</t>
  </si>
  <si>
    <t>Population</t>
  </si>
  <si>
    <t>OE (May26)</t>
  </si>
  <si>
    <t>ONS (Jan25)</t>
  </si>
  <si>
    <t>ONS (Apr26)</t>
  </si>
  <si>
    <t>Working age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</si>
</sst>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48406066233364281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Data'!$G$2</c:f>
              <c:strCache>
                <c:ptCount val="1"/>
                <c:pt idx="0">
                  <c:v>OE (May26)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Data'!$F$3:$F$63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Data'!$G$3:$G$63</c:f>
              <c:numCache>
                <c:formatCode>0</c:formatCode>
                <c:ptCount val="61"/>
                <c:pt idx="0">
                  <c:v>58886.065000000002</c:v>
                </c:pt>
                <c:pt idx="1">
                  <c:v>59113.016000000003</c:v>
                </c:pt>
                <c:pt idx="2">
                  <c:v>59365.677000000003</c:v>
                </c:pt>
                <c:pt idx="3">
                  <c:v>59636.661999999997</c:v>
                </c:pt>
                <c:pt idx="4">
                  <c:v>59950.364000000001</c:v>
                </c:pt>
                <c:pt idx="5">
                  <c:v>60413.275999999998</c:v>
                </c:pt>
                <c:pt idx="6">
                  <c:v>60826.966999999997</c:v>
                </c:pt>
                <c:pt idx="7">
                  <c:v>61319.074999999997</c:v>
                </c:pt>
                <c:pt idx="8">
                  <c:v>61823.771999999997</c:v>
                </c:pt>
                <c:pt idx="9">
                  <c:v>62260.485999999997</c:v>
                </c:pt>
                <c:pt idx="10">
                  <c:v>62759.455999999998</c:v>
                </c:pt>
                <c:pt idx="11">
                  <c:v>63285.144999999997</c:v>
                </c:pt>
                <c:pt idx="12">
                  <c:v>63710.542999999998</c:v>
                </c:pt>
                <c:pt idx="13">
                  <c:v>64138.220999999998</c:v>
                </c:pt>
                <c:pt idx="14">
                  <c:v>64618.692999999999</c:v>
                </c:pt>
                <c:pt idx="15">
                  <c:v>65086.957999999999</c:v>
                </c:pt>
                <c:pt idx="16">
                  <c:v>65605.841</c:v>
                </c:pt>
                <c:pt idx="17">
                  <c:v>65964.292000000001</c:v>
                </c:pt>
                <c:pt idx="18">
                  <c:v>66286.726999999999</c:v>
                </c:pt>
                <c:pt idx="19">
                  <c:v>66627.506999999998</c:v>
                </c:pt>
                <c:pt idx="20">
                  <c:v>66739.866999999998</c:v>
                </c:pt>
                <c:pt idx="21">
                  <c:v>66977.987999999998</c:v>
                </c:pt>
                <c:pt idx="22">
                  <c:v>67636.134000000005</c:v>
                </c:pt>
                <c:pt idx="23">
                  <c:v>68526.183000000005</c:v>
                </c:pt>
                <c:pt idx="24">
                  <c:v>69281.437000000005</c:v>
                </c:pt>
                <c:pt idx="25">
                  <c:v>69487</c:v>
                </c:pt>
                <c:pt idx="26">
                  <c:v>69567.6543442697</c:v>
                </c:pt>
                <c:pt idx="27">
                  <c:v>69678.129328617651</c:v>
                </c:pt>
                <c:pt idx="28">
                  <c:v>69824.061940928586</c:v>
                </c:pt>
                <c:pt idx="29">
                  <c:v>69983.376534201205</c:v>
                </c:pt>
                <c:pt idx="30">
                  <c:v>70159.40167785385</c:v>
                </c:pt>
                <c:pt idx="31">
                  <c:v>70327.088012040011</c:v>
                </c:pt>
                <c:pt idx="32">
                  <c:v>70484.485346226182</c:v>
                </c:pt>
                <c:pt idx="33">
                  <c:v>70631.746680412325</c:v>
                </c:pt>
                <c:pt idx="34">
                  <c:v>70769.350014598487</c:v>
                </c:pt>
                <c:pt idx="35">
                  <c:v>70898.197348784655</c:v>
                </c:pt>
                <c:pt idx="36">
                  <c:v>71019.421682970817</c:v>
                </c:pt>
                <c:pt idx="37">
                  <c:v>71134.044017156994</c:v>
                </c:pt>
                <c:pt idx="38">
                  <c:v>71243.051351343151</c:v>
                </c:pt>
                <c:pt idx="39">
                  <c:v>71347.282685529324</c:v>
                </c:pt>
                <c:pt idx="40">
                  <c:v>71447.470019715474</c:v>
                </c:pt>
                <c:pt idx="41">
                  <c:v>71544.108353901654</c:v>
                </c:pt>
                <c:pt idx="42">
                  <c:v>71637.437688087812</c:v>
                </c:pt>
                <c:pt idx="43">
                  <c:v>71727.423022273986</c:v>
                </c:pt>
                <c:pt idx="44">
                  <c:v>71813.740356460141</c:v>
                </c:pt>
                <c:pt idx="45">
                  <c:v>71895.38569064629</c:v>
                </c:pt>
                <c:pt idx="46">
                  <c:v>71971.373024832443</c:v>
                </c:pt>
                <c:pt idx="47">
                  <c:v>72041.066359018616</c:v>
                </c:pt>
                <c:pt idx="48">
                  <c:v>72103.695693204776</c:v>
                </c:pt>
                <c:pt idx="49">
                  <c:v>72158.40802739092</c:v>
                </c:pt>
                <c:pt idx="50">
                  <c:v>72203.733361577077</c:v>
                </c:pt>
                <c:pt idx="51">
                  <c:v>72238.385695763238</c:v>
                </c:pt>
                <c:pt idx="52">
                  <c:v>72261.924029949398</c:v>
                </c:pt>
                <c:pt idx="53">
                  <c:v>72274.026364135556</c:v>
                </c:pt>
                <c:pt idx="54">
                  <c:v>72274.602698321702</c:v>
                </c:pt>
                <c:pt idx="55">
                  <c:v>72263.957032507868</c:v>
                </c:pt>
                <c:pt idx="56">
                  <c:v>72242.923366694027</c:v>
                </c:pt>
                <c:pt idx="57">
                  <c:v>72212.604700880183</c:v>
                </c:pt>
                <c:pt idx="58">
                  <c:v>72174.114035066363</c:v>
                </c:pt>
                <c:pt idx="59">
                  <c:v>72128.596369252526</c:v>
                </c:pt>
                <c:pt idx="60">
                  <c:v>72077.332703438718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Data'!$H$2</c:f>
              <c:strCache>
                <c:ptCount val="1"/>
                <c:pt idx="0">
                  <c:v>OE (Feb26)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Data'!$F$3:$F$63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Data'!$H$3:$H$63</c:f>
              <c:numCache>
                <c:formatCode>0</c:formatCode>
                <c:ptCount val="61"/>
                <c:pt idx="24">
                  <c:v>69281.437000000005</c:v>
                </c:pt>
                <c:pt idx="25">
                  <c:v>69487</c:v>
                </c:pt>
                <c:pt idx="26">
                  <c:v>69592.921344269693</c:v>
                </c:pt>
                <c:pt idx="27">
                  <c:v>69742.899721649475</c:v>
                </c:pt>
                <c:pt idx="28">
                  <c:v>69926.569366242722</c:v>
                </c:pt>
                <c:pt idx="29">
                  <c:v>70130.217363006974</c:v>
                </c:pt>
                <c:pt idx="30">
                  <c:v>70351.499887199927</c:v>
                </c:pt>
                <c:pt idx="31">
                  <c:v>70586.655924072489</c:v>
                </c:pt>
                <c:pt idx="32">
                  <c:v>70835.233466099744</c:v>
                </c:pt>
                <c:pt idx="33">
                  <c:v>71076.06000812698</c:v>
                </c:pt>
                <c:pt idx="34">
                  <c:v>71309.61455015422</c:v>
                </c:pt>
                <c:pt idx="35">
                  <c:v>71536.164092181454</c:v>
                </c:pt>
                <c:pt idx="36">
                  <c:v>71756.063634208695</c:v>
                </c:pt>
                <c:pt idx="37">
                  <c:v>71969.894176235917</c:v>
                </c:pt>
                <c:pt idx="38">
                  <c:v>72178.265718263166</c:v>
                </c:pt>
                <c:pt idx="39">
                  <c:v>72381.648260290414</c:v>
                </c:pt>
                <c:pt idx="40">
                  <c:v>72580.366802317658</c:v>
                </c:pt>
                <c:pt idx="41">
                  <c:v>72774.7593443449</c:v>
                </c:pt>
                <c:pt idx="42">
                  <c:v>72965.054886372149</c:v>
                </c:pt>
                <c:pt idx="43">
                  <c:v>73151.060428399389</c:v>
                </c:pt>
                <c:pt idx="44">
                  <c:v>73332.309970426635</c:v>
                </c:pt>
                <c:pt idx="45">
                  <c:v>73508.467512453892</c:v>
                </c:pt>
                <c:pt idx="46">
                  <c:v>73679.240054481124</c:v>
                </c:pt>
                <c:pt idx="47">
                  <c:v>73844.273596508356</c:v>
                </c:pt>
                <c:pt idx="48">
                  <c:v>74002.177138535597</c:v>
                </c:pt>
                <c:pt idx="49">
                  <c:v>74151.332680562817</c:v>
                </c:pt>
                <c:pt idx="50">
                  <c:v>74291.157222590045</c:v>
                </c:pt>
                <c:pt idx="51">
                  <c:v>74421.29776461728</c:v>
                </c:pt>
                <c:pt idx="52">
                  <c:v>74541.680306644514</c:v>
                </c:pt>
                <c:pt idx="53">
                  <c:v>74652.31984867173</c:v>
                </c:pt>
                <c:pt idx="54">
                  <c:v>74753.422390698979</c:v>
                </c:pt>
                <c:pt idx="55">
                  <c:v>74845.699932726217</c:v>
                </c:pt>
                <c:pt idx="56">
                  <c:v>74930.303474753455</c:v>
                </c:pt>
                <c:pt idx="57">
                  <c:v>75008.420016780699</c:v>
                </c:pt>
                <c:pt idx="58">
                  <c:v>75081.112558807945</c:v>
                </c:pt>
                <c:pt idx="59">
                  <c:v>75149.517100835175</c:v>
                </c:pt>
                <c:pt idx="60">
                  <c:v>75214.776642862445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Data'!$I$2</c:f>
              <c:strCache>
                <c:ptCount val="1"/>
                <c:pt idx="0">
                  <c:v>ONS (Apr26)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Data'!$F$3:$F$63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Data'!$I$3:$I$63</c:f>
              <c:numCache>
                <c:formatCode>General</c:formatCode>
                <c:ptCount val="61"/>
                <c:pt idx="24" formatCode="0">
                  <c:v>69281.437000000005</c:v>
                </c:pt>
                <c:pt idx="25" formatCode="0">
                  <c:v>69502.341</c:v>
                </c:pt>
                <c:pt idx="26" formatCode="0">
                  <c:v>69627.595000000001</c:v>
                </c:pt>
                <c:pt idx="27" formatCode="0">
                  <c:v>69836.073000000004</c:v>
                </c:pt>
                <c:pt idx="28" formatCode="0">
                  <c:v>70035.138000000006</c:v>
                </c:pt>
                <c:pt idx="29" formatCode="0">
                  <c:v>70223.782999999996</c:v>
                </c:pt>
                <c:pt idx="30" formatCode="0">
                  <c:v>70402.013999999996</c:v>
                </c:pt>
                <c:pt idx="31" formatCode="0">
                  <c:v>70570.168999999994</c:v>
                </c:pt>
                <c:pt idx="32" formatCode="0">
                  <c:v>70728.035000000003</c:v>
                </c:pt>
                <c:pt idx="33" formatCode="0">
                  <c:v>70875.764999999999</c:v>
                </c:pt>
                <c:pt idx="34" formatCode="0">
                  <c:v>71013.837</c:v>
                </c:pt>
                <c:pt idx="35" formatCode="0">
                  <c:v>71143.152999999991</c:v>
                </c:pt>
                <c:pt idx="36" formatCode="0">
                  <c:v>71264.84599999999</c:v>
                </c:pt>
                <c:pt idx="37" formatCode="0">
                  <c:v>71379.937000000005</c:v>
                </c:pt>
                <c:pt idx="38" formatCode="0">
                  <c:v>71489.413</c:v>
                </c:pt>
                <c:pt idx="39" formatCode="0">
                  <c:v>71594.113000000012</c:v>
                </c:pt>
                <c:pt idx="40" formatCode="0">
                  <c:v>71694.769</c:v>
                </c:pt>
                <c:pt idx="41" formatCode="0">
                  <c:v>71791.876000000004</c:v>
                </c:pt>
                <c:pt idx="42" formatCode="0">
                  <c:v>71885.673999999999</c:v>
                </c:pt>
                <c:pt idx="43" formatCode="0">
                  <c:v>71976.127999999997</c:v>
                </c:pt>
                <c:pt idx="44" formatCode="0">
                  <c:v>72062.914000000004</c:v>
                </c:pt>
                <c:pt idx="45" formatCode="0">
                  <c:v>72145.027999999991</c:v>
                </c:pt>
                <c:pt idx="46" formatCode="0">
                  <c:v>72221.483999999997</c:v>
                </c:pt>
                <c:pt idx="47" formatCode="0">
                  <c:v>72291.646000000008</c:v>
                </c:pt>
                <c:pt idx="48" formatCode="0">
                  <c:v>72354.744000000006</c:v>
                </c:pt>
                <c:pt idx="49" formatCode="0">
                  <c:v>72409.924999999988</c:v>
                </c:pt>
                <c:pt idx="50" formatCode="0">
                  <c:v>72455.718999999997</c:v>
                </c:pt>
                <c:pt idx="51" formatCode="0">
                  <c:v>72490.84</c:v>
                </c:pt>
                <c:pt idx="52" formatCode="0">
                  <c:v>72514.847000000009</c:v>
                </c:pt>
                <c:pt idx="53" formatCode="0">
                  <c:v>72527.418000000005</c:v>
                </c:pt>
                <c:pt idx="54" formatCode="0">
                  <c:v>72528.462999999989</c:v>
                </c:pt>
                <c:pt idx="55" formatCode="0">
                  <c:v>72518.285999999993</c:v>
                </c:pt>
                <c:pt idx="56" formatCode="0">
                  <c:v>72497.72099999999</c:v>
                </c:pt>
                <c:pt idx="57" formatCode="0">
                  <c:v>72467.870999999999</c:v>
                </c:pt>
                <c:pt idx="58" formatCode="0">
                  <c:v>72429.849000000002</c:v>
                </c:pt>
                <c:pt idx="59" formatCode="0">
                  <c:v>72384.799999999988</c:v>
                </c:pt>
                <c:pt idx="60" formatCode="0">
                  <c:v>72334.005000000005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ser>
          <c:idx val="3"/>
          <c:order val="3"/>
          <c:tx>
            <c:strRef>
              <c:f>'Chart Data'!$J$2</c:f>
              <c:strCache>
                <c:ptCount val="1"/>
                <c:pt idx="0">
                  <c:v>ONS (Jan25)</c:v>
                </c:pt>
              </c:strCache>
            </c:strRef>
          </c:tx>
          <c:spPr>
            <a:ln w="25400">
              <a:solidFill>
                <a:srgbClr val="E7A800"/>
              </a:solidFill>
            </a:ln>
            <a:effectLst/>
          </c:spPr>
          <c:marker>
            <c:symbol val="none"/>
          </c:marker>
          <c:cat>
            <c:numRef>
              <c:f>'Chart Data'!$F$3:$F$63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Data'!$J$3:$J$63</c:f>
              <c:numCache>
                <c:formatCode>General</c:formatCode>
                <c:ptCount val="61"/>
                <c:pt idx="22" formatCode="0">
                  <c:v>67602.760999999999</c:v>
                </c:pt>
                <c:pt idx="23" formatCode="0">
                  <c:v>68492.494999999995</c:v>
                </c:pt>
                <c:pt idx="24" formatCode="0">
                  <c:v>69226.231</c:v>
                </c:pt>
                <c:pt idx="25" formatCode="0">
                  <c:v>69867.978999999992</c:v>
                </c:pt>
                <c:pt idx="26" formatCode="0">
                  <c:v>70414.3</c:v>
                </c:pt>
                <c:pt idx="27" formatCode="0">
                  <c:v>70861.913</c:v>
                </c:pt>
                <c:pt idx="28" formatCode="0">
                  <c:v>71208.100999999995</c:v>
                </c:pt>
                <c:pt idx="29" formatCode="0">
                  <c:v>71547.661999999997</c:v>
                </c:pt>
                <c:pt idx="30" formatCode="0">
                  <c:v>71879.988000000012</c:v>
                </c:pt>
                <c:pt idx="31" formatCode="0">
                  <c:v>72204.573999999993</c:v>
                </c:pt>
                <c:pt idx="32" formatCode="0">
                  <c:v>72521.17300000001</c:v>
                </c:pt>
                <c:pt idx="33" formatCode="0">
                  <c:v>72830.021000000008</c:v>
                </c:pt>
                <c:pt idx="34" formatCode="0">
                  <c:v>73131.597000000009</c:v>
                </c:pt>
                <c:pt idx="35" formatCode="0">
                  <c:v>73426.168000000005</c:v>
                </c:pt>
                <c:pt idx="36" formatCode="0">
                  <c:v>73714.089000000007</c:v>
                </c:pt>
                <c:pt idx="37" formatCode="0">
                  <c:v>73995.940999999992</c:v>
                </c:pt>
                <c:pt idx="38" formatCode="0">
                  <c:v>74272.334000000003</c:v>
                </c:pt>
                <c:pt idx="39" formatCode="0">
                  <c:v>74543.737999999998</c:v>
                </c:pt>
                <c:pt idx="40" formatCode="0">
                  <c:v>74810.478000000003</c:v>
                </c:pt>
                <c:pt idx="41" formatCode="0">
                  <c:v>75072.891999999993</c:v>
                </c:pt>
                <c:pt idx="42" formatCode="0">
                  <c:v>75331.209000000003</c:v>
                </c:pt>
                <c:pt idx="43" formatCode="0">
                  <c:v>75585.236000000004</c:v>
                </c:pt>
                <c:pt idx="44" formatCode="0">
                  <c:v>75834.506999999998</c:v>
                </c:pt>
                <c:pt idx="45" formatCode="0">
                  <c:v>76078.686000000002</c:v>
                </c:pt>
                <c:pt idx="46" formatCode="0">
                  <c:v>76317.48</c:v>
                </c:pt>
                <c:pt idx="47" formatCode="0">
                  <c:v>76550.535000000003</c:v>
                </c:pt>
                <c:pt idx="48" formatCode="0">
                  <c:v>76776.460000000006</c:v>
                </c:pt>
                <c:pt idx="49" formatCode="0">
                  <c:v>76993.637000000002</c:v>
                </c:pt>
                <c:pt idx="50" formatCode="0">
                  <c:v>77201.483000000007</c:v>
                </c:pt>
                <c:pt idx="51" formatCode="0">
                  <c:v>77399.645000000004</c:v>
                </c:pt>
                <c:pt idx="52" formatCode="0">
                  <c:v>77588.048999999999</c:v>
                </c:pt>
                <c:pt idx="53" formatCode="0">
                  <c:v>77766.709999999992</c:v>
                </c:pt>
                <c:pt idx="54" formatCode="0">
                  <c:v>77935.834000000003</c:v>
                </c:pt>
                <c:pt idx="55" formatCode="0">
                  <c:v>78096.133000000002</c:v>
                </c:pt>
                <c:pt idx="56" formatCode="0">
                  <c:v>78248.758000000002</c:v>
                </c:pt>
                <c:pt idx="57" formatCode="0">
                  <c:v>78394.896000000008</c:v>
                </c:pt>
                <c:pt idx="58" formatCode="0">
                  <c:v>78535.61</c:v>
                </c:pt>
                <c:pt idx="59" formatCode="0">
                  <c:v>78672.035999999993</c:v>
                </c:pt>
                <c:pt idx="60" formatCode="0">
                  <c:v>78805.31700000001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0"/>
        <c:noMultiLvlLbl val="0"/>
      </c:catAx>
      <c:valAx>
        <c:axId val="274950400"/>
        <c:scaling>
          <c:orientation val="minMax"/>
          <c:min val="5500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0578768183225008"/>
          <c:y val="2.2514071294559099E-2"/>
          <c:w val="0.59200871478808881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Data'!$M$2</c:f>
              <c:strCache>
                <c:ptCount val="1"/>
                <c:pt idx="0">
                  <c:v>OE (May26)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Data'!$L$3:$L$63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Data'!$M$3:$M$63</c:f>
              <c:numCache>
                <c:formatCode>0</c:formatCode>
                <c:ptCount val="61"/>
                <c:pt idx="0">
                  <c:v>36138.28</c:v>
                </c:pt>
                <c:pt idx="1">
                  <c:v>36404.514999999999</c:v>
                </c:pt>
                <c:pt idx="2">
                  <c:v>36659.671999999999</c:v>
                </c:pt>
                <c:pt idx="3">
                  <c:v>36881.438999999998</c:v>
                </c:pt>
                <c:pt idx="4">
                  <c:v>37142.258999999998</c:v>
                </c:pt>
                <c:pt idx="5">
                  <c:v>37521.148000000001</c:v>
                </c:pt>
                <c:pt idx="6">
                  <c:v>37848.466</c:v>
                </c:pt>
                <c:pt idx="7">
                  <c:v>38112.955999999998</c:v>
                </c:pt>
                <c:pt idx="8">
                  <c:v>38355.415000000001</c:v>
                </c:pt>
                <c:pt idx="9">
                  <c:v>38529.427000000003</c:v>
                </c:pt>
                <c:pt idx="10">
                  <c:v>38816.110153424655</c:v>
                </c:pt>
                <c:pt idx="11">
                  <c:v>39306.528200000001</c:v>
                </c:pt>
                <c:pt idx="12">
                  <c:v>39534.445950000001</c:v>
                </c:pt>
                <c:pt idx="13">
                  <c:v>39840.43795</c:v>
                </c:pt>
                <c:pt idx="14">
                  <c:v>40180.148150000001</c:v>
                </c:pt>
                <c:pt idx="15">
                  <c:v>40562.982499999998</c:v>
                </c:pt>
                <c:pt idx="16">
                  <c:v>40993.945959999997</c:v>
                </c:pt>
                <c:pt idx="17">
                  <c:v>41363.364939999999</c:v>
                </c:pt>
                <c:pt idx="18">
                  <c:v>41729.733894000005</c:v>
                </c:pt>
                <c:pt idx="19">
                  <c:v>42226.830568999998</c:v>
                </c:pt>
                <c:pt idx="20">
                  <c:v>42614.416799999999</c:v>
                </c:pt>
                <c:pt idx="21">
                  <c:v>42845.41</c:v>
                </c:pt>
                <c:pt idx="22">
                  <c:v>43217.197999999997</c:v>
                </c:pt>
                <c:pt idx="23">
                  <c:v>43814.745999999999</c:v>
                </c:pt>
                <c:pt idx="24">
                  <c:v>44296.4</c:v>
                </c:pt>
                <c:pt idx="25">
                  <c:v>44422.98</c:v>
                </c:pt>
                <c:pt idx="26">
                  <c:v>44571.483287533832</c:v>
                </c:pt>
                <c:pt idx="27">
                  <c:v>45026.049684118152</c:v>
                </c:pt>
                <c:pt idx="28">
                  <c:v>45397.597115063167</c:v>
                </c:pt>
                <c:pt idx="29">
                  <c:v>45461.358122774029</c:v>
                </c:pt>
                <c:pt idx="30">
                  <c:v>45513.894151081258</c:v>
                </c:pt>
                <c:pt idx="31">
                  <c:v>45552.081395498317</c:v>
                </c:pt>
                <c:pt idx="32">
                  <c:v>45591.478639915382</c:v>
                </c:pt>
                <c:pt idx="33">
                  <c:v>45620.208884332445</c:v>
                </c:pt>
                <c:pt idx="34">
                  <c:v>45633.857128749514</c:v>
                </c:pt>
                <c:pt idx="35">
                  <c:v>45649.201373166572</c:v>
                </c:pt>
                <c:pt idx="36">
                  <c:v>45653.670617583637</c:v>
                </c:pt>
                <c:pt idx="37">
                  <c:v>45656.195862000714</c:v>
                </c:pt>
                <c:pt idx="38">
                  <c:v>45647.753106417775</c:v>
                </c:pt>
                <c:pt idx="39">
                  <c:v>45635.36935083483</c:v>
                </c:pt>
                <c:pt idx="40">
                  <c:v>45636.330595251893</c:v>
                </c:pt>
                <c:pt idx="41">
                  <c:v>45650.620839668954</c:v>
                </c:pt>
                <c:pt idx="42">
                  <c:v>45675.95008408602</c:v>
                </c:pt>
                <c:pt idx="43">
                  <c:v>45709.853328503094</c:v>
                </c:pt>
                <c:pt idx="44">
                  <c:v>45865.540559221525</c:v>
                </c:pt>
                <c:pt idx="45">
                  <c:v>46260.005362542688</c:v>
                </c:pt>
                <c:pt idx="46">
                  <c:v>46541.284741798489</c:v>
                </c:pt>
                <c:pt idx="47">
                  <c:v>46503.4052677773</c:v>
                </c:pt>
                <c:pt idx="48">
                  <c:v>46428.35051219436</c:v>
                </c:pt>
                <c:pt idx="49">
                  <c:v>46351.221756611427</c:v>
                </c:pt>
                <c:pt idx="50">
                  <c:v>46278.138001028499</c:v>
                </c:pt>
                <c:pt idx="51">
                  <c:v>46196.686245445555</c:v>
                </c:pt>
                <c:pt idx="52">
                  <c:v>46113.41748986263</c:v>
                </c:pt>
                <c:pt idx="53">
                  <c:v>46002.600734279702</c:v>
                </c:pt>
                <c:pt idx="54">
                  <c:v>45886.297978696763</c:v>
                </c:pt>
                <c:pt idx="55">
                  <c:v>45763.786223113821</c:v>
                </c:pt>
                <c:pt idx="56">
                  <c:v>45621.324467530889</c:v>
                </c:pt>
                <c:pt idx="57">
                  <c:v>45487.000711947956</c:v>
                </c:pt>
                <c:pt idx="58">
                  <c:v>45344.778956365022</c:v>
                </c:pt>
                <c:pt idx="59">
                  <c:v>45198.03120078209</c:v>
                </c:pt>
                <c:pt idx="60">
                  <c:v>45059.043445199146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B-4789-AA00-17A89DD015DB}"/>
            </c:ext>
          </c:extLst>
        </c:ser>
        <c:ser>
          <c:idx val="1"/>
          <c:order val="1"/>
          <c:tx>
            <c:strRef>
              <c:f>'Chart Data'!$N$2</c:f>
              <c:strCache>
                <c:ptCount val="1"/>
                <c:pt idx="0">
                  <c:v>OE (Feb26)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Data'!$L$3:$L$63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Data'!$N$3:$N$63</c:f>
              <c:numCache>
                <c:formatCode>0</c:formatCode>
                <c:ptCount val="61"/>
                <c:pt idx="24">
                  <c:v>44296.4</c:v>
                </c:pt>
                <c:pt idx="25">
                  <c:v>44344.199814048377</c:v>
                </c:pt>
                <c:pt idx="26">
                  <c:v>44488.686632155004</c:v>
                </c:pt>
                <c:pt idx="27">
                  <c:v>44943.787672582635</c:v>
                </c:pt>
                <c:pt idx="28">
                  <c:v>45309.74333238203</c:v>
                </c:pt>
                <c:pt idx="29">
                  <c:v>45368.858157865368</c:v>
                </c:pt>
                <c:pt idx="30">
                  <c:v>45415.341991851594</c:v>
                </c:pt>
                <c:pt idx="31">
                  <c:v>45462.760959739688</c:v>
                </c:pt>
                <c:pt idx="32">
                  <c:v>45529.640251582379</c:v>
                </c:pt>
                <c:pt idx="33">
                  <c:v>45585.573543425075</c:v>
                </c:pt>
                <c:pt idx="34">
                  <c:v>45627.025835267763</c:v>
                </c:pt>
                <c:pt idx="35">
                  <c:v>45670.859127110445</c:v>
                </c:pt>
                <c:pt idx="36">
                  <c:v>45704.506418953133</c:v>
                </c:pt>
                <c:pt idx="37">
                  <c:v>45740.863710795813</c:v>
                </c:pt>
                <c:pt idx="38">
                  <c:v>45766.599002638504</c:v>
                </c:pt>
                <c:pt idx="39">
                  <c:v>45791.029294481203</c:v>
                </c:pt>
                <c:pt idx="40">
                  <c:v>45845.373586323884</c:v>
                </c:pt>
                <c:pt idx="41">
                  <c:v>45933.311878166576</c:v>
                </c:pt>
                <c:pt idx="42">
                  <c:v>46033.125170009269</c:v>
                </c:pt>
                <c:pt idx="43">
                  <c:v>46147.041461851964</c:v>
                </c:pt>
                <c:pt idx="44">
                  <c:v>46388.530112598753</c:v>
                </c:pt>
                <c:pt idx="45">
                  <c:v>46874.819733208577</c:v>
                </c:pt>
                <c:pt idx="46">
                  <c:v>47251.045026532898</c:v>
                </c:pt>
                <c:pt idx="47">
                  <c:v>47309.849859811147</c:v>
                </c:pt>
                <c:pt idx="48">
                  <c:v>47334.152151653841</c:v>
                </c:pt>
                <c:pt idx="49">
                  <c:v>47358.326443496531</c:v>
                </c:pt>
                <c:pt idx="50">
                  <c:v>47388.853735339209</c:v>
                </c:pt>
                <c:pt idx="51">
                  <c:v>47412.546027181896</c:v>
                </c:pt>
                <c:pt idx="52">
                  <c:v>47433.858319024592</c:v>
                </c:pt>
                <c:pt idx="53">
                  <c:v>47426.160610867279</c:v>
                </c:pt>
                <c:pt idx="54">
                  <c:v>47411.346902709971</c:v>
                </c:pt>
                <c:pt idx="55">
                  <c:v>47386.062194552658</c:v>
                </c:pt>
                <c:pt idx="56">
                  <c:v>47335.482486395333</c:v>
                </c:pt>
                <c:pt idx="57">
                  <c:v>47288.923778238022</c:v>
                </c:pt>
                <c:pt idx="58">
                  <c:v>47230.067070080702</c:v>
                </c:pt>
                <c:pt idx="59">
                  <c:v>47158.847361923392</c:v>
                </c:pt>
                <c:pt idx="60">
                  <c:v>47088.22565376608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B-4789-AA00-17A89DD015DB}"/>
            </c:ext>
          </c:extLst>
        </c:ser>
        <c:ser>
          <c:idx val="2"/>
          <c:order val="2"/>
          <c:tx>
            <c:strRef>
              <c:f>'Chart Data'!$O$2</c:f>
              <c:strCache>
                <c:ptCount val="1"/>
                <c:pt idx="0">
                  <c:v>ONS (Apr26)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Data'!$L$3:$L$63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Data'!$O$3:$O$63</c:f>
              <c:numCache>
                <c:formatCode>0</c:formatCode>
                <c:ptCount val="61"/>
                <c:pt idx="24">
                  <c:v>44296.4</c:v>
                </c:pt>
                <c:pt idx="25">
                  <c:v>44422.98000000001</c:v>
                </c:pt>
                <c:pt idx="26">
                  <c:v>44605.685387978156</c:v>
                </c:pt>
                <c:pt idx="27">
                  <c:v>45139.185624657548</c:v>
                </c:pt>
                <c:pt idx="28">
                  <c:v>45553.559000000008</c:v>
                </c:pt>
                <c:pt idx="29">
                  <c:v>45640.96100000001</c:v>
                </c:pt>
                <c:pt idx="30">
                  <c:v>45695.275000000009</c:v>
                </c:pt>
                <c:pt idx="31">
                  <c:v>45733.840000000004</c:v>
                </c:pt>
                <c:pt idx="32">
                  <c:v>45773.615000000005</c:v>
                </c:pt>
                <c:pt idx="33">
                  <c:v>45802.723000000005</c:v>
                </c:pt>
                <c:pt idx="34">
                  <c:v>45816.749000000011</c:v>
                </c:pt>
                <c:pt idx="35">
                  <c:v>45832.471000000005</c:v>
                </c:pt>
                <c:pt idx="36">
                  <c:v>45837.318000000007</c:v>
                </c:pt>
                <c:pt idx="37">
                  <c:v>45840.22100000002</c:v>
                </c:pt>
                <c:pt idx="38">
                  <c:v>45832.156000000017</c:v>
                </c:pt>
                <c:pt idx="39">
                  <c:v>45820.150000000009</c:v>
                </c:pt>
                <c:pt idx="40">
                  <c:v>45821.489000000009</c:v>
                </c:pt>
                <c:pt idx="41">
                  <c:v>45836.157000000007</c:v>
                </c:pt>
                <c:pt idx="42">
                  <c:v>45861.864000000009</c:v>
                </c:pt>
                <c:pt idx="43">
                  <c:v>45896.145000000019</c:v>
                </c:pt>
                <c:pt idx="44">
                  <c:v>46052.209986301386</c:v>
                </c:pt>
                <c:pt idx="45">
                  <c:v>46447.052545205486</c:v>
                </c:pt>
                <c:pt idx="46">
                  <c:v>46728.70900000001</c:v>
                </c:pt>
                <c:pt idx="47">
                  <c:v>46691.207000000009</c:v>
                </c:pt>
                <c:pt idx="48">
                  <c:v>46616.530000000006</c:v>
                </c:pt>
                <c:pt idx="49">
                  <c:v>46539.77900000001</c:v>
                </c:pt>
                <c:pt idx="50">
                  <c:v>46467.073000000019</c:v>
                </c:pt>
                <c:pt idx="51">
                  <c:v>46385.999000000011</c:v>
                </c:pt>
                <c:pt idx="52">
                  <c:v>46303.108000000022</c:v>
                </c:pt>
                <c:pt idx="53">
                  <c:v>46192.669000000031</c:v>
                </c:pt>
                <c:pt idx="54">
                  <c:v>46076.744000000028</c:v>
                </c:pt>
                <c:pt idx="55">
                  <c:v>45954.610000000022</c:v>
                </c:pt>
                <c:pt idx="56">
                  <c:v>45812.526000000027</c:v>
                </c:pt>
                <c:pt idx="57">
                  <c:v>45678.580000000031</c:v>
                </c:pt>
                <c:pt idx="58">
                  <c:v>45536.736000000034</c:v>
                </c:pt>
                <c:pt idx="59">
                  <c:v>45390.366000000038</c:v>
                </c:pt>
                <c:pt idx="60">
                  <c:v>45251.75600000003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B-4789-AA00-17A89DD015DB}"/>
            </c:ext>
          </c:extLst>
        </c:ser>
        <c:ser>
          <c:idx val="3"/>
          <c:order val="3"/>
          <c:tx>
            <c:strRef>
              <c:f>'Chart Data'!$P$2</c:f>
              <c:strCache>
                <c:ptCount val="1"/>
                <c:pt idx="0">
                  <c:v>ONS (Jan25)</c:v>
                </c:pt>
              </c:strCache>
            </c:strRef>
          </c:tx>
          <c:spPr>
            <a:ln w="25400">
              <a:solidFill>
                <a:srgbClr val="E7A800"/>
              </a:solidFill>
            </a:ln>
            <a:effectLst/>
          </c:spPr>
          <c:marker>
            <c:symbol val="none"/>
          </c:marker>
          <c:cat>
            <c:numRef>
              <c:f>'Chart Data'!$L$3:$L$63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Data'!$P$3:$P$63</c:f>
              <c:numCache>
                <c:formatCode>General</c:formatCode>
                <c:ptCount val="61"/>
                <c:pt idx="22" formatCode="0">
                  <c:v>43217.197999999997</c:v>
                </c:pt>
                <c:pt idx="23" formatCode="0">
                  <c:v>43814.745999999999</c:v>
                </c:pt>
                <c:pt idx="24" formatCode="0">
                  <c:v>44296.4</c:v>
                </c:pt>
                <c:pt idx="25" formatCode="0">
                  <c:v>44778.332999999999</c:v>
                </c:pt>
                <c:pt idx="26" formatCode="0">
                  <c:v>45291.720207650265</c:v>
                </c:pt>
                <c:pt idx="27" formatCode="0">
                  <c:v>45995.678887671238</c:v>
                </c:pt>
                <c:pt idx="28" formatCode="0">
                  <c:v>46497.043000000005</c:v>
                </c:pt>
                <c:pt idx="29" formatCode="0">
                  <c:v>46669.399000000005</c:v>
                </c:pt>
                <c:pt idx="30" formatCode="0">
                  <c:v>46808.403000000006</c:v>
                </c:pt>
                <c:pt idx="31" formatCode="0">
                  <c:v>46930.334000000003</c:v>
                </c:pt>
                <c:pt idx="32" formatCode="0">
                  <c:v>47053.888000000006</c:v>
                </c:pt>
                <c:pt idx="33" formatCode="0">
                  <c:v>47166.496000000014</c:v>
                </c:pt>
                <c:pt idx="34" formatCode="0">
                  <c:v>47264.623000000014</c:v>
                </c:pt>
                <c:pt idx="35" formatCode="0">
                  <c:v>47365.131000000008</c:v>
                </c:pt>
                <c:pt idx="36" formatCode="0">
                  <c:v>47455.453000000009</c:v>
                </c:pt>
                <c:pt idx="37" formatCode="0">
                  <c:v>47548.485000000001</c:v>
                </c:pt>
                <c:pt idx="38" formatCode="0">
                  <c:v>47630.895000000004</c:v>
                </c:pt>
                <c:pt idx="39" formatCode="0">
                  <c:v>47712.000000000015</c:v>
                </c:pt>
                <c:pt idx="40" formatCode="0">
                  <c:v>47823.019000000008</c:v>
                </c:pt>
                <c:pt idx="41" formatCode="0">
                  <c:v>47967.632000000012</c:v>
                </c:pt>
                <c:pt idx="42" formatCode="0">
                  <c:v>48124.120000000017</c:v>
                </c:pt>
                <c:pt idx="43" formatCode="0">
                  <c:v>48294.711000000025</c:v>
                </c:pt>
                <c:pt idx="44" formatCode="0">
                  <c:v>48592.874358904126</c:v>
                </c:pt>
                <c:pt idx="45" formatCode="0">
                  <c:v>49135.838687671261</c:v>
                </c:pt>
                <c:pt idx="46" formatCode="0">
                  <c:v>49568.677000000018</c:v>
                </c:pt>
                <c:pt idx="47" formatCode="0">
                  <c:v>49684.131000000016</c:v>
                </c:pt>
                <c:pt idx="48" formatCode="0">
                  <c:v>49765.108000000022</c:v>
                </c:pt>
                <c:pt idx="49" formatCode="0">
                  <c:v>49845.957000000024</c:v>
                </c:pt>
                <c:pt idx="50" formatCode="0">
                  <c:v>49933.159000000014</c:v>
                </c:pt>
                <c:pt idx="51" formatCode="0">
                  <c:v>50013.526000000013</c:v>
                </c:pt>
                <c:pt idx="52" formatCode="0">
                  <c:v>50091.513000000021</c:v>
                </c:pt>
                <c:pt idx="53" formatCode="0">
                  <c:v>50140.49000000002</c:v>
                </c:pt>
                <c:pt idx="54" formatCode="0">
                  <c:v>50182.351000000024</c:v>
                </c:pt>
                <c:pt idx="55" formatCode="0">
                  <c:v>50213.741000000024</c:v>
                </c:pt>
                <c:pt idx="56" formatCode="0">
                  <c:v>50219.83600000001</c:v>
                </c:pt>
                <c:pt idx="57" formatCode="0">
                  <c:v>50229.952000000012</c:v>
                </c:pt>
                <c:pt idx="58" formatCode="0">
                  <c:v>50227.770000000004</c:v>
                </c:pt>
                <c:pt idx="59" formatCode="0">
                  <c:v>50213.225000000006</c:v>
                </c:pt>
                <c:pt idx="60" formatCode="0">
                  <c:v>50199.278000000006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7B-4789-AA00-17A89DD01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0"/>
        <c:noMultiLvlLbl val="0"/>
      </c:catAx>
      <c:valAx>
        <c:axId val="274950400"/>
        <c:scaling>
          <c:orientation val="minMax"/>
          <c:min val="3600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37B82A-106F-4BBD-BBEB-F074C2F63C53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3BBEB-55FD-E0B1-8B3B-9F6613081D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5CFBB9C-89F1-054A-DB64-42EA434CAF7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Population projections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E1AB2183-885D-F096-6D7B-A7DE3A2B2C16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ONS</a:t>
          </a:r>
        </a:p>
      </cdr:txBody>
    </cdr:sp>
  </cdr:relSizeAnchor>
  <cdr:relSizeAnchor xmlns:cdr="http://schemas.openxmlformats.org/drawingml/2006/chartDrawing">
    <cdr:from>
      <cdr:x>0.15289</cdr:x>
      <cdr:y>0.0813</cdr:y>
    </cdr:from>
    <cdr:to>
      <cdr:x>0.32033</cdr:x>
      <cdr:y>0.18637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1915896-A275-422E-CCC2-476E0C78022C}"/>
            </a:ext>
          </a:extLst>
        </cdr:cNvPr>
        <cdr:cNvSpPr txBox="1"/>
      </cdr:nvSpPr>
      <cdr:spPr>
        <a:xfrm xmlns:a="http://schemas.openxmlformats.org/drawingml/2006/main">
          <a:off x="1568449" y="412750"/>
          <a:ext cx="171767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ysClr val="windowText" lastClr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Total population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249F2D1E-21EC-CEDF-ADB7-765B6D99D3B8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Millions</a:t>
          </a:r>
        </a:p>
      </cdr:txBody>
    </cdr:sp>
  </cdr:relSizeAnchor>
  <cdr:relSizeAnchor xmlns:cdr="http://schemas.openxmlformats.org/drawingml/2006/chartDrawing">
    <cdr:from>
      <cdr:x>0.51377</cdr:x>
      <cdr:y>0</cdr:y>
    </cdr:from>
    <cdr:to>
      <cdr:x>0.99783</cdr:x>
      <cdr:y>1</cdr:y>
    </cdr:to>
    <cdr:graphicFrame macro="">
      <cdr:nvGraphicFramePr>
        <cdr:cNvPr id="8" name="Chart 1">
          <a:extLst xmlns:a="http://schemas.openxmlformats.org/drawingml/2006/main">
            <a:ext uri="{FF2B5EF4-FFF2-40B4-BE49-F238E27FC236}">
              <a16:creationId xmlns:a16="http://schemas.microsoft.com/office/drawing/2014/main" id="{C4364822-1BB9-D307-6E2C-8AEF2BF4FC8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0.28708</cdr:x>
      <cdr:y>0.0813</cdr:y>
    </cdr:from>
    <cdr:to>
      <cdr:x>0.74301</cdr:x>
      <cdr:y>0.18636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FEC1246-463A-756D-701D-E3B19E3A17DA}"/>
            </a:ext>
          </a:extLst>
        </cdr:cNvPr>
        <cdr:cNvSpPr txBox="1"/>
      </cdr:nvSpPr>
      <cdr:spPr>
        <a:xfrm xmlns:a="http://schemas.openxmlformats.org/drawingml/2006/main">
          <a:off x="1425575" y="412770"/>
          <a:ext cx="2263971" cy="5333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ysClr val="windowText" lastClr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Working age population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5F6620E-E17F-33A8-FB26-779FD70FAE6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Millions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ow\May26\Population%20Calculations.xlsx" TargetMode="External"/><Relationship Id="rId1" Type="http://schemas.openxmlformats.org/officeDocument/2006/relationships/externalLinkPath" Target="file:///C:\now\May26\Population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DATA"/>
      <sheetName val="COVID"/>
      <sheetName val="&gt;&gt;2024-BASED"/>
      <sheetName val="2024-based"/>
      <sheetName val="2024 calcs"/>
      <sheetName val="2024 popproj"/>
      <sheetName val="Migration calculation"/>
      <sheetName val="HO_Monthly_Vis_01"/>
      <sheetName val="2024 popproj migration"/>
      <sheetName val="&gt;&gt;2022-BASED"/>
      <sheetName val="2022-based"/>
      <sheetName val="2022 migration calculations"/>
      <sheetName val="2022 calcs"/>
      <sheetName val="2022 popproj"/>
      <sheetName val="2022 popproj migration"/>
      <sheetName val="&gt;&gt;2021-BASED"/>
      <sheetName val="2021-based"/>
      <sheetName val="2021 calcs"/>
      <sheetName val="2021 popproj"/>
      <sheetName val="2021 popproj migration"/>
      <sheetName val="2023 estimation"/>
      <sheetName val="MYEUK12-22"/>
      <sheetName val="EW history"/>
      <sheetName val="&gt;&gt;2020-BASED"/>
      <sheetName val="2020-based"/>
      <sheetName val="2020 calcs"/>
      <sheetName val="2020 PERSONS"/>
      <sheetName val="2020 MALES"/>
      <sheetName val="2020 FEMALES"/>
      <sheetName val="Pension calculations - females"/>
      <sheetName val="Pension calculations - Males"/>
    </sheetNames>
    <sheetDataSet>
      <sheetData sheetId="0" refreshError="1"/>
      <sheetData sheetId="1" refreshError="1"/>
      <sheetData sheetId="2" refreshError="1"/>
      <sheetData sheetId="3">
        <row r="7">
          <cell r="L7">
            <v>139.30000000000001</v>
          </cell>
          <cell r="Q7">
            <v>58886.065000000002</v>
          </cell>
          <cell r="R7">
            <v>36138.28</v>
          </cell>
        </row>
        <row r="8">
          <cell r="L8">
            <v>153.19999999999999</v>
          </cell>
          <cell r="Q8">
            <v>59113.016000000003</v>
          </cell>
          <cell r="R8">
            <v>36404.514999999999</v>
          </cell>
        </row>
        <row r="9">
          <cell r="L9">
            <v>190.9</v>
          </cell>
          <cell r="Q9">
            <v>59365.677000000003</v>
          </cell>
          <cell r="R9">
            <v>36659.671999999999</v>
          </cell>
        </row>
        <row r="10">
          <cell r="L10">
            <v>194.3</v>
          </cell>
          <cell r="Q10">
            <v>59636.661999999997</v>
          </cell>
          <cell r="R10">
            <v>36881.438999999998</v>
          </cell>
        </row>
        <row r="11">
          <cell r="L11">
            <v>209.5</v>
          </cell>
          <cell r="Q11">
            <v>59950.364000000001</v>
          </cell>
          <cell r="R11">
            <v>37142.258999999998</v>
          </cell>
        </row>
        <row r="12">
          <cell r="L12">
            <v>335.6</v>
          </cell>
          <cell r="Q12">
            <v>60413.275999999998</v>
          </cell>
          <cell r="R12">
            <v>37521.148000000001</v>
          </cell>
        </row>
        <row r="13">
          <cell r="L13">
            <v>254.5</v>
          </cell>
          <cell r="Q13">
            <v>60826.966999999997</v>
          </cell>
          <cell r="R13">
            <v>37848.466</v>
          </cell>
        </row>
        <row r="14">
          <cell r="L14">
            <v>304.60000000000002</v>
          </cell>
          <cell r="Q14">
            <v>61319.074999999997</v>
          </cell>
          <cell r="R14">
            <v>38112.955999999998</v>
          </cell>
        </row>
        <row r="15">
          <cell r="L15">
            <v>283.60000000000002</v>
          </cell>
          <cell r="Q15">
            <v>61823.771999999997</v>
          </cell>
          <cell r="R15">
            <v>38355.415000000001</v>
          </cell>
        </row>
        <row r="16">
          <cell r="L16">
            <v>219.8</v>
          </cell>
          <cell r="Q16">
            <v>62260.485999999997</v>
          </cell>
          <cell r="R16">
            <v>38529.427000000003</v>
          </cell>
        </row>
        <row r="17">
          <cell r="L17">
            <v>255.4</v>
          </cell>
          <cell r="Q17">
            <v>62759.455999999998</v>
          </cell>
          <cell r="R17">
            <v>38816.110153424655</v>
          </cell>
        </row>
        <row r="18">
          <cell r="L18">
            <v>270.3</v>
          </cell>
          <cell r="Q18">
            <v>63285.144999999997</v>
          </cell>
          <cell r="R18">
            <v>39306.528200000001</v>
          </cell>
        </row>
        <row r="19">
          <cell r="L19">
            <v>162</v>
          </cell>
          <cell r="Q19">
            <v>63710.542999999998</v>
          </cell>
          <cell r="R19">
            <v>39534.445950000001</v>
          </cell>
        </row>
        <row r="20">
          <cell r="L20">
            <v>215</v>
          </cell>
          <cell r="Q20">
            <v>64138.220999999998</v>
          </cell>
          <cell r="R20">
            <v>39840.43795</v>
          </cell>
        </row>
        <row r="21">
          <cell r="L21">
            <v>248</v>
          </cell>
          <cell r="Q21">
            <v>64618.692999999999</v>
          </cell>
          <cell r="R21">
            <v>40180.148150000001</v>
          </cell>
        </row>
        <row r="22">
          <cell r="L22">
            <v>296</v>
          </cell>
          <cell r="Q22">
            <v>65086.957999999999</v>
          </cell>
          <cell r="R22">
            <v>40562.982499999998</v>
          </cell>
        </row>
        <row r="23">
          <cell r="L23">
            <v>321</v>
          </cell>
          <cell r="Q23">
            <v>65605.841</v>
          </cell>
          <cell r="R23">
            <v>40993.945959999997</v>
          </cell>
        </row>
        <row r="24">
          <cell r="L24">
            <v>200</v>
          </cell>
          <cell r="Q24">
            <v>65964.292000000001</v>
          </cell>
          <cell r="R24">
            <v>41363.364939999999</v>
          </cell>
        </row>
        <row r="25">
          <cell r="L25">
            <v>216</v>
          </cell>
          <cell r="Q25">
            <v>66286.726999999999</v>
          </cell>
          <cell r="R25">
            <v>41729.733894000005</v>
          </cell>
        </row>
        <row r="26">
          <cell r="L26">
            <v>224</v>
          </cell>
          <cell r="Q26">
            <v>66627.506999999998</v>
          </cell>
          <cell r="R26">
            <v>42226.830568999998</v>
          </cell>
        </row>
        <row r="27">
          <cell r="L27">
            <v>111</v>
          </cell>
          <cell r="Q27">
            <v>66739.866999999998</v>
          </cell>
          <cell r="R27">
            <v>42614.416799999999</v>
          </cell>
        </row>
        <row r="28">
          <cell r="L28">
            <v>251</v>
          </cell>
          <cell r="Q28">
            <v>66977.987999999998</v>
          </cell>
          <cell r="R28">
            <v>42845.41</v>
          </cell>
        </row>
        <row r="29">
          <cell r="L29">
            <v>681</v>
          </cell>
          <cell r="Q29">
            <v>67636.134000000005</v>
          </cell>
          <cell r="R29">
            <v>43217.197999999997</v>
          </cell>
        </row>
        <row r="30">
          <cell r="H30">
            <v>924</v>
          </cell>
          <cell r="L30">
            <v>924</v>
          </cell>
          <cell r="Q30">
            <v>68526.183000000005</v>
          </cell>
          <cell r="R30">
            <v>43814.745999999999</v>
          </cell>
        </row>
        <row r="31">
          <cell r="E31">
            <v>44296.4</v>
          </cell>
          <cell r="H31">
            <v>649</v>
          </cell>
          <cell r="L31">
            <v>649</v>
          </cell>
          <cell r="Q31">
            <v>69281.437000000005</v>
          </cell>
          <cell r="R31">
            <v>44296.4</v>
          </cell>
        </row>
        <row r="32">
          <cell r="E32">
            <v>44422.98000000001</v>
          </cell>
          <cell r="H32">
            <v>203.99999999999997</v>
          </cell>
          <cell r="L32">
            <v>204</v>
          </cell>
          <cell r="Q32">
            <v>69487</v>
          </cell>
          <cell r="R32">
            <v>44422.98</v>
          </cell>
        </row>
        <row r="33">
          <cell r="E33">
            <v>44605.685387978156</v>
          </cell>
          <cell r="H33">
            <v>137.99999999999997</v>
          </cell>
          <cell r="L33">
            <v>93.400344269696802</v>
          </cell>
          <cell r="Q33">
            <v>69567.6543442697</v>
          </cell>
          <cell r="R33">
            <v>44571.483287533832</v>
          </cell>
        </row>
        <row r="34">
          <cell r="E34">
            <v>45139.185624657548</v>
          </cell>
          <cell r="H34">
            <v>230</v>
          </cell>
          <cell r="L34">
            <v>131.99698434795698</v>
          </cell>
          <cell r="Q34">
            <v>69678.129328617651</v>
          </cell>
          <cell r="R34">
            <v>45026.049684118152</v>
          </cell>
        </row>
        <row r="35">
          <cell r="E35">
            <v>45553.559000000008</v>
          </cell>
          <cell r="H35">
            <v>230</v>
          </cell>
          <cell r="L35">
            <v>176.86761231093396</v>
          </cell>
          <cell r="Q35">
            <v>69824.061940928586</v>
          </cell>
          <cell r="R35">
            <v>45397.597115063167</v>
          </cell>
        </row>
        <row r="36">
          <cell r="E36">
            <v>45640.96100000001</v>
          </cell>
          <cell r="H36">
            <v>230</v>
          </cell>
          <cell r="L36">
            <v>200.66959327263157</v>
          </cell>
          <cell r="Q36">
            <v>69983.376534201205</v>
          </cell>
          <cell r="R36">
            <v>45461.358122774029</v>
          </cell>
        </row>
        <row r="37">
          <cell r="E37">
            <v>45695.275000000009</v>
          </cell>
          <cell r="H37">
            <v>230</v>
          </cell>
          <cell r="L37">
            <v>227.79414365264518</v>
          </cell>
          <cell r="Q37">
            <v>70159.40167785385</v>
          </cell>
          <cell r="R37">
            <v>45513.894151081258</v>
          </cell>
        </row>
        <row r="38">
          <cell r="E38">
            <v>45733.840000000004</v>
          </cell>
          <cell r="H38">
            <v>230</v>
          </cell>
          <cell r="L38">
            <v>229.5313341861692</v>
          </cell>
          <cell r="Q38">
            <v>70327.088012040011</v>
          </cell>
          <cell r="R38">
            <v>45552.081395498317</v>
          </cell>
        </row>
        <row r="39">
          <cell r="E39">
            <v>45773.615000000005</v>
          </cell>
          <cell r="H39">
            <v>230</v>
          </cell>
          <cell r="L39">
            <v>229.5313341861692</v>
          </cell>
          <cell r="Q39">
            <v>70484.485346226182</v>
          </cell>
          <cell r="R39">
            <v>45591.478639915382</v>
          </cell>
        </row>
        <row r="40">
          <cell r="E40">
            <v>45802.723000000005</v>
          </cell>
          <cell r="H40">
            <v>230</v>
          </cell>
          <cell r="L40">
            <v>229.5313341861692</v>
          </cell>
          <cell r="Q40">
            <v>70631.746680412325</v>
          </cell>
          <cell r="R40">
            <v>45620.208884332445</v>
          </cell>
        </row>
        <row r="41">
          <cell r="E41">
            <v>45816.749000000011</v>
          </cell>
          <cell r="H41">
            <v>230</v>
          </cell>
          <cell r="L41">
            <v>229.5313341861692</v>
          </cell>
          <cell r="Q41">
            <v>70769.350014598487</v>
          </cell>
          <cell r="R41">
            <v>45633.857128749514</v>
          </cell>
        </row>
        <row r="42">
          <cell r="E42">
            <v>45832.471000000005</v>
          </cell>
          <cell r="H42">
            <v>230</v>
          </cell>
          <cell r="L42">
            <v>229.5313341861692</v>
          </cell>
          <cell r="Q42">
            <v>70898.197348784655</v>
          </cell>
          <cell r="R42">
            <v>45649.201373166572</v>
          </cell>
        </row>
        <row r="43">
          <cell r="E43">
            <v>45837.318000000007</v>
          </cell>
          <cell r="H43">
            <v>230</v>
          </cell>
          <cell r="L43">
            <v>229.5313341861692</v>
          </cell>
          <cell r="Q43">
            <v>71019.421682970817</v>
          </cell>
          <cell r="R43">
            <v>45653.670617583637</v>
          </cell>
        </row>
        <row r="44">
          <cell r="E44">
            <v>45840.22100000002</v>
          </cell>
          <cell r="H44">
            <v>230</v>
          </cell>
          <cell r="L44">
            <v>229.5313341861692</v>
          </cell>
          <cell r="Q44">
            <v>71134.044017156994</v>
          </cell>
          <cell r="R44">
            <v>45656.195862000714</v>
          </cell>
        </row>
        <row r="45">
          <cell r="E45">
            <v>45832.156000000017</v>
          </cell>
          <cell r="H45">
            <v>230</v>
          </cell>
          <cell r="L45">
            <v>229.5313341861692</v>
          </cell>
          <cell r="Q45">
            <v>71243.051351343151</v>
          </cell>
          <cell r="R45">
            <v>45647.753106417775</v>
          </cell>
        </row>
        <row r="46">
          <cell r="E46">
            <v>45820.150000000009</v>
          </cell>
          <cell r="H46">
            <v>230</v>
          </cell>
          <cell r="L46">
            <v>229.5313341861692</v>
          </cell>
          <cell r="Q46">
            <v>71347.282685529324</v>
          </cell>
          <cell r="R46">
            <v>45635.36935083483</v>
          </cell>
        </row>
        <row r="47">
          <cell r="E47">
            <v>45821.489000000009</v>
          </cell>
          <cell r="H47">
            <v>230</v>
          </cell>
          <cell r="L47">
            <v>229.5313341861692</v>
          </cell>
          <cell r="Q47">
            <v>71447.470019715474</v>
          </cell>
          <cell r="R47">
            <v>45636.330595251893</v>
          </cell>
        </row>
        <row r="48">
          <cell r="E48">
            <v>45836.157000000007</v>
          </cell>
          <cell r="H48">
            <v>230</v>
          </cell>
          <cell r="L48">
            <v>229.5313341861692</v>
          </cell>
          <cell r="Q48">
            <v>71544.108353901654</v>
          </cell>
          <cell r="R48">
            <v>45650.620839668954</v>
          </cell>
        </row>
        <row r="49">
          <cell r="E49">
            <v>45861.864000000009</v>
          </cell>
          <cell r="H49">
            <v>230</v>
          </cell>
          <cell r="L49">
            <v>229.5313341861692</v>
          </cell>
          <cell r="Q49">
            <v>71637.437688087812</v>
          </cell>
          <cell r="R49">
            <v>45675.95008408602</v>
          </cell>
        </row>
        <row r="50">
          <cell r="E50">
            <v>45896.145000000019</v>
          </cell>
          <cell r="H50">
            <v>230</v>
          </cell>
          <cell r="L50">
            <v>229.5313341861692</v>
          </cell>
          <cell r="Q50">
            <v>71727.423022273986</v>
          </cell>
          <cell r="R50">
            <v>45709.853328503094</v>
          </cell>
        </row>
        <row r="51">
          <cell r="E51">
            <v>46052.209986301386</v>
          </cell>
          <cell r="H51">
            <v>230</v>
          </cell>
          <cell r="L51">
            <v>229.5313341861692</v>
          </cell>
          <cell r="Q51">
            <v>71813.740356460141</v>
          </cell>
          <cell r="R51">
            <v>45865.540559221525</v>
          </cell>
        </row>
        <row r="52">
          <cell r="E52">
            <v>46447.052545205486</v>
          </cell>
          <cell r="H52">
            <v>230</v>
          </cell>
          <cell r="L52">
            <v>229.5313341861692</v>
          </cell>
          <cell r="Q52">
            <v>71895.38569064629</v>
          </cell>
          <cell r="R52">
            <v>46260.005362542688</v>
          </cell>
        </row>
        <row r="53">
          <cell r="E53">
            <v>46728.70900000001</v>
          </cell>
          <cell r="H53">
            <v>230</v>
          </cell>
          <cell r="L53">
            <v>229.5313341861692</v>
          </cell>
          <cell r="Q53">
            <v>71971.373024832443</v>
          </cell>
          <cell r="R53">
            <v>46541.284741798489</v>
          </cell>
        </row>
        <row r="54">
          <cell r="E54">
            <v>46691.207000000009</v>
          </cell>
          <cell r="H54">
            <v>230</v>
          </cell>
          <cell r="L54">
            <v>229.5313341861692</v>
          </cell>
          <cell r="Q54">
            <v>72041.066359018616</v>
          </cell>
          <cell r="R54">
            <v>46503.4052677773</v>
          </cell>
        </row>
        <row r="55">
          <cell r="E55">
            <v>46616.530000000006</v>
          </cell>
          <cell r="H55">
            <v>230</v>
          </cell>
          <cell r="L55">
            <v>229.5313341861692</v>
          </cell>
          <cell r="Q55">
            <v>72103.695693204776</v>
          </cell>
          <cell r="R55">
            <v>46428.35051219436</v>
          </cell>
        </row>
        <row r="56">
          <cell r="E56">
            <v>46539.77900000001</v>
          </cell>
          <cell r="H56">
            <v>230</v>
          </cell>
          <cell r="L56">
            <v>229.5313341861692</v>
          </cell>
          <cell r="Q56">
            <v>72158.40802739092</v>
          </cell>
          <cell r="R56">
            <v>46351.221756611427</v>
          </cell>
        </row>
        <row r="57">
          <cell r="E57">
            <v>46467.073000000019</v>
          </cell>
          <cell r="H57">
            <v>230</v>
          </cell>
          <cell r="L57">
            <v>229.5313341861692</v>
          </cell>
          <cell r="Q57">
            <v>72203.733361577077</v>
          </cell>
          <cell r="R57">
            <v>46278.138001028499</v>
          </cell>
        </row>
        <row r="58">
          <cell r="E58">
            <v>46385.999000000011</v>
          </cell>
          <cell r="H58">
            <v>230</v>
          </cell>
          <cell r="L58">
            <v>229.5313341861692</v>
          </cell>
          <cell r="Q58">
            <v>72238.385695763238</v>
          </cell>
          <cell r="R58">
            <v>46196.686245445555</v>
          </cell>
        </row>
        <row r="59">
          <cell r="E59">
            <v>46303.108000000022</v>
          </cell>
          <cell r="H59">
            <v>230</v>
          </cell>
          <cell r="L59">
            <v>229.5313341861692</v>
          </cell>
          <cell r="Q59">
            <v>72261.924029949398</v>
          </cell>
          <cell r="R59">
            <v>46113.41748986263</v>
          </cell>
        </row>
        <row r="60">
          <cell r="E60">
            <v>46192.669000000031</v>
          </cell>
          <cell r="H60">
            <v>230</v>
          </cell>
          <cell r="L60">
            <v>229.5313341861692</v>
          </cell>
          <cell r="Q60">
            <v>72274.026364135556</v>
          </cell>
          <cell r="R60">
            <v>46002.600734279702</v>
          </cell>
        </row>
        <row r="61">
          <cell r="E61">
            <v>46076.744000000028</v>
          </cell>
          <cell r="H61">
            <v>230</v>
          </cell>
          <cell r="L61">
            <v>229.5313341861692</v>
          </cell>
          <cell r="Q61">
            <v>72274.602698321702</v>
          </cell>
          <cell r="R61">
            <v>45886.297978696763</v>
          </cell>
        </row>
        <row r="62">
          <cell r="E62">
            <v>45954.610000000022</v>
          </cell>
          <cell r="H62">
            <v>230</v>
          </cell>
          <cell r="L62">
            <v>229.5313341861692</v>
          </cell>
          <cell r="Q62">
            <v>72263.957032507868</v>
          </cell>
          <cell r="R62">
            <v>45763.786223113821</v>
          </cell>
        </row>
        <row r="63">
          <cell r="E63">
            <v>45812.526000000027</v>
          </cell>
          <cell r="H63">
            <v>230</v>
          </cell>
          <cell r="L63">
            <v>229.5313341861692</v>
          </cell>
          <cell r="Q63">
            <v>72242.923366694027</v>
          </cell>
          <cell r="R63">
            <v>45621.324467530889</v>
          </cell>
        </row>
        <row r="64">
          <cell r="E64">
            <v>45678.580000000031</v>
          </cell>
          <cell r="H64">
            <v>230</v>
          </cell>
          <cell r="L64">
            <v>229.5313341861692</v>
          </cell>
          <cell r="Q64">
            <v>72212.604700880183</v>
          </cell>
          <cell r="R64">
            <v>45487.000711947956</v>
          </cell>
        </row>
        <row r="65">
          <cell r="E65">
            <v>45536.736000000034</v>
          </cell>
          <cell r="H65">
            <v>230</v>
          </cell>
          <cell r="L65">
            <v>229.5313341861692</v>
          </cell>
          <cell r="Q65">
            <v>72174.114035066363</v>
          </cell>
          <cell r="R65">
            <v>45344.778956365022</v>
          </cell>
        </row>
        <row r="66">
          <cell r="E66">
            <v>45390.366000000038</v>
          </cell>
          <cell r="H66">
            <v>230</v>
          </cell>
          <cell r="L66">
            <v>229.5313341861692</v>
          </cell>
          <cell r="Q66">
            <v>72128.596369252526</v>
          </cell>
          <cell r="R66">
            <v>45198.03120078209</v>
          </cell>
        </row>
        <row r="67">
          <cell r="E67">
            <v>45251.75600000003</v>
          </cell>
          <cell r="H67">
            <v>230</v>
          </cell>
          <cell r="L67">
            <v>229.5313341861692</v>
          </cell>
          <cell r="Q67">
            <v>72077.332703438718</v>
          </cell>
          <cell r="R67">
            <v>45059.043445199146</v>
          </cell>
        </row>
      </sheetData>
      <sheetData sheetId="4">
        <row r="28">
          <cell r="B28">
            <v>69281.437000000005</v>
          </cell>
          <cell r="C28">
            <v>69502.341</v>
          </cell>
          <cell r="D28">
            <v>69627.595000000001</v>
          </cell>
          <cell r="E28">
            <v>69836.073000000004</v>
          </cell>
          <cell r="F28">
            <v>70035.138000000006</v>
          </cell>
          <cell r="G28">
            <v>70223.782999999996</v>
          </cell>
          <cell r="H28">
            <v>70402.013999999996</v>
          </cell>
          <cell r="I28">
            <v>70570.168999999994</v>
          </cell>
          <cell r="J28">
            <v>70728.035000000003</v>
          </cell>
          <cell r="K28">
            <v>70875.764999999999</v>
          </cell>
          <cell r="L28">
            <v>71013.837</v>
          </cell>
          <cell r="M28">
            <v>71143.152999999991</v>
          </cell>
          <cell r="N28">
            <v>71264.84599999999</v>
          </cell>
          <cell r="O28">
            <v>71379.937000000005</v>
          </cell>
          <cell r="P28">
            <v>71489.413</v>
          </cell>
          <cell r="Q28">
            <v>71594.113000000012</v>
          </cell>
          <cell r="R28">
            <v>71694.769</v>
          </cell>
          <cell r="S28">
            <v>71791.876000000004</v>
          </cell>
          <cell r="T28">
            <v>71885.673999999999</v>
          </cell>
          <cell r="U28">
            <v>71976.127999999997</v>
          </cell>
          <cell r="V28">
            <v>72062.914000000004</v>
          </cell>
          <cell r="W28">
            <v>72145.027999999991</v>
          </cell>
          <cell r="X28">
            <v>72221.483999999997</v>
          </cell>
          <cell r="Y28">
            <v>72291.646000000008</v>
          </cell>
          <cell r="Z28">
            <v>72354.744000000006</v>
          </cell>
          <cell r="AA28">
            <v>72409.924999999988</v>
          </cell>
          <cell r="AB28">
            <v>72455.718999999997</v>
          </cell>
          <cell r="AC28">
            <v>72490.84</v>
          </cell>
          <cell r="AD28">
            <v>72514.847000000009</v>
          </cell>
          <cell r="AE28">
            <v>72527.418000000005</v>
          </cell>
          <cell r="AF28">
            <v>72528.462999999989</v>
          </cell>
          <cell r="AG28">
            <v>72518.285999999993</v>
          </cell>
          <cell r="AH28">
            <v>72497.72099999999</v>
          </cell>
          <cell r="AI28">
            <v>72467.870999999999</v>
          </cell>
          <cell r="AJ28">
            <v>72429.849000000002</v>
          </cell>
          <cell r="AK28">
            <v>72384.799999999988</v>
          </cell>
          <cell r="AL28">
            <v>72334.005000000005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1">
          <cell r="Q31">
            <v>69281.437000000005</v>
          </cell>
          <cell r="R31">
            <v>44296.4</v>
          </cell>
        </row>
        <row r="32">
          <cell r="Q32">
            <v>69487</v>
          </cell>
          <cell r="R32">
            <v>44344.199814048377</v>
          </cell>
        </row>
        <row r="33">
          <cell r="Q33">
            <v>69592.921344269693</v>
          </cell>
          <cell r="R33">
            <v>44488.686632155004</v>
          </cell>
        </row>
        <row r="34">
          <cell r="Q34">
            <v>69742.899721649475</v>
          </cell>
          <cell r="R34">
            <v>44943.787672582635</v>
          </cell>
        </row>
        <row r="35">
          <cell r="Q35">
            <v>69926.569366242722</v>
          </cell>
          <cell r="R35">
            <v>45309.74333238203</v>
          </cell>
        </row>
        <row r="36">
          <cell r="Q36">
            <v>70130.217363006974</v>
          </cell>
          <cell r="R36">
            <v>45368.858157865368</v>
          </cell>
        </row>
        <row r="37">
          <cell r="Q37">
            <v>70351.499887199927</v>
          </cell>
          <cell r="R37">
            <v>45415.341991851594</v>
          </cell>
        </row>
        <row r="38">
          <cell r="Q38">
            <v>70586.655924072489</v>
          </cell>
          <cell r="R38">
            <v>45462.760959739688</v>
          </cell>
        </row>
        <row r="39">
          <cell r="Q39">
            <v>70835.233466099744</v>
          </cell>
          <cell r="R39">
            <v>45529.640251582379</v>
          </cell>
        </row>
        <row r="40">
          <cell r="Q40">
            <v>71076.06000812698</v>
          </cell>
          <cell r="R40">
            <v>45585.573543425075</v>
          </cell>
        </row>
        <row r="41">
          <cell r="Q41">
            <v>71309.61455015422</v>
          </cell>
          <cell r="R41">
            <v>45627.025835267763</v>
          </cell>
        </row>
        <row r="42">
          <cell r="Q42">
            <v>71536.164092181454</v>
          </cell>
          <cell r="R42">
            <v>45670.859127110445</v>
          </cell>
        </row>
        <row r="43">
          <cell r="Q43">
            <v>71756.063634208695</v>
          </cell>
          <cell r="R43">
            <v>45704.506418953133</v>
          </cell>
        </row>
        <row r="44">
          <cell r="Q44">
            <v>71969.894176235917</v>
          </cell>
          <cell r="R44">
            <v>45740.863710795813</v>
          </cell>
        </row>
        <row r="45">
          <cell r="Q45">
            <v>72178.265718263166</v>
          </cell>
          <cell r="R45">
            <v>45766.599002638504</v>
          </cell>
        </row>
        <row r="46">
          <cell r="Q46">
            <v>72381.648260290414</v>
          </cell>
          <cell r="R46">
            <v>45791.029294481203</v>
          </cell>
        </row>
        <row r="47">
          <cell r="Q47">
            <v>72580.366802317658</v>
          </cell>
          <cell r="R47">
            <v>45845.373586323884</v>
          </cell>
        </row>
        <row r="48">
          <cell r="Q48">
            <v>72774.7593443449</v>
          </cell>
          <cell r="R48">
            <v>45933.311878166576</v>
          </cell>
        </row>
        <row r="49">
          <cell r="Q49">
            <v>72965.054886372149</v>
          </cell>
          <cell r="R49">
            <v>46033.125170009269</v>
          </cell>
        </row>
        <row r="50">
          <cell r="Q50">
            <v>73151.060428399389</v>
          </cell>
          <cell r="R50">
            <v>46147.041461851964</v>
          </cell>
        </row>
        <row r="51">
          <cell r="Q51">
            <v>73332.309970426635</v>
          </cell>
          <cell r="R51">
            <v>46388.530112598753</v>
          </cell>
        </row>
        <row r="52">
          <cell r="Q52">
            <v>73508.467512453892</v>
          </cell>
          <cell r="R52">
            <v>46874.819733208577</v>
          </cell>
        </row>
        <row r="53">
          <cell r="Q53">
            <v>73679.240054481124</v>
          </cell>
          <cell r="R53">
            <v>47251.045026532898</v>
          </cell>
        </row>
        <row r="54">
          <cell r="Q54">
            <v>73844.273596508356</v>
          </cell>
          <cell r="R54">
            <v>47309.849859811147</v>
          </cell>
        </row>
        <row r="55">
          <cell r="Q55">
            <v>74002.177138535597</v>
          </cell>
          <cell r="R55">
            <v>47334.152151653841</v>
          </cell>
        </row>
        <row r="56">
          <cell r="Q56">
            <v>74151.332680562817</v>
          </cell>
          <cell r="R56">
            <v>47358.326443496531</v>
          </cell>
        </row>
        <row r="57">
          <cell r="Q57">
            <v>74291.157222590045</v>
          </cell>
          <cell r="R57">
            <v>47388.853735339209</v>
          </cell>
        </row>
        <row r="58">
          <cell r="Q58">
            <v>74421.29776461728</v>
          </cell>
          <cell r="R58">
            <v>47412.546027181896</v>
          </cell>
        </row>
        <row r="59">
          <cell r="Q59">
            <v>74541.680306644514</v>
          </cell>
          <cell r="R59">
            <v>47433.858319024592</v>
          </cell>
        </row>
        <row r="60">
          <cell r="Q60">
            <v>74652.31984867173</v>
          </cell>
          <cell r="R60">
            <v>47426.160610867279</v>
          </cell>
        </row>
        <row r="61">
          <cell r="Q61">
            <v>74753.422390698979</v>
          </cell>
          <cell r="R61">
            <v>47411.346902709971</v>
          </cell>
        </row>
        <row r="62">
          <cell r="Q62">
            <v>74845.699932726217</v>
          </cell>
          <cell r="R62">
            <v>47386.062194552658</v>
          </cell>
        </row>
        <row r="63">
          <cell r="Q63">
            <v>74930.303474753455</v>
          </cell>
          <cell r="R63">
            <v>47335.482486395333</v>
          </cell>
        </row>
        <row r="64">
          <cell r="Q64">
            <v>75008.420016780699</v>
          </cell>
          <cell r="R64">
            <v>47288.923778238022</v>
          </cell>
        </row>
        <row r="65">
          <cell r="Q65">
            <v>75081.112558807945</v>
          </cell>
          <cell r="R65">
            <v>47230.067070080702</v>
          </cell>
        </row>
        <row r="66">
          <cell r="Q66">
            <v>75149.517100835175</v>
          </cell>
          <cell r="R66">
            <v>47158.847361923392</v>
          </cell>
        </row>
        <row r="67">
          <cell r="Q67">
            <v>75214.776642862445</v>
          </cell>
          <cell r="R67">
            <v>47088.22565376608</v>
          </cell>
        </row>
      </sheetData>
      <sheetData sheetId="11" refreshError="1"/>
      <sheetData sheetId="12">
        <row r="28">
          <cell r="B28">
            <v>67602.760999999999</v>
          </cell>
          <cell r="C28">
            <v>68492.494999999995</v>
          </cell>
          <cell r="D28">
            <v>69226.231</v>
          </cell>
          <cell r="E28">
            <v>69867.978999999992</v>
          </cell>
          <cell r="F28">
            <v>70414.3</v>
          </cell>
          <cell r="G28">
            <v>70861.913</v>
          </cell>
          <cell r="H28">
            <v>71208.100999999995</v>
          </cell>
          <cell r="I28">
            <v>71547.661999999997</v>
          </cell>
          <cell r="J28">
            <v>71879.988000000012</v>
          </cell>
          <cell r="K28">
            <v>72204.573999999993</v>
          </cell>
          <cell r="L28">
            <v>72521.17300000001</v>
          </cell>
          <cell r="M28">
            <v>72830.021000000008</v>
          </cell>
          <cell r="N28">
            <v>73131.597000000009</v>
          </cell>
          <cell r="O28">
            <v>73426.168000000005</v>
          </cell>
          <cell r="P28">
            <v>73714.089000000007</v>
          </cell>
          <cell r="Q28">
            <v>73995.940999999992</v>
          </cell>
          <cell r="R28">
            <v>74272.334000000003</v>
          </cell>
          <cell r="S28">
            <v>74543.737999999998</v>
          </cell>
          <cell r="T28">
            <v>74810.478000000003</v>
          </cell>
          <cell r="U28">
            <v>75072.891999999993</v>
          </cell>
          <cell r="V28">
            <v>75331.209000000003</v>
          </cell>
          <cell r="W28">
            <v>75585.236000000004</v>
          </cell>
          <cell r="X28">
            <v>75834.506999999998</v>
          </cell>
          <cell r="Y28">
            <v>76078.686000000002</v>
          </cell>
          <cell r="Z28">
            <v>76317.48</v>
          </cell>
          <cell r="AA28">
            <v>76550.535000000003</v>
          </cell>
          <cell r="AB28">
            <v>76776.460000000006</v>
          </cell>
          <cell r="AC28">
            <v>76993.637000000002</v>
          </cell>
          <cell r="AD28">
            <v>77201.483000000007</v>
          </cell>
          <cell r="AE28">
            <v>77399.645000000004</v>
          </cell>
          <cell r="AF28">
            <v>77588.048999999999</v>
          </cell>
          <cell r="AG28">
            <v>77766.709999999992</v>
          </cell>
          <cell r="AH28">
            <v>77935.834000000003</v>
          </cell>
          <cell r="AI28">
            <v>78096.133000000002</v>
          </cell>
          <cell r="AJ28">
            <v>78248.758000000002</v>
          </cell>
          <cell r="AK28">
            <v>78394.896000000008</v>
          </cell>
          <cell r="AL28">
            <v>78535.61</v>
          </cell>
          <cell r="AM28">
            <v>78672.035999999993</v>
          </cell>
          <cell r="AN28">
            <v>78805.31700000001</v>
          </cell>
        </row>
        <row r="41">
          <cell r="B41">
            <v>43217.197999999997</v>
          </cell>
          <cell r="C41">
            <v>43814.745999999999</v>
          </cell>
          <cell r="D41">
            <v>44296.4</v>
          </cell>
          <cell r="E41">
            <v>44778.332999999999</v>
          </cell>
          <cell r="F41">
            <v>45291.720207650265</v>
          </cell>
          <cell r="G41">
            <v>45995.678887671238</v>
          </cell>
          <cell r="H41">
            <v>46497.043000000005</v>
          </cell>
          <cell r="I41">
            <v>46669.399000000005</v>
          </cell>
          <cell r="J41">
            <v>46808.403000000006</v>
          </cell>
          <cell r="K41">
            <v>46930.334000000003</v>
          </cell>
          <cell r="L41">
            <v>47053.888000000006</v>
          </cell>
          <cell r="M41">
            <v>47166.496000000014</v>
          </cell>
          <cell r="N41">
            <v>47264.623000000014</v>
          </cell>
          <cell r="O41">
            <v>47365.131000000008</v>
          </cell>
          <cell r="P41">
            <v>47455.453000000009</v>
          </cell>
          <cell r="Q41">
            <v>47548.485000000001</v>
          </cell>
          <cell r="R41">
            <v>47630.895000000004</v>
          </cell>
          <cell r="S41">
            <v>47712.000000000015</v>
          </cell>
          <cell r="T41">
            <v>47823.019000000008</v>
          </cell>
          <cell r="U41">
            <v>47967.632000000012</v>
          </cell>
          <cell r="V41">
            <v>48124.120000000017</v>
          </cell>
          <cell r="W41">
            <v>48294.711000000025</v>
          </cell>
          <cell r="X41">
            <v>48592.874358904126</v>
          </cell>
          <cell r="Y41">
            <v>49135.838687671261</v>
          </cell>
          <cell r="Z41">
            <v>49568.677000000018</v>
          </cell>
          <cell r="AA41">
            <v>49684.131000000016</v>
          </cell>
          <cell r="AB41">
            <v>49765.108000000022</v>
          </cell>
          <cell r="AC41">
            <v>49845.957000000024</v>
          </cell>
          <cell r="AD41">
            <v>49933.159000000014</v>
          </cell>
          <cell r="AE41">
            <v>50013.526000000013</v>
          </cell>
          <cell r="AF41">
            <v>50091.513000000021</v>
          </cell>
          <cell r="AG41">
            <v>50140.49000000002</v>
          </cell>
          <cell r="AH41">
            <v>50182.351000000024</v>
          </cell>
          <cell r="AI41">
            <v>50213.741000000024</v>
          </cell>
          <cell r="AJ41">
            <v>50219.83600000001</v>
          </cell>
          <cell r="AK41">
            <v>50229.952000000012</v>
          </cell>
          <cell r="AL41">
            <v>50227.770000000004</v>
          </cell>
          <cell r="AM41">
            <v>50213.225000000006</v>
          </cell>
          <cell r="AN41">
            <v>50199.278000000006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 2025 Line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EF4130"/>
      </a:accent2>
      <a:accent3>
        <a:srgbClr val="008AC8"/>
      </a:accent3>
      <a:accent4>
        <a:srgbClr val="E7A800"/>
      </a:accent4>
      <a:accent5>
        <a:srgbClr val="7D8992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CEBE-A398-439E-BCCE-E6CC67600DA8}">
  <dimension ref="A1:P65"/>
  <sheetViews>
    <sheetView tabSelected="1" workbookViewId="0">
      <pane ySplit="2" topLeftCell="A30" activePane="bottomLeft" state="frozen"/>
      <selection pane="bottomLeft" activeCell="H53" sqref="H53"/>
    </sheetView>
  </sheetViews>
  <sheetFormatPr defaultRowHeight="15" x14ac:dyDescent="0.25"/>
  <cols>
    <col min="5" max="5" width="2.7109375" customWidth="1"/>
    <col min="11" max="11" width="2.7109375" customWidth="1"/>
  </cols>
  <sheetData>
    <row r="1" spans="1:16" x14ac:dyDescent="0.25">
      <c r="A1" s="1" t="s">
        <v>1</v>
      </c>
      <c r="F1" s="3" t="s">
        <v>2</v>
      </c>
      <c r="I1" s="4"/>
      <c r="J1" s="4"/>
      <c r="L1" s="3" t="s">
        <v>6</v>
      </c>
      <c r="O1" s="4"/>
      <c r="P1" s="4"/>
    </row>
    <row r="2" spans="1:16" x14ac:dyDescent="0.25">
      <c r="B2" t="s">
        <v>3</v>
      </c>
      <c r="C2" t="s">
        <v>5</v>
      </c>
      <c r="D2" t="s">
        <v>4</v>
      </c>
      <c r="G2" t="s">
        <v>3</v>
      </c>
      <c r="H2" t="s">
        <v>0</v>
      </c>
      <c r="I2" t="s">
        <v>5</v>
      </c>
      <c r="J2" t="s">
        <v>4</v>
      </c>
      <c r="M2" t="s">
        <v>3</v>
      </c>
      <c r="N2" t="s">
        <v>0</v>
      </c>
      <c r="O2" t="s">
        <v>5</v>
      </c>
      <c r="P2" t="s">
        <v>4</v>
      </c>
    </row>
    <row r="3" spans="1:16" x14ac:dyDescent="0.25">
      <c r="A3">
        <v>2000</v>
      </c>
      <c r="B3" s="2">
        <f>'[1]2024-based'!L7</f>
        <v>139.30000000000001</v>
      </c>
      <c r="C3" s="2"/>
      <c r="F3">
        <v>2000</v>
      </c>
      <c r="G3" s="2">
        <f>'[1]2024-based'!Q7</f>
        <v>58886.065000000002</v>
      </c>
      <c r="H3" s="2"/>
      <c r="L3">
        <v>2000</v>
      </c>
      <c r="M3" s="2">
        <f>'[1]2024-based'!R7</f>
        <v>36138.28</v>
      </c>
      <c r="N3" s="2"/>
      <c r="O3" s="2"/>
    </row>
    <row r="4" spans="1:16" x14ac:dyDescent="0.25">
      <c r="A4">
        <v>2001</v>
      </c>
      <c r="B4" s="2">
        <f>'[1]2024-based'!L8</f>
        <v>153.19999999999999</v>
      </c>
      <c r="C4" s="2"/>
      <c r="F4">
        <v>2001</v>
      </c>
      <c r="G4" s="2">
        <f>'[1]2024-based'!Q8</f>
        <v>59113.016000000003</v>
      </c>
      <c r="H4" s="2"/>
      <c r="L4">
        <v>2001</v>
      </c>
      <c r="M4" s="2">
        <f>'[1]2024-based'!R8</f>
        <v>36404.514999999999</v>
      </c>
      <c r="N4" s="2"/>
      <c r="O4" s="2"/>
    </row>
    <row r="5" spans="1:16" x14ac:dyDescent="0.25">
      <c r="A5">
        <v>2002</v>
      </c>
      <c r="B5" s="2">
        <f>'[1]2024-based'!L9</f>
        <v>190.9</v>
      </c>
      <c r="C5" s="2"/>
      <c r="F5">
        <v>2002</v>
      </c>
      <c r="G5" s="2">
        <f>'[1]2024-based'!Q9</f>
        <v>59365.677000000003</v>
      </c>
      <c r="H5" s="2"/>
      <c r="I5" s="2"/>
      <c r="J5" s="2"/>
      <c r="L5">
        <v>2002</v>
      </c>
      <c r="M5" s="2">
        <f>'[1]2024-based'!R9</f>
        <v>36659.671999999999</v>
      </c>
      <c r="N5" s="2"/>
      <c r="O5" s="2"/>
      <c r="P5" s="2"/>
    </row>
    <row r="6" spans="1:16" x14ac:dyDescent="0.25">
      <c r="A6">
        <v>2003</v>
      </c>
      <c r="B6" s="2">
        <f>'[1]2024-based'!L10</f>
        <v>194.3</v>
      </c>
      <c r="C6" s="2"/>
      <c r="F6">
        <v>2003</v>
      </c>
      <c r="G6" s="2">
        <f>'[1]2024-based'!Q10</f>
        <v>59636.661999999997</v>
      </c>
      <c r="H6" s="2"/>
      <c r="I6" s="2"/>
      <c r="J6" s="2"/>
      <c r="L6">
        <v>2003</v>
      </c>
      <c r="M6" s="2">
        <f>'[1]2024-based'!R10</f>
        <v>36881.438999999998</v>
      </c>
      <c r="N6" s="2"/>
      <c r="O6" s="2"/>
      <c r="P6" s="2"/>
    </row>
    <row r="7" spans="1:16" x14ac:dyDescent="0.25">
      <c r="A7">
        <v>2004</v>
      </c>
      <c r="B7" s="2">
        <f>'[1]2024-based'!L11</f>
        <v>209.5</v>
      </c>
      <c r="C7" s="2"/>
      <c r="F7">
        <v>2004</v>
      </c>
      <c r="G7" s="2">
        <f>'[1]2024-based'!Q11</f>
        <v>59950.364000000001</v>
      </c>
      <c r="H7" s="2"/>
      <c r="I7" s="2"/>
      <c r="J7" s="2"/>
      <c r="L7">
        <v>2004</v>
      </c>
      <c r="M7" s="2">
        <f>'[1]2024-based'!R11</f>
        <v>37142.258999999998</v>
      </c>
      <c r="N7" s="2"/>
      <c r="O7" s="2"/>
      <c r="P7" s="2"/>
    </row>
    <row r="8" spans="1:16" x14ac:dyDescent="0.25">
      <c r="A8">
        <v>2005</v>
      </c>
      <c r="B8" s="2">
        <f>'[1]2024-based'!L12</f>
        <v>335.6</v>
      </c>
      <c r="C8" s="2"/>
      <c r="F8">
        <v>2005</v>
      </c>
      <c r="G8" s="2">
        <f>'[1]2024-based'!Q12</f>
        <v>60413.275999999998</v>
      </c>
      <c r="H8" s="2"/>
      <c r="I8" s="2"/>
      <c r="J8" s="2"/>
      <c r="L8">
        <v>2005</v>
      </c>
      <c r="M8" s="2">
        <f>'[1]2024-based'!R12</f>
        <v>37521.148000000001</v>
      </c>
      <c r="N8" s="2"/>
      <c r="O8" s="2"/>
      <c r="P8" s="2"/>
    </row>
    <row r="9" spans="1:16" x14ac:dyDescent="0.25">
      <c r="A9">
        <v>2006</v>
      </c>
      <c r="B9" s="2">
        <f>'[1]2024-based'!L13</f>
        <v>254.5</v>
      </c>
      <c r="C9" s="2"/>
      <c r="F9">
        <v>2006</v>
      </c>
      <c r="G9" s="2">
        <f>'[1]2024-based'!Q13</f>
        <v>60826.966999999997</v>
      </c>
      <c r="H9" s="2"/>
      <c r="I9" s="2"/>
      <c r="J9" s="2"/>
      <c r="L9">
        <v>2006</v>
      </c>
      <c r="M9" s="2">
        <f>'[1]2024-based'!R13</f>
        <v>37848.466</v>
      </c>
      <c r="N9" s="2"/>
      <c r="O9" s="2"/>
      <c r="P9" s="2"/>
    </row>
    <row r="10" spans="1:16" x14ac:dyDescent="0.25">
      <c r="A10">
        <v>2007</v>
      </c>
      <c r="B10" s="2">
        <f>'[1]2024-based'!L14</f>
        <v>304.60000000000002</v>
      </c>
      <c r="C10" s="2"/>
      <c r="F10">
        <v>2007</v>
      </c>
      <c r="G10" s="2">
        <f>'[1]2024-based'!Q14</f>
        <v>61319.074999999997</v>
      </c>
      <c r="H10" s="2"/>
      <c r="I10" s="2"/>
      <c r="J10" s="2"/>
      <c r="L10">
        <v>2007</v>
      </c>
      <c r="M10" s="2">
        <f>'[1]2024-based'!R14</f>
        <v>38112.955999999998</v>
      </c>
      <c r="N10" s="2"/>
      <c r="O10" s="2"/>
      <c r="P10" s="2"/>
    </row>
    <row r="11" spans="1:16" x14ac:dyDescent="0.25">
      <c r="A11">
        <v>2008</v>
      </c>
      <c r="B11" s="2">
        <f>'[1]2024-based'!L15</f>
        <v>283.60000000000002</v>
      </c>
      <c r="C11" s="2"/>
      <c r="F11">
        <v>2008</v>
      </c>
      <c r="G11" s="2">
        <f>'[1]2024-based'!Q15</f>
        <v>61823.771999999997</v>
      </c>
      <c r="H11" s="2"/>
      <c r="I11" s="2"/>
      <c r="J11" s="2"/>
      <c r="L11">
        <v>2008</v>
      </c>
      <c r="M11" s="2">
        <f>'[1]2024-based'!R15</f>
        <v>38355.415000000001</v>
      </c>
      <c r="N11" s="2"/>
      <c r="O11" s="2"/>
      <c r="P11" s="2"/>
    </row>
    <row r="12" spans="1:16" x14ac:dyDescent="0.25">
      <c r="A12">
        <v>2009</v>
      </c>
      <c r="B12" s="2">
        <f>'[1]2024-based'!L16</f>
        <v>219.8</v>
      </c>
      <c r="C12" s="2"/>
      <c r="F12">
        <v>2009</v>
      </c>
      <c r="G12" s="2">
        <f>'[1]2024-based'!Q16</f>
        <v>62260.485999999997</v>
      </c>
      <c r="H12" s="2"/>
      <c r="I12" s="2"/>
      <c r="J12" s="2"/>
      <c r="L12">
        <v>2009</v>
      </c>
      <c r="M12" s="2">
        <f>'[1]2024-based'!R16</f>
        <v>38529.427000000003</v>
      </c>
      <c r="N12" s="2"/>
      <c r="O12" s="2"/>
      <c r="P12" s="2"/>
    </row>
    <row r="13" spans="1:16" x14ac:dyDescent="0.25">
      <c r="A13">
        <v>2010</v>
      </c>
      <c r="B13" s="2">
        <f>'[1]2024-based'!L17</f>
        <v>255.4</v>
      </c>
      <c r="C13" s="2"/>
      <c r="F13">
        <v>2010</v>
      </c>
      <c r="G13" s="2">
        <f>'[1]2024-based'!Q17</f>
        <v>62759.455999999998</v>
      </c>
      <c r="H13" s="2"/>
      <c r="I13" s="2"/>
      <c r="J13" s="2"/>
      <c r="L13">
        <v>2010</v>
      </c>
      <c r="M13" s="2">
        <f>'[1]2024-based'!R17</f>
        <v>38816.110153424655</v>
      </c>
      <c r="N13" s="2"/>
      <c r="O13" s="2"/>
      <c r="P13" s="2"/>
    </row>
    <row r="14" spans="1:16" x14ac:dyDescent="0.25">
      <c r="A14">
        <v>2011</v>
      </c>
      <c r="B14" s="2">
        <f>'[1]2024-based'!L18</f>
        <v>270.3</v>
      </c>
      <c r="C14" s="5"/>
      <c r="F14">
        <v>2011</v>
      </c>
      <c r="G14" s="2">
        <f>'[1]2024-based'!Q18</f>
        <v>63285.144999999997</v>
      </c>
      <c r="H14" s="2"/>
      <c r="I14" s="2"/>
      <c r="J14" s="2"/>
      <c r="L14">
        <v>2011</v>
      </c>
      <c r="M14" s="2">
        <f>'[1]2024-based'!R18</f>
        <v>39306.528200000001</v>
      </c>
      <c r="N14" s="2"/>
      <c r="O14" s="2"/>
      <c r="P14" s="2"/>
    </row>
    <row r="15" spans="1:16" x14ac:dyDescent="0.25">
      <c r="A15">
        <v>2012</v>
      </c>
      <c r="B15" s="2">
        <f>'[1]2024-based'!L19</f>
        <v>162</v>
      </c>
      <c r="C15" s="2"/>
      <c r="F15">
        <v>2012</v>
      </c>
      <c r="G15" s="2">
        <f>'[1]2024-based'!Q19</f>
        <v>63710.542999999998</v>
      </c>
      <c r="H15" s="2"/>
      <c r="I15" s="2"/>
      <c r="J15" s="2"/>
      <c r="L15">
        <v>2012</v>
      </c>
      <c r="M15" s="2">
        <f>'[1]2024-based'!R19</f>
        <v>39534.445950000001</v>
      </c>
      <c r="N15" s="2"/>
      <c r="O15" s="2"/>
      <c r="P15" s="2"/>
    </row>
    <row r="16" spans="1:16" x14ac:dyDescent="0.25">
      <c r="A16">
        <v>2013</v>
      </c>
      <c r="B16" s="2">
        <f>'[1]2024-based'!L20</f>
        <v>215</v>
      </c>
      <c r="C16" s="2"/>
      <c r="F16">
        <v>2013</v>
      </c>
      <c r="G16" s="2">
        <f>'[1]2024-based'!Q20</f>
        <v>64138.220999999998</v>
      </c>
      <c r="H16" s="2"/>
      <c r="I16" s="2"/>
      <c r="J16" s="2"/>
      <c r="L16">
        <v>2013</v>
      </c>
      <c r="M16" s="2">
        <f>'[1]2024-based'!R20</f>
        <v>39840.43795</v>
      </c>
      <c r="N16" s="2"/>
      <c r="O16" s="2"/>
      <c r="P16" s="2"/>
    </row>
    <row r="17" spans="1:16" x14ac:dyDescent="0.25">
      <c r="A17">
        <v>2014</v>
      </c>
      <c r="B17" s="2">
        <f>'[1]2024-based'!L21</f>
        <v>248</v>
      </c>
      <c r="C17" s="2"/>
      <c r="D17" s="2"/>
      <c r="F17">
        <v>2014</v>
      </c>
      <c r="G17" s="2">
        <f>'[1]2024-based'!Q21</f>
        <v>64618.692999999999</v>
      </c>
      <c r="H17" s="2"/>
      <c r="I17" s="2"/>
      <c r="J17" s="2"/>
      <c r="L17">
        <v>2014</v>
      </c>
      <c r="M17" s="2">
        <f>'[1]2024-based'!R21</f>
        <v>40180.148150000001</v>
      </c>
      <c r="N17" s="2"/>
      <c r="O17" s="2"/>
      <c r="P17" s="2"/>
    </row>
    <row r="18" spans="1:16" x14ac:dyDescent="0.25">
      <c r="A18">
        <v>2015</v>
      </c>
      <c r="B18" s="2">
        <f>'[1]2024-based'!L22</f>
        <v>296</v>
      </c>
      <c r="C18" s="2"/>
      <c r="D18" s="2"/>
      <c r="F18">
        <v>2015</v>
      </c>
      <c r="G18" s="2">
        <f>'[1]2024-based'!Q22</f>
        <v>65086.957999999999</v>
      </c>
      <c r="H18" s="2"/>
      <c r="I18" s="2"/>
      <c r="J18" s="2"/>
      <c r="L18">
        <v>2015</v>
      </c>
      <c r="M18" s="2">
        <f>'[1]2024-based'!R22</f>
        <v>40562.982499999998</v>
      </c>
      <c r="N18" s="2"/>
      <c r="O18" s="2"/>
      <c r="P18" s="2"/>
    </row>
    <row r="19" spans="1:16" x14ac:dyDescent="0.25">
      <c r="A19">
        <v>2016</v>
      </c>
      <c r="B19" s="2">
        <f>'[1]2024-based'!L23</f>
        <v>321</v>
      </c>
      <c r="C19" s="2"/>
      <c r="D19" s="2"/>
      <c r="F19">
        <v>2016</v>
      </c>
      <c r="G19" s="2">
        <f>'[1]2024-based'!Q23</f>
        <v>65605.841</v>
      </c>
      <c r="H19" s="2"/>
      <c r="I19" s="2"/>
      <c r="J19" s="2"/>
      <c r="L19">
        <v>2016</v>
      </c>
      <c r="M19" s="2">
        <f>'[1]2024-based'!R23</f>
        <v>40993.945959999997</v>
      </c>
      <c r="N19" s="2"/>
      <c r="O19" s="2"/>
      <c r="P19" s="2"/>
    </row>
    <row r="20" spans="1:16" x14ac:dyDescent="0.25">
      <c r="A20">
        <v>2017</v>
      </c>
      <c r="B20" s="2">
        <f>'[1]2024-based'!L24</f>
        <v>200</v>
      </c>
      <c r="C20" s="2"/>
      <c r="D20" s="2"/>
      <c r="F20">
        <v>2017</v>
      </c>
      <c r="G20" s="2">
        <f>'[1]2024-based'!Q24</f>
        <v>65964.292000000001</v>
      </c>
      <c r="H20" s="2"/>
      <c r="I20" s="2"/>
      <c r="J20" s="2"/>
      <c r="L20">
        <v>2017</v>
      </c>
      <c r="M20" s="2">
        <f>'[1]2024-based'!R24</f>
        <v>41363.364939999999</v>
      </c>
      <c r="N20" s="2"/>
      <c r="O20" s="2"/>
      <c r="P20" s="2"/>
    </row>
    <row r="21" spans="1:16" x14ac:dyDescent="0.25">
      <c r="A21">
        <v>2018</v>
      </c>
      <c r="B21" s="2">
        <f>'[1]2024-based'!L25</f>
        <v>216</v>
      </c>
      <c r="C21" s="2"/>
      <c r="D21" s="2"/>
      <c r="F21">
        <v>2018</v>
      </c>
      <c r="G21" s="2">
        <f>'[1]2024-based'!Q25</f>
        <v>66286.726999999999</v>
      </c>
      <c r="H21" s="2"/>
      <c r="I21" s="2"/>
      <c r="J21" s="2"/>
      <c r="L21">
        <v>2018</v>
      </c>
      <c r="M21" s="2">
        <f>'[1]2024-based'!R25</f>
        <v>41729.733894000005</v>
      </c>
      <c r="N21" s="2"/>
      <c r="O21" s="2"/>
      <c r="P21" s="2"/>
    </row>
    <row r="22" spans="1:16" x14ac:dyDescent="0.25">
      <c r="A22">
        <v>2019</v>
      </c>
      <c r="B22" s="2">
        <f>'[1]2024-based'!L26</f>
        <v>224</v>
      </c>
      <c r="C22" s="2"/>
      <c r="D22" s="2"/>
      <c r="F22">
        <v>2019</v>
      </c>
      <c r="G22" s="2">
        <f>'[1]2024-based'!Q26</f>
        <v>66627.506999999998</v>
      </c>
      <c r="H22" s="2"/>
      <c r="I22" s="2"/>
      <c r="J22" s="2"/>
      <c r="L22">
        <v>2019</v>
      </c>
      <c r="M22" s="2">
        <f>'[1]2024-based'!R26</f>
        <v>42226.830568999998</v>
      </c>
      <c r="N22" s="2"/>
      <c r="O22" s="2"/>
      <c r="P22" s="2"/>
    </row>
    <row r="23" spans="1:16" x14ac:dyDescent="0.25">
      <c r="A23">
        <v>2020</v>
      </c>
      <c r="B23" s="2">
        <f>'[1]2024-based'!L27</f>
        <v>111</v>
      </c>
      <c r="C23" s="2"/>
      <c r="D23" s="2"/>
      <c r="F23">
        <v>2020</v>
      </c>
      <c r="G23" s="2">
        <f>'[1]2024-based'!Q27</f>
        <v>66739.866999999998</v>
      </c>
      <c r="H23" s="2"/>
      <c r="I23" s="2"/>
      <c r="J23" s="2"/>
      <c r="L23">
        <v>2020</v>
      </c>
      <c r="M23" s="2">
        <f>'[1]2024-based'!R27</f>
        <v>42614.416799999999</v>
      </c>
      <c r="N23" s="2"/>
      <c r="O23" s="2"/>
      <c r="P23" s="2"/>
    </row>
    <row r="24" spans="1:16" x14ac:dyDescent="0.25">
      <c r="A24">
        <v>2021</v>
      </c>
      <c r="B24" s="2">
        <f>'[1]2024-based'!L28</f>
        <v>251</v>
      </c>
      <c r="C24" s="2"/>
      <c r="D24" s="2"/>
      <c r="F24">
        <v>2021</v>
      </c>
      <c r="G24" s="2">
        <f>'[1]2024-based'!Q28</f>
        <v>66977.987999999998</v>
      </c>
      <c r="H24" s="2"/>
      <c r="I24" s="2"/>
      <c r="J24" s="2"/>
      <c r="L24">
        <v>2021</v>
      </c>
      <c r="M24" s="2">
        <f>'[1]2024-based'!R28</f>
        <v>42845.41</v>
      </c>
      <c r="N24" s="2"/>
      <c r="O24" s="2"/>
      <c r="P24" s="2"/>
    </row>
    <row r="25" spans="1:16" x14ac:dyDescent="0.25">
      <c r="A25">
        <v>2022</v>
      </c>
      <c r="B25" s="2">
        <f>'[1]2024-based'!L29</f>
        <v>681</v>
      </c>
      <c r="C25" s="2"/>
      <c r="D25" s="2"/>
      <c r="F25">
        <v>2022</v>
      </c>
      <c r="G25" s="2">
        <f>'[1]2024-based'!Q29</f>
        <v>67636.134000000005</v>
      </c>
      <c r="H25" s="2"/>
      <c r="I25" s="2"/>
      <c r="J25" s="2">
        <f t="array" ref="J25:J63">TRANSPOSE('[1]2022 calcs'!$B$28:$AN$28)</f>
        <v>67602.760999999999</v>
      </c>
      <c r="L25">
        <v>2022</v>
      </c>
      <c r="M25" s="2">
        <f>'[1]2024-based'!R29</f>
        <v>43217.197999999997</v>
      </c>
      <c r="N25" s="2"/>
      <c r="O25" s="2"/>
      <c r="P25" s="2">
        <f t="array" ref="P25:P63">TRANSPOSE('[1]2022 calcs'!$B$41:$AN$41)</f>
        <v>43217.197999999997</v>
      </c>
    </row>
    <row r="26" spans="1:16" x14ac:dyDescent="0.25">
      <c r="A26">
        <v>2023</v>
      </c>
      <c r="B26" s="2">
        <f>'[1]2024-based'!L30</f>
        <v>924</v>
      </c>
      <c r="C26" s="2">
        <f>'[1]2024-based'!H30</f>
        <v>924</v>
      </c>
      <c r="D26" s="2">
        <v>906</v>
      </c>
      <c r="F26">
        <v>2023</v>
      </c>
      <c r="G26" s="2">
        <f>'[1]2024-based'!Q30</f>
        <v>68526.183000000005</v>
      </c>
      <c r="H26" s="2"/>
      <c r="I26" s="2"/>
      <c r="J26" s="2">
        <v>68492.494999999995</v>
      </c>
      <c r="L26">
        <v>2023</v>
      </c>
      <c r="M26" s="2">
        <f>'[1]2024-based'!R30</f>
        <v>43814.745999999999</v>
      </c>
      <c r="N26" s="2"/>
      <c r="O26" s="2"/>
      <c r="P26" s="2">
        <v>43814.745999999999</v>
      </c>
    </row>
    <row r="27" spans="1:16" x14ac:dyDescent="0.25">
      <c r="A27">
        <v>2024</v>
      </c>
      <c r="B27" s="2">
        <f>'[1]2024-based'!L31</f>
        <v>649</v>
      </c>
      <c r="C27" s="2">
        <f>'[1]2024-based'!H31</f>
        <v>649</v>
      </c>
      <c r="D27" s="2">
        <v>728</v>
      </c>
      <c r="F27">
        <v>2024</v>
      </c>
      <c r="G27" s="2">
        <f>'[1]2024-based'!Q31</f>
        <v>69281.437000000005</v>
      </c>
      <c r="H27" s="2">
        <f>'[1]2022-based'!Q31</f>
        <v>69281.437000000005</v>
      </c>
      <c r="I27" s="2">
        <f t="array" ref="I27:I63">TRANSPOSE('[1]2024 calcs'!$B$28:$AL$28)</f>
        <v>69281.437000000005</v>
      </c>
      <c r="J27" s="2">
        <v>69226.231</v>
      </c>
      <c r="L27">
        <v>2024</v>
      </c>
      <c r="M27" s="2">
        <f>'[1]2024-based'!R31</f>
        <v>44296.4</v>
      </c>
      <c r="N27" s="2">
        <f>'[1]2022-based'!R31</f>
        <v>44296.4</v>
      </c>
      <c r="O27" s="2">
        <f>'[1]2024-based'!E31</f>
        <v>44296.4</v>
      </c>
      <c r="P27" s="2">
        <v>44296.4</v>
      </c>
    </row>
    <row r="28" spans="1:16" x14ac:dyDescent="0.25">
      <c r="A28">
        <v>2025</v>
      </c>
      <c r="B28" s="2">
        <f>'[1]2024-based'!L32</f>
        <v>204</v>
      </c>
      <c r="C28" s="2">
        <f>'[1]2024-based'!H32</f>
        <v>203.99999999999997</v>
      </c>
      <c r="D28" s="2">
        <v>630.9</v>
      </c>
      <c r="F28">
        <v>2025</v>
      </c>
      <c r="G28" s="2">
        <f>'[1]2024-based'!Q32</f>
        <v>69487</v>
      </c>
      <c r="H28" s="2">
        <f>'[1]2022-based'!Q32</f>
        <v>69487</v>
      </c>
      <c r="I28" s="2">
        <v>69502.341</v>
      </c>
      <c r="J28" s="2">
        <v>69867.978999999992</v>
      </c>
      <c r="L28">
        <v>2025</v>
      </c>
      <c r="M28" s="2">
        <f>'[1]2024-based'!R32</f>
        <v>44422.98</v>
      </c>
      <c r="N28" s="2">
        <f>'[1]2022-based'!R32</f>
        <v>44344.199814048377</v>
      </c>
      <c r="O28" s="2">
        <f>'[1]2024-based'!E32</f>
        <v>44422.98000000001</v>
      </c>
      <c r="P28" s="2">
        <v>44778.332999999999</v>
      </c>
    </row>
    <row r="29" spans="1:16" x14ac:dyDescent="0.25">
      <c r="A29">
        <v>2026</v>
      </c>
      <c r="B29" s="2">
        <f>'[1]2024-based'!L33</f>
        <v>93.400344269696802</v>
      </c>
      <c r="C29" s="2">
        <f>'[1]2024-based'!H33</f>
        <v>137.99999999999997</v>
      </c>
      <c r="D29" s="2">
        <v>533.79999999999995</v>
      </c>
      <c r="F29">
        <v>2026</v>
      </c>
      <c r="G29" s="2">
        <f>'[1]2024-based'!Q33</f>
        <v>69567.6543442697</v>
      </c>
      <c r="H29" s="2">
        <f>'[1]2022-based'!Q33</f>
        <v>69592.921344269693</v>
      </c>
      <c r="I29" s="2">
        <v>69627.595000000001</v>
      </c>
      <c r="J29" s="2">
        <v>70414.3</v>
      </c>
      <c r="L29">
        <v>2026</v>
      </c>
      <c r="M29" s="2">
        <f>'[1]2024-based'!R33</f>
        <v>44571.483287533832</v>
      </c>
      <c r="N29" s="2">
        <f>'[1]2022-based'!R33</f>
        <v>44488.686632155004</v>
      </c>
      <c r="O29" s="2">
        <f>'[1]2024-based'!E33</f>
        <v>44605.685387978156</v>
      </c>
      <c r="P29" s="2">
        <v>45291.720207650265</v>
      </c>
    </row>
    <row r="30" spans="1:16" x14ac:dyDescent="0.25">
      <c r="A30">
        <v>2027</v>
      </c>
      <c r="B30" s="2">
        <f>'[1]2024-based'!L34</f>
        <v>131.99698434795698</v>
      </c>
      <c r="C30" s="2">
        <f>'[1]2024-based'!H34</f>
        <v>230</v>
      </c>
      <c r="D30" s="2">
        <v>436.7</v>
      </c>
      <c r="F30">
        <v>2027</v>
      </c>
      <c r="G30" s="2">
        <f>'[1]2024-based'!Q34</f>
        <v>69678.129328617651</v>
      </c>
      <c r="H30" s="2">
        <f>'[1]2022-based'!Q34</f>
        <v>69742.899721649475</v>
      </c>
      <c r="I30" s="2">
        <v>69836.073000000004</v>
      </c>
      <c r="J30" s="2">
        <v>70861.913</v>
      </c>
      <c r="L30">
        <v>2027</v>
      </c>
      <c r="M30" s="2">
        <f>'[1]2024-based'!R34</f>
        <v>45026.049684118152</v>
      </c>
      <c r="N30" s="2">
        <f>'[1]2022-based'!R34</f>
        <v>44943.787672582635</v>
      </c>
      <c r="O30" s="2">
        <f>'[1]2024-based'!E34</f>
        <v>45139.185624657548</v>
      </c>
      <c r="P30" s="2">
        <v>45995.678887671238</v>
      </c>
    </row>
    <row r="31" spans="1:16" x14ac:dyDescent="0.25">
      <c r="A31">
        <v>2028</v>
      </c>
      <c r="B31" s="2">
        <f>'[1]2024-based'!L35</f>
        <v>176.86761231093396</v>
      </c>
      <c r="C31" s="2">
        <f>'[1]2024-based'!H35</f>
        <v>230</v>
      </c>
      <c r="D31" s="2">
        <v>340</v>
      </c>
      <c r="F31">
        <v>2028</v>
      </c>
      <c r="G31" s="2">
        <f>'[1]2024-based'!Q35</f>
        <v>69824.061940928586</v>
      </c>
      <c r="H31" s="2">
        <f>'[1]2022-based'!Q35</f>
        <v>69926.569366242722</v>
      </c>
      <c r="I31" s="2">
        <v>70035.138000000006</v>
      </c>
      <c r="J31" s="2">
        <v>71208.100999999995</v>
      </c>
      <c r="L31">
        <v>2028</v>
      </c>
      <c r="M31" s="2">
        <f>'[1]2024-based'!R35</f>
        <v>45397.597115063167</v>
      </c>
      <c r="N31" s="2">
        <f>'[1]2022-based'!R35</f>
        <v>45309.74333238203</v>
      </c>
      <c r="O31" s="2">
        <f>'[1]2024-based'!E35</f>
        <v>45553.559000000008</v>
      </c>
      <c r="P31" s="2">
        <v>46497.043000000005</v>
      </c>
    </row>
    <row r="32" spans="1:16" x14ac:dyDescent="0.25">
      <c r="A32">
        <v>2029</v>
      </c>
      <c r="B32" s="2">
        <f>'[1]2024-based'!L36</f>
        <v>200.66959327263157</v>
      </c>
      <c r="C32" s="2">
        <f>'[1]2024-based'!H36</f>
        <v>230</v>
      </c>
      <c r="D32" s="2">
        <v>340</v>
      </c>
      <c r="F32">
        <v>2029</v>
      </c>
      <c r="G32" s="2">
        <f>'[1]2024-based'!Q36</f>
        <v>69983.376534201205</v>
      </c>
      <c r="H32" s="2">
        <f>'[1]2022-based'!Q36</f>
        <v>70130.217363006974</v>
      </c>
      <c r="I32" s="2">
        <v>70223.782999999996</v>
      </c>
      <c r="J32" s="2">
        <v>71547.661999999997</v>
      </c>
      <c r="L32">
        <v>2029</v>
      </c>
      <c r="M32" s="2">
        <f>'[1]2024-based'!R36</f>
        <v>45461.358122774029</v>
      </c>
      <c r="N32" s="2">
        <f>'[1]2022-based'!R36</f>
        <v>45368.858157865368</v>
      </c>
      <c r="O32" s="2">
        <f>'[1]2024-based'!E36</f>
        <v>45640.96100000001</v>
      </c>
      <c r="P32" s="2">
        <v>46669.399000000005</v>
      </c>
    </row>
    <row r="33" spans="1:16" x14ac:dyDescent="0.25">
      <c r="A33">
        <v>2030</v>
      </c>
      <c r="B33" s="2">
        <f>'[1]2024-based'!L37</f>
        <v>227.79414365264518</v>
      </c>
      <c r="C33" s="2">
        <f>'[1]2024-based'!H37</f>
        <v>230</v>
      </c>
      <c r="D33" s="2">
        <v>340</v>
      </c>
      <c r="F33">
        <v>2030</v>
      </c>
      <c r="G33" s="2">
        <f>'[1]2024-based'!Q37</f>
        <v>70159.40167785385</v>
      </c>
      <c r="H33" s="2">
        <f>'[1]2022-based'!Q37</f>
        <v>70351.499887199927</v>
      </c>
      <c r="I33" s="2">
        <v>70402.013999999996</v>
      </c>
      <c r="J33" s="2">
        <v>71879.988000000012</v>
      </c>
      <c r="L33">
        <v>2030</v>
      </c>
      <c r="M33" s="2">
        <f>'[1]2024-based'!R37</f>
        <v>45513.894151081258</v>
      </c>
      <c r="N33" s="2">
        <f>'[1]2022-based'!R37</f>
        <v>45415.341991851594</v>
      </c>
      <c r="O33" s="2">
        <f>'[1]2024-based'!E37</f>
        <v>45695.275000000009</v>
      </c>
      <c r="P33" s="2">
        <v>46808.403000000006</v>
      </c>
    </row>
    <row r="34" spans="1:16" x14ac:dyDescent="0.25">
      <c r="A34">
        <v>2031</v>
      </c>
      <c r="B34" s="2">
        <f>'[1]2024-based'!L38</f>
        <v>229.5313341861692</v>
      </c>
      <c r="C34" s="2">
        <f>'[1]2024-based'!H38</f>
        <v>230</v>
      </c>
      <c r="D34" s="2">
        <v>340</v>
      </c>
      <c r="F34">
        <v>2031</v>
      </c>
      <c r="G34" s="2">
        <f>'[1]2024-based'!Q38</f>
        <v>70327.088012040011</v>
      </c>
      <c r="H34" s="2">
        <f>'[1]2022-based'!Q38</f>
        <v>70586.655924072489</v>
      </c>
      <c r="I34" s="2">
        <v>70570.168999999994</v>
      </c>
      <c r="J34" s="2">
        <v>72204.573999999993</v>
      </c>
      <c r="L34">
        <v>2031</v>
      </c>
      <c r="M34" s="2">
        <f>'[1]2024-based'!R38</f>
        <v>45552.081395498317</v>
      </c>
      <c r="N34" s="2">
        <f>'[1]2022-based'!R38</f>
        <v>45462.760959739688</v>
      </c>
      <c r="O34" s="2">
        <f>'[1]2024-based'!E38</f>
        <v>45733.840000000004</v>
      </c>
      <c r="P34" s="2">
        <v>46930.334000000003</v>
      </c>
    </row>
    <row r="35" spans="1:16" x14ac:dyDescent="0.25">
      <c r="A35">
        <v>2032</v>
      </c>
      <c r="B35" s="2">
        <f>'[1]2024-based'!L39</f>
        <v>229.5313341861692</v>
      </c>
      <c r="C35" s="2">
        <f>'[1]2024-based'!H39</f>
        <v>230</v>
      </c>
      <c r="D35" s="2">
        <v>340</v>
      </c>
      <c r="F35">
        <v>2032</v>
      </c>
      <c r="G35" s="2">
        <f>'[1]2024-based'!Q39</f>
        <v>70484.485346226182</v>
      </c>
      <c r="H35" s="2">
        <f>'[1]2022-based'!Q39</f>
        <v>70835.233466099744</v>
      </c>
      <c r="I35" s="2">
        <v>70728.035000000003</v>
      </c>
      <c r="J35" s="2">
        <v>72521.17300000001</v>
      </c>
      <c r="L35">
        <v>2032</v>
      </c>
      <c r="M35" s="2">
        <f>'[1]2024-based'!R39</f>
        <v>45591.478639915382</v>
      </c>
      <c r="N35" s="2">
        <f>'[1]2022-based'!R39</f>
        <v>45529.640251582379</v>
      </c>
      <c r="O35" s="2">
        <f>'[1]2024-based'!E39</f>
        <v>45773.615000000005</v>
      </c>
      <c r="P35" s="2">
        <v>47053.888000000006</v>
      </c>
    </row>
    <row r="36" spans="1:16" x14ac:dyDescent="0.25">
      <c r="A36">
        <v>2033</v>
      </c>
      <c r="B36" s="2">
        <f>'[1]2024-based'!L40</f>
        <v>229.5313341861692</v>
      </c>
      <c r="C36" s="2">
        <f>'[1]2024-based'!H40</f>
        <v>230</v>
      </c>
      <c r="D36" s="2">
        <v>340</v>
      </c>
      <c r="F36">
        <v>2033</v>
      </c>
      <c r="G36" s="2">
        <f>'[1]2024-based'!Q40</f>
        <v>70631.746680412325</v>
      </c>
      <c r="H36" s="2">
        <f>'[1]2022-based'!Q40</f>
        <v>71076.06000812698</v>
      </c>
      <c r="I36" s="2">
        <v>70875.764999999999</v>
      </c>
      <c r="J36" s="2">
        <v>72830.021000000008</v>
      </c>
      <c r="L36">
        <v>2033</v>
      </c>
      <c r="M36" s="2">
        <f>'[1]2024-based'!R40</f>
        <v>45620.208884332445</v>
      </c>
      <c r="N36" s="2">
        <f>'[1]2022-based'!R40</f>
        <v>45585.573543425075</v>
      </c>
      <c r="O36" s="2">
        <f>'[1]2024-based'!E40</f>
        <v>45802.723000000005</v>
      </c>
      <c r="P36" s="2">
        <v>47166.496000000014</v>
      </c>
    </row>
    <row r="37" spans="1:16" x14ac:dyDescent="0.25">
      <c r="A37">
        <v>2034</v>
      </c>
      <c r="B37" s="2">
        <f>'[1]2024-based'!L41</f>
        <v>229.5313341861692</v>
      </c>
      <c r="C37" s="2">
        <f>'[1]2024-based'!H41</f>
        <v>230</v>
      </c>
      <c r="D37" s="2">
        <v>340</v>
      </c>
      <c r="F37">
        <v>2034</v>
      </c>
      <c r="G37" s="2">
        <f>'[1]2024-based'!Q41</f>
        <v>70769.350014598487</v>
      </c>
      <c r="H37" s="2">
        <f>'[1]2022-based'!Q41</f>
        <v>71309.61455015422</v>
      </c>
      <c r="I37" s="2">
        <v>71013.837</v>
      </c>
      <c r="J37" s="2">
        <v>73131.597000000009</v>
      </c>
      <c r="L37">
        <v>2034</v>
      </c>
      <c r="M37" s="2">
        <f>'[1]2024-based'!R41</f>
        <v>45633.857128749514</v>
      </c>
      <c r="N37" s="2">
        <f>'[1]2022-based'!R41</f>
        <v>45627.025835267763</v>
      </c>
      <c r="O37" s="2">
        <f>'[1]2024-based'!E41</f>
        <v>45816.749000000011</v>
      </c>
      <c r="P37" s="2">
        <v>47264.623000000014</v>
      </c>
    </row>
    <row r="38" spans="1:16" x14ac:dyDescent="0.25">
      <c r="A38">
        <v>2035</v>
      </c>
      <c r="B38" s="2">
        <f>'[1]2024-based'!L42</f>
        <v>229.5313341861692</v>
      </c>
      <c r="C38" s="2">
        <f>'[1]2024-based'!H42</f>
        <v>230</v>
      </c>
      <c r="D38" s="2">
        <v>340</v>
      </c>
      <c r="F38">
        <v>2035</v>
      </c>
      <c r="G38" s="2">
        <f>'[1]2024-based'!Q42</f>
        <v>70898.197348784655</v>
      </c>
      <c r="H38" s="2">
        <f>'[1]2022-based'!Q42</f>
        <v>71536.164092181454</v>
      </c>
      <c r="I38" s="2">
        <v>71143.152999999991</v>
      </c>
      <c r="J38" s="2">
        <v>73426.168000000005</v>
      </c>
      <c r="L38">
        <v>2035</v>
      </c>
      <c r="M38" s="2">
        <f>'[1]2024-based'!R42</f>
        <v>45649.201373166572</v>
      </c>
      <c r="N38" s="2">
        <f>'[1]2022-based'!R42</f>
        <v>45670.859127110445</v>
      </c>
      <c r="O38" s="2">
        <f>'[1]2024-based'!E42</f>
        <v>45832.471000000005</v>
      </c>
      <c r="P38" s="2">
        <v>47365.131000000008</v>
      </c>
    </row>
    <row r="39" spans="1:16" x14ac:dyDescent="0.25">
      <c r="A39">
        <v>2036</v>
      </c>
      <c r="B39" s="2">
        <f>'[1]2024-based'!L43</f>
        <v>229.5313341861692</v>
      </c>
      <c r="C39" s="2">
        <f>'[1]2024-based'!H43</f>
        <v>230</v>
      </c>
      <c r="D39" s="2">
        <v>340</v>
      </c>
      <c r="F39">
        <v>2036</v>
      </c>
      <c r="G39" s="2">
        <f>'[1]2024-based'!Q43</f>
        <v>71019.421682970817</v>
      </c>
      <c r="H39" s="2">
        <f>'[1]2022-based'!Q43</f>
        <v>71756.063634208695</v>
      </c>
      <c r="I39" s="2">
        <v>71264.84599999999</v>
      </c>
      <c r="J39" s="2">
        <v>73714.089000000007</v>
      </c>
      <c r="L39">
        <v>2036</v>
      </c>
      <c r="M39" s="2">
        <f>'[1]2024-based'!R43</f>
        <v>45653.670617583637</v>
      </c>
      <c r="N39" s="2">
        <f>'[1]2022-based'!R43</f>
        <v>45704.506418953133</v>
      </c>
      <c r="O39" s="2">
        <f>'[1]2024-based'!E43</f>
        <v>45837.318000000007</v>
      </c>
      <c r="P39" s="2">
        <v>47455.453000000009</v>
      </c>
    </row>
    <row r="40" spans="1:16" x14ac:dyDescent="0.25">
      <c r="A40">
        <v>2037</v>
      </c>
      <c r="B40" s="2">
        <f>'[1]2024-based'!L44</f>
        <v>229.5313341861692</v>
      </c>
      <c r="C40" s="2">
        <f>'[1]2024-based'!H44</f>
        <v>230</v>
      </c>
      <c r="D40" s="2">
        <v>340</v>
      </c>
      <c r="F40">
        <v>2037</v>
      </c>
      <c r="G40" s="2">
        <f>'[1]2024-based'!Q44</f>
        <v>71134.044017156994</v>
      </c>
      <c r="H40" s="2">
        <f>'[1]2022-based'!Q44</f>
        <v>71969.894176235917</v>
      </c>
      <c r="I40" s="2">
        <v>71379.937000000005</v>
      </c>
      <c r="J40" s="2">
        <v>73995.940999999992</v>
      </c>
      <c r="L40">
        <v>2037</v>
      </c>
      <c r="M40" s="2">
        <f>'[1]2024-based'!R44</f>
        <v>45656.195862000714</v>
      </c>
      <c r="N40" s="2">
        <f>'[1]2022-based'!R44</f>
        <v>45740.863710795813</v>
      </c>
      <c r="O40" s="2">
        <f>'[1]2024-based'!E44</f>
        <v>45840.22100000002</v>
      </c>
      <c r="P40" s="2">
        <v>47548.485000000001</v>
      </c>
    </row>
    <row r="41" spans="1:16" x14ac:dyDescent="0.25">
      <c r="A41">
        <v>2038</v>
      </c>
      <c r="B41" s="2">
        <f>'[1]2024-based'!L45</f>
        <v>229.5313341861692</v>
      </c>
      <c r="C41" s="2">
        <f>'[1]2024-based'!H45</f>
        <v>230</v>
      </c>
      <c r="D41" s="2">
        <v>340</v>
      </c>
      <c r="F41">
        <v>2038</v>
      </c>
      <c r="G41" s="2">
        <f>'[1]2024-based'!Q45</f>
        <v>71243.051351343151</v>
      </c>
      <c r="H41" s="2">
        <f>'[1]2022-based'!Q45</f>
        <v>72178.265718263166</v>
      </c>
      <c r="I41" s="2">
        <v>71489.413</v>
      </c>
      <c r="J41" s="2">
        <v>74272.334000000003</v>
      </c>
      <c r="L41">
        <v>2038</v>
      </c>
      <c r="M41" s="2">
        <f>'[1]2024-based'!R45</f>
        <v>45647.753106417775</v>
      </c>
      <c r="N41" s="2">
        <f>'[1]2022-based'!R45</f>
        <v>45766.599002638504</v>
      </c>
      <c r="O41" s="2">
        <f>'[1]2024-based'!E45</f>
        <v>45832.156000000017</v>
      </c>
      <c r="P41" s="2">
        <v>47630.895000000004</v>
      </c>
    </row>
    <row r="42" spans="1:16" x14ac:dyDescent="0.25">
      <c r="A42">
        <v>2039</v>
      </c>
      <c r="B42" s="2">
        <f>'[1]2024-based'!L46</f>
        <v>229.5313341861692</v>
      </c>
      <c r="C42" s="2">
        <f>'[1]2024-based'!H46</f>
        <v>230</v>
      </c>
      <c r="D42" s="2">
        <v>340</v>
      </c>
      <c r="F42">
        <v>2039</v>
      </c>
      <c r="G42" s="2">
        <f>'[1]2024-based'!Q46</f>
        <v>71347.282685529324</v>
      </c>
      <c r="H42" s="2">
        <f>'[1]2022-based'!Q46</f>
        <v>72381.648260290414</v>
      </c>
      <c r="I42" s="2">
        <v>71594.113000000012</v>
      </c>
      <c r="J42" s="2">
        <v>74543.737999999998</v>
      </c>
      <c r="L42">
        <v>2039</v>
      </c>
      <c r="M42" s="2">
        <f>'[1]2024-based'!R46</f>
        <v>45635.36935083483</v>
      </c>
      <c r="N42" s="2">
        <f>'[1]2022-based'!R46</f>
        <v>45791.029294481203</v>
      </c>
      <c r="O42" s="2">
        <f>'[1]2024-based'!E46</f>
        <v>45820.150000000009</v>
      </c>
      <c r="P42" s="2">
        <v>47712.000000000015</v>
      </c>
    </row>
    <row r="43" spans="1:16" x14ac:dyDescent="0.25">
      <c r="A43">
        <v>2040</v>
      </c>
      <c r="B43" s="2">
        <f>'[1]2024-based'!L47</f>
        <v>229.5313341861692</v>
      </c>
      <c r="C43" s="2">
        <f>'[1]2024-based'!H47</f>
        <v>230</v>
      </c>
      <c r="D43" s="2">
        <v>340</v>
      </c>
      <c r="F43">
        <v>2040</v>
      </c>
      <c r="G43" s="2">
        <f>'[1]2024-based'!Q47</f>
        <v>71447.470019715474</v>
      </c>
      <c r="H43" s="2">
        <f>'[1]2022-based'!Q47</f>
        <v>72580.366802317658</v>
      </c>
      <c r="I43" s="2">
        <v>71694.769</v>
      </c>
      <c r="J43" s="2">
        <v>74810.478000000003</v>
      </c>
      <c r="L43">
        <v>2040</v>
      </c>
      <c r="M43" s="2">
        <f>'[1]2024-based'!R47</f>
        <v>45636.330595251893</v>
      </c>
      <c r="N43" s="2">
        <f>'[1]2022-based'!R47</f>
        <v>45845.373586323884</v>
      </c>
      <c r="O43" s="2">
        <f>'[1]2024-based'!E47</f>
        <v>45821.489000000009</v>
      </c>
      <c r="P43" s="2">
        <v>47823.019000000008</v>
      </c>
    </row>
    <row r="44" spans="1:16" x14ac:dyDescent="0.25">
      <c r="A44">
        <v>2041</v>
      </c>
      <c r="B44" s="2">
        <f>'[1]2024-based'!L48</f>
        <v>229.5313341861692</v>
      </c>
      <c r="C44" s="2">
        <f>'[1]2024-based'!H48</f>
        <v>230</v>
      </c>
      <c r="D44" s="2">
        <v>340</v>
      </c>
      <c r="F44">
        <v>2041</v>
      </c>
      <c r="G44" s="2">
        <f>'[1]2024-based'!Q48</f>
        <v>71544.108353901654</v>
      </c>
      <c r="H44" s="2">
        <f>'[1]2022-based'!Q48</f>
        <v>72774.7593443449</v>
      </c>
      <c r="I44" s="2">
        <v>71791.876000000004</v>
      </c>
      <c r="J44" s="2">
        <v>75072.891999999993</v>
      </c>
      <c r="L44">
        <v>2041</v>
      </c>
      <c r="M44" s="2">
        <f>'[1]2024-based'!R48</f>
        <v>45650.620839668954</v>
      </c>
      <c r="N44" s="2">
        <f>'[1]2022-based'!R48</f>
        <v>45933.311878166576</v>
      </c>
      <c r="O44" s="2">
        <f>'[1]2024-based'!E48</f>
        <v>45836.157000000007</v>
      </c>
      <c r="P44" s="2">
        <v>47967.632000000012</v>
      </c>
    </row>
    <row r="45" spans="1:16" x14ac:dyDescent="0.25">
      <c r="A45">
        <v>2042</v>
      </c>
      <c r="B45" s="2">
        <f>'[1]2024-based'!L49</f>
        <v>229.5313341861692</v>
      </c>
      <c r="C45" s="2">
        <f>'[1]2024-based'!H49</f>
        <v>230</v>
      </c>
      <c r="D45" s="2">
        <v>340</v>
      </c>
      <c r="F45">
        <v>2042</v>
      </c>
      <c r="G45" s="2">
        <f>'[1]2024-based'!Q49</f>
        <v>71637.437688087812</v>
      </c>
      <c r="H45" s="2">
        <f>'[1]2022-based'!Q49</f>
        <v>72965.054886372149</v>
      </c>
      <c r="I45" s="2">
        <v>71885.673999999999</v>
      </c>
      <c r="J45" s="2">
        <v>75331.209000000003</v>
      </c>
      <c r="L45">
        <v>2042</v>
      </c>
      <c r="M45" s="2">
        <f>'[1]2024-based'!R49</f>
        <v>45675.95008408602</v>
      </c>
      <c r="N45" s="2">
        <f>'[1]2022-based'!R49</f>
        <v>46033.125170009269</v>
      </c>
      <c r="O45" s="2">
        <f>'[1]2024-based'!E49</f>
        <v>45861.864000000009</v>
      </c>
      <c r="P45" s="2">
        <v>48124.120000000017</v>
      </c>
    </row>
    <row r="46" spans="1:16" x14ac:dyDescent="0.25">
      <c r="A46">
        <v>2043</v>
      </c>
      <c r="B46" s="2">
        <f>'[1]2024-based'!L50</f>
        <v>229.5313341861692</v>
      </c>
      <c r="C46" s="2">
        <f>'[1]2024-based'!H50</f>
        <v>230</v>
      </c>
      <c r="D46" s="2">
        <v>340</v>
      </c>
      <c r="F46">
        <v>2043</v>
      </c>
      <c r="G46" s="2">
        <f>'[1]2024-based'!Q50</f>
        <v>71727.423022273986</v>
      </c>
      <c r="H46" s="2">
        <f>'[1]2022-based'!Q50</f>
        <v>73151.060428399389</v>
      </c>
      <c r="I46" s="2">
        <v>71976.127999999997</v>
      </c>
      <c r="J46" s="2">
        <v>75585.236000000004</v>
      </c>
      <c r="L46">
        <v>2043</v>
      </c>
      <c r="M46" s="2">
        <f>'[1]2024-based'!R50</f>
        <v>45709.853328503094</v>
      </c>
      <c r="N46" s="2">
        <f>'[1]2022-based'!R50</f>
        <v>46147.041461851964</v>
      </c>
      <c r="O46" s="2">
        <f>'[1]2024-based'!E50</f>
        <v>45896.145000000019</v>
      </c>
      <c r="P46" s="2">
        <v>48294.711000000025</v>
      </c>
    </row>
    <row r="47" spans="1:16" x14ac:dyDescent="0.25">
      <c r="A47">
        <v>2044</v>
      </c>
      <c r="B47" s="2">
        <f>'[1]2024-based'!L51</f>
        <v>229.5313341861692</v>
      </c>
      <c r="C47" s="2">
        <f>'[1]2024-based'!H51</f>
        <v>230</v>
      </c>
      <c r="D47" s="2">
        <v>340</v>
      </c>
      <c r="F47">
        <v>2044</v>
      </c>
      <c r="G47" s="2">
        <f>'[1]2024-based'!Q51</f>
        <v>71813.740356460141</v>
      </c>
      <c r="H47" s="2">
        <f>'[1]2022-based'!Q51</f>
        <v>73332.309970426635</v>
      </c>
      <c r="I47" s="2">
        <v>72062.914000000004</v>
      </c>
      <c r="J47" s="2">
        <v>75834.506999999998</v>
      </c>
      <c r="L47">
        <v>2044</v>
      </c>
      <c r="M47" s="2">
        <f>'[1]2024-based'!R51</f>
        <v>45865.540559221525</v>
      </c>
      <c r="N47" s="2">
        <f>'[1]2022-based'!R51</f>
        <v>46388.530112598753</v>
      </c>
      <c r="O47" s="2">
        <f>'[1]2024-based'!E51</f>
        <v>46052.209986301386</v>
      </c>
      <c r="P47" s="2">
        <v>48592.874358904126</v>
      </c>
    </row>
    <row r="48" spans="1:16" x14ac:dyDescent="0.25">
      <c r="A48">
        <v>2045</v>
      </c>
      <c r="B48" s="2">
        <f>'[1]2024-based'!L52</f>
        <v>229.5313341861692</v>
      </c>
      <c r="C48" s="2">
        <f>'[1]2024-based'!H52</f>
        <v>230</v>
      </c>
      <c r="D48" s="2">
        <v>340</v>
      </c>
      <c r="F48">
        <v>2045</v>
      </c>
      <c r="G48" s="2">
        <f>'[1]2024-based'!Q52</f>
        <v>71895.38569064629</v>
      </c>
      <c r="H48" s="2">
        <f>'[1]2022-based'!Q52</f>
        <v>73508.467512453892</v>
      </c>
      <c r="I48" s="2">
        <v>72145.027999999991</v>
      </c>
      <c r="J48" s="2">
        <v>76078.686000000002</v>
      </c>
      <c r="L48">
        <v>2045</v>
      </c>
      <c r="M48" s="2">
        <f>'[1]2024-based'!R52</f>
        <v>46260.005362542688</v>
      </c>
      <c r="N48" s="2">
        <f>'[1]2022-based'!R52</f>
        <v>46874.819733208577</v>
      </c>
      <c r="O48" s="2">
        <f>'[1]2024-based'!E52</f>
        <v>46447.052545205486</v>
      </c>
      <c r="P48" s="2">
        <v>49135.838687671261</v>
      </c>
    </row>
    <row r="49" spans="1:16" x14ac:dyDescent="0.25">
      <c r="A49">
        <v>2046</v>
      </c>
      <c r="B49" s="2">
        <f>'[1]2024-based'!L53</f>
        <v>229.5313341861692</v>
      </c>
      <c r="C49" s="2">
        <f>'[1]2024-based'!H53</f>
        <v>230</v>
      </c>
      <c r="D49" s="2">
        <v>340</v>
      </c>
      <c r="F49">
        <v>2046</v>
      </c>
      <c r="G49" s="2">
        <f>'[1]2024-based'!Q53</f>
        <v>71971.373024832443</v>
      </c>
      <c r="H49" s="2">
        <f>'[1]2022-based'!Q53</f>
        <v>73679.240054481124</v>
      </c>
      <c r="I49" s="2">
        <v>72221.483999999997</v>
      </c>
      <c r="J49" s="2">
        <v>76317.48</v>
      </c>
      <c r="L49">
        <v>2046</v>
      </c>
      <c r="M49" s="2">
        <f>'[1]2024-based'!R53</f>
        <v>46541.284741798489</v>
      </c>
      <c r="N49" s="2">
        <f>'[1]2022-based'!R53</f>
        <v>47251.045026532898</v>
      </c>
      <c r="O49" s="2">
        <f>'[1]2024-based'!E53</f>
        <v>46728.70900000001</v>
      </c>
      <c r="P49" s="2">
        <v>49568.677000000018</v>
      </c>
    </row>
    <row r="50" spans="1:16" x14ac:dyDescent="0.25">
      <c r="A50">
        <v>2047</v>
      </c>
      <c r="B50" s="2">
        <f>'[1]2024-based'!L54</f>
        <v>229.5313341861692</v>
      </c>
      <c r="C50" s="2">
        <f>'[1]2024-based'!H54</f>
        <v>230</v>
      </c>
      <c r="D50" s="2">
        <v>340</v>
      </c>
      <c r="F50">
        <v>2047</v>
      </c>
      <c r="G50" s="2">
        <f>'[1]2024-based'!Q54</f>
        <v>72041.066359018616</v>
      </c>
      <c r="H50" s="2">
        <f>'[1]2022-based'!Q54</f>
        <v>73844.273596508356</v>
      </c>
      <c r="I50" s="2">
        <v>72291.646000000008</v>
      </c>
      <c r="J50" s="2">
        <v>76550.535000000003</v>
      </c>
      <c r="L50">
        <v>2047</v>
      </c>
      <c r="M50" s="2">
        <f>'[1]2024-based'!R54</f>
        <v>46503.4052677773</v>
      </c>
      <c r="N50" s="2">
        <f>'[1]2022-based'!R54</f>
        <v>47309.849859811147</v>
      </c>
      <c r="O50" s="2">
        <f>'[1]2024-based'!E54</f>
        <v>46691.207000000009</v>
      </c>
      <c r="P50" s="2">
        <v>49684.131000000016</v>
      </c>
    </row>
    <row r="51" spans="1:16" x14ac:dyDescent="0.25">
      <c r="A51">
        <v>2048</v>
      </c>
      <c r="B51" s="2">
        <f>'[1]2024-based'!L55</f>
        <v>229.5313341861692</v>
      </c>
      <c r="C51" s="2">
        <f>'[1]2024-based'!H55</f>
        <v>230</v>
      </c>
      <c r="D51" s="2">
        <v>340</v>
      </c>
      <c r="F51">
        <v>2048</v>
      </c>
      <c r="G51" s="2">
        <f>'[1]2024-based'!Q55</f>
        <v>72103.695693204776</v>
      </c>
      <c r="H51" s="2">
        <f>'[1]2022-based'!Q55</f>
        <v>74002.177138535597</v>
      </c>
      <c r="I51" s="2">
        <v>72354.744000000006</v>
      </c>
      <c r="J51" s="2">
        <v>76776.460000000006</v>
      </c>
      <c r="L51">
        <v>2048</v>
      </c>
      <c r="M51" s="2">
        <f>'[1]2024-based'!R55</f>
        <v>46428.35051219436</v>
      </c>
      <c r="N51" s="2">
        <f>'[1]2022-based'!R55</f>
        <v>47334.152151653841</v>
      </c>
      <c r="O51" s="2">
        <f>'[1]2024-based'!E55</f>
        <v>46616.530000000006</v>
      </c>
      <c r="P51" s="2">
        <v>49765.108000000022</v>
      </c>
    </row>
    <row r="52" spans="1:16" x14ac:dyDescent="0.25">
      <c r="A52">
        <v>2049</v>
      </c>
      <c r="B52" s="2">
        <f>'[1]2024-based'!L56</f>
        <v>229.5313341861692</v>
      </c>
      <c r="C52" s="2">
        <f>'[1]2024-based'!H56</f>
        <v>230</v>
      </c>
      <c r="D52" s="2">
        <v>340</v>
      </c>
      <c r="F52">
        <v>2049</v>
      </c>
      <c r="G52" s="2">
        <f>'[1]2024-based'!Q56</f>
        <v>72158.40802739092</v>
      </c>
      <c r="H52" s="2">
        <f>'[1]2022-based'!Q56</f>
        <v>74151.332680562817</v>
      </c>
      <c r="I52" s="2">
        <v>72409.924999999988</v>
      </c>
      <c r="J52" s="2">
        <v>76993.637000000002</v>
      </c>
      <c r="L52">
        <v>2049</v>
      </c>
      <c r="M52" s="2">
        <f>'[1]2024-based'!R56</f>
        <v>46351.221756611427</v>
      </c>
      <c r="N52" s="2">
        <f>'[1]2022-based'!R56</f>
        <v>47358.326443496531</v>
      </c>
      <c r="O52" s="2">
        <f>'[1]2024-based'!E56</f>
        <v>46539.77900000001</v>
      </c>
      <c r="P52" s="2">
        <v>49845.957000000024</v>
      </c>
    </row>
    <row r="53" spans="1:16" x14ac:dyDescent="0.25">
      <c r="A53">
        <v>2050</v>
      </c>
      <c r="B53" s="2">
        <f>'[1]2024-based'!L57</f>
        <v>229.5313341861692</v>
      </c>
      <c r="C53" s="2">
        <f>'[1]2024-based'!H57</f>
        <v>230</v>
      </c>
      <c r="D53" s="2">
        <v>340</v>
      </c>
      <c r="F53">
        <v>2050</v>
      </c>
      <c r="G53" s="2">
        <f>'[1]2024-based'!Q57</f>
        <v>72203.733361577077</v>
      </c>
      <c r="H53" s="2">
        <f>'[1]2022-based'!Q57</f>
        <v>74291.157222590045</v>
      </c>
      <c r="I53" s="2">
        <v>72455.718999999997</v>
      </c>
      <c r="J53" s="2">
        <v>77201.483000000007</v>
      </c>
      <c r="L53">
        <v>2050</v>
      </c>
      <c r="M53" s="2">
        <f>'[1]2024-based'!R57</f>
        <v>46278.138001028499</v>
      </c>
      <c r="N53" s="2">
        <f>'[1]2022-based'!R57</f>
        <v>47388.853735339209</v>
      </c>
      <c r="O53" s="2">
        <f>'[1]2024-based'!E57</f>
        <v>46467.073000000019</v>
      </c>
      <c r="P53" s="2">
        <v>49933.159000000014</v>
      </c>
    </row>
    <row r="54" spans="1:16" x14ac:dyDescent="0.25">
      <c r="A54">
        <v>2051</v>
      </c>
      <c r="B54" s="2">
        <f>'[1]2024-based'!L58</f>
        <v>229.5313341861692</v>
      </c>
      <c r="C54" s="2">
        <f>'[1]2024-based'!H58</f>
        <v>230</v>
      </c>
      <c r="D54">
        <v>340</v>
      </c>
      <c r="F54">
        <v>2051</v>
      </c>
      <c r="G54" s="2">
        <f>'[1]2024-based'!Q58</f>
        <v>72238.385695763238</v>
      </c>
      <c r="H54" s="2">
        <f>'[1]2022-based'!Q58</f>
        <v>74421.29776461728</v>
      </c>
      <c r="I54" s="2">
        <v>72490.84</v>
      </c>
      <c r="J54" s="2">
        <v>77399.645000000004</v>
      </c>
      <c r="L54">
        <v>2051</v>
      </c>
      <c r="M54" s="2">
        <f>'[1]2024-based'!R58</f>
        <v>46196.686245445555</v>
      </c>
      <c r="N54" s="2">
        <f>'[1]2022-based'!R58</f>
        <v>47412.546027181896</v>
      </c>
      <c r="O54" s="2">
        <f>'[1]2024-based'!E58</f>
        <v>46385.999000000011</v>
      </c>
      <c r="P54" s="2">
        <v>50013.526000000013</v>
      </c>
    </row>
    <row r="55" spans="1:16" x14ac:dyDescent="0.25">
      <c r="A55">
        <v>2052</v>
      </c>
      <c r="B55" s="2">
        <f>'[1]2024-based'!L59</f>
        <v>229.5313341861692</v>
      </c>
      <c r="C55" s="2">
        <f>'[1]2024-based'!H59</f>
        <v>230</v>
      </c>
      <c r="D55">
        <v>340</v>
      </c>
      <c r="F55">
        <v>2052</v>
      </c>
      <c r="G55" s="2">
        <f>'[1]2024-based'!Q59</f>
        <v>72261.924029949398</v>
      </c>
      <c r="H55" s="2">
        <f>'[1]2022-based'!Q59</f>
        <v>74541.680306644514</v>
      </c>
      <c r="I55" s="2">
        <v>72514.847000000009</v>
      </c>
      <c r="J55" s="2">
        <v>77588.048999999999</v>
      </c>
      <c r="L55">
        <v>2052</v>
      </c>
      <c r="M55" s="2">
        <f>'[1]2024-based'!R59</f>
        <v>46113.41748986263</v>
      </c>
      <c r="N55" s="2">
        <f>'[1]2022-based'!R59</f>
        <v>47433.858319024592</v>
      </c>
      <c r="O55" s="2">
        <f>'[1]2024-based'!E59</f>
        <v>46303.108000000022</v>
      </c>
      <c r="P55" s="2">
        <v>50091.513000000021</v>
      </c>
    </row>
    <row r="56" spans="1:16" x14ac:dyDescent="0.25">
      <c r="A56">
        <v>2053</v>
      </c>
      <c r="B56" s="2">
        <f>'[1]2024-based'!L60</f>
        <v>229.5313341861692</v>
      </c>
      <c r="C56" s="2">
        <f>'[1]2024-based'!H60</f>
        <v>230</v>
      </c>
      <c r="D56">
        <v>340</v>
      </c>
      <c r="F56">
        <v>2053</v>
      </c>
      <c r="G56" s="2">
        <f>'[1]2024-based'!Q60</f>
        <v>72274.026364135556</v>
      </c>
      <c r="H56" s="2">
        <f>'[1]2022-based'!Q60</f>
        <v>74652.31984867173</v>
      </c>
      <c r="I56" s="2">
        <v>72527.418000000005</v>
      </c>
      <c r="J56" s="2">
        <v>77766.709999999992</v>
      </c>
      <c r="L56">
        <v>2053</v>
      </c>
      <c r="M56" s="2">
        <f>'[1]2024-based'!R60</f>
        <v>46002.600734279702</v>
      </c>
      <c r="N56" s="2">
        <f>'[1]2022-based'!R60</f>
        <v>47426.160610867279</v>
      </c>
      <c r="O56" s="2">
        <f>'[1]2024-based'!E60</f>
        <v>46192.669000000031</v>
      </c>
      <c r="P56" s="2">
        <v>50140.49000000002</v>
      </c>
    </row>
    <row r="57" spans="1:16" x14ac:dyDescent="0.25">
      <c r="A57">
        <v>2054</v>
      </c>
      <c r="B57" s="2">
        <f>'[1]2024-based'!L61</f>
        <v>229.5313341861692</v>
      </c>
      <c r="C57" s="2">
        <f>'[1]2024-based'!H61</f>
        <v>230</v>
      </c>
      <c r="D57">
        <v>340</v>
      </c>
      <c r="F57">
        <v>2054</v>
      </c>
      <c r="G57" s="2">
        <f>'[1]2024-based'!Q61</f>
        <v>72274.602698321702</v>
      </c>
      <c r="H57" s="2">
        <f>'[1]2022-based'!Q61</f>
        <v>74753.422390698979</v>
      </c>
      <c r="I57" s="2">
        <v>72528.462999999989</v>
      </c>
      <c r="J57" s="2">
        <v>77935.834000000003</v>
      </c>
      <c r="L57">
        <v>2054</v>
      </c>
      <c r="M57" s="2">
        <f>'[1]2024-based'!R61</f>
        <v>45886.297978696763</v>
      </c>
      <c r="N57" s="2">
        <f>'[1]2022-based'!R61</f>
        <v>47411.346902709971</v>
      </c>
      <c r="O57" s="2">
        <f>'[1]2024-based'!E61</f>
        <v>46076.744000000028</v>
      </c>
      <c r="P57" s="2">
        <v>50182.351000000024</v>
      </c>
    </row>
    <row r="58" spans="1:16" x14ac:dyDescent="0.25">
      <c r="A58">
        <v>2055</v>
      </c>
      <c r="B58" s="2">
        <f>'[1]2024-based'!L62</f>
        <v>229.5313341861692</v>
      </c>
      <c r="C58" s="2">
        <f>'[1]2024-based'!H62</f>
        <v>230</v>
      </c>
      <c r="D58">
        <v>340</v>
      </c>
      <c r="F58">
        <v>2055</v>
      </c>
      <c r="G58" s="2">
        <f>'[1]2024-based'!Q62</f>
        <v>72263.957032507868</v>
      </c>
      <c r="H58" s="2">
        <f>'[1]2022-based'!Q62</f>
        <v>74845.699932726217</v>
      </c>
      <c r="I58" s="2">
        <v>72518.285999999993</v>
      </c>
      <c r="J58" s="2">
        <v>78096.133000000002</v>
      </c>
      <c r="L58">
        <v>2055</v>
      </c>
      <c r="M58" s="2">
        <f>'[1]2024-based'!R62</f>
        <v>45763.786223113821</v>
      </c>
      <c r="N58" s="2">
        <f>'[1]2022-based'!R62</f>
        <v>47386.062194552658</v>
      </c>
      <c r="O58" s="2">
        <f>'[1]2024-based'!E62</f>
        <v>45954.610000000022</v>
      </c>
      <c r="P58" s="2">
        <v>50213.741000000024</v>
      </c>
    </row>
    <row r="59" spans="1:16" x14ac:dyDescent="0.25">
      <c r="A59">
        <v>2056</v>
      </c>
      <c r="B59" s="2">
        <f>'[1]2024-based'!L63</f>
        <v>229.5313341861692</v>
      </c>
      <c r="C59" s="2">
        <f>'[1]2024-based'!H63</f>
        <v>230</v>
      </c>
      <c r="D59">
        <v>340</v>
      </c>
      <c r="F59">
        <v>2056</v>
      </c>
      <c r="G59" s="2">
        <f>'[1]2024-based'!Q63</f>
        <v>72242.923366694027</v>
      </c>
      <c r="H59" s="2">
        <f>'[1]2022-based'!Q63</f>
        <v>74930.303474753455</v>
      </c>
      <c r="I59" s="2">
        <v>72497.72099999999</v>
      </c>
      <c r="J59" s="2">
        <v>78248.758000000002</v>
      </c>
      <c r="L59">
        <v>2056</v>
      </c>
      <c r="M59" s="2">
        <f>'[1]2024-based'!R63</f>
        <v>45621.324467530889</v>
      </c>
      <c r="N59" s="2">
        <f>'[1]2022-based'!R63</f>
        <v>47335.482486395333</v>
      </c>
      <c r="O59" s="2">
        <f>'[1]2024-based'!E63</f>
        <v>45812.526000000027</v>
      </c>
      <c r="P59" s="2">
        <v>50219.83600000001</v>
      </c>
    </row>
    <row r="60" spans="1:16" x14ac:dyDescent="0.25">
      <c r="A60">
        <v>2057</v>
      </c>
      <c r="B60" s="2">
        <f>'[1]2024-based'!L64</f>
        <v>229.5313341861692</v>
      </c>
      <c r="C60" s="2">
        <f>'[1]2024-based'!H64</f>
        <v>230</v>
      </c>
      <c r="D60">
        <v>340</v>
      </c>
      <c r="F60">
        <v>2057</v>
      </c>
      <c r="G60" s="2">
        <f>'[1]2024-based'!Q64</f>
        <v>72212.604700880183</v>
      </c>
      <c r="H60" s="2">
        <f>'[1]2022-based'!Q64</f>
        <v>75008.420016780699</v>
      </c>
      <c r="I60" s="2">
        <v>72467.870999999999</v>
      </c>
      <c r="J60" s="2">
        <v>78394.896000000008</v>
      </c>
      <c r="L60">
        <v>2057</v>
      </c>
      <c r="M60" s="2">
        <f>'[1]2024-based'!R64</f>
        <v>45487.000711947956</v>
      </c>
      <c r="N60" s="2">
        <f>'[1]2022-based'!R64</f>
        <v>47288.923778238022</v>
      </c>
      <c r="O60" s="2">
        <f>'[1]2024-based'!E64</f>
        <v>45678.580000000031</v>
      </c>
      <c r="P60" s="2">
        <v>50229.952000000012</v>
      </c>
    </row>
    <row r="61" spans="1:16" x14ac:dyDescent="0.25">
      <c r="A61">
        <v>2058</v>
      </c>
      <c r="B61" s="2">
        <f>'[1]2024-based'!L65</f>
        <v>229.5313341861692</v>
      </c>
      <c r="C61" s="2">
        <f>'[1]2024-based'!H65</f>
        <v>230</v>
      </c>
      <c r="D61">
        <v>340</v>
      </c>
      <c r="F61">
        <v>2058</v>
      </c>
      <c r="G61" s="2">
        <f>'[1]2024-based'!Q65</f>
        <v>72174.114035066363</v>
      </c>
      <c r="H61" s="2">
        <f>'[1]2022-based'!Q65</f>
        <v>75081.112558807945</v>
      </c>
      <c r="I61" s="2">
        <v>72429.849000000002</v>
      </c>
      <c r="J61" s="2">
        <v>78535.61</v>
      </c>
      <c r="L61">
        <v>2058</v>
      </c>
      <c r="M61" s="2">
        <f>'[1]2024-based'!R65</f>
        <v>45344.778956365022</v>
      </c>
      <c r="N61" s="2">
        <f>'[1]2022-based'!R65</f>
        <v>47230.067070080702</v>
      </c>
      <c r="O61" s="2">
        <f>'[1]2024-based'!E65</f>
        <v>45536.736000000034</v>
      </c>
      <c r="P61" s="2">
        <v>50227.770000000004</v>
      </c>
    </row>
    <row r="62" spans="1:16" x14ac:dyDescent="0.25">
      <c r="A62">
        <v>2059</v>
      </c>
      <c r="B62" s="2">
        <f>'[1]2024-based'!L66</f>
        <v>229.5313341861692</v>
      </c>
      <c r="C62" s="2">
        <f>'[1]2024-based'!H66</f>
        <v>230</v>
      </c>
      <c r="D62">
        <v>340</v>
      </c>
      <c r="F62">
        <v>2059</v>
      </c>
      <c r="G62" s="2">
        <f>'[1]2024-based'!Q66</f>
        <v>72128.596369252526</v>
      </c>
      <c r="H62" s="2">
        <f>'[1]2022-based'!Q66</f>
        <v>75149.517100835175</v>
      </c>
      <c r="I62" s="2">
        <v>72384.799999999988</v>
      </c>
      <c r="J62" s="2">
        <v>78672.035999999993</v>
      </c>
      <c r="L62">
        <v>2059</v>
      </c>
      <c r="M62" s="2">
        <f>'[1]2024-based'!R66</f>
        <v>45198.03120078209</v>
      </c>
      <c r="N62" s="2">
        <f>'[1]2022-based'!R66</f>
        <v>47158.847361923392</v>
      </c>
      <c r="O62" s="2">
        <f>'[1]2024-based'!E66</f>
        <v>45390.366000000038</v>
      </c>
      <c r="P62" s="2">
        <v>50213.225000000006</v>
      </c>
    </row>
    <row r="63" spans="1:16" x14ac:dyDescent="0.25">
      <c r="A63">
        <v>2060</v>
      </c>
      <c r="B63" s="2">
        <f>'[1]2024-based'!L67</f>
        <v>229.5313341861692</v>
      </c>
      <c r="C63" s="2">
        <f>'[1]2024-based'!H67</f>
        <v>230</v>
      </c>
      <c r="D63">
        <v>340</v>
      </c>
      <c r="F63">
        <v>2060</v>
      </c>
      <c r="G63" s="2">
        <f>'[1]2024-based'!Q67</f>
        <v>72077.332703438718</v>
      </c>
      <c r="H63" s="2">
        <f>'[1]2022-based'!Q67</f>
        <v>75214.776642862445</v>
      </c>
      <c r="I63" s="2">
        <v>72334.005000000005</v>
      </c>
      <c r="J63" s="2">
        <v>78805.31700000001</v>
      </c>
      <c r="L63">
        <v>2060</v>
      </c>
      <c r="M63" s="2">
        <f>'[1]2024-based'!R67</f>
        <v>45059.043445199146</v>
      </c>
      <c r="N63" s="2">
        <f>'[1]2022-based'!R67</f>
        <v>47088.22565376608</v>
      </c>
      <c r="O63" s="2">
        <f>'[1]2024-based'!E67</f>
        <v>45251.75600000003</v>
      </c>
      <c r="P63" s="2">
        <v>50199.278000000006</v>
      </c>
    </row>
    <row r="65" spans="8:10" x14ac:dyDescent="0.25">
      <c r="H65" s="2">
        <f>G63-H63</f>
        <v>-3137.443939423727</v>
      </c>
      <c r="J65" s="2">
        <f>J63-I63</f>
        <v>6471.3120000000054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2026-04-30T15:45:26Z</dcterms:created>
  <dcterms:modified xsi:type="dcterms:W3CDTF">2026-04-30T19:19:21Z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2026-04-30T15:52:15Z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2c409bc8-a48d-4dce-9cc3-d385c7825946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