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A700360A-5026-49E8-B80F-2BE3A62F8039}" xr6:coauthVersionLast="47" xr6:coauthVersionMax="47" xr10:uidLastSave="{00000000-0000-0000-0000-000000000000}"/>
  <bookViews>
    <workbookView xWindow="-120" yWindow="-120" windowWidth="29040" windowHeight="15840" xr2:uid="{921AB6CE-1A05-434A-A2C2-0893F5BE6CA0}"/>
  </bookViews>
  <sheets>
    <sheet name="Chart1" sheetId="3" r:id="rId1"/>
    <sheet name="Chart1 (2)" sheetId="5" r:id="rId2"/>
    <sheet name="Chart Data" sheetId="2" r:id="rId3"/>
    <sheet name="HAVERM" sheetId="1" r:id="rId4"/>
    <sheet name="HAVERD" sheetId="7" r:id="rId5"/>
  </sheets>
  <definedNames>
    <definedName name="_DLX1.INC">HAVERM!$A$1:$E$6</definedName>
    <definedName name="_DLX2.INC">HAVERD!$A$1:$M$6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5" i="7" l="1"/>
  <c r="D285" i="7"/>
  <c r="E285" i="7"/>
  <c r="F285" i="7"/>
  <c r="G285" i="7"/>
  <c r="H285" i="7"/>
  <c r="I285" i="7"/>
  <c r="J285" i="7"/>
  <c r="B285" i="7"/>
  <c r="J287" i="7"/>
  <c r="I287" i="7"/>
  <c r="H287" i="7"/>
  <c r="G287" i="7"/>
  <c r="F287" i="7"/>
  <c r="E287" i="7"/>
  <c r="D287" i="7"/>
  <c r="C287" i="7"/>
  <c r="B287" i="7"/>
  <c r="J284" i="7"/>
  <c r="I284" i="7"/>
  <c r="H284" i="7"/>
  <c r="G284" i="7"/>
  <c r="F284" i="7"/>
  <c r="E284" i="7"/>
  <c r="D284" i="7"/>
  <c r="C284" i="7"/>
  <c r="B284" i="7"/>
  <c r="J283" i="7"/>
  <c r="I283" i="7"/>
  <c r="H283" i="7"/>
  <c r="G283" i="7"/>
  <c r="F283" i="7"/>
  <c r="E283" i="7"/>
  <c r="D283" i="7"/>
  <c r="C283" i="7"/>
  <c r="B283" i="7"/>
  <c r="B122" i="2" l="1"/>
  <c r="C122" i="2"/>
  <c r="C417" i="1"/>
  <c r="B417" i="1"/>
  <c r="C416" i="1"/>
  <c r="B416" i="1"/>
  <c r="B121" i="2" l="1"/>
  <c r="C121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F34" i="2" s="1"/>
  <c r="C34" i="2"/>
  <c r="B35" i="2"/>
  <c r="F35" i="2" s="1"/>
  <c r="C35" i="2"/>
  <c r="B36" i="2"/>
  <c r="F36" i="2" s="1"/>
  <c r="C36" i="2"/>
  <c r="B37" i="2"/>
  <c r="F37" i="2" s="1"/>
  <c r="C37" i="2"/>
  <c r="B38" i="2"/>
  <c r="F38" i="2" s="1"/>
  <c r="C38" i="2"/>
  <c r="B39" i="2"/>
  <c r="F39" i="2" s="1"/>
  <c r="C39" i="2"/>
  <c r="B40" i="2"/>
  <c r="F40" i="2" s="1"/>
  <c r="C40" i="2"/>
  <c r="B41" i="2"/>
  <c r="F41" i="2" s="1"/>
  <c r="C41" i="2"/>
  <c r="B42" i="2"/>
  <c r="F42" i="2" s="1"/>
  <c r="C42" i="2"/>
  <c r="B43" i="2"/>
  <c r="F43" i="2" s="1"/>
  <c r="C43" i="2"/>
  <c r="B44" i="2"/>
  <c r="F44" i="2" s="1"/>
  <c r="C44" i="2"/>
  <c r="B45" i="2"/>
  <c r="F45" i="2" s="1"/>
  <c r="C45" i="2"/>
  <c r="B46" i="2"/>
  <c r="F46" i="2" s="1"/>
  <c r="C46" i="2"/>
  <c r="B47" i="2"/>
  <c r="F47" i="2" s="1"/>
  <c r="C47" i="2"/>
  <c r="B48" i="2"/>
  <c r="F48" i="2" s="1"/>
  <c r="C48" i="2"/>
  <c r="B49" i="2"/>
  <c r="F49" i="2" s="1"/>
  <c r="C49" i="2"/>
  <c r="B50" i="2"/>
  <c r="F50" i="2" s="1"/>
  <c r="C50" i="2"/>
  <c r="B51" i="2"/>
  <c r="F51" i="2" s="1"/>
  <c r="C51" i="2"/>
  <c r="B52" i="2"/>
  <c r="F52" i="2" s="1"/>
  <c r="C52" i="2"/>
  <c r="B53" i="2"/>
  <c r="F53" i="2" s="1"/>
  <c r="C53" i="2"/>
  <c r="B54" i="2"/>
  <c r="F54" i="2" s="1"/>
  <c r="C54" i="2"/>
  <c r="B55" i="2"/>
  <c r="F55" i="2" s="1"/>
  <c r="C55" i="2"/>
  <c r="B56" i="2"/>
  <c r="F56" i="2" s="1"/>
  <c r="C56" i="2"/>
  <c r="B57" i="2"/>
  <c r="F57" i="2" s="1"/>
  <c r="C57" i="2"/>
  <c r="B58" i="2"/>
  <c r="F58" i="2" s="1"/>
  <c r="C58" i="2"/>
  <c r="B59" i="2"/>
  <c r="F59" i="2" s="1"/>
  <c r="C59" i="2"/>
  <c r="B60" i="2"/>
  <c r="F60" i="2" s="1"/>
  <c r="C60" i="2"/>
  <c r="B61" i="2"/>
  <c r="F61" i="2" s="1"/>
  <c r="C61" i="2"/>
  <c r="G121" i="2" s="1"/>
  <c r="B62" i="2"/>
  <c r="F62" i="2" s="1"/>
  <c r="C62" i="2"/>
  <c r="G122" i="2" s="1"/>
  <c r="B63" i="2"/>
  <c r="F63" i="2" s="1"/>
  <c r="C63" i="2"/>
  <c r="B64" i="2"/>
  <c r="F64" i="2" s="1"/>
  <c r="C64" i="2"/>
  <c r="G64" i="2" s="1"/>
  <c r="B65" i="2"/>
  <c r="F65" i="2" s="1"/>
  <c r="C65" i="2"/>
  <c r="G65" i="2" s="1"/>
  <c r="B66" i="2"/>
  <c r="F66" i="2" s="1"/>
  <c r="C66" i="2"/>
  <c r="G66" i="2" s="1"/>
  <c r="B67" i="2"/>
  <c r="F67" i="2" s="1"/>
  <c r="C67" i="2"/>
  <c r="B68" i="2"/>
  <c r="F68" i="2" s="1"/>
  <c r="C68" i="2"/>
  <c r="G68" i="2" s="1"/>
  <c r="B69" i="2"/>
  <c r="F69" i="2" s="1"/>
  <c r="C69" i="2"/>
  <c r="G69" i="2" s="1"/>
  <c r="B70" i="2"/>
  <c r="F70" i="2" s="1"/>
  <c r="C70" i="2"/>
  <c r="G70" i="2" s="1"/>
  <c r="B71" i="2"/>
  <c r="F71" i="2" s="1"/>
  <c r="C71" i="2"/>
  <c r="G71" i="2" s="1"/>
  <c r="B72" i="2"/>
  <c r="F72" i="2" s="1"/>
  <c r="C72" i="2"/>
  <c r="G72" i="2" s="1"/>
  <c r="B73" i="2"/>
  <c r="C73" i="2"/>
  <c r="G73" i="2" s="1"/>
  <c r="B74" i="2"/>
  <c r="F74" i="2" s="1"/>
  <c r="C74" i="2"/>
  <c r="G74" i="2" s="1"/>
  <c r="B75" i="2"/>
  <c r="F75" i="2" s="1"/>
  <c r="C75" i="2"/>
  <c r="G75" i="2" s="1"/>
  <c r="B76" i="2"/>
  <c r="F76" i="2" s="1"/>
  <c r="C76" i="2"/>
  <c r="G76" i="2" s="1"/>
  <c r="B77" i="2"/>
  <c r="F77" i="2" s="1"/>
  <c r="C77" i="2"/>
  <c r="G77" i="2" s="1"/>
  <c r="B78" i="2"/>
  <c r="F78" i="2" s="1"/>
  <c r="C78" i="2"/>
  <c r="G78" i="2" s="1"/>
  <c r="B79" i="2"/>
  <c r="F79" i="2" s="1"/>
  <c r="C79" i="2"/>
  <c r="G79" i="2" s="1"/>
  <c r="B80" i="2"/>
  <c r="F80" i="2" s="1"/>
  <c r="C80" i="2"/>
  <c r="G80" i="2" s="1"/>
  <c r="B81" i="2"/>
  <c r="F81" i="2" s="1"/>
  <c r="C81" i="2"/>
  <c r="G81" i="2" s="1"/>
  <c r="B82" i="2"/>
  <c r="F82" i="2" s="1"/>
  <c r="C82" i="2"/>
  <c r="G82" i="2" s="1"/>
  <c r="B83" i="2"/>
  <c r="F83" i="2" s="1"/>
  <c r="C83" i="2"/>
  <c r="G83" i="2" s="1"/>
  <c r="B84" i="2"/>
  <c r="F84" i="2" s="1"/>
  <c r="C84" i="2"/>
  <c r="G84" i="2" s="1"/>
  <c r="B85" i="2"/>
  <c r="F85" i="2" s="1"/>
  <c r="C85" i="2"/>
  <c r="G85" i="2" s="1"/>
  <c r="B86" i="2"/>
  <c r="F86" i="2" s="1"/>
  <c r="C86" i="2"/>
  <c r="G86" i="2" s="1"/>
  <c r="B87" i="2"/>
  <c r="F87" i="2" s="1"/>
  <c r="C87" i="2"/>
  <c r="G87" i="2" s="1"/>
  <c r="B88" i="2"/>
  <c r="F88" i="2" s="1"/>
  <c r="C88" i="2"/>
  <c r="G88" i="2" s="1"/>
  <c r="B89" i="2"/>
  <c r="F89" i="2" s="1"/>
  <c r="C89" i="2"/>
  <c r="G89" i="2" s="1"/>
  <c r="B90" i="2"/>
  <c r="F90" i="2" s="1"/>
  <c r="C90" i="2"/>
  <c r="G90" i="2" s="1"/>
  <c r="B91" i="2"/>
  <c r="F91" i="2" s="1"/>
  <c r="C91" i="2"/>
  <c r="G91" i="2" s="1"/>
  <c r="B92" i="2"/>
  <c r="F92" i="2" s="1"/>
  <c r="C92" i="2"/>
  <c r="G92" i="2" s="1"/>
  <c r="B93" i="2"/>
  <c r="F93" i="2" s="1"/>
  <c r="C93" i="2"/>
  <c r="G93" i="2" s="1"/>
  <c r="B94" i="2"/>
  <c r="F94" i="2" s="1"/>
  <c r="C94" i="2"/>
  <c r="G94" i="2" s="1"/>
  <c r="B95" i="2"/>
  <c r="F95" i="2" s="1"/>
  <c r="C95" i="2"/>
  <c r="G95" i="2" s="1"/>
  <c r="B96" i="2"/>
  <c r="F96" i="2" s="1"/>
  <c r="C96" i="2"/>
  <c r="G96" i="2" s="1"/>
  <c r="B97" i="2"/>
  <c r="F97" i="2" s="1"/>
  <c r="C97" i="2"/>
  <c r="G97" i="2" s="1"/>
  <c r="B98" i="2"/>
  <c r="C98" i="2"/>
  <c r="G98" i="2" s="1"/>
  <c r="B99" i="2"/>
  <c r="F99" i="2" s="1"/>
  <c r="C99" i="2"/>
  <c r="G99" i="2" s="1"/>
  <c r="B100" i="2"/>
  <c r="F100" i="2" s="1"/>
  <c r="C100" i="2"/>
  <c r="G100" i="2" s="1"/>
  <c r="B101" i="2"/>
  <c r="F101" i="2" s="1"/>
  <c r="C101" i="2"/>
  <c r="G101" i="2" s="1"/>
  <c r="B102" i="2"/>
  <c r="F102" i="2" s="1"/>
  <c r="C102" i="2"/>
  <c r="G102" i="2" s="1"/>
  <c r="B103" i="2"/>
  <c r="F103" i="2" s="1"/>
  <c r="C103" i="2"/>
  <c r="G103" i="2" s="1"/>
  <c r="B104" i="2"/>
  <c r="F104" i="2" s="1"/>
  <c r="C104" i="2"/>
  <c r="G104" i="2" s="1"/>
  <c r="B105" i="2"/>
  <c r="F105" i="2" s="1"/>
  <c r="C105" i="2"/>
  <c r="G105" i="2" s="1"/>
  <c r="B106" i="2"/>
  <c r="F106" i="2" s="1"/>
  <c r="C106" i="2"/>
  <c r="G106" i="2" s="1"/>
  <c r="B107" i="2"/>
  <c r="F107" i="2" s="1"/>
  <c r="C107" i="2"/>
  <c r="G107" i="2" s="1"/>
  <c r="B108" i="2"/>
  <c r="F108" i="2" s="1"/>
  <c r="C108" i="2"/>
  <c r="G108" i="2" s="1"/>
  <c r="B109" i="2"/>
  <c r="F109" i="2" s="1"/>
  <c r="C109" i="2"/>
  <c r="G109" i="2" s="1"/>
  <c r="B110" i="2"/>
  <c r="F110" i="2" s="1"/>
  <c r="C110" i="2"/>
  <c r="G110" i="2" s="1"/>
  <c r="B111" i="2"/>
  <c r="F111" i="2" s="1"/>
  <c r="C111" i="2"/>
  <c r="G111" i="2" s="1"/>
  <c r="B112" i="2"/>
  <c r="F112" i="2" s="1"/>
  <c r="C112" i="2"/>
  <c r="G112" i="2" s="1"/>
  <c r="B113" i="2"/>
  <c r="F113" i="2" s="1"/>
  <c r="C113" i="2"/>
  <c r="G113" i="2" s="1"/>
  <c r="B114" i="2"/>
  <c r="F114" i="2" s="1"/>
  <c r="C114" i="2"/>
  <c r="G114" i="2" s="1"/>
  <c r="B115" i="2"/>
  <c r="F115" i="2" s="1"/>
  <c r="C115" i="2"/>
  <c r="G115" i="2" s="1"/>
  <c r="B116" i="2"/>
  <c r="F116" i="2" s="1"/>
  <c r="C116" i="2"/>
  <c r="G116" i="2" s="1"/>
  <c r="B117" i="2"/>
  <c r="F117" i="2" s="1"/>
  <c r="C117" i="2"/>
  <c r="G117" i="2" s="1"/>
  <c r="B118" i="2"/>
  <c r="F118" i="2" s="1"/>
  <c r="C118" i="2"/>
  <c r="G118" i="2" s="1"/>
  <c r="B119" i="2"/>
  <c r="F119" i="2" s="1"/>
  <c r="C119" i="2"/>
  <c r="G119" i="2" s="1"/>
  <c r="B120" i="2"/>
  <c r="F120" i="2" s="1"/>
  <c r="C120" i="2"/>
  <c r="G120" i="2" s="1"/>
  <c r="C3" i="2"/>
  <c r="B3" i="2"/>
  <c r="F98" i="2" l="1"/>
  <c r="F122" i="2"/>
  <c r="F121" i="2"/>
  <c r="F73" i="2"/>
  <c r="G67" i="2"/>
  <c r="B127" i="2"/>
  <c r="C127" i="2"/>
  <c r="G63" i="2"/>
</calcChain>
</file>

<file path=xl/sharedStrings.xml><?xml version="1.0" encoding="utf-8"?>
<sst xmlns="http://schemas.openxmlformats.org/spreadsheetml/2006/main" count="767" uniqueCount="732">
  <si>
    <t>UNBV34@UK</t>
  </si>
  <si>
    <t>UNBV42@UK</t>
  </si>
  <si>
    <t>199001 !M</t>
  </si>
  <si>
    <t>199001</t>
  </si>
  <si>
    <t>.DTLM</t>
  </si>
  <si>
    <t>.LSOURCE</t>
  </si>
  <si>
    <t>.TN</t>
  </si>
  <si>
    <t>.T1</t>
  </si>
  <si>
    <t>.DESC</t>
  </si>
  <si>
    <t>Bank of England</t>
  </si>
  <si>
    <t>Jan-1995</t>
  </si>
  <si>
    <t>UK: Mortgages: Fixed Rates: MFIS ex Central Bank: 2-Year 75% LTV (AVG, %)</t>
  </si>
  <si>
    <t>UK: Mortgages: Fixed Rates: MFIS ex Central Bank: 5-Year 75% LTV (AVG, %)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</si>
  <si>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</si>
  <si>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</si>
  <si>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</si>
  <si>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</si>
  <si>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</si>
  <si>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</si>
  <si>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</si>
  <si>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</si>
  <si>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</si>
  <si>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</si>
  <si>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</si>
  <si>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</si>
  <si>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</si>
  <si>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</si>
  <si>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</si>
  <si>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</si>
  <si>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</si>
  <si>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</si>
  <si>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</si>
  <si>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</si>
  <si>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</si>
  <si>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</si>
  <si>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</si>
  <si>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</si>
  <si>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</si>
  <si>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</si>
  <si>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</si>
  <si>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</si>
  <si>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</si>
  <si>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</si>
  <si>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</si>
  <si>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</si>
  <si>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</si>
  <si>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</si>
  <si>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</si>
  <si>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</si>
  <si>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</si>
  <si>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</si>
  <si>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</si>
  <si>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</si>
  <si>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</si>
  <si>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</si>
  <si>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</si>
  <si>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</si>
  <si>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</si>
  <si>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</si>
  <si>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</si>
  <si>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</si>
  <si>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</si>
  <si>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</si>
  <si>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</si>
  <si>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</si>
  <si>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</si>
  <si>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</si>
  <si>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</si>
  <si>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</si>
  <si>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</si>
  <si>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</si>
  <si>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</si>
  <si>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</si>
  <si>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</si>
  <si>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</si>
  <si>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</si>
  <si>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</si>
  <si>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</si>
  <si>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</si>
  <si>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</si>
  <si>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</si>
  <si>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</si>
  <si>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</si>
  <si>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</si>
  <si>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</si>
  <si>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</si>
  <si>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</si>
  <si>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</si>
  <si>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</si>
  <si>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</si>
  <si>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</si>
  <si>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</si>
  <si>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</si>
  <si>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</si>
  <si>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</si>
  <si>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</si>
  <si>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</si>
  <si>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</si>
  <si>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</si>
  <si>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</si>
  <si>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</si>
  <si>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</si>
  <si>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</si>
  <si>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</si>
  <si>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</si>
  <si>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</si>
  <si>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</si>
  <si>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</si>
  <si>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</si>
  <si>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</si>
  <si>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</si>
  <si>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</si>
  <si>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</si>
  <si>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</si>
  <si>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</si>
  <si>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</si>
  <si>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</si>
  <si>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</si>
  <si>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</si>
  <si>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</si>
  <si>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</si>
  <si>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</si>
  <si>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</si>
  <si>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</si>
  <si>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</si>
  <si>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</si>
  <si>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</si>
  <si>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</si>
  <si>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</si>
  <si>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</si>
  <si>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</si>
  <si>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</si>
  <si>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</si>
  <si>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</si>
  <si>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</si>
  <si>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</si>
  <si>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</si>
  <si>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</si>
  <si>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</si>
  <si>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</si>
  <si>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</si>
  <si>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</si>
  <si>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</si>
  <si>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</si>
  <si>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</si>
  <si>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</si>
  <si>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</si>
  <si>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</si>
  <si>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</si>
  <si>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</si>
  <si>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</si>
  <si>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</si>
  <si>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</si>
  <si>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</si>
  <si>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</si>
  <si>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</si>
  <si>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</si>
  <si>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</si>
  <si>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</si>
  <si>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</si>
  <si>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</si>
  <si>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</si>
  <si>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</si>
  <si>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</si>
  <si>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</si>
  <si>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</si>
  <si>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</si>
  <si>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</si>
  <si>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</si>
  <si>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</si>
  <si>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</si>
  <si>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</si>
  <si>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</si>
  <si>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</si>
  <si>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</si>
  <si>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</si>
  <si>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</si>
  <si>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</si>
  <si>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</si>
  <si>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</si>
  <si>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</si>
  <si>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</si>
  <si>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</si>
  <si>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</si>
  <si>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</si>
  <si>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</si>
  <si>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</si>
  <si>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</si>
  <si>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</si>
  <si>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</si>
  <si>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</si>
  <si>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</si>
  <si>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</si>
  <si>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</si>
  <si>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</si>
  <si>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</si>
  <si>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</si>
  <si>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</si>
  <si>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</si>
  <si>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</si>
  <si>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</si>
  <si>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</si>
  <si>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</si>
  <si>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</si>
  <si>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</si>
  <si>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</si>
  <si>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</si>
  <si>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</si>
  <si>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</si>
  <si>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</si>
  <si>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</si>
  <si>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</si>
  <si>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</si>
  <si>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</si>
  <si>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</si>
  <si>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</si>
  <si>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</si>
  <si>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</si>
  <si>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</si>
  <si>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</si>
  <si>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</si>
  <si>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</si>
  <si>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</si>
  <si>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</si>
  <si>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</si>
  <si>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</si>
  <si>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</si>
  <si>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</si>
  <si>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</si>
  <si>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</si>
  <si>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</si>
  <si>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</si>
  <si>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</si>
  <si>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</si>
  <si>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</si>
  <si>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</si>
  <si>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</si>
  <si>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</si>
  <si>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</si>
  <si>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</si>
  <si>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</si>
  <si>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</si>
  <si>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</si>
  <si>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</si>
  <si>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</si>
  <si>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</si>
  <si>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</si>
  <si>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</si>
  <si>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</si>
  <si>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</si>
  <si>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</si>
  <si>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</si>
  <si>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</si>
  <si>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</si>
  <si>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</si>
  <si>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</si>
  <si>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</si>
  <si>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</si>
  <si>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</si>
  <si>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</si>
  <si>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</si>
  <si>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</si>
  <si>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</si>
  <si>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</si>
  <si>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</si>
  <si>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</si>
  <si>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</si>
  <si>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</si>
  <si>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</si>
  <si>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</si>
  <si>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</si>
  <si>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</si>
  <si>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</si>
  <si>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</si>
  <si>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</si>
  <si>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</si>
  <si>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</si>
  <si>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</si>
  <si>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</si>
  <si>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</si>
  <si>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</si>
  <si>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</si>
  <si>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</si>
  <si>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</si>
  <si>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</si>
  <si>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</si>
  <si>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</si>
  <si>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</si>
  <si>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</si>
  <si>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</si>
  <si>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</si>
  <si>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</si>
  <si>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</si>
  <si>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</si>
  <si>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</si>
  <si>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</si>
  <si>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</si>
  <si>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</si>
  <si>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</si>
  <si>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</si>
  <si>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</si>
  <si>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</si>
  <si>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</si>
  <si>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</si>
  <si>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</si>
  <si>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</si>
  <si>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</si>
  <si>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</si>
  <si>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</si>
  <si>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</si>
  <si>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</si>
  <si>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</si>
  <si>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</si>
  <si>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</si>
  <si>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</si>
  <si>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</si>
  <si>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</si>
  <si>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</si>
  <si>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</si>
  <si>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</si>
  <si>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</si>
  <si>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</si>
  <si>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</si>
  <si>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</si>
  <si>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</si>
  <si>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</si>
  <si>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</si>
  <si>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</si>
  <si>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</si>
  <si>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</si>
  <si>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</si>
  <si>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</si>
  <si>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</si>
  <si>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</si>
  <si>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</si>
  <si>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</si>
  <si>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</si>
  <si>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</si>
  <si>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</si>
  <si>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</si>
  <si>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</si>
  <si>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</si>
  <si>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</si>
  <si>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</si>
  <si>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</si>
  <si>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</si>
  <si>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</si>
  <si>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</si>
  <si>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</si>
  <si>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</si>
  <si>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</si>
  <si>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</si>
  <si>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</si>
  <si>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</si>
  <si>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</si>
  <si>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</si>
  <si>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</si>
  <si>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</si>
  <si>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</si>
  <si>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</si>
  <si>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</si>
  <si>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</si>
  <si>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</si>
  <si>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</si>
  <si>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</si>
  <si>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</si>
  <si>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</si>
  <si>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</si>
  <si>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</si>
  <si>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</si>
  <si>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</si>
  <si>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</si>
  <si>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</si>
  <si>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</si>
  <si>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</si>
  <si>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</si>
  <si>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</si>
  <si>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</si>
  <si>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</si>
  <si>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</si>
  <si>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</si>
  <si>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</si>
  <si>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</si>
  <si>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</si>
  <si>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</si>
  <si>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</si>
  <si>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</si>
  <si>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</si>
  <si>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</si>
  <si>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</si>
  <si>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</si>
  <si>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</si>
  <si>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</si>
  <si>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</si>
  <si>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</si>
  <si>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</si>
  <si>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</si>
  <si>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</si>
  <si>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</si>
  <si>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</si>
  <si>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</si>
  <si>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</si>
  <si>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</si>
  <si>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</si>
  <si>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</si>
  <si>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</si>
  <si>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</si>
  <si>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</si>
  <si>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</si>
  <si>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</si>
  <si>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</si>
  <si>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</si>
  <si>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</si>
  <si>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</si>
  <si>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</si>
  <si>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</si>
  <si>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</si>
  <si>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</si>
  <si>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Quoted mortgage rates</t>
  </si>
  <si>
    <t>2 year fix, 75% LTV</t>
  </si>
  <si>
    <t>5 year fix, 75% LTV</t>
  </si>
  <si>
    <t>New-old</t>
  </si>
  <si>
    <t>ZERO LINE</t>
  </si>
  <si>
    <t>202311</t>
  </si>
  <si>
    <t>T112GA@INTDAILY</t>
  </si>
  <si>
    <t>T112G2@INTDAILY</t>
  </si>
  <si>
    <t>T112G5@INTDAILY</t>
  </si>
  <si>
    <t>M112IAY@INTDAILY</t>
  </si>
  <si>
    <t>M112IHH@INTDAILY</t>
  </si>
  <si>
    <t>M112I5Y@INTDAILY</t>
  </si>
  <si>
    <t>20230101 !D</t>
  </si>
  <si>
    <t>20230102</t>
  </si>
  <si>
    <t>London Stock Exchange Group</t>
  </si>
  <si>
    <t>26-Jan-1994</t>
  </si>
  <si>
    <t>UK: 2-Yr Government Bond Yield (%)</t>
  </si>
  <si>
    <t>03-Jan-1995</t>
  </si>
  <si>
    <t>UK: 5-Yr Government Bond Yield (%)</t>
  </si>
  <si>
    <t>UK: 10-Yr Government Bond Yield (%)</t>
  </si>
  <si>
    <t>Tullett Prebon Information/Haver Analytics</t>
  </si>
  <si>
    <t>26-Aug-2014</t>
  </si>
  <si>
    <t>UK: 24 Month Overnight Index Swap[Ann,Act/365]v SONIA:Mid Rate[2PM ET](%p.a)</t>
  </si>
  <si>
    <t>UK: 5 Year Overnight Index Swap[Ann,Act/365]v SONIA:Mid Rate[2PM ET](%p.a)</t>
  </si>
  <si>
    <t>UK: 10 Year Overnight Index Swap[Ann,Act/365]v SONIA:Mid Rate[2PM ET](%p.a)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</si>
  <si>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</si>
  <si>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</si>
  <si>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</si>
  <si>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</si>
  <si>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</si>
  <si>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</si>
  <si>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</si>
  <si>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</si>
  <si>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</si>
  <si>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</si>
  <si>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</si>
  <si>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</si>
  <si>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</si>
  <si>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</si>
  <si>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</si>
  <si>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</si>
  <si>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</si>
  <si>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</si>
  <si>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</si>
  <si>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</si>
  <si>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</si>
  <si>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</si>
  <si>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</si>
  <si>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</si>
  <si>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</si>
  <si>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</si>
  <si>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</si>
  <si>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</si>
  <si>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</si>
  <si>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</si>
  <si>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</si>
  <si>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</si>
  <si>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</si>
  <si>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</si>
  <si>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</si>
  <si>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</si>
  <si>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</si>
  <si>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</si>
  <si>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</si>
  <si>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</si>
  <si>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</si>
  <si>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</si>
  <si>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</si>
  <si>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</si>
  <si>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</si>
  <si>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</si>
  <si>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</si>
  <si>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</si>
  <si>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</si>
  <si>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</si>
  <si>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</si>
  <si>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</si>
  <si>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</si>
  <si>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</si>
  <si>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</si>
  <si>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</si>
  <si>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</si>
  <si>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</si>
  <si>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</si>
  <si>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</si>
  <si>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</si>
  <si>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</si>
  <si>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</si>
  <si>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</si>
  <si>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</si>
  <si>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</si>
  <si>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</si>
  <si>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</si>
  <si>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</si>
  <si>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</si>
  <si>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</si>
  <si>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</si>
  <si>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</si>
  <si>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</si>
  <si>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</si>
  <si>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</si>
  <si>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</si>
  <si>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</si>
  <si>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</si>
  <si>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</si>
  <si>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</si>
  <si>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</si>
  <si>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</si>
  <si>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</si>
  <si>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</si>
  <si>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</si>
  <si>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</si>
  <si>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</si>
  <si>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</si>
  <si>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</si>
  <si>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</si>
  <si>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</si>
  <si>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</si>
  <si>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</si>
  <si>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</si>
  <si>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</si>
  <si>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</si>
  <si>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</si>
  <si>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</si>
  <si>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</si>
  <si>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</si>
  <si>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</si>
  <si>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</si>
  <si>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</si>
  <si>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</si>
  <si>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</si>
  <si>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</si>
  <si>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</si>
  <si>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</si>
  <si>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</si>
  <si>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</si>
  <si>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</si>
  <si>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</si>
  <si>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</si>
  <si>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</si>
  <si>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</si>
  <si>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</si>
  <si>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</si>
  <si>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</si>
  <si>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</si>
  <si>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</si>
  <si>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</si>
  <si>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</si>
  <si>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</si>
  <si>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</si>
  <si>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</si>
  <si>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</si>
  <si>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</si>
  <si>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</si>
  <si>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</si>
  <si>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</si>
  <si>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</si>
  <si>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</si>
  <si>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</si>
  <si>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</si>
  <si>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</si>
  <si>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</si>
  <si>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</si>
  <si>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</si>
  <si>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</si>
  <si>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</si>
  <si>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</si>
  <si>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</si>
  <si>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</si>
  <si>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</si>
  <si>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</si>
  <si>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</si>
  <si>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</si>
  <si>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</si>
  <si>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</si>
  <si>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</si>
  <si>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</si>
  <si>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</si>
  <si>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</si>
  <si>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</si>
  <si>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</si>
  <si>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</si>
  <si>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</si>
  <si>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</si>
  <si>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</si>
  <si>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</si>
  <si>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</si>
  <si>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</si>
  <si>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</si>
  <si>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</si>
  <si>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</si>
  <si>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</si>
  <si>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</si>
  <si>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</si>
  <si>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</si>
  <si>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</si>
  <si>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</si>
  <si>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</si>
  <si>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</si>
  <si>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</si>
  <si>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</si>
  <si>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</si>
  <si>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</si>
  <si>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</si>
  <si>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</si>
  <si>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</si>
  <si>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</si>
  <si>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</si>
  <si>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</si>
  <si>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</si>
  <si>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</si>
  <si>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</si>
  <si>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</si>
  <si>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</si>
  <si>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</si>
  <si>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</si>
  <si>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</si>
  <si>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</si>
  <si>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</si>
  <si>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</si>
  <si>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</si>
  <si>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</si>
  <si>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</si>
  <si>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</si>
  <si>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</si>
  <si>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</si>
  <si>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</si>
  <si>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</si>
  <si>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</si>
  <si>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</si>
  <si>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</si>
  <si>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</si>
  <si>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</si>
  <si>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</si>
  <si>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</si>
  <si>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</si>
  <si>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</si>
  <si>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</si>
  <si>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</si>
  <si>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</si>
  <si>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</si>
  <si>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</si>
  <si>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</si>
  <si>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</si>
  <si>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</si>
  <si>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</si>
  <si>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</si>
  <si>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</si>
  <si>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</si>
  <si>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</si>
  <si>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</si>
  <si>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</si>
  <si>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</si>
  <si>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</si>
  <si>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</si>
  <si>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</si>
  <si>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</si>
  <si>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</si>
  <si>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</si>
  <si>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</si>
  <si>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</si>
  <si>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</si>
  <si>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</si>
  <si>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</si>
  <si>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</si>
  <si>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</si>
  <si>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</si>
  <si>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</si>
  <si>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Since 1/12</t>
  </si>
  <si>
    <t>Since Nov MPC</t>
  </si>
  <si>
    <t>FCM2@DAILY</t>
  </si>
  <si>
    <t>FCM5@DAILY</t>
  </si>
  <si>
    <t>FCM10@DAILY</t>
  </si>
  <si>
    <t>Federal Reserve Board</t>
  </si>
  <si>
    <t>01-Jun-1976</t>
  </si>
  <si>
    <t>2-Year Treasury Note Yield at Constant Maturity (% p.a.)</t>
  </si>
  <si>
    <t>02-Jan-1962</t>
  </si>
  <si>
    <t>5-Year Treasury Note Yield at Constant Maturity (% p.a.)</t>
  </si>
  <si>
    <t>10-Year Treasury Note Yield at Constant Maturity (% p.a.)</t>
  </si>
  <si>
    <t>Jan-08-2024 09:31</t>
  </si>
  <si>
    <t>Dec-2023</t>
  </si>
  <si>
    <t>202312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</si>
  <si>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</si>
  <si>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</si>
  <si>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</si>
  <si>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</si>
  <si>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</si>
  <si>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</si>
  <si>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</si>
  <si>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</si>
  <si>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</si>
  <si>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</si>
  <si>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</si>
  <si>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</si>
  <si>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</si>
  <si>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</si>
  <si>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</si>
  <si>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</si>
  <si>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</si>
  <si>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</si>
  <si>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</si>
  <si>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</si>
  <si>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</si>
  <si>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</si>
  <si>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</si>
  <si>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Dec</t>
  </si>
  <si>
    <t>Jul-Dec</t>
  </si>
  <si>
    <t>Since 29/12</t>
  </si>
  <si>
    <t>Jan-10-2024 20:46</t>
  </si>
  <si>
    <t>10-Jan-2024</t>
  </si>
  <si>
    <t>Jan-10-2024 21:04</t>
  </si>
  <si>
    <t>Jan-10-2024 19:25</t>
  </si>
  <si>
    <t>20240110</t>
  </si>
  <si>
    <t>During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</si>
</sst>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/>
    <xf numFmtId="14" fontId="0" fillId="0" borderId="0" xfId="0" applyNumberFormat="1"/>
    <xf numFmtId="0" fontId="0" fillId="0" borderId="0" xfId="0" applyFill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273359647242662E-2"/>
          <c:y val="0.14710460839166137"/>
          <c:w val="0.89550534407821925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Data'!$A$3:$A$122</c:f>
              <c:numCache>
                <c:formatCode>m/d/yyyy</c:formatCode>
                <c:ptCount val="12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</c:numCache>
            </c:numRef>
          </c:cat>
          <c:val>
            <c:numRef>
              <c:f>'Chart Data'!$B$3:$B$122</c:f>
              <c:numCache>
                <c:formatCode>0.00</c:formatCode>
                <c:ptCount val="120"/>
                <c:pt idx="0">
                  <c:v>2.37</c:v>
                </c:pt>
                <c:pt idx="1">
                  <c:v>2.38</c:v>
                </c:pt>
                <c:pt idx="2">
                  <c:v>2.37</c:v>
                </c:pt>
                <c:pt idx="3">
                  <c:v>2.54</c:v>
                </c:pt>
                <c:pt idx="4">
                  <c:v>2.56</c:v>
                </c:pt>
                <c:pt idx="5">
                  <c:v>2.6</c:v>
                </c:pt>
                <c:pt idx="6">
                  <c:v>2.54</c:v>
                </c:pt>
                <c:pt idx="7">
                  <c:v>2.54</c:v>
                </c:pt>
                <c:pt idx="8">
                  <c:v>2.46</c:v>
                </c:pt>
                <c:pt idx="9">
                  <c:v>2.21</c:v>
                </c:pt>
                <c:pt idx="10">
                  <c:v>2.17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1.96</c:v>
                </c:pt>
                <c:pt idx="14">
                  <c:v>1.99</c:v>
                </c:pt>
                <c:pt idx="15">
                  <c:v>1.95</c:v>
                </c:pt>
                <c:pt idx="16">
                  <c:v>1.9</c:v>
                </c:pt>
                <c:pt idx="17">
                  <c:v>1.83</c:v>
                </c:pt>
                <c:pt idx="18">
                  <c:v>1.87</c:v>
                </c:pt>
                <c:pt idx="19">
                  <c:v>1.95</c:v>
                </c:pt>
                <c:pt idx="20">
                  <c:v>1.91</c:v>
                </c:pt>
                <c:pt idx="21">
                  <c:v>1.87</c:v>
                </c:pt>
                <c:pt idx="22">
                  <c:v>1.92</c:v>
                </c:pt>
                <c:pt idx="23">
                  <c:v>1.9</c:v>
                </c:pt>
                <c:pt idx="24">
                  <c:v>1.93</c:v>
                </c:pt>
                <c:pt idx="25">
                  <c:v>1.95</c:v>
                </c:pt>
                <c:pt idx="26">
                  <c:v>1.9</c:v>
                </c:pt>
                <c:pt idx="27">
                  <c:v>1.84</c:v>
                </c:pt>
                <c:pt idx="28">
                  <c:v>1.91</c:v>
                </c:pt>
                <c:pt idx="29">
                  <c:v>1.75</c:v>
                </c:pt>
                <c:pt idx="30">
                  <c:v>1.72</c:v>
                </c:pt>
                <c:pt idx="31">
                  <c:v>1.69</c:v>
                </c:pt>
                <c:pt idx="32">
                  <c:v>1.59</c:v>
                </c:pt>
                <c:pt idx="33">
                  <c:v>1.52</c:v>
                </c:pt>
                <c:pt idx="34">
                  <c:v>1.43</c:v>
                </c:pt>
                <c:pt idx="35">
                  <c:v>1.45</c:v>
                </c:pt>
                <c:pt idx="36">
                  <c:v>1.45</c:v>
                </c:pt>
                <c:pt idx="37">
                  <c:v>1.42</c:v>
                </c:pt>
                <c:pt idx="38">
                  <c:v>1.37</c:v>
                </c:pt>
                <c:pt idx="39">
                  <c:v>1.35</c:v>
                </c:pt>
                <c:pt idx="40">
                  <c:v>1.49</c:v>
                </c:pt>
                <c:pt idx="41">
                  <c:v>1.48</c:v>
                </c:pt>
                <c:pt idx="42">
                  <c:v>1.41</c:v>
                </c:pt>
                <c:pt idx="43">
                  <c:v>1.43</c:v>
                </c:pt>
                <c:pt idx="44">
                  <c:v>1.4</c:v>
                </c:pt>
                <c:pt idx="45">
                  <c:v>1.55</c:v>
                </c:pt>
                <c:pt idx="46">
                  <c:v>1.61</c:v>
                </c:pt>
                <c:pt idx="47">
                  <c:v>1.57</c:v>
                </c:pt>
                <c:pt idx="48">
                  <c:v>1.54</c:v>
                </c:pt>
                <c:pt idx="49">
                  <c:v>1.49</c:v>
                </c:pt>
                <c:pt idx="50">
                  <c:v>1.53</c:v>
                </c:pt>
                <c:pt idx="51">
                  <c:v>1.72</c:v>
                </c:pt>
                <c:pt idx="52">
                  <c:v>1.74</c:v>
                </c:pt>
                <c:pt idx="53">
                  <c:v>1.74</c:v>
                </c:pt>
                <c:pt idx="54">
                  <c:v>1.75</c:v>
                </c:pt>
                <c:pt idx="55">
                  <c:v>1.75</c:v>
                </c:pt>
                <c:pt idx="56">
                  <c:v>1.71</c:v>
                </c:pt>
                <c:pt idx="57">
                  <c:v>1.8</c:v>
                </c:pt>
                <c:pt idx="58">
                  <c:v>1.75</c:v>
                </c:pt>
                <c:pt idx="59">
                  <c:v>1.73</c:v>
                </c:pt>
                <c:pt idx="60">
                  <c:v>1.72</c:v>
                </c:pt>
                <c:pt idx="61">
                  <c:v>1.7</c:v>
                </c:pt>
                <c:pt idx="62">
                  <c:v>1.7</c:v>
                </c:pt>
                <c:pt idx="63">
                  <c:v>1.66</c:v>
                </c:pt>
                <c:pt idx="64">
                  <c:v>1.65</c:v>
                </c:pt>
                <c:pt idx="65">
                  <c:v>1.64</c:v>
                </c:pt>
                <c:pt idx="66">
                  <c:v>1.61</c:v>
                </c:pt>
                <c:pt idx="67">
                  <c:v>1.59</c:v>
                </c:pt>
                <c:pt idx="68">
                  <c:v>1.55</c:v>
                </c:pt>
                <c:pt idx="69">
                  <c:v>1.47</c:v>
                </c:pt>
                <c:pt idx="70">
                  <c:v>1.41</c:v>
                </c:pt>
                <c:pt idx="71">
                  <c:v>1.42</c:v>
                </c:pt>
                <c:pt idx="72">
                  <c:v>1.41</c:v>
                </c:pt>
                <c:pt idx="73">
                  <c:v>1.4</c:v>
                </c:pt>
                <c:pt idx="74">
                  <c:v>1.4</c:v>
                </c:pt>
                <c:pt idx="75">
                  <c:v>1.38</c:v>
                </c:pt>
                <c:pt idx="76">
                  <c:v>1.42</c:v>
                </c:pt>
                <c:pt idx="77">
                  <c:v>1.41</c:v>
                </c:pt>
                <c:pt idx="78">
                  <c:v>1.45</c:v>
                </c:pt>
                <c:pt idx="79">
                  <c:v>1.6</c:v>
                </c:pt>
                <c:pt idx="80">
                  <c:v>1.75</c:v>
                </c:pt>
                <c:pt idx="81">
                  <c:v>1.94</c:v>
                </c:pt>
                <c:pt idx="82">
                  <c:v>1.92</c:v>
                </c:pt>
                <c:pt idx="83">
                  <c:v>1.86</c:v>
                </c:pt>
                <c:pt idx="84">
                  <c:v>1.75</c:v>
                </c:pt>
                <c:pt idx="85">
                  <c:v>1.61</c:v>
                </c:pt>
                <c:pt idx="86">
                  <c:v>1.56</c:v>
                </c:pt>
                <c:pt idx="87">
                  <c:v>1.49</c:v>
                </c:pt>
                <c:pt idx="88">
                  <c:v>1.47</c:v>
                </c:pt>
                <c:pt idx="89">
                  <c:v>1.39</c:v>
                </c:pt>
                <c:pt idx="90">
                  <c:v>1.29</c:v>
                </c:pt>
                <c:pt idx="91">
                  <c:v>1.23</c:v>
                </c:pt>
                <c:pt idx="92">
                  <c:v>1.2</c:v>
                </c:pt>
                <c:pt idx="93">
                  <c:v>1.29</c:v>
                </c:pt>
                <c:pt idx="94">
                  <c:v>1.53</c:v>
                </c:pt>
                <c:pt idx="95">
                  <c:v>1.57</c:v>
                </c:pt>
                <c:pt idx="96">
                  <c:v>1.64</c:v>
                </c:pt>
                <c:pt idx="97">
                  <c:v>1.78</c:v>
                </c:pt>
                <c:pt idx="98">
                  <c:v>2.14</c:v>
                </c:pt>
                <c:pt idx="99">
                  <c:v>2.35</c:v>
                </c:pt>
                <c:pt idx="100">
                  <c:v>2.63</c:v>
                </c:pt>
                <c:pt idx="101">
                  <c:v>2.87</c:v>
                </c:pt>
                <c:pt idx="102">
                  <c:v>3.48</c:v>
                </c:pt>
                <c:pt idx="103">
                  <c:v>3.6</c:v>
                </c:pt>
                <c:pt idx="104">
                  <c:v>4.17</c:v>
                </c:pt>
                <c:pt idx="105">
                  <c:v>5.99</c:v>
                </c:pt>
                <c:pt idx="106">
                  <c:v>5.98</c:v>
                </c:pt>
                <c:pt idx="107">
                  <c:v>5.43</c:v>
                </c:pt>
                <c:pt idx="108">
                  <c:v>5.14</c:v>
                </c:pt>
                <c:pt idx="109">
                  <c:v>4.79</c:v>
                </c:pt>
                <c:pt idx="110">
                  <c:v>4.74</c:v>
                </c:pt>
                <c:pt idx="111">
                  <c:v>4.5999999999999996</c:v>
                </c:pt>
                <c:pt idx="112">
                  <c:v>4.72</c:v>
                </c:pt>
                <c:pt idx="113">
                  <c:v>5.49</c:v>
                </c:pt>
                <c:pt idx="114">
                  <c:v>6.22</c:v>
                </c:pt>
                <c:pt idx="115">
                  <c:v>6.18</c:v>
                </c:pt>
                <c:pt idx="116">
                  <c:v>5.91</c:v>
                </c:pt>
                <c:pt idx="117">
                  <c:v>5.61</c:v>
                </c:pt>
                <c:pt idx="118">
                  <c:v>5.28</c:v>
                </c:pt>
                <c:pt idx="119">
                  <c:v>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Data'!$A$3:$A$122</c:f>
              <c:numCache>
                <c:formatCode>m/d/yyyy</c:formatCode>
                <c:ptCount val="12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</c:numCache>
            </c:numRef>
          </c:cat>
          <c:val>
            <c:numRef>
              <c:f>'Chart Data'!$C$3:$C$122</c:f>
              <c:numCache>
                <c:formatCode>0.00</c:formatCode>
                <c:ptCount val="120"/>
                <c:pt idx="0">
                  <c:v>3.34</c:v>
                </c:pt>
                <c:pt idx="1">
                  <c:v>3.45</c:v>
                </c:pt>
                <c:pt idx="2">
                  <c:v>3.48</c:v>
                </c:pt>
                <c:pt idx="3">
                  <c:v>3.69</c:v>
                </c:pt>
                <c:pt idx="4">
                  <c:v>3.72</c:v>
                </c:pt>
                <c:pt idx="5">
                  <c:v>3.69</c:v>
                </c:pt>
                <c:pt idx="6">
                  <c:v>3.78</c:v>
                </c:pt>
                <c:pt idx="7">
                  <c:v>3.76</c:v>
                </c:pt>
                <c:pt idx="8">
                  <c:v>3.61</c:v>
                </c:pt>
                <c:pt idx="9">
                  <c:v>3.27</c:v>
                </c:pt>
                <c:pt idx="10">
                  <c:v>3.21</c:v>
                </c:pt>
                <c:pt idx="11">
                  <c:v>3.21</c:v>
                </c:pt>
                <c:pt idx="12">
                  <c:v>3.09</c:v>
                </c:pt>
                <c:pt idx="13">
                  <c:v>3.05</c:v>
                </c:pt>
                <c:pt idx="14">
                  <c:v>2.98</c:v>
                </c:pt>
                <c:pt idx="15">
                  <c:v>2.92</c:v>
                </c:pt>
                <c:pt idx="16">
                  <c:v>2.86</c:v>
                </c:pt>
                <c:pt idx="17">
                  <c:v>2.82</c:v>
                </c:pt>
                <c:pt idx="18">
                  <c:v>2.83</c:v>
                </c:pt>
                <c:pt idx="19">
                  <c:v>2.92</c:v>
                </c:pt>
                <c:pt idx="20">
                  <c:v>2.84</c:v>
                </c:pt>
                <c:pt idx="21">
                  <c:v>2.78</c:v>
                </c:pt>
                <c:pt idx="22">
                  <c:v>2.77</c:v>
                </c:pt>
                <c:pt idx="23">
                  <c:v>2.75</c:v>
                </c:pt>
                <c:pt idx="24">
                  <c:v>2.68</c:v>
                </c:pt>
                <c:pt idx="25">
                  <c:v>2.73</c:v>
                </c:pt>
                <c:pt idx="26">
                  <c:v>2.7</c:v>
                </c:pt>
                <c:pt idx="27">
                  <c:v>2.71</c:v>
                </c:pt>
                <c:pt idx="28">
                  <c:v>2.64</c:v>
                </c:pt>
                <c:pt idx="29">
                  <c:v>2.54</c:v>
                </c:pt>
                <c:pt idx="30">
                  <c:v>2.5099999999999998</c:v>
                </c:pt>
                <c:pt idx="31">
                  <c:v>2.39</c:v>
                </c:pt>
                <c:pt idx="32">
                  <c:v>2.34</c:v>
                </c:pt>
                <c:pt idx="33">
                  <c:v>2.27</c:v>
                </c:pt>
                <c:pt idx="34">
                  <c:v>2.25</c:v>
                </c:pt>
                <c:pt idx="35">
                  <c:v>2.2599999999999998</c:v>
                </c:pt>
                <c:pt idx="36">
                  <c:v>2.2200000000000002</c:v>
                </c:pt>
                <c:pt idx="37">
                  <c:v>2.2000000000000002</c:v>
                </c:pt>
                <c:pt idx="38">
                  <c:v>2.15</c:v>
                </c:pt>
                <c:pt idx="39">
                  <c:v>2.09</c:v>
                </c:pt>
                <c:pt idx="40">
                  <c:v>2.0299999999999998</c:v>
                </c:pt>
                <c:pt idx="41">
                  <c:v>1.99</c:v>
                </c:pt>
                <c:pt idx="42">
                  <c:v>1.97</c:v>
                </c:pt>
                <c:pt idx="43">
                  <c:v>1.96</c:v>
                </c:pt>
                <c:pt idx="44">
                  <c:v>1.9</c:v>
                </c:pt>
                <c:pt idx="45">
                  <c:v>2.04</c:v>
                </c:pt>
                <c:pt idx="46">
                  <c:v>2.04</c:v>
                </c:pt>
                <c:pt idx="47">
                  <c:v>2.0699999999999998</c:v>
                </c:pt>
                <c:pt idx="48">
                  <c:v>1.98</c:v>
                </c:pt>
                <c:pt idx="49">
                  <c:v>1.99</c:v>
                </c:pt>
                <c:pt idx="50">
                  <c:v>2.02</c:v>
                </c:pt>
                <c:pt idx="51">
                  <c:v>2.0099999999999998</c:v>
                </c:pt>
                <c:pt idx="52">
                  <c:v>2.06</c:v>
                </c:pt>
                <c:pt idx="53">
                  <c:v>2.0299999999999998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2.0099999999999998</c:v>
                </c:pt>
                <c:pt idx="57">
                  <c:v>2.06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2.0499999999999998</c:v>
                </c:pt>
                <c:pt idx="61">
                  <c:v>2.0499999999999998</c:v>
                </c:pt>
                <c:pt idx="62">
                  <c:v>2.0299999999999998</c:v>
                </c:pt>
                <c:pt idx="63">
                  <c:v>2</c:v>
                </c:pt>
                <c:pt idx="64">
                  <c:v>1.99</c:v>
                </c:pt>
                <c:pt idx="65">
                  <c:v>1.97</c:v>
                </c:pt>
                <c:pt idx="66">
                  <c:v>1.93</c:v>
                </c:pt>
                <c:pt idx="67">
                  <c:v>1.89</c:v>
                </c:pt>
                <c:pt idx="68">
                  <c:v>1.79</c:v>
                </c:pt>
                <c:pt idx="69">
                  <c:v>1.71</c:v>
                </c:pt>
                <c:pt idx="70">
                  <c:v>1.67</c:v>
                </c:pt>
                <c:pt idx="71">
                  <c:v>1.67</c:v>
                </c:pt>
                <c:pt idx="72">
                  <c:v>1.68</c:v>
                </c:pt>
                <c:pt idx="73">
                  <c:v>1.67</c:v>
                </c:pt>
                <c:pt idx="74">
                  <c:v>1.66</c:v>
                </c:pt>
                <c:pt idx="75">
                  <c:v>1.67</c:v>
                </c:pt>
                <c:pt idx="76">
                  <c:v>1.7</c:v>
                </c:pt>
                <c:pt idx="77">
                  <c:v>1.69</c:v>
                </c:pt>
                <c:pt idx="78">
                  <c:v>1.7</c:v>
                </c:pt>
                <c:pt idx="79">
                  <c:v>1.79</c:v>
                </c:pt>
                <c:pt idx="80">
                  <c:v>1.92</c:v>
                </c:pt>
                <c:pt idx="81">
                  <c:v>2.0499999999999998</c:v>
                </c:pt>
                <c:pt idx="82">
                  <c:v>2.0499999999999998</c:v>
                </c:pt>
                <c:pt idx="83">
                  <c:v>2</c:v>
                </c:pt>
                <c:pt idx="84">
                  <c:v>1.92</c:v>
                </c:pt>
                <c:pt idx="85">
                  <c:v>1.8</c:v>
                </c:pt>
                <c:pt idx="86">
                  <c:v>1.74</c:v>
                </c:pt>
                <c:pt idx="87">
                  <c:v>1.71</c:v>
                </c:pt>
                <c:pt idx="88">
                  <c:v>1.68</c:v>
                </c:pt>
                <c:pt idx="89">
                  <c:v>1.6</c:v>
                </c:pt>
                <c:pt idx="90">
                  <c:v>1.45</c:v>
                </c:pt>
                <c:pt idx="91">
                  <c:v>1.39</c:v>
                </c:pt>
                <c:pt idx="92">
                  <c:v>1.28</c:v>
                </c:pt>
                <c:pt idx="93">
                  <c:v>1.3</c:v>
                </c:pt>
                <c:pt idx="94">
                  <c:v>1.52</c:v>
                </c:pt>
                <c:pt idx="95">
                  <c:v>1.59</c:v>
                </c:pt>
                <c:pt idx="96">
                  <c:v>1.63</c:v>
                </c:pt>
                <c:pt idx="97">
                  <c:v>1.79</c:v>
                </c:pt>
                <c:pt idx="98">
                  <c:v>2.11</c:v>
                </c:pt>
                <c:pt idx="99">
                  <c:v>2.35</c:v>
                </c:pt>
                <c:pt idx="100">
                  <c:v>2.62</c:v>
                </c:pt>
                <c:pt idx="101">
                  <c:v>2.9</c:v>
                </c:pt>
                <c:pt idx="102">
                  <c:v>3.43</c:v>
                </c:pt>
                <c:pt idx="103">
                  <c:v>3.61</c:v>
                </c:pt>
                <c:pt idx="104">
                  <c:v>3.97</c:v>
                </c:pt>
                <c:pt idx="105">
                  <c:v>5.61</c:v>
                </c:pt>
                <c:pt idx="106">
                  <c:v>5.5</c:v>
                </c:pt>
                <c:pt idx="107">
                  <c:v>5.05</c:v>
                </c:pt>
                <c:pt idx="108">
                  <c:v>4.66</c:v>
                </c:pt>
                <c:pt idx="109">
                  <c:v>4.3600000000000003</c:v>
                </c:pt>
                <c:pt idx="110">
                  <c:v>4.26</c:v>
                </c:pt>
                <c:pt idx="111">
                  <c:v>4.16</c:v>
                </c:pt>
                <c:pt idx="112">
                  <c:v>4.28</c:v>
                </c:pt>
                <c:pt idx="113">
                  <c:v>4.95</c:v>
                </c:pt>
                <c:pt idx="114">
                  <c:v>5.71</c:v>
                </c:pt>
                <c:pt idx="115">
                  <c:v>5.53</c:v>
                </c:pt>
                <c:pt idx="116">
                  <c:v>5.24</c:v>
                </c:pt>
                <c:pt idx="117">
                  <c:v>5.01</c:v>
                </c:pt>
                <c:pt idx="118">
                  <c:v>4.88</c:v>
                </c:pt>
                <c:pt idx="119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8688491593007419"/>
          <c:y val="4.5120997039193145E-2"/>
          <c:w val="0.37777704195675216"/>
          <c:h val="0.1220747901208195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820281841908447E-2"/>
          <c:y val="0.19859288422280549"/>
          <c:w val="0.86568680426509981"/>
          <c:h val="0.6816083406240885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254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Data'!$E$99:$E$122</c:f>
              <c:numCache>
                <c:formatCode>m/d/yyyy</c:formatCode>
                <c:ptCount val="24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</c:numCache>
            </c:numRef>
          </c:cat>
          <c:val>
            <c:numRef>
              <c:f>'Chart Data'!$F$99:$F$122</c:f>
              <c:numCache>
                <c:formatCode>0.00</c:formatCode>
                <c:ptCount val="24"/>
                <c:pt idx="0">
                  <c:v>0.22999999999999998</c:v>
                </c:pt>
                <c:pt idx="1">
                  <c:v>0.38000000000000012</c:v>
                </c:pt>
                <c:pt idx="2">
                  <c:v>0.74000000000000021</c:v>
                </c:pt>
                <c:pt idx="3">
                  <c:v>0.9700000000000002</c:v>
                </c:pt>
                <c:pt idx="4">
                  <c:v>1.21</c:v>
                </c:pt>
                <c:pt idx="5">
                  <c:v>1.4600000000000002</c:v>
                </c:pt>
                <c:pt idx="6">
                  <c:v>2.0300000000000002</c:v>
                </c:pt>
                <c:pt idx="7">
                  <c:v>2</c:v>
                </c:pt>
                <c:pt idx="8">
                  <c:v>2.42</c:v>
                </c:pt>
                <c:pt idx="9">
                  <c:v>4.0500000000000007</c:v>
                </c:pt>
                <c:pt idx="10">
                  <c:v>4.0600000000000005</c:v>
                </c:pt>
                <c:pt idx="11">
                  <c:v>3.5699999999999994</c:v>
                </c:pt>
                <c:pt idx="12">
                  <c:v>3.3899999999999997</c:v>
                </c:pt>
                <c:pt idx="13">
                  <c:v>3.1799999999999997</c:v>
                </c:pt>
                <c:pt idx="14">
                  <c:v>3.18</c:v>
                </c:pt>
                <c:pt idx="15">
                  <c:v>3.1099999999999994</c:v>
                </c:pt>
                <c:pt idx="16">
                  <c:v>3.25</c:v>
                </c:pt>
                <c:pt idx="17">
                  <c:v>4.1000000000000005</c:v>
                </c:pt>
                <c:pt idx="18">
                  <c:v>4.93</c:v>
                </c:pt>
                <c:pt idx="19">
                  <c:v>4.9499999999999993</c:v>
                </c:pt>
                <c:pt idx="20">
                  <c:v>4.71</c:v>
                </c:pt>
                <c:pt idx="21">
                  <c:v>4.32</c:v>
                </c:pt>
                <c:pt idx="22">
                  <c:v>3.75</c:v>
                </c:pt>
                <c:pt idx="23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82A-A151-FE0D8E0AA78D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254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Data'!$E$99:$E$122</c:f>
              <c:numCache>
                <c:formatCode>m/d/yyyy</c:formatCode>
                <c:ptCount val="24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</c:numCache>
            </c:numRef>
          </c:cat>
          <c:val>
            <c:numRef>
              <c:f>'Chart Data'!$G$99:$G$122</c:f>
              <c:numCache>
                <c:formatCode>0.00</c:formatCode>
                <c:ptCount val="24"/>
                <c:pt idx="0">
                  <c:v>-0.5900000000000003</c:v>
                </c:pt>
                <c:pt idx="1">
                  <c:v>-0.41000000000000014</c:v>
                </c:pt>
                <c:pt idx="2">
                  <c:v>-4.0000000000000036E-2</c:v>
                </c:pt>
                <c:pt idx="3">
                  <c:v>0.26000000000000023</c:v>
                </c:pt>
                <c:pt idx="4">
                  <c:v>0.5900000000000003</c:v>
                </c:pt>
                <c:pt idx="5">
                  <c:v>0.90999999999999992</c:v>
                </c:pt>
                <c:pt idx="6">
                  <c:v>1.4600000000000002</c:v>
                </c:pt>
                <c:pt idx="7">
                  <c:v>1.65</c:v>
                </c:pt>
                <c:pt idx="8">
                  <c:v>2.0700000000000003</c:v>
                </c:pt>
                <c:pt idx="9">
                  <c:v>3.5700000000000003</c:v>
                </c:pt>
                <c:pt idx="10">
                  <c:v>3.46</c:v>
                </c:pt>
                <c:pt idx="11">
                  <c:v>2.98</c:v>
                </c:pt>
                <c:pt idx="12">
                  <c:v>2.68</c:v>
                </c:pt>
                <c:pt idx="13">
                  <c:v>2.37</c:v>
                </c:pt>
                <c:pt idx="14">
                  <c:v>2.2399999999999998</c:v>
                </c:pt>
                <c:pt idx="15">
                  <c:v>2.1500000000000004</c:v>
                </c:pt>
                <c:pt idx="16">
                  <c:v>2.2200000000000002</c:v>
                </c:pt>
                <c:pt idx="17">
                  <c:v>2.9200000000000004</c:v>
                </c:pt>
                <c:pt idx="18">
                  <c:v>3.67</c:v>
                </c:pt>
                <c:pt idx="19">
                  <c:v>3.5000000000000004</c:v>
                </c:pt>
                <c:pt idx="20">
                  <c:v>3.2300000000000004</c:v>
                </c:pt>
                <c:pt idx="21">
                  <c:v>2.9499999999999997</c:v>
                </c:pt>
                <c:pt idx="22">
                  <c:v>2.86</c:v>
                </c:pt>
                <c:pt idx="23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E-482A-A151-FE0D8E0AA78D}"/>
            </c:ext>
          </c:extLst>
        </c:ser>
        <c:ser>
          <c:idx val="2"/>
          <c:order val="2"/>
          <c:tx>
            <c:strRef>
              <c:f>'Chart Data'!$H$2</c:f>
              <c:strCache>
                <c:ptCount val="1"/>
                <c:pt idx="0">
                  <c:v>ZERO LINE</c:v>
                </c:pt>
              </c:strCache>
            </c:strRef>
          </c:tx>
          <c:spPr>
            <a:ln w="127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Data'!$E$99:$E$122</c:f>
              <c:numCache>
                <c:formatCode>m/d/yyyy</c:formatCode>
                <c:ptCount val="24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</c:numCache>
            </c:numRef>
          </c:cat>
          <c:val>
            <c:numRef>
              <c:f>'Chart Data'!$H$99:$H$122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E-482A-A151-FE0D8E0A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495057"/>
                </a:solidFill>
                <a:latin typeface="Segoe UI" panose="020B0502040204020203" pitchFamily="34" charset="0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3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495057"/>
                </a:solidFill>
                <a:latin typeface="Segoe UI" panose="020B0502040204020203" pitchFamily="34" charset="0"/>
                <a:ea typeface="Segoe UI"/>
                <a:cs typeface="Segoe UI" panose="020B0502040204020203" pitchFamily="34" charset="0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273359647242662E-2"/>
          <c:y val="0.14710460839166137"/>
          <c:w val="0.89550534407821925"/>
          <c:h val="0.7124495161707947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2 year fix, 75% LTV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Data'!$A$3:$A$122</c:f>
              <c:numCache>
                <c:formatCode>m/d/yyyy</c:formatCode>
                <c:ptCount val="12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</c:numCache>
            </c:numRef>
          </c:cat>
          <c:val>
            <c:numRef>
              <c:f>'Chart Data'!$B$3:$B$122</c:f>
              <c:numCache>
                <c:formatCode>0.00</c:formatCode>
                <c:ptCount val="120"/>
                <c:pt idx="0">
                  <c:v>2.37</c:v>
                </c:pt>
                <c:pt idx="1">
                  <c:v>2.38</c:v>
                </c:pt>
                <c:pt idx="2">
                  <c:v>2.37</c:v>
                </c:pt>
                <c:pt idx="3">
                  <c:v>2.54</c:v>
                </c:pt>
                <c:pt idx="4">
                  <c:v>2.56</c:v>
                </c:pt>
                <c:pt idx="5">
                  <c:v>2.6</c:v>
                </c:pt>
                <c:pt idx="6">
                  <c:v>2.54</c:v>
                </c:pt>
                <c:pt idx="7">
                  <c:v>2.54</c:v>
                </c:pt>
                <c:pt idx="8">
                  <c:v>2.46</c:v>
                </c:pt>
                <c:pt idx="9">
                  <c:v>2.21</c:v>
                </c:pt>
                <c:pt idx="10">
                  <c:v>2.17</c:v>
                </c:pt>
                <c:pt idx="11">
                  <c:v>2.08</c:v>
                </c:pt>
                <c:pt idx="12">
                  <c:v>2.0099999999999998</c:v>
                </c:pt>
                <c:pt idx="13">
                  <c:v>1.96</c:v>
                </c:pt>
                <c:pt idx="14">
                  <c:v>1.99</c:v>
                </c:pt>
                <c:pt idx="15">
                  <c:v>1.95</c:v>
                </c:pt>
                <c:pt idx="16">
                  <c:v>1.9</c:v>
                </c:pt>
                <c:pt idx="17">
                  <c:v>1.83</c:v>
                </c:pt>
                <c:pt idx="18">
                  <c:v>1.87</c:v>
                </c:pt>
                <c:pt idx="19">
                  <c:v>1.95</c:v>
                </c:pt>
                <c:pt idx="20">
                  <c:v>1.91</c:v>
                </c:pt>
                <c:pt idx="21">
                  <c:v>1.87</c:v>
                </c:pt>
                <c:pt idx="22">
                  <c:v>1.92</c:v>
                </c:pt>
                <c:pt idx="23">
                  <c:v>1.9</c:v>
                </c:pt>
                <c:pt idx="24">
                  <c:v>1.93</c:v>
                </c:pt>
                <c:pt idx="25">
                  <c:v>1.95</c:v>
                </c:pt>
                <c:pt idx="26">
                  <c:v>1.9</c:v>
                </c:pt>
                <c:pt idx="27">
                  <c:v>1.84</c:v>
                </c:pt>
                <c:pt idx="28">
                  <c:v>1.91</c:v>
                </c:pt>
                <c:pt idx="29">
                  <c:v>1.75</c:v>
                </c:pt>
                <c:pt idx="30">
                  <c:v>1.72</c:v>
                </c:pt>
                <c:pt idx="31">
                  <c:v>1.69</c:v>
                </c:pt>
                <c:pt idx="32">
                  <c:v>1.59</c:v>
                </c:pt>
                <c:pt idx="33">
                  <c:v>1.52</c:v>
                </c:pt>
                <c:pt idx="34">
                  <c:v>1.43</c:v>
                </c:pt>
                <c:pt idx="35">
                  <c:v>1.45</c:v>
                </c:pt>
                <c:pt idx="36">
                  <c:v>1.45</c:v>
                </c:pt>
                <c:pt idx="37">
                  <c:v>1.42</c:v>
                </c:pt>
                <c:pt idx="38">
                  <c:v>1.37</c:v>
                </c:pt>
                <c:pt idx="39">
                  <c:v>1.35</c:v>
                </c:pt>
                <c:pt idx="40">
                  <c:v>1.49</c:v>
                </c:pt>
                <c:pt idx="41">
                  <c:v>1.48</c:v>
                </c:pt>
                <c:pt idx="42">
                  <c:v>1.41</c:v>
                </c:pt>
                <c:pt idx="43">
                  <c:v>1.43</c:v>
                </c:pt>
                <c:pt idx="44">
                  <c:v>1.4</c:v>
                </c:pt>
                <c:pt idx="45">
                  <c:v>1.55</c:v>
                </c:pt>
                <c:pt idx="46">
                  <c:v>1.61</c:v>
                </c:pt>
                <c:pt idx="47">
                  <c:v>1.57</c:v>
                </c:pt>
                <c:pt idx="48">
                  <c:v>1.54</c:v>
                </c:pt>
                <c:pt idx="49">
                  <c:v>1.49</c:v>
                </c:pt>
                <c:pt idx="50">
                  <c:v>1.53</c:v>
                </c:pt>
                <c:pt idx="51">
                  <c:v>1.72</c:v>
                </c:pt>
                <c:pt idx="52">
                  <c:v>1.74</c:v>
                </c:pt>
                <c:pt idx="53">
                  <c:v>1.74</c:v>
                </c:pt>
                <c:pt idx="54">
                  <c:v>1.75</c:v>
                </c:pt>
                <c:pt idx="55">
                  <c:v>1.75</c:v>
                </c:pt>
                <c:pt idx="56">
                  <c:v>1.71</c:v>
                </c:pt>
                <c:pt idx="57">
                  <c:v>1.8</c:v>
                </c:pt>
                <c:pt idx="58">
                  <c:v>1.75</c:v>
                </c:pt>
                <c:pt idx="59">
                  <c:v>1.73</c:v>
                </c:pt>
                <c:pt idx="60">
                  <c:v>1.72</c:v>
                </c:pt>
                <c:pt idx="61">
                  <c:v>1.7</c:v>
                </c:pt>
                <c:pt idx="62">
                  <c:v>1.7</c:v>
                </c:pt>
                <c:pt idx="63">
                  <c:v>1.66</c:v>
                </c:pt>
                <c:pt idx="64">
                  <c:v>1.65</c:v>
                </c:pt>
                <c:pt idx="65">
                  <c:v>1.64</c:v>
                </c:pt>
                <c:pt idx="66">
                  <c:v>1.61</c:v>
                </c:pt>
                <c:pt idx="67">
                  <c:v>1.59</c:v>
                </c:pt>
                <c:pt idx="68">
                  <c:v>1.55</c:v>
                </c:pt>
                <c:pt idx="69">
                  <c:v>1.47</c:v>
                </c:pt>
                <c:pt idx="70">
                  <c:v>1.41</c:v>
                </c:pt>
                <c:pt idx="71">
                  <c:v>1.42</c:v>
                </c:pt>
                <c:pt idx="72">
                  <c:v>1.41</c:v>
                </c:pt>
                <c:pt idx="73">
                  <c:v>1.4</c:v>
                </c:pt>
                <c:pt idx="74">
                  <c:v>1.4</c:v>
                </c:pt>
                <c:pt idx="75">
                  <c:v>1.38</c:v>
                </c:pt>
                <c:pt idx="76">
                  <c:v>1.42</c:v>
                </c:pt>
                <c:pt idx="77">
                  <c:v>1.41</c:v>
                </c:pt>
                <c:pt idx="78">
                  <c:v>1.45</c:v>
                </c:pt>
                <c:pt idx="79">
                  <c:v>1.6</c:v>
                </c:pt>
                <c:pt idx="80">
                  <c:v>1.75</c:v>
                </c:pt>
                <c:pt idx="81">
                  <c:v>1.94</c:v>
                </c:pt>
                <c:pt idx="82">
                  <c:v>1.92</c:v>
                </c:pt>
                <c:pt idx="83">
                  <c:v>1.86</c:v>
                </c:pt>
                <c:pt idx="84">
                  <c:v>1.75</c:v>
                </c:pt>
                <c:pt idx="85">
                  <c:v>1.61</c:v>
                </c:pt>
                <c:pt idx="86">
                  <c:v>1.56</c:v>
                </c:pt>
                <c:pt idx="87">
                  <c:v>1.49</c:v>
                </c:pt>
                <c:pt idx="88">
                  <c:v>1.47</c:v>
                </c:pt>
                <c:pt idx="89">
                  <c:v>1.39</c:v>
                </c:pt>
                <c:pt idx="90">
                  <c:v>1.29</c:v>
                </c:pt>
                <c:pt idx="91">
                  <c:v>1.23</c:v>
                </c:pt>
                <c:pt idx="92">
                  <c:v>1.2</c:v>
                </c:pt>
                <c:pt idx="93">
                  <c:v>1.29</c:v>
                </c:pt>
                <c:pt idx="94">
                  <c:v>1.53</c:v>
                </c:pt>
                <c:pt idx="95">
                  <c:v>1.57</c:v>
                </c:pt>
                <c:pt idx="96">
                  <c:v>1.64</c:v>
                </c:pt>
                <c:pt idx="97">
                  <c:v>1.78</c:v>
                </c:pt>
                <c:pt idx="98">
                  <c:v>2.14</c:v>
                </c:pt>
                <c:pt idx="99">
                  <c:v>2.35</c:v>
                </c:pt>
                <c:pt idx="100">
                  <c:v>2.63</c:v>
                </c:pt>
                <c:pt idx="101">
                  <c:v>2.87</c:v>
                </c:pt>
                <c:pt idx="102">
                  <c:v>3.48</c:v>
                </c:pt>
                <c:pt idx="103">
                  <c:v>3.6</c:v>
                </c:pt>
                <c:pt idx="104">
                  <c:v>4.17</c:v>
                </c:pt>
                <c:pt idx="105">
                  <c:v>5.99</c:v>
                </c:pt>
                <c:pt idx="106">
                  <c:v>5.98</c:v>
                </c:pt>
                <c:pt idx="107">
                  <c:v>5.43</c:v>
                </c:pt>
                <c:pt idx="108">
                  <c:v>5.14</c:v>
                </c:pt>
                <c:pt idx="109">
                  <c:v>4.79</c:v>
                </c:pt>
                <c:pt idx="110">
                  <c:v>4.74</c:v>
                </c:pt>
                <c:pt idx="111">
                  <c:v>4.5999999999999996</c:v>
                </c:pt>
                <c:pt idx="112">
                  <c:v>4.72</c:v>
                </c:pt>
                <c:pt idx="113">
                  <c:v>5.49</c:v>
                </c:pt>
                <c:pt idx="114">
                  <c:v>6.22</c:v>
                </c:pt>
                <c:pt idx="115">
                  <c:v>6.18</c:v>
                </c:pt>
                <c:pt idx="116">
                  <c:v>5.91</c:v>
                </c:pt>
                <c:pt idx="117">
                  <c:v>5.61</c:v>
                </c:pt>
                <c:pt idx="118">
                  <c:v>5.28</c:v>
                </c:pt>
                <c:pt idx="119">
                  <c:v>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B-411B-A0A8-1646321FB152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5 year fix, 75% LTV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Data'!$A$3:$A$122</c:f>
              <c:numCache>
                <c:formatCode>m/d/yyyy</c:formatCode>
                <c:ptCount val="120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</c:numCache>
            </c:numRef>
          </c:cat>
          <c:val>
            <c:numRef>
              <c:f>'Chart Data'!$C$3:$C$122</c:f>
              <c:numCache>
                <c:formatCode>0.00</c:formatCode>
                <c:ptCount val="120"/>
                <c:pt idx="0">
                  <c:v>3.34</c:v>
                </c:pt>
                <c:pt idx="1">
                  <c:v>3.45</c:v>
                </c:pt>
                <c:pt idx="2">
                  <c:v>3.48</c:v>
                </c:pt>
                <c:pt idx="3">
                  <c:v>3.69</c:v>
                </c:pt>
                <c:pt idx="4">
                  <c:v>3.72</c:v>
                </c:pt>
                <c:pt idx="5">
                  <c:v>3.69</c:v>
                </c:pt>
                <c:pt idx="6">
                  <c:v>3.78</c:v>
                </c:pt>
                <c:pt idx="7">
                  <c:v>3.76</c:v>
                </c:pt>
                <c:pt idx="8">
                  <c:v>3.61</c:v>
                </c:pt>
                <c:pt idx="9">
                  <c:v>3.27</c:v>
                </c:pt>
                <c:pt idx="10">
                  <c:v>3.21</c:v>
                </c:pt>
                <c:pt idx="11">
                  <c:v>3.21</c:v>
                </c:pt>
                <c:pt idx="12">
                  <c:v>3.09</c:v>
                </c:pt>
                <c:pt idx="13">
                  <c:v>3.05</c:v>
                </c:pt>
                <c:pt idx="14">
                  <c:v>2.98</c:v>
                </c:pt>
                <c:pt idx="15">
                  <c:v>2.92</c:v>
                </c:pt>
                <c:pt idx="16">
                  <c:v>2.86</c:v>
                </c:pt>
                <c:pt idx="17">
                  <c:v>2.82</c:v>
                </c:pt>
                <c:pt idx="18">
                  <c:v>2.83</c:v>
                </c:pt>
                <c:pt idx="19">
                  <c:v>2.92</c:v>
                </c:pt>
                <c:pt idx="20">
                  <c:v>2.84</c:v>
                </c:pt>
                <c:pt idx="21">
                  <c:v>2.78</c:v>
                </c:pt>
                <c:pt idx="22">
                  <c:v>2.77</c:v>
                </c:pt>
                <c:pt idx="23">
                  <c:v>2.75</c:v>
                </c:pt>
                <c:pt idx="24">
                  <c:v>2.68</c:v>
                </c:pt>
                <c:pt idx="25">
                  <c:v>2.73</c:v>
                </c:pt>
                <c:pt idx="26">
                  <c:v>2.7</c:v>
                </c:pt>
                <c:pt idx="27">
                  <c:v>2.71</c:v>
                </c:pt>
                <c:pt idx="28">
                  <c:v>2.64</c:v>
                </c:pt>
                <c:pt idx="29">
                  <c:v>2.54</c:v>
                </c:pt>
                <c:pt idx="30">
                  <c:v>2.5099999999999998</c:v>
                </c:pt>
                <c:pt idx="31">
                  <c:v>2.39</c:v>
                </c:pt>
                <c:pt idx="32">
                  <c:v>2.34</c:v>
                </c:pt>
                <c:pt idx="33">
                  <c:v>2.27</c:v>
                </c:pt>
                <c:pt idx="34">
                  <c:v>2.25</c:v>
                </c:pt>
                <c:pt idx="35">
                  <c:v>2.2599999999999998</c:v>
                </c:pt>
                <c:pt idx="36">
                  <c:v>2.2200000000000002</c:v>
                </c:pt>
                <c:pt idx="37">
                  <c:v>2.2000000000000002</c:v>
                </c:pt>
                <c:pt idx="38">
                  <c:v>2.15</c:v>
                </c:pt>
                <c:pt idx="39">
                  <c:v>2.09</c:v>
                </c:pt>
                <c:pt idx="40">
                  <c:v>2.0299999999999998</c:v>
                </c:pt>
                <c:pt idx="41">
                  <c:v>1.99</c:v>
                </c:pt>
                <c:pt idx="42">
                  <c:v>1.97</c:v>
                </c:pt>
                <c:pt idx="43">
                  <c:v>1.96</c:v>
                </c:pt>
                <c:pt idx="44">
                  <c:v>1.9</c:v>
                </c:pt>
                <c:pt idx="45">
                  <c:v>2.04</c:v>
                </c:pt>
                <c:pt idx="46">
                  <c:v>2.04</c:v>
                </c:pt>
                <c:pt idx="47">
                  <c:v>2.0699999999999998</c:v>
                </c:pt>
                <c:pt idx="48">
                  <c:v>1.98</c:v>
                </c:pt>
                <c:pt idx="49">
                  <c:v>1.99</c:v>
                </c:pt>
                <c:pt idx="50">
                  <c:v>2.02</c:v>
                </c:pt>
                <c:pt idx="51">
                  <c:v>2.0099999999999998</c:v>
                </c:pt>
                <c:pt idx="52">
                  <c:v>2.06</c:v>
                </c:pt>
                <c:pt idx="53">
                  <c:v>2.0299999999999998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2.0099999999999998</c:v>
                </c:pt>
                <c:pt idx="57">
                  <c:v>2.06</c:v>
                </c:pt>
                <c:pt idx="58">
                  <c:v>2.02</c:v>
                </c:pt>
                <c:pt idx="59">
                  <c:v>2.0099999999999998</c:v>
                </c:pt>
                <c:pt idx="60">
                  <c:v>2.0499999999999998</c:v>
                </c:pt>
                <c:pt idx="61">
                  <c:v>2.0499999999999998</c:v>
                </c:pt>
                <c:pt idx="62">
                  <c:v>2.0299999999999998</c:v>
                </c:pt>
                <c:pt idx="63">
                  <c:v>2</c:v>
                </c:pt>
                <c:pt idx="64">
                  <c:v>1.99</c:v>
                </c:pt>
                <c:pt idx="65">
                  <c:v>1.97</c:v>
                </c:pt>
                <c:pt idx="66">
                  <c:v>1.93</c:v>
                </c:pt>
                <c:pt idx="67">
                  <c:v>1.89</c:v>
                </c:pt>
                <c:pt idx="68">
                  <c:v>1.79</c:v>
                </c:pt>
                <c:pt idx="69">
                  <c:v>1.71</c:v>
                </c:pt>
                <c:pt idx="70">
                  <c:v>1.67</c:v>
                </c:pt>
                <c:pt idx="71">
                  <c:v>1.67</c:v>
                </c:pt>
                <c:pt idx="72">
                  <c:v>1.68</c:v>
                </c:pt>
                <c:pt idx="73">
                  <c:v>1.67</c:v>
                </c:pt>
                <c:pt idx="74">
                  <c:v>1.66</c:v>
                </c:pt>
                <c:pt idx="75">
                  <c:v>1.67</c:v>
                </c:pt>
                <c:pt idx="76">
                  <c:v>1.7</c:v>
                </c:pt>
                <c:pt idx="77">
                  <c:v>1.69</c:v>
                </c:pt>
                <c:pt idx="78">
                  <c:v>1.7</c:v>
                </c:pt>
                <c:pt idx="79">
                  <c:v>1.79</c:v>
                </c:pt>
                <c:pt idx="80">
                  <c:v>1.92</c:v>
                </c:pt>
                <c:pt idx="81">
                  <c:v>2.0499999999999998</c:v>
                </c:pt>
                <c:pt idx="82">
                  <c:v>2.0499999999999998</c:v>
                </c:pt>
                <c:pt idx="83">
                  <c:v>2</c:v>
                </c:pt>
                <c:pt idx="84">
                  <c:v>1.92</c:v>
                </c:pt>
                <c:pt idx="85">
                  <c:v>1.8</c:v>
                </c:pt>
                <c:pt idx="86">
                  <c:v>1.74</c:v>
                </c:pt>
                <c:pt idx="87">
                  <c:v>1.71</c:v>
                </c:pt>
                <c:pt idx="88">
                  <c:v>1.68</c:v>
                </c:pt>
                <c:pt idx="89">
                  <c:v>1.6</c:v>
                </c:pt>
                <c:pt idx="90">
                  <c:v>1.45</c:v>
                </c:pt>
                <c:pt idx="91">
                  <c:v>1.39</c:v>
                </c:pt>
                <c:pt idx="92">
                  <c:v>1.28</c:v>
                </c:pt>
                <c:pt idx="93">
                  <c:v>1.3</c:v>
                </c:pt>
                <c:pt idx="94">
                  <c:v>1.52</c:v>
                </c:pt>
                <c:pt idx="95">
                  <c:v>1.59</c:v>
                </c:pt>
                <c:pt idx="96">
                  <c:v>1.63</c:v>
                </c:pt>
                <c:pt idx="97">
                  <c:v>1.79</c:v>
                </c:pt>
                <c:pt idx="98">
                  <c:v>2.11</c:v>
                </c:pt>
                <c:pt idx="99">
                  <c:v>2.35</c:v>
                </c:pt>
                <c:pt idx="100">
                  <c:v>2.62</c:v>
                </c:pt>
                <c:pt idx="101">
                  <c:v>2.9</c:v>
                </c:pt>
                <c:pt idx="102">
                  <c:v>3.43</c:v>
                </c:pt>
                <c:pt idx="103">
                  <c:v>3.61</c:v>
                </c:pt>
                <c:pt idx="104">
                  <c:v>3.97</c:v>
                </c:pt>
                <c:pt idx="105">
                  <c:v>5.61</c:v>
                </c:pt>
                <c:pt idx="106">
                  <c:v>5.5</c:v>
                </c:pt>
                <c:pt idx="107">
                  <c:v>5.05</c:v>
                </c:pt>
                <c:pt idx="108">
                  <c:v>4.66</c:v>
                </c:pt>
                <c:pt idx="109">
                  <c:v>4.3600000000000003</c:v>
                </c:pt>
                <c:pt idx="110">
                  <c:v>4.26</c:v>
                </c:pt>
                <c:pt idx="111">
                  <c:v>4.16</c:v>
                </c:pt>
                <c:pt idx="112">
                  <c:v>4.28</c:v>
                </c:pt>
                <c:pt idx="113">
                  <c:v>4.95</c:v>
                </c:pt>
                <c:pt idx="114">
                  <c:v>5.71</c:v>
                </c:pt>
                <c:pt idx="115">
                  <c:v>5.53</c:v>
                </c:pt>
                <c:pt idx="116">
                  <c:v>5.24</c:v>
                </c:pt>
                <c:pt idx="117">
                  <c:v>5.01</c:v>
                </c:pt>
                <c:pt idx="118">
                  <c:v>4.88</c:v>
                </c:pt>
                <c:pt idx="119">
                  <c:v>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B-411B-A0A8-1646321FB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12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8688491593007419"/>
          <c:y val="4.5120997039193145E-2"/>
          <c:w val="0.37777704195675216"/>
          <c:h val="0.1220747901208195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36F6C9-EA5A-4749-8CF5-E7A7CE525A4D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A6077C-52E3-473A-B430-9BA9D4D8A5C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41D1C-1669-8901-5230-73EBF89BFC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927A2A-0D9B-4F6E-3057-5EBE6FB12E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Quoted mortgage rates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F56FC3-E2C6-CB80-DD64-BF534C6EF5A6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0.00678</cdr:x>
      <cdr:y>0.06839</cdr:y>
    </cdr:from>
    <cdr:to>
      <cdr:x>0.07461</cdr:x>
      <cdr:y>0.11933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A5111FD-731F-BDD9-BC7A-12D84FC5796C}"/>
            </a:ext>
          </a:extLst>
        </cdr:cNvPr>
        <cdr:cNvSpPr txBox="1"/>
      </cdr:nvSpPr>
      <cdr:spPr>
        <a:xfrm xmlns:a="http://schemas.openxmlformats.org/drawingml/2006/main">
          <a:off x="57150" y="460375"/>
          <a:ext cx="57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0.13735</cdr:x>
      <cdr:y>0.08348</cdr:y>
    </cdr:from>
    <cdr:to>
      <cdr:x>0.6647</cdr:x>
      <cdr:y>0.49099</cdr:y>
    </cdr:to>
    <cdr:graphicFrame macro="">
      <cdr:nvGraphicFramePr>
        <cdr:cNvPr id="5" name="Chart 1">
          <a:extLst xmlns:a="http://schemas.openxmlformats.org/drawingml/2006/main">
            <a:ext uri="{FF2B5EF4-FFF2-40B4-BE49-F238E27FC236}">
              <a16:creationId xmlns:a16="http://schemas.microsoft.com/office/drawing/2014/main" id="{344849C5-85B5-E700-7DDF-09A8546662AA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0.14583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1271505-0FD0-3A76-89AB-32EF12676922}"/>
            </a:ext>
          </a:extLst>
        </cdr:cNvPr>
        <cdr:cNvSpPr txBox="1"/>
      </cdr:nvSpPr>
      <cdr:spPr>
        <a:xfrm xmlns:a="http://schemas.openxmlformats.org/drawingml/2006/main">
          <a:off x="24963" y="22961"/>
          <a:ext cx="4369781" cy="3770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New fix less equivalent expiring fix</a:t>
          </a:r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0.01042</cdr:x>
      <cdr:y>0.09282</cdr:y>
    </cdr:from>
    <cdr:to>
      <cdr:x>0.11146</cdr:x>
      <cdr:y>0.17708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2AC22F1-F33C-F925-CCFF-019609EAA752}"/>
            </a:ext>
          </a:extLst>
        </cdr:cNvPr>
        <cdr:cNvSpPr txBox="1"/>
      </cdr:nvSpPr>
      <cdr:spPr>
        <a:xfrm xmlns:a="http://schemas.openxmlformats.org/drawingml/2006/main">
          <a:off x="47625" y="254627"/>
          <a:ext cx="461963" cy="231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05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endParaRPr lang="en-GB" sz="11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B3382-0571-4A01-65F0-D5C3DBE121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927A2A-0D9B-4F6E-3057-5EBE6FB12EB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Quoted mortgage rates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F56FC3-E2C6-CB80-DD64-BF534C6EF5A6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0.00678</cdr:x>
      <cdr:y>0.06839</cdr:y>
    </cdr:from>
    <cdr:to>
      <cdr:x>0.07461</cdr:x>
      <cdr:y>0.11933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A5111FD-731F-BDD9-BC7A-12D84FC5796C}"/>
            </a:ext>
          </a:extLst>
        </cdr:cNvPr>
        <cdr:cNvSpPr txBox="1"/>
      </cdr:nvSpPr>
      <cdr:spPr>
        <a:xfrm xmlns:a="http://schemas.openxmlformats.org/drawingml/2006/main">
          <a:off x="57150" y="460375"/>
          <a:ext cx="57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78F0-21E2-4D19-9C1A-D9D68AE52537}">
  <dimension ref="A1:H127"/>
  <sheetViews>
    <sheetView workbookViewId="0">
      <pane ySplit="2" topLeftCell="A89" activePane="bottomLeft" state="frozen"/>
      <selection pane="bottomLeft" activeCell="B124" sqref="B124"/>
    </sheetView>
  </sheetViews>
  <sheetFormatPr defaultRowHeight="15" x14ac:dyDescent="0.25"/>
  <cols>
    <col min="1" max="1" width="13.140625" customWidth="1"/>
    <col min="5" max="5" width="13.140625" customWidth="1"/>
  </cols>
  <sheetData>
    <row r="1" spans="1:8" x14ac:dyDescent="0.25">
      <c r="B1" s="4" t="s">
        <v>418</v>
      </c>
      <c r="E1" s="4" t="s">
        <v>421</v>
      </c>
    </row>
    <row r="2" spans="1:8" x14ac:dyDescent="0.25">
      <c r="B2" t="s">
        <v>419</v>
      </c>
      <c r="C2" t="s">
        <v>420</v>
      </c>
      <c r="F2" t="s">
        <v>419</v>
      </c>
      <c r="G2" t="s">
        <v>420</v>
      </c>
      <c r="H2" t="s">
        <v>422</v>
      </c>
    </row>
    <row r="3" spans="1:8" x14ac:dyDescent="0.25">
      <c r="A3" s="5">
        <v>41640</v>
      </c>
      <c r="B3" s="2">
        <f>HAVERM!B295</f>
        <v>2.37</v>
      </c>
      <c r="C3" s="2">
        <f>HAVERM!C295</f>
        <v>3.34</v>
      </c>
      <c r="D3" s="2"/>
      <c r="E3" s="5">
        <v>41640</v>
      </c>
      <c r="H3">
        <v>0</v>
      </c>
    </row>
    <row r="4" spans="1:8" x14ac:dyDescent="0.25">
      <c r="A4" s="5">
        <v>41671</v>
      </c>
      <c r="B4" s="2">
        <f>HAVERM!B296</f>
        <v>2.38</v>
      </c>
      <c r="C4" s="2">
        <f>HAVERM!C296</f>
        <v>3.45</v>
      </c>
      <c r="D4" s="2"/>
      <c r="E4" s="5">
        <v>41671</v>
      </c>
      <c r="H4">
        <v>0</v>
      </c>
    </row>
    <row r="5" spans="1:8" x14ac:dyDescent="0.25">
      <c r="A5" s="5">
        <v>41699</v>
      </c>
      <c r="B5" s="2">
        <f>HAVERM!B297</f>
        <v>2.37</v>
      </c>
      <c r="C5" s="2">
        <f>HAVERM!C297</f>
        <v>3.48</v>
      </c>
      <c r="D5" s="2"/>
      <c r="E5" s="5">
        <v>41699</v>
      </c>
      <c r="H5">
        <v>0</v>
      </c>
    </row>
    <row r="6" spans="1:8" x14ac:dyDescent="0.25">
      <c r="A6" s="5">
        <v>41730</v>
      </c>
      <c r="B6" s="2">
        <f>HAVERM!B298</f>
        <v>2.54</v>
      </c>
      <c r="C6" s="2">
        <f>HAVERM!C298</f>
        <v>3.69</v>
      </c>
      <c r="D6" s="2"/>
      <c r="E6" s="5">
        <v>41730</v>
      </c>
      <c r="H6">
        <v>0</v>
      </c>
    </row>
    <row r="7" spans="1:8" x14ac:dyDescent="0.25">
      <c r="A7" s="5">
        <v>41760</v>
      </c>
      <c r="B7" s="2">
        <f>HAVERM!B299</f>
        <v>2.56</v>
      </c>
      <c r="C7" s="2">
        <f>HAVERM!C299</f>
        <v>3.72</v>
      </c>
      <c r="D7" s="2"/>
      <c r="E7" s="5">
        <v>41760</v>
      </c>
      <c r="H7">
        <v>0</v>
      </c>
    </row>
    <row r="8" spans="1:8" x14ac:dyDescent="0.25">
      <c r="A8" s="5">
        <v>41791</v>
      </c>
      <c r="B8" s="2">
        <f>HAVERM!B300</f>
        <v>2.6</v>
      </c>
      <c r="C8" s="2">
        <f>HAVERM!C300</f>
        <v>3.69</v>
      </c>
      <c r="D8" s="2"/>
      <c r="E8" s="5">
        <v>41791</v>
      </c>
      <c r="H8">
        <v>0</v>
      </c>
    </row>
    <row r="9" spans="1:8" x14ac:dyDescent="0.25">
      <c r="A9" s="5">
        <v>41821</v>
      </c>
      <c r="B9" s="2">
        <f>HAVERM!B301</f>
        <v>2.54</v>
      </c>
      <c r="C9" s="2">
        <f>HAVERM!C301</f>
        <v>3.78</v>
      </c>
      <c r="D9" s="2"/>
      <c r="E9" s="5">
        <v>41821</v>
      </c>
      <c r="H9">
        <v>0</v>
      </c>
    </row>
    <row r="10" spans="1:8" x14ac:dyDescent="0.25">
      <c r="A10" s="5">
        <v>41852</v>
      </c>
      <c r="B10" s="2">
        <f>HAVERM!B302</f>
        <v>2.54</v>
      </c>
      <c r="C10" s="2">
        <f>HAVERM!C302</f>
        <v>3.76</v>
      </c>
      <c r="D10" s="2"/>
      <c r="E10" s="5">
        <v>41852</v>
      </c>
      <c r="H10">
        <v>0</v>
      </c>
    </row>
    <row r="11" spans="1:8" x14ac:dyDescent="0.25">
      <c r="A11" s="5">
        <v>41883</v>
      </c>
      <c r="B11" s="2">
        <f>HAVERM!B303</f>
        <v>2.46</v>
      </c>
      <c r="C11" s="2">
        <f>HAVERM!C303</f>
        <v>3.61</v>
      </c>
      <c r="D11" s="2"/>
      <c r="E11" s="5">
        <v>41883</v>
      </c>
      <c r="H11">
        <v>0</v>
      </c>
    </row>
    <row r="12" spans="1:8" x14ac:dyDescent="0.25">
      <c r="A12" s="5">
        <v>41913</v>
      </c>
      <c r="B12" s="2">
        <f>HAVERM!B304</f>
        <v>2.21</v>
      </c>
      <c r="C12" s="2">
        <f>HAVERM!C304</f>
        <v>3.27</v>
      </c>
      <c r="D12" s="2"/>
      <c r="E12" s="5">
        <v>41913</v>
      </c>
      <c r="H12">
        <v>0</v>
      </c>
    </row>
    <row r="13" spans="1:8" x14ac:dyDescent="0.25">
      <c r="A13" s="5">
        <v>41944</v>
      </c>
      <c r="B13" s="2">
        <f>HAVERM!B305</f>
        <v>2.17</v>
      </c>
      <c r="C13" s="2">
        <f>HAVERM!C305</f>
        <v>3.21</v>
      </c>
      <c r="D13" s="2"/>
      <c r="E13" s="5">
        <v>41944</v>
      </c>
      <c r="H13">
        <v>0</v>
      </c>
    </row>
    <row r="14" spans="1:8" x14ac:dyDescent="0.25">
      <c r="A14" s="5">
        <v>41974</v>
      </c>
      <c r="B14" s="2">
        <f>HAVERM!B306</f>
        <v>2.08</v>
      </c>
      <c r="C14" s="2">
        <f>HAVERM!C306</f>
        <v>3.21</v>
      </c>
      <c r="D14" s="2"/>
      <c r="E14" s="5">
        <v>41974</v>
      </c>
      <c r="H14">
        <v>0</v>
      </c>
    </row>
    <row r="15" spans="1:8" x14ac:dyDescent="0.25">
      <c r="A15" s="5">
        <v>42005</v>
      </c>
      <c r="B15" s="2">
        <f>HAVERM!B307</f>
        <v>2.0099999999999998</v>
      </c>
      <c r="C15" s="2">
        <f>HAVERM!C307</f>
        <v>3.09</v>
      </c>
      <c r="D15" s="2"/>
      <c r="E15" s="5">
        <v>42005</v>
      </c>
      <c r="H15">
        <v>0</v>
      </c>
    </row>
    <row r="16" spans="1:8" x14ac:dyDescent="0.25">
      <c r="A16" s="5">
        <v>42036</v>
      </c>
      <c r="B16" s="2">
        <f>HAVERM!B308</f>
        <v>1.96</v>
      </c>
      <c r="C16" s="2">
        <f>HAVERM!C308</f>
        <v>3.05</v>
      </c>
      <c r="D16" s="2"/>
      <c r="E16" s="5">
        <v>42036</v>
      </c>
      <c r="H16">
        <v>0</v>
      </c>
    </row>
    <row r="17" spans="1:8" x14ac:dyDescent="0.25">
      <c r="A17" s="5">
        <v>42064</v>
      </c>
      <c r="B17" s="2">
        <f>HAVERM!B309</f>
        <v>1.99</v>
      </c>
      <c r="C17" s="2">
        <f>HAVERM!C309</f>
        <v>2.98</v>
      </c>
      <c r="D17" s="2"/>
      <c r="E17" s="5">
        <v>42064</v>
      </c>
      <c r="H17">
        <v>0</v>
      </c>
    </row>
    <row r="18" spans="1:8" x14ac:dyDescent="0.25">
      <c r="A18" s="5">
        <v>42095</v>
      </c>
      <c r="B18" s="2">
        <f>HAVERM!B310</f>
        <v>1.95</v>
      </c>
      <c r="C18" s="2">
        <f>HAVERM!C310</f>
        <v>2.92</v>
      </c>
      <c r="D18" s="2"/>
      <c r="E18" s="5">
        <v>42095</v>
      </c>
      <c r="H18">
        <v>0</v>
      </c>
    </row>
    <row r="19" spans="1:8" x14ac:dyDescent="0.25">
      <c r="A19" s="5">
        <v>42125</v>
      </c>
      <c r="B19" s="2">
        <f>HAVERM!B311</f>
        <v>1.9</v>
      </c>
      <c r="C19" s="2">
        <f>HAVERM!C311</f>
        <v>2.86</v>
      </c>
      <c r="D19" s="2"/>
      <c r="E19" s="5">
        <v>42125</v>
      </c>
      <c r="H19">
        <v>0</v>
      </c>
    </row>
    <row r="20" spans="1:8" x14ac:dyDescent="0.25">
      <c r="A20" s="5">
        <v>42156</v>
      </c>
      <c r="B20" s="2">
        <f>HAVERM!B312</f>
        <v>1.83</v>
      </c>
      <c r="C20" s="2">
        <f>HAVERM!C312</f>
        <v>2.82</v>
      </c>
      <c r="D20" s="2"/>
      <c r="E20" s="5">
        <v>42156</v>
      </c>
      <c r="H20">
        <v>0</v>
      </c>
    </row>
    <row r="21" spans="1:8" x14ac:dyDescent="0.25">
      <c r="A21" s="5">
        <v>42186</v>
      </c>
      <c r="B21" s="2">
        <f>HAVERM!B313</f>
        <v>1.87</v>
      </c>
      <c r="C21" s="2">
        <f>HAVERM!C313</f>
        <v>2.83</v>
      </c>
      <c r="D21" s="2"/>
      <c r="E21" s="5">
        <v>42186</v>
      </c>
      <c r="H21">
        <v>0</v>
      </c>
    </row>
    <row r="22" spans="1:8" x14ac:dyDescent="0.25">
      <c r="A22" s="5">
        <v>42217</v>
      </c>
      <c r="B22" s="2">
        <f>HAVERM!B314</f>
        <v>1.95</v>
      </c>
      <c r="C22" s="2">
        <f>HAVERM!C314</f>
        <v>2.92</v>
      </c>
      <c r="D22" s="2"/>
      <c r="E22" s="5">
        <v>42217</v>
      </c>
      <c r="H22">
        <v>0</v>
      </c>
    </row>
    <row r="23" spans="1:8" x14ac:dyDescent="0.25">
      <c r="A23" s="5">
        <v>42248</v>
      </c>
      <c r="B23" s="2">
        <f>HAVERM!B315</f>
        <v>1.91</v>
      </c>
      <c r="C23" s="2">
        <f>HAVERM!C315</f>
        <v>2.84</v>
      </c>
      <c r="D23" s="2"/>
      <c r="E23" s="5">
        <v>42248</v>
      </c>
      <c r="H23">
        <v>0</v>
      </c>
    </row>
    <row r="24" spans="1:8" x14ac:dyDescent="0.25">
      <c r="A24" s="5">
        <v>42278</v>
      </c>
      <c r="B24" s="2">
        <f>HAVERM!B316</f>
        <v>1.87</v>
      </c>
      <c r="C24" s="2">
        <f>HAVERM!C316</f>
        <v>2.78</v>
      </c>
      <c r="D24" s="2"/>
      <c r="E24" s="5">
        <v>42278</v>
      </c>
      <c r="H24">
        <v>0</v>
      </c>
    </row>
    <row r="25" spans="1:8" x14ac:dyDescent="0.25">
      <c r="A25" s="5">
        <v>42309</v>
      </c>
      <c r="B25" s="2">
        <f>HAVERM!B317</f>
        <v>1.92</v>
      </c>
      <c r="C25" s="2">
        <f>HAVERM!C317</f>
        <v>2.77</v>
      </c>
      <c r="D25" s="2"/>
      <c r="E25" s="5">
        <v>42309</v>
      </c>
      <c r="H25">
        <v>0</v>
      </c>
    </row>
    <row r="26" spans="1:8" x14ac:dyDescent="0.25">
      <c r="A26" s="5">
        <v>42339</v>
      </c>
      <c r="B26" s="2">
        <f>HAVERM!B318</f>
        <v>1.9</v>
      </c>
      <c r="C26" s="2">
        <f>HAVERM!C318</f>
        <v>2.75</v>
      </c>
      <c r="D26" s="2"/>
      <c r="E26" s="5">
        <v>42339</v>
      </c>
      <c r="H26">
        <v>0</v>
      </c>
    </row>
    <row r="27" spans="1:8" x14ac:dyDescent="0.25">
      <c r="A27" s="5">
        <v>42370</v>
      </c>
      <c r="B27" s="2">
        <f>HAVERM!B319</f>
        <v>1.93</v>
      </c>
      <c r="C27" s="2">
        <f>HAVERM!C319</f>
        <v>2.68</v>
      </c>
      <c r="D27" s="2"/>
      <c r="E27" s="5">
        <v>42370</v>
      </c>
      <c r="H27">
        <v>0</v>
      </c>
    </row>
    <row r="28" spans="1:8" x14ac:dyDescent="0.25">
      <c r="A28" s="5">
        <v>42401</v>
      </c>
      <c r="B28" s="2">
        <f>HAVERM!B320</f>
        <v>1.95</v>
      </c>
      <c r="C28" s="2">
        <f>HAVERM!C320</f>
        <v>2.73</v>
      </c>
      <c r="D28" s="2"/>
      <c r="E28" s="5">
        <v>42401</v>
      </c>
      <c r="H28">
        <v>0</v>
      </c>
    </row>
    <row r="29" spans="1:8" x14ac:dyDescent="0.25">
      <c r="A29" s="5">
        <v>42430</v>
      </c>
      <c r="B29" s="2">
        <f>HAVERM!B321</f>
        <v>1.9</v>
      </c>
      <c r="C29" s="2">
        <f>HAVERM!C321</f>
        <v>2.7</v>
      </c>
      <c r="D29" s="2"/>
      <c r="E29" s="5">
        <v>42430</v>
      </c>
      <c r="H29">
        <v>0</v>
      </c>
    </row>
    <row r="30" spans="1:8" x14ac:dyDescent="0.25">
      <c r="A30" s="5">
        <v>42461</v>
      </c>
      <c r="B30" s="2">
        <f>HAVERM!B322</f>
        <v>1.84</v>
      </c>
      <c r="C30" s="2">
        <f>HAVERM!C322</f>
        <v>2.71</v>
      </c>
      <c r="D30" s="2"/>
      <c r="E30" s="5">
        <v>42461</v>
      </c>
      <c r="H30">
        <v>0</v>
      </c>
    </row>
    <row r="31" spans="1:8" x14ac:dyDescent="0.25">
      <c r="A31" s="5">
        <v>42491</v>
      </c>
      <c r="B31" s="2">
        <f>HAVERM!B323</f>
        <v>1.91</v>
      </c>
      <c r="C31" s="2">
        <f>HAVERM!C323</f>
        <v>2.64</v>
      </c>
      <c r="D31" s="2"/>
      <c r="E31" s="5">
        <v>42491</v>
      </c>
      <c r="H31">
        <v>0</v>
      </c>
    </row>
    <row r="32" spans="1:8" x14ac:dyDescent="0.25">
      <c r="A32" s="5">
        <v>42522</v>
      </c>
      <c r="B32" s="2">
        <f>HAVERM!B324</f>
        <v>1.75</v>
      </c>
      <c r="C32" s="2">
        <f>HAVERM!C324</f>
        <v>2.54</v>
      </c>
      <c r="D32" s="2"/>
      <c r="E32" s="5">
        <v>42522</v>
      </c>
      <c r="H32">
        <v>0</v>
      </c>
    </row>
    <row r="33" spans="1:8" x14ac:dyDescent="0.25">
      <c r="A33" s="5">
        <v>42552</v>
      </c>
      <c r="B33" s="2">
        <f>HAVERM!B325</f>
        <v>1.72</v>
      </c>
      <c r="C33" s="2">
        <f>HAVERM!C325</f>
        <v>2.5099999999999998</v>
      </c>
      <c r="D33" s="2"/>
      <c r="E33" s="5">
        <v>42552</v>
      </c>
      <c r="H33">
        <v>0</v>
      </c>
    </row>
    <row r="34" spans="1:8" x14ac:dyDescent="0.25">
      <c r="A34" s="5">
        <v>42583</v>
      </c>
      <c r="B34" s="2">
        <f>HAVERM!B326</f>
        <v>1.69</v>
      </c>
      <c r="C34" s="2">
        <f>HAVERM!C326</f>
        <v>2.39</v>
      </c>
      <c r="D34" s="2"/>
      <c r="E34" s="5">
        <v>42583</v>
      </c>
      <c r="F34" s="2">
        <f t="shared" ref="F34:F97" si="0">B34-B10</f>
        <v>-0.85000000000000009</v>
      </c>
      <c r="G34" s="2"/>
      <c r="H34">
        <v>0</v>
      </c>
    </row>
    <row r="35" spans="1:8" x14ac:dyDescent="0.25">
      <c r="A35" s="5">
        <v>42614</v>
      </c>
      <c r="B35" s="2">
        <f>HAVERM!B327</f>
        <v>1.59</v>
      </c>
      <c r="C35" s="2">
        <f>HAVERM!C327</f>
        <v>2.34</v>
      </c>
      <c r="D35" s="2"/>
      <c r="E35" s="5">
        <v>42614</v>
      </c>
      <c r="F35" s="2">
        <f t="shared" si="0"/>
        <v>-0.86999999999999988</v>
      </c>
      <c r="G35" s="2"/>
      <c r="H35">
        <v>0</v>
      </c>
    </row>
    <row r="36" spans="1:8" x14ac:dyDescent="0.25">
      <c r="A36" s="5">
        <v>42644</v>
      </c>
      <c r="B36" s="2">
        <f>HAVERM!B328</f>
        <v>1.52</v>
      </c>
      <c r="C36" s="2">
        <f>HAVERM!C328</f>
        <v>2.27</v>
      </c>
      <c r="D36" s="2"/>
      <c r="E36" s="5">
        <v>42644</v>
      </c>
      <c r="F36" s="2">
        <f t="shared" si="0"/>
        <v>-0.69</v>
      </c>
      <c r="G36" s="2"/>
      <c r="H36">
        <v>0</v>
      </c>
    </row>
    <row r="37" spans="1:8" x14ac:dyDescent="0.25">
      <c r="A37" s="5">
        <v>42675</v>
      </c>
      <c r="B37" s="2">
        <f>HAVERM!B329</f>
        <v>1.43</v>
      </c>
      <c r="C37" s="2">
        <f>HAVERM!C329</f>
        <v>2.25</v>
      </c>
      <c r="D37" s="2"/>
      <c r="E37" s="5">
        <v>42675</v>
      </c>
      <c r="F37" s="2">
        <f t="shared" si="0"/>
        <v>-0.74</v>
      </c>
      <c r="G37" s="2"/>
      <c r="H37">
        <v>0</v>
      </c>
    </row>
    <row r="38" spans="1:8" x14ac:dyDescent="0.25">
      <c r="A38" s="5">
        <v>42705</v>
      </c>
      <c r="B38" s="2">
        <f>HAVERM!B330</f>
        <v>1.45</v>
      </c>
      <c r="C38" s="2">
        <f>HAVERM!C330</f>
        <v>2.2599999999999998</v>
      </c>
      <c r="D38" s="2"/>
      <c r="E38" s="5">
        <v>42705</v>
      </c>
      <c r="F38" s="2">
        <f t="shared" si="0"/>
        <v>-0.63000000000000012</v>
      </c>
      <c r="G38" s="2"/>
      <c r="H38">
        <v>0</v>
      </c>
    </row>
    <row r="39" spans="1:8" x14ac:dyDescent="0.25">
      <c r="A39" s="5">
        <v>42736</v>
      </c>
      <c r="B39" s="2">
        <f>HAVERM!B331</f>
        <v>1.45</v>
      </c>
      <c r="C39" s="2">
        <f>HAVERM!C331</f>
        <v>2.2200000000000002</v>
      </c>
      <c r="D39" s="2"/>
      <c r="E39" s="5">
        <v>42736</v>
      </c>
      <c r="F39" s="2">
        <f t="shared" si="0"/>
        <v>-0.55999999999999983</v>
      </c>
      <c r="G39" s="2"/>
      <c r="H39">
        <v>0</v>
      </c>
    </row>
    <row r="40" spans="1:8" x14ac:dyDescent="0.25">
      <c r="A40" s="5">
        <v>42767</v>
      </c>
      <c r="B40" s="2">
        <f>HAVERM!B332</f>
        <v>1.42</v>
      </c>
      <c r="C40" s="2">
        <f>HAVERM!C332</f>
        <v>2.2000000000000002</v>
      </c>
      <c r="D40" s="2"/>
      <c r="E40" s="5">
        <v>42767</v>
      </c>
      <c r="F40" s="2">
        <f t="shared" si="0"/>
        <v>-0.54</v>
      </c>
      <c r="G40" s="2"/>
      <c r="H40">
        <v>0</v>
      </c>
    </row>
    <row r="41" spans="1:8" x14ac:dyDescent="0.25">
      <c r="A41" s="5">
        <v>42795</v>
      </c>
      <c r="B41" s="2">
        <f>HAVERM!B333</f>
        <v>1.37</v>
      </c>
      <c r="C41" s="2">
        <f>HAVERM!C333</f>
        <v>2.15</v>
      </c>
      <c r="D41" s="2"/>
      <c r="E41" s="5">
        <v>42795</v>
      </c>
      <c r="F41" s="2">
        <f t="shared" si="0"/>
        <v>-0.61999999999999988</v>
      </c>
      <c r="G41" s="2"/>
      <c r="H41">
        <v>0</v>
      </c>
    </row>
    <row r="42" spans="1:8" x14ac:dyDescent="0.25">
      <c r="A42" s="5">
        <v>42826</v>
      </c>
      <c r="B42" s="2">
        <f>HAVERM!B334</f>
        <v>1.35</v>
      </c>
      <c r="C42" s="2">
        <f>HAVERM!C334</f>
        <v>2.09</v>
      </c>
      <c r="D42" s="2"/>
      <c r="E42" s="5">
        <v>42826</v>
      </c>
      <c r="F42" s="2">
        <f t="shared" si="0"/>
        <v>-0.59999999999999987</v>
      </c>
      <c r="G42" s="2"/>
      <c r="H42">
        <v>0</v>
      </c>
    </row>
    <row r="43" spans="1:8" x14ac:dyDescent="0.25">
      <c r="A43" s="5">
        <v>42856</v>
      </c>
      <c r="B43" s="2">
        <f>HAVERM!B335</f>
        <v>1.49</v>
      </c>
      <c r="C43" s="2">
        <f>HAVERM!C335</f>
        <v>2.0299999999999998</v>
      </c>
      <c r="D43" s="2"/>
      <c r="E43" s="5">
        <v>42856</v>
      </c>
      <c r="F43" s="2">
        <f t="shared" si="0"/>
        <v>-0.40999999999999992</v>
      </c>
      <c r="G43" s="2"/>
      <c r="H43">
        <v>0</v>
      </c>
    </row>
    <row r="44" spans="1:8" x14ac:dyDescent="0.25">
      <c r="A44" s="5">
        <v>42887</v>
      </c>
      <c r="B44" s="2">
        <f>HAVERM!B336</f>
        <v>1.48</v>
      </c>
      <c r="C44" s="2">
        <f>HAVERM!C336</f>
        <v>1.99</v>
      </c>
      <c r="D44" s="2"/>
      <c r="E44" s="5">
        <v>42887</v>
      </c>
      <c r="F44" s="2">
        <f t="shared" si="0"/>
        <v>-0.35000000000000009</v>
      </c>
      <c r="G44" s="2"/>
      <c r="H44">
        <v>0</v>
      </c>
    </row>
    <row r="45" spans="1:8" x14ac:dyDescent="0.25">
      <c r="A45" s="5">
        <v>42917</v>
      </c>
      <c r="B45" s="2">
        <f>HAVERM!B337</f>
        <v>1.41</v>
      </c>
      <c r="C45" s="2">
        <f>HAVERM!C337</f>
        <v>1.97</v>
      </c>
      <c r="D45" s="2"/>
      <c r="E45" s="5">
        <v>42917</v>
      </c>
      <c r="F45" s="2">
        <f t="shared" si="0"/>
        <v>-0.46000000000000019</v>
      </c>
      <c r="G45" s="2"/>
      <c r="H45">
        <v>0</v>
      </c>
    </row>
    <row r="46" spans="1:8" x14ac:dyDescent="0.25">
      <c r="A46" s="5">
        <v>42948</v>
      </c>
      <c r="B46" s="2">
        <f>HAVERM!B338</f>
        <v>1.43</v>
      </c>
      <c r="C46" s="2">
        <f>HAVERM!C338</f>
        <v>1.96</v>
      </c>
      <c r="D46" s="2"/>
      <c r="E46" s="5">
        <v>42948</v>
      </c>
      <c r="F46" s="2">
        <f t="shared" si="0"/>
        <v>-0.52</v>
      </c>
      <c r="G46" s="2"/>
      <c r="H46">
        <v>0</v>
      </c>
    </row>
    <row r="47" spans="1:8" x14ac:dyDescent="0.25">
      <c r="A47" s="5">
        <v>42979</v>
      </c>
      <c r="B47" s="2">
        <f>HAVERM!B339</f>
        <v>1.4</v>
      </c>
      <c r="C47" s="2">
        <f>HAVERM!C339</f>
        <v>1.9</v>
      </c>
      <c r="D47" s="2"/>
      <c r="E47" s="5">
        <v>42979</v>
      </c>
      <c r="F47" s="2">
        <f t="shared" si="0"/>
        <v>-0.51</v>
      </c>
      <c r="G47" s="2"/>
      <c r="H47">
        <v>0</v>
      </c>
    </row>
    <row r="48" spans="1:8" x14ac:dyDescent="0.25">
      <c r="A48" s="5">
        <v>43009</v>
      </c>
      <c r="B48" s="2">
        <f>HAVERM!B340</f>
        <v>1.55</v>
      </c>
      <c r="C48" s="2">
        <f>HAVERM!C340</f>
        <v>2.04</v>
      </c>
      <c r="D48" s="2"/>
      <c r="E48" s="5">
        <v>43009</v>
      </c>
      <c r="F48" s="2">
        <f t="shared" si="0"/>
        <v>-0.32000000000000006</v>
      </c>
      <c r="G48" s="2"/>
      <c r="H48">
        <v>0</v>
      </c>
    </row>
    <row r="49" spans="1:8" x14ac:dyDescent="0.25">
      <c r="A49" s="5">
        <v>43040</v>
      </c>
      <c r="B49" s="2">
        <f>HAVERM!B341</f>
        <v>1.61</v>
      </c>
      <c r="C49" s="2">
        <f>HAVERM!C341</f>
        <v>2.04</v>
      </c>
      <c r="D49" s="2"/>
      <c r="E49" s="5">
        <v>43040</v>
      </c>
      <c r="F49" s="2">
        <f t="shared" si="0"/>
        <v>-0.30999999999999983</v>
      </c>
      <c r="G49" s="2"/>
      <c r="H49">
        <v>0</v>
      </c>
    </row>
    <row r="50" spans="1:8" x14ac:dyDescent="0.25">
      <c r="A50" s="5">
        <v>43070</v>
      </c>
      <c r="B50" s="2">
        <f>HAVERM!B342</f>
        <v>1.57</v>
      </c>
      <c r="C50" s="2">
        <f>HAVERM!C342</f>
        <v>2.0699999999999998</v>
      </c>
      <c r="D50" s="2"/>
      <c r="E50" s="5">
        <v>43070</v>
      </c>
      <c r="F50" s="2">
        <f t="shared" si="0"/>
        <v>-0.32999999999999985</v>
      </c>
      <c r="G50" s="2"/>
      <c r="H50">
        <v>0</v>
      </c>
    </row>
    <row r="51" spans="1:8" x14ac:dyDescent="0.25">
      <c r="A51" s="5">
        <v>43101</v>
      </c>
      <c r="B51" s="2">
        <f>HAVERM!B343</f>
        <v>1.54</v>
      </c>
      <c r="C51" s="2">
        <f>HAVERM!C343</f>
        <v>1.98</v>
      </c>
      <c r="D51" s="2"/>
      <c r="E51" s="5">
        <v>43101</v>
      </c>
      <c r="F51" s="2">
        <f t="shared" si="0"/>
        <v>-0.3899999999999999</v>
      </c>
      <c r="G51" s="2"/>
      <c r="H51">
        <v>0</v>
      </c>
    </row>
    <row r="52" spans="1:8" x14ac:dyDescent="0.25">
      <c r="A52" s="5">
        <v>43132</v>
      </c>
      <c r="B52" s="2">
        <f>HAVERM!B344</f>
        <v>1.49</v>
      </c>
      <c r="C52" s="2">
        <f>HAVERM!C344</f>
        <v>1.99</v>
      </c>
      <c r="D52" s="2"/>
      <c r="E52" s="5">
        <v>43132</v>
      </c>
      <c r="F52" s="2">
        <f t="shared" si="0"/>
        <v>-0.45999999999999996</v>
      </c>
      <c r="G52" s="2"/>
      <c r="H52">
        <v>0</v>
      </c>
    </row>
    <row r="53" spans="1:8" x14ac:dyDescent="0.25">
      <c r="A53" s="5">
        <v>43160</v>
      </c>
      <c r="B53" s="2">
        <f>HAVERM!B345</f>
        <v>1.53</v>
      </c>
      <c r="C53" s="2">
        <f>HAVERM!C345</f>
        <v>2.02</v>
      </c>
      <c r="D53" s="2"/>
      <c r="E53" s="5">
        <v>43160</v>
      </c>
      <c r="F53" s="2">
        <f t="shared" si="0"/>
        <v>-0.36999999999999988</v>
      </c>
      <c r="G53" s="2"/>
      <c r="H53">
        <v>0</v>
      </c>
    </row>
    <row r="54" spans="1:8" x14ac:dyDescent="0.25">
      <c r="A54" s="5">
        <v>43191</v>
      </c>
      <c r="B54" s="2">
        <f>HAVERM!B346</f>
        <v>1.72</v>
      </c>
      <c r="C54" s="2">
        <f>HAVERM!C346</f>
        <v>2.0099999999999998</v>
      </c>
      <c r="D54" s="2"/>
      <c r="E54" s="5">
        <v>43191</v>
      </c>
      <c r="F54" s="2">
        <f t="shared" si="0"/>
        <v>-0.12000000000000011</v>
      </c>
      <c r="G54" s="2"/>
      <c r="H54">
        <v>0</v>
      </c>
    </row>
    <row r="55" spans="1:8" x14ac:dyDescent="0.25">
      <c r="A55" s="5">
        <v>43221</v>
      </c>
      <c r="B55" s="2">
        <f>HAVERM!B347</f>
        <v>1.74</v>
      </c>
      <c r="C55" s="2">
        <f>HAVERM!C347</f>
        <v>2.06</v>
      </c>
      <c r="D55" s="2"/>
      <c r="E55" s="5">
        <v>43221</v>
      </c>
      <c r="F55" s="2">
        <f t="shared" si="0"/>
        <v>-0.16999999999999993</v>
      </c>
      <c r="G55" s="2"/>
      <c r="H55">
        <v>0</v>
      </c>
    </row>
    <row r="56" spans="1:8" x14ac:dyDescent="0.25">
      <c r="A56" s="5">
        <v>43252</v>
      </c>
      <c r="B56" s="2">
        <f>HAVERM!B348</f>
        <v>1.74</v>
      </c>
      <c r="C56" s="2">
        <f>HAVERM!C348</f>
        <v>2.0299999999999998</v>
      </c>
      <c r="D56" s="2"/>
      <c r="E56" s="5">
        <v>43252</v>
      </c>
      <c r="F56" s="2">
        <f t="shared" si="0"/>
        <v>-1.0000000000000009E-2</v>
      </c>
      <c r="G56" s="2"/>
      <c r="H56">
        <v>0</v>
      </c>
    </row>
    <row r="57" spans="1:8" x14ac:dyDescent="0.25">
      <c r="A57" s="5">
        <v>43282</v>
      </c>
      <c r="B57" s="2">
        <f>HAVERM!B349</f>
        <v>1.75</v>
      </c>
      <c r="C57" s="2">
        <f>HAVERM!C349</f>
        <v>2.04</v>
      </c>
      <c r="D57" s="2"/>
      <c r="E57" s="5">
        <v>43282</v>
      </c>
      <c r="F57" s="2">
        <f t="shared" si="0"/>
        <v>3.0000000000000027E-2</v>
      </c>
      <c r="G57" s="2"/>
      <c r="H57">
        <v>0</v>
      </c>
    </row>
    <row r="58" spans="1:8" x14ac:dyDescent="0.25">
      <c r="A58" s="5">
        <v>43313</v>
      </c>
      <c r="B58" s="2">
        <f>HAVERM!B350</f>
        <v>1.75</v>
      </c>
      <c r="C58" s="2">
        <f>HAVERM!C350</f>
        <v>2.0299999999999998</v>
      </c>
      <c r="D58" s="2"/>
      <c r="E58" s="5">
        <v>43313</v>
      </c>
      <c r="F58" s="2">
        <f t="shared" si="0"/>
        <v>6.0000000000000053E-2</v>
      </c>
      <c r="G58" s="2"/>
      <c r="H58">
        <v>0</v>
      </c>
    </row>
    <row r="59" spans="1:8" x14ac:dyDescent="0.25">
      <c r="A59" s="5">
        <v>43344</v>
      </c>
      <c r="B59" s="2">
        <f>HAVERM!B351</f>
        <v>1.71</v>
      </c>
      <c r="C59" s="2">
        <f>HAVERM!C351</f>
        <v>2.0099999999999998</v>
      </c>
      <c r="D59" s="2"/>
      <c r="E59" s="5">
        <v>43344</v>
      </c>
      <c r="F59" s="2">
        <f t="shared" si="0"/>
        <v>0.11999999999999988</v>
      </c>
      <c r="G59" s="2"/>
      <c r="H59">
        <v>0</v>
      </c>
    </row>
    <row r="60" spans="1:8" x14ac:dyDescent="0.25">
      <c r="A60" s="5">
        <v>43374</v>
      </c>
      <c r="B60" s="2">
        <f>HAVERM!B352</f>
        <v>1.8</v>
      </c>
      <c r="C60" s="2">
        <f>HAVERM!C352</f>
        <v>2.06</v>
      </c>
      <c r="D60" s="2"/>
      <c r="E60" s="5">
        <v>43374</v>
      </c>
      <c r="F60" s="2">
        <f t="shared" si="0"/>
        <v>0.28000000000000003</v>
      </c>
      <c r="G60" s="2"/>
      <c r="H60">
        <v>0</v>
      </c>
    </row>
    <row r="61" spans="1:8" x14ac:dyDescent="0.25">
      <c r="A61" s="5">
        <v>43405</v>
      </c>
      <c r="B61" s="2">
        <f>HAVERM!B353</f>
        <v>1.75</v>
      </c>
      <c r="C61" s="2">
        <f>HAVERM!C353</f>
        <v>2.02</v>
      </c>
      <c r="D61" s="2"/>
      <c r="E61" s="5">
        <v>43405</v>
      </c>
      <c r="F61" s="2">
        <f t="shared" si="0"/>
        <v>0.32000000000000006</v>
      </c>
      <c r="G61" s="2"/>
      <c r="H61">
        <v>0</v>
      </c>
    </row>
    <row r="62" spans="1:8" x14ac:dyDescent="0.25">
      <c r="A62" s="5">
        <v>43435</v>
      </c>
      <c r="B62" s="2">
        <f>HAVERM!B354</f>
        <v>1.73</v>
      </c>
      <c r="C62" s="2">
        <f>HAVERM!C354</f>
        <v>2.0099999999999998</v>
      </c>
      <c r="D62" s="2"/>
      <c r="E62" s="5">
        <v>43435</v>
      </c>
      <c r="F62" s="2">
        <f t="shared" si="0"/>
        <v>0.28000000000000003</v>
      </c>
      <c r="G62" s="2"/>
      <c r="H62">
        <v>0</v>
      </c>
    </row>
    <row r="63" spans="1:8" x14ac:dyDescent="0.25">
      <c r="A63" s="5">
        <v>43466</v>
      </c>
      <c r="B63" s="2">
        <f>HAVERM!B355</f>
        <v>1.72</v>
      </c>
      <c r="C63" s="2">
        <f>HAVERM!C355</f>
        <v>2.0499999999999998</v>
      </c>
      <c r="D63" s="2"/>
      <c r="E63" s="5">
        <v>43466</v>
      </c>
      <c r="F63" s="2">
        <f t="shared" si="0"/>
        <v>0.27</v>
      </c>
      <c r="G63" s="2">
        <f t="shared" ref="G63:G94" si="1">C63-C3</f>
        <v>-1.29</v>
      </c>
      <c r="H63">
        <v>0</v>
      </c>
    </row>
    <row r="64" spans="1:8" x14ac:dyDescent="0.25">
      <c r="A64" s="5">
        <v>43497</v>
      </c>
      <c r="B64" s="2">
        <f>HAVERM!B356</f>
        <v>1.7</v>
      </c>
      <c r="C64" s="2">
        <f>HAVERM!C356</f>
        <v>2.0499999999999998</v>
      </c>
      <c r="D64" s="2"/>
      <c r="E64" s="5">
        <v>43497</v>
      </c>
      <c r="F64" s="2">
        <f t="shared" si="0"/>
        <v>0.28000000000000003</v>
      </c>
      <c r="G64" s="2">
        <f t="shared" si="1"/>
        <v>-1.4000000000000004</v>
      </c>
      <c r="H64">
        <v>0</v>
      </c>
    </row>
    <row r="65" spans="1:8" x14ac:dyDescent="0.25">
      <c r="A65" s="5">
        <v>43525</v>
      </c>
      <c r="B65" s="2">
        <f>HAVERM!B357</f>
        <v>1.7</v>
      </c>
      <c r="C65" s="2">
        <f>HAVERM!C357</f>
        <v>2.0299999999999998</v>
      </c>
      <c r="D65" s="2"/>
      <c r="E65" s="5">
        <v>43525</v>
      </c>
      <c r="F65" s="2">
        <f t="shared" si="0"/>
        <v>0.32999999999999985</v>
      </c>
      <c r="G65" s="2">
        <f t="shared" si="1"/>
        <v>-1.4500000000000002</v>
      </c>
      <c r="H65">
        <v>0</v>
      </c>
    </row>
    <row r="66" spans="1:8" x14ac:dyDescent="0.25">
      <c r="A66" s="5">
        <v>43556</v>
      </c>
      <c r="B66" s="2">
        <f>HAVERM!B358</f>
        <v>1.66</v>
      </c>
      <c r="C66" s="2">
        <f>HAVERM!C358</f>
        <v>2</v>
      </c>
      <c r="D66" s="2"/>
      <c r="E66" s="5">
        <v>43556</v>
      </c>
      <c r="F66" s="2">
        <f t="shared" si="0"/>
        <v>0.30999999999999983</v>
      </c>
      <c r="G66" s="2">
        <f t="shared" si="1"/>
        <v>-1.69</v>
      </c>
      <c r="H66">
        <v>0</v>
      </c>
    </row>
    <row r="67" spans="1:8" x14ac:dyDescent="0.25">
      <c r="A67" s="5">
        <v>43586</v>
      </c>
      <c r="B67" s="2">
        <f>HAVERM!B359</f>
        <v>1.65</v>
      </c>
      <c r="C67" s="2">
        <f>HAVERM!C359</f>
        <v>1.99</v>
      </c>
      <c r="D67" s="2"/>
      <c r="E67" s="5">
        <v>43586</v>
      </c>
      <c r="F67" s="2">
        <f t="shared" si="0"/>
        <v>0.15999999999999992</v>
      </c>
      <c r="G67" s="2">
        <f t="shared" si="1"/>
        <v>-1.7300000000000002</v>
      </c>
      <c r="H67">
        <v>0</v>
      </c>
    </row>
    <row r="68" spans="1:8" x14ac:dyDescent="0.25">
      <c r="A68" s="5">
        <v>43617</v>
      </c>
      <c r="B68" s="2">
        <f>HAVERM!B360</f>
        <v>1.64</v>
      </c>
      <c r="C68" s="2">
        <f>HAVERM!C360</f>
        <v>1.97</v>
      </c>
      <c r="D68" s="2"/>
      <c r="E68" s="5">
        <v>43617</v>
      </c>
      <c r="F68" s="2">
        <f t="shared" si="0"/>
        <v>0.15999999999999992</v>
      </c>
      <c r="G68" s="2">
        <f t="shared" si="1"/>
        <v>-1.72</v>
      </c>
      <c r="H68">
        <v>0</v>
      </c>
    </row>
    <row r="69" spans="1:8" x14ac:dyDescent="0.25">
      <c r="A69" s="5">
        <v>43647</v>
      </c>
      <c r="B69" s="2">
        <f>HAVERM!B361</f>
        <v>1.61</v>
      </c>
      <c r="C69" s="2">
        <f>HAVERM!C361</f>
        <v>1.93</v>
      </c>
      <c r="D69" s="2"/>
      <c r="E69" s="5">
        <v>43647</v>
      </c>
      <c r="F69" s="2">
        <f t="shared" si="0"/>
        <v>0.20000000000000018</v>
      </c>
      <c r="G69" s="2">
        <f t="shared" si="1"/>
        <v>-1.8499999999999999</v>
      </c>
      <c r="H69">
        <v>0</v>
      </c>
    </row>
    <row r="70" spans="1:8" x14ac:dyDescent="0.25">
      <c r="A70" s="5">
        <v>43678</v>
      </c>
      <c r="B70" s="2">
        <f>HAVERM!B362</f>
        <v>1.59</v>
      </c>
      <c r="C70" s="2">
        <f>HAVERM!C362</f>
        <v>1.89</v>
      </c>
      <c r="D70" s="2"/>
      <c r="E70" s="5">
        <v>43678</v>
      </c>
      <c r="F70" s="2">
        <f t="shared" si="0"/>
        <v>0.16000000000000014</v>
      </c>
      <c r="G70" s="2">
        <f t="shared" si="1"/>
        <v>-1.8699999999999999</v>
      </c>
      <c r="H70">
        <v>0</v>
      </c>
    </row>
    <row r="71" spans="1:8" x14ac:dyDescent="0.25">
      <c r="A71" s="5">
        <v>43709</v>
      </c>
      <c r="B71" s="2">
        <f>HAVERM!B363</f>
        <v>1.55</v>
      </c>
      <c r="C71" s="2">
        <f>HAVERM!C363</f>
        <v>1.79</v>
      </c>
      <c r="D71" s="2"/>
      <c r="E71" s="5">
        <v>43709</v>
      </c>
      <c r="F71" s="2">
        <f t="shared" si="0"/>
        <v>0.15000000000000013</v>
      </c>
      <c r="G71" s="2">
        <f t="shared" si="1"/>
        <v>-1.8199999999999998</v>
      </c>
      <c r="H71">
        <v>0</v>
      </c>
    </row>
    <row r="72" spans="1:8" x14ac:dyDescent="0.25">
      <c r="A72" s="5">
        <v>43739</v>
      </c>
      <c r="B72" s="2">
        <f>HAVERM!B364</f>
        <v>1.47</v>
      </c>
      <c r="C72" s="2">
        <f>HAVERM!C364</f>
        <v>1.71</v>
      </c>
      <c r="D72" s="2"/>
      <c r="E72" s="5">
        <v>43739</v>
      </c>
      <c r="F72" s="2">
        <f t="shared" si="0"/>
        <v>-8.0000000000000071E-2</v>
      </c>
      <c r="G72" s="2">
        <f t="shared" si="1"/>
        <v>-1.56</v>
      </c>
      <c r="H72">
        <v>0</v>
      </c>
    </row>
    <row r="73" spans="1:8" x14ac:dyDescent="0.25">
      <c r="A73" s="5">
        <v>43770</v>
      </c>
      <c r="B73" s="2">
        <f>HAVERM!B365</f>
        <v>1.41</v>
      </c>
      <c r="C73" s="2">
        <f>HAVERM!C365</f>
        <v>1.67</v>
      </c>
      <c r="D73" s="2"/>
      <c r="E73" s="5">
        <v>43770</v>
      </c>
      <c r="F73" s="2">
        <f t="shared" si="0"/>
        <v>-0.20000000000000018</v>
      </c>
      <c r="G73" s="2">
        <f t="shared" si="1"/>
        <v>-1.54</v>
      </c>
      <c r="H73">
        <v>0</v>
      </c>
    </row>
    <row r="74" spans="1:8" x14ac:dyDescent="0.25">
      <c r="A74" s="5">
        <v>43800</v>
      </c>
      <c r="B74" s="2">
        <f>HAVERM!B366</f>
        <v>1.42</v>
      </c>
      <c r="C74" s="2">
        <f>HAVERM!C366</f>
        <v>1.67</v>
      </c>
      <c r="D74" s="2"/>
      <c r="E74" s="5">
        <v>43800</v>
      </c>
      <c r="F74" s="2">
        <f t="shared" si="0"/>
        <v>-0.15000000000000013</v>
      </c>
      <c r="G74" s="2">
        <f t="shared" si="1"/>
        <v>-1.54</v>
      </c>
      <c r="H74">
        <v>0</v>
      </c>
    </row>
    <row r="75" spans="1:8" x14ac:dyDescent="0.25">
      <c r="A75" s="5">
        <v>43831</v>
      </c>
      <c r="B75" s="2">
        <f>HAVERM!B367</f>
        <v>1.41</v>
      </c>
      <c r="C75" s="2">
        <f>HAVERM!C367</f>
        <v>1.68</v>
      </c>
      <c r="D75" s="2"/>
      <c r="E75" s="5">
        <v>43831</v>
      </c>
      <c r="F75" s="2">
        <f t="shared" si="0"/>
        <v>-0.13000000000000012</v>
      </c>
      <c r="G75" s="2">
        <f t="shared" si="1"/>
        <v>-1.41</v>
      </c>
      <c r="H75">
        <v>0</v>
      </c>
    </row>
    <row r="76" spans="1:8" x14ac:dyDescent="0.25">
      <c r="A76" s="5">
        <v>43862</v>
      </c>
      <c r="B76" s="2">
        <f>HAVERM!B368</f>
        <v>1.4</v>
      </c>
      <c r="C76" s="2">
        <f>HAVERM!C368</f>
        <v>1.67</v>
      </c>
      <c r="D76" s="2"/>
      <c r="E76" s="5">
        <v>43862</v>
      </c>
      <c r="F76" s="2">
        <f t="shared" si="0"/>
        <v>-9.000000000000008E-2</v>
      </c>
      <c r="G76" s="2">
        <f t="shared" si="1"/>
        <v>-1.38</v>
      </c>
      <c r="H76">
        <v>0</v>
      </c>
    </row>
    <row r="77" spans="1:8" x14ac:dyDescent="0.25">
      <c r="A77" s="5">
        <v>43891</v>
      </c>
      <c r="B77" s="2">
        <f>HAVERM!B369</f>
        <v>1.4</v>
      </c>
      <c r="C77" s="2">
        <f>HAVERM!C369</f>
        <v>1.66</v>
      </c>
      <c r="D77" s="2"/>
      <c r="E77" s="5">
        <v>43891</v>
      </c>
      <c r="F77" s="2">
        <f t="shared" si="0"/>
        <v>-0.13000000000000012</v>
      </c>
      <c r="G77" s="2">
        <f t="shared" si="1"/>
        <v>-1.32</v>
      </c>
      <c r="H77">
        <v>0</v>
      </c>
    </row>
    <row r="78" spans="1:8" x14ac:dyDescent="0.25">
      <c r="A78" s="5">
        <v>43922</v>
      </c>
      <c r="B78" s="2">
        <f>HAVERM!B370</f>
        <v>1.38</v>
      </c>
      <c r="C78" s="2">
        <f>HAVERM!C370</f>
        <v>1.67</v>
      </c>
      <c r="D78" s="2"/>
      <c r="E78" s="5">
        <v>43922</v>
      </c>
      <c r="F78" s="2">
        <f t="shared" si="0"/>
        <v>-0.34000000000000008</v>
      </c>
      <c r="G78" s="2">
        <f t="shared" si="1"/>
        <v>-1.25</v>
      </c>
      <c r="H78">
        <v>0</v>
      </c>
    </row>
    <row r="79" spans="1:8" x14ac:dyDescent="0.25">
      <c r="A79" s="5">
        <v>43952</v>
      </c>
      <c r="B79" s="2">
        <f>HAVERM!B371</f>
        <v>1.42</v>
      </c>
      <c r="C79" s="2">
        <f>HAVERM!C371</f>
        <v>1.7</v>
      </c>
      <c r="D79" s="2"/>
      <c r="E79" s="5">
        <v>43952</v>
      </c>
      <c r="F79" s="2">
        <f t="shared" si="0"/>
        <v>-0.32000000000000006</v>
      </c>
      <c r="G79" s="2">
        <f t="shared" si="1"/>
        <v>-1.1599999999999999</v>
      </c>
      <c r="H79">
        <v>0</v>
      </c>
    </row>
    <row r="80" spans="1:8" x14ac:dyDescent="0.25">
      <c r="A80" s="5">
        <v>43983</v>
      </c>
      <c r="B80" s="2">
        <f>HAVERM!B372</f>
        <v>1.41</v>
      </c>
      <c r="C80" s="2">
        <f>HAVERM!C372</f>
        <v>1.69</v>
      </c>
      <c r="D80" s="2"/>
      <c r="E80" s="5">
        <v>43983</v>
      </c>
      <c r="F80" s="2">
        <f t="shared" si="0"/>
        <v>-0.33000000000000007</v>
      </c>
      <c r="G80" s="2">
        <f t="shared" si="1"/>
        <v>-1.1299999999999999</v>
      </c>
      <c r="H80">
        <v>0</v>
      </c>
    </row>
    <row r="81" spans="1:8" x14ac:dyDescent="0.25">
      <c r="A81" s="5">
        <v>44013</v>
      </c>
      <c r="B81" s="2">
        <f>HAVERM!B373</f>
        <v>1.45</v>
      </c>
      <c r="C81" s="2">
        <f>HAVERM!C373</f>
        <v>1.7</v>
      </c>
      <c r="D81" s="2"/>
      <c r="E81" s="5">
        <v>44013</v>
      </c>
      <c r="F81" s="2">
        <f t="shared" si="0"/>
        <v>-0.30000000000000004</v>
      </c>
      <c r="G81" s="2">
        <f t="shared" si="1"/>
        <v>-1.1300000000000001</v>
      </c>
      <c r="H81">
        <v>0</v>
      </c>
    </row>
    <row r="82" spans="1:8" x14ac:dyDescent="0.25">
      <c r="A82" s="5">
        <v>44044</v>
      </c>
      <c r="B82" s="2">
        <f>HAVERM!B374</f>
        <v>1.6</v>
      </c>
      <c r="C82" s="2">
        <f>HAVERM!C374</f>
        <v>1.79</v>
      </c>
      <c r="D82" s="2"/>
      <c r="E82" s="5">
        <v>44044</v>
      </c>
      <c r="F82" s="2">
        <f t="shared" si="0"/>
        <v>-0.14999999999999991</v>
      </c>
      <c r="G82" s="2">
        <f t="shared" si="1"/>
        <v>-1.1299999999999999</v>
      </c>
      <c r="H82">
        <v>0</v>
      </c>
    </row>
    <row r="83" spans="1:8" x14ac:dyDescent="0.25">
      <c r="A83" s="5">
        <v>44075</v>
      </c>
      <c r="B83" s="2">
        <f>HAVERM!B375</f>
        <v>1.75</v>
      </c>
      <c r="C83" s="2">
        <f>HAVERM!C375</f>
        <v>1.92</v>
      </c>
      <c r="D83" s="2"/>
      <c r="E83" s="5">
        <v>44075</v>
      </c>
      <c r="F83" s="2">
        <f t="shared" si="0"/>
        <v>4.0000000000000036E-2</v>
      </c>
      <c r="G83" s="2">
        <f t="shared" si="1"/>
        <v>-0.91999999999999993</v>
      </c>
      <c r="H83">
        <v>0</v>
      </c>
    </row>
    <row r="84" spans="1:8" x14ac:dyDescent="0.25">
      <c r="A84" s="5">
        <v>44105</v>
      </c>
      <c r="B84" s="2">
        <f>HAVERM!B376</f>
        <v>1.94</v>
      </c>
      <c r="C84" s="2">
        <f>HAVERM!C376</f>
        <v>2.0499999999999998</v>
      </c>
      <c r="D84" s="2"/>
      <c r="E84" s="5">
        <v>44105</v>
      </c>
      <c r="F84" s="2">
        <f t="shared" si="0"/>
        <v>0.1399999999999999</v>
      </c>
      <c r="G84" s="2">
        <f t="shared" si="1"/>
        <v>-0.73</v>
      </c>
      <c r="H84">
        <v>0</v>
      </c>
    </row>
    <row r="85" spans="1:8" x14ac:dyDescent="0.25">
      <c r="A85" s="5">
        <v>44136</v>
      </c>
      <c r="B85" s="2">
        <f>HAVERM!B377</f>
        <v>1.92</v>
      </c>
      <c r="C85" s="2">
        <f>HAVERM!C377</f>
        <v>2.0499999999999998</v>
      </c>
      <c r="D85" s="2"/>
      <c r="E85" s="5">
        <v>44136</v>
      </c>
      <c r="F85" s="2">
        <f t="shared" si="0"/>
        <v>0.16999999999999993</v>
      </c>
      <c r="G85" s="2">
        <f t="shared" si="1"/>
        <v>-0.7200000000000002</v>
      </c>
      <c r="H85">
        <v>0</v>
      </c>
    </row>
    <row r="86" spans="1:8" x14ac:dyDescent="0.25">
      <c r="A86" s="5">
        <v>44166</v>
      </c>
      <c r="B86" s="2">
        <f>HAVERM!B378</f>
        <v>1.86</v>
      </c>
      <c r="C86" s="2">
        <f>HAVERM!C378</f>
        <v>2</v>
      </c>
      <c r="D86" s="2"/>
      <c r="E86" s="5">
        <v>44166</v>
      </c>
      <c r="F86" s="2">
        <f t="shared" si="0"/>
        <v>0.13000000000000012</v>
      </c>
      <c r="G86" s="2">
        <f t="shared" si="1"/>
        <v>-0.75</v>
      </c>
      <c r="H86">
        <v>0</v>
      </c>
    </row>
    <row r="87" spans="1:8" x14ac:dyDescent="0.25">
      <c r="A87" s="5">
        <v>44197</v>
      </c>
      <c r="B87" s="2">
        <f>HAVERM!B379</f>
        <v>1.75</v>
      </c>
      <c r="C87" s="2">
        <f>HAVERM!C379</f>
        <v>1.92</v>
      </c>
      <c r="D87" s="2"/>
      <c r="E87" s="5">
        <v>44197</v>
      </c>
      <c r="F87" s="2">
        <f t="shared" si="0"/>
        <v>3.0000000000000027E-2</v>
      </c>
      <c r="G87" s="2">
        <f t="shared" si="1"/>
        <v>-0.76000000000000023</v>
      </c>
      <c r="H87">
        <v>0</v>
      </c>
    </row>
    <row r="88" spans="1:8" x14ac:dyDescent="0.25">
      <c r="A88" s="5">
        <v>44228</v>
      </c>
      <c r="B88" s="2">
        <f>HAVERM!B380</f>
        <v>1.61</v>
      </c>
      <c r="C88" s="2">
        <f>HAVERM!C380</f>
        <v>1.8</v>
      </c>
      <c r="D88" s="2"/>
      <c r="E88" s="5">
        <v>44228</v>
      </c>
      <c r="F88" s="2">
        <f t="shared" si="0"/>
        <v>-8.9999999999999858E-2</v>
      </c>
      <c r="G88" s="2">
        <f t="shared" si="1"/>
        <v>-0.92999999999999994</v>
      </c>
      <c r="H88">
        <v>0</v>
      </c>
    </row>
    <row r="89" spans="1:8" x14ac:dyDescent="0.25">
      <c r="A89" s="5">
        <v>44256</v>
      </c>
      <c r="B89" s="2">
        <f>HAVERM!B381</f>
        <v>1.56</v>
      </c>
      <c r="C89" s="2">
        <f>HAVERM!C381</f>
        <v>1.74</v>
      </c>
      <c r="D89" s="2"/>
      <c r="E89" s="5">
        <v>44256</v>
      </c>
      <c r="F89" s="2">
        <f t="shared" si="0"/>
        <v>-0.1399999999999999</v>
      </c>
      <c r="G89" s="2">
        <f t="shared" si="1"/>
        <v>-0.96000000000000019</v>
      </c>
      <c r="H89">
        <v>0</v>
      </c>
    </row>
    <row r="90" spans="1:8" x14ac:dyDescent="0.25">
      <c r="A90" s="5">
        <v>44287</v>
      </c>
      <c r="B90" s="2">
        <f>HAVERM!B382</f>
        <v>1.49</v>
      </c>
      <c r="C90" s="2">
        <f>HAVERM!C382</f>
        <v>1.71</v>
      </c>
      <c r="D90" s="2"/>
      <c r="E90" s="5">
        <v>44287</v>
      </c>
      <c r="F90" s="2">
        <f t="shared" si="0"/>
        <v>-0.16999999999999993</v>
      </c>
      <c r="G90" s="2">
        <f t="shared" si="1"/>
        <v>-1</v>
      </c>
      <c r="H90">
        <v>0</v>
      </c>
    </row>
    <row r="91" spans="1:8" x14ac:dyDescent="0.25">
      <c r="A91" s="5">
        <v>44317</v>
      </c>
      <c r="B91" s="2">
        <f>HAVERM!B383</f>
        <v>1.47</v>
      </c>
      <c r="C91" s="2">
        <f>HAVERM!C383</f>
        <v>1.68</v>
      </c>
      <c r="D91" s="2"/>
      <c r="E91" s="5">
        <v>44317</v>
      </c>
      <c r="F91" s="2">
        <f t="shared" si="0"/>
        <v>-0.17999999999999994</v>
      </c>
      <c r="G91" s="2">
        <f t="shared" si="1"/>
        <v>-0.96000000000000019</v>
      </c>
      <c r="H91">
        <v>0</v>
      </c>
    </row>
    <row r="92" spans="1:8" x14ac:dyDescent="0.25">
      <c r="A92" s="5">
        <v>44348</v>
      </c>
      <c r="B92" s="2">
        <f>HAVERM!B384</f>
        <v>1.39</v>
      </c>
      <c r="C92" s="2">
        <f>HAVERM!C384</f>
        <v>1.6</v>
      </c>
      <c r="D92" s="2"/>
      <c r="E92" s="5">
        <v>44348</v>
      </c>
      <c r="F92" s="2">
        <f t="shared" si="0"/>
        <v>-0.25</v>
      </c>
      <c r="G92" s="2">
        <f t="shared" si="1"/>
        <v>-0.94</v>
      </c>
      <c r="H92">
        <v>0</v>
      </c>
    </row>
    <row r="93" spans="1:8" x14ac:dyDescent="0.25">
      <c r="A93" s="5">
        <v>44378</v>
      </c>
      <c r="B93" s="2">
        <f>HAVERM!B385</f>
        <v>1.29</v>
      </c>
      <c r="C93" s="2">
        <f>HAVERM!C385</f>
        <v>1.45</v>
      </c>
      <c r="D93" s="2"/>
      <c r="E93" s="5">
        <v>44378</v>
      </c>
      <c r="F93" s="2">
        <f t="shared" si="0"/>
        <v>-0.32000000000000006</v>
      </c>
      <c r="G93" s="2">
        <f t="shared" si="1"/>
        <v>-1.0599999999999998</v>
      </c>
      <c r="H93">
        <v>0</v>
      </c>
    </row>
    <row r="94" spans="1:8" x14ac:dyDescent="0.25">
      <c r="A94" s="5">
        <v>44409</v>
      </c>
      <c r="B94" s="2">
        <f>HAVERM!B386</f>
        <v>1.23</v>
      </c>
      <c r="C94" s="2">
        <f>HAVERM!C386</f>
        <v>1.39</v>
      </c>
      <c r="D94" s="2"/>
      <c r="E94" s="5">
        <v>44409</v>
      </c>
      <c r="F94" s="2">
        <f t="shared" si="0"/>
        <v>-0.3600000000000001</v>
      </c>
      <c r="G94" s="2">
        <f t="shared" si="1"/>
        <v>-1.0000000000000002</v>
      </c>
      <c r="H94">
        <v>0</v>
      </c>
    </row>
    <row r="95" spans="1:8" x14ac:dyDescent="0.25">
      <c r="A95" s="5">
        <v>44440</v>
      </c>
      <c r="B95" s="2">
        <f>HAVERM!B387</f>
        <v>1.2</v>
      </c>
      <c r="C95" s="2">
        <f>HAVERM!C387</f>
        <v>1.28</v>
      </c>
      <c r="D95" s="2"/>
      <c r="E95" s="5">
        <v>44440</v>
      </c>
      <c r="F95" s="2">
        <f t="shared" si="0"/>
        <v>-0.35000000000000009</v>
      </c>
      <c r="G95" s="2">
        <f t="shared" ref="G95:G120" si="2">C95-C35</f>
        <v>-1.0599999999999998</v>
      </c>
      <c r="H95">
        <v>0</v>
      </c>
    </row>
    <row r="96" spans="1:8" x14ac:dyDescent="0.25">
      <c r="A96" s="5">
        <v>44470</v>
      </c>
      <c r="B96" s="2">
        <f>HAVERM!B388</f>
        <v>1.29</v>
      </c>
      <c r="C96" s="2">
        <f>HAVERM!C388</f>
        <v>1.3</v>
      </c>
      <c r="D96" s="2"/>
      <c r="E96" s="5">
        <v>44470</v>
      </c>
      <c r="F96" s="2">
        <f t="shared" si="0"/>
        <v>-0.17999999999999994</v>
      </c>
      <c r="G96" s="2">
        <f t="shared" si="2"/>
        <v>-0.97</v>
      </c>
      <c r="H96">
        <v>0</v>
      </c>
    </row>
    <row r="97" spans="1:8" x14ac:dyDescent="0.25">
      <c r="A97" s="5">
        <v>44501</v>
      </c>
      <c r="B97" s="2">
        <f>HAVERM!B389</f>
        <v>1.53</v>
      </c>
      <c r="C97" s="2">
        <f>HAVERM!C389</f>
        <v>1.52</v>
      </c>
      <c r="D97" s="2"/>
      <c r="E97" s="5">
        <v>44501</v>
      </c>
      <c r="F97" s="2">
        <f t="shared" si="0"/>
        <v>0.12000000000000011</v>
      </c>
      <c r="G97" s="2">
        <f t="shared" si="2"/>
        <v>-0.73</v>
      </c>
      <c r="H97">
        <v>0</v>
      </c>
    </row>
    <row r="98" spans="1:8" x14ac:dyDescent="0.25">
      <c r="A98" s="5">
        <v>44531</v>
      </c>
      <c r="B98" s="2">
        <f>HAVERM!B390</f>
        <v>1.57</v>
      </c>
      <c r="C98" s="2">
        <f>HAVERM!C390</f>
        <v>1.59</v>
      </c>
      <c r="D98" s="2"/>
      <c r="E98" s="5">
        <v>44531</v>
      </c>
      <c r="F98" s="2">
        <f t="shared" ref="F98:F119" si="3">B98-B74</f>
        <v>0.15000000000000013</v>
      </c>
      <c r="G98" s="2">
        <f t="shared" si="2"/>
        <v>-0.66999999999999971</v>
      </c>
      <c r="H98">
        <v>0</v>
      </c>
    </row>
    <row r="99" spans="1:8" x14ac:dyDescent="0.25">
      <c r="A99" s="5">
        <v>44562</v>
      </c>
      <c r="B99" s="2">
        <f>HAVERM!B391</f>
        <v>1.64</v>
      </c>
      <c r="C99" s="2">
        <f>HAVERM!C391</f>
        <v>1.63</v>
      </c>
      <c r="D99" s="2"/>
      <c r="E99" s="5">
        <v>44562</v>
      </c>
      <c r="F99" s="2">
        <f t="shared" si="3"/>
        <v>0.22999999999999998</v>
      </c>
      <c r="G99" s="2">
        <f t="shared" si="2"/>
        <v>-0.5900000000000003</v>
      </c>
      <c r="H99">
        <v>0</v>
      </c>
    </row>
    <row r="100" spans="1:8" x14ac:dyDescent="0.25">
      <c r="A100" s="5">
        <v>44593</v>
      </c>
      <c r="B100" s="2">
        <f>HAVERM!B392</f>
        <v>1.78</v>
      </c>
      <c r="C100" s="2">
        <f>HAVERM!C392</f>
        <v>1.79</v>
      </c>
      <c r="D100" s="2"/>
      <c r="E100" s="5">
        <v>44593</v>
      </c>
      <c r="F100" s="2">
        <f t="shared" si="3"/>
        <v>0.38000000000000012</v>
      </c>
      <c r="G100" s="2">
        <f t="shared" si="2"/>
        <v>-0.41000000000000014</v>
      </c>
      <c r="H100">
        <v>0</v>
      </c>
    </row>
    <row r="101" spans="1:8" x14ac:dyDescent="0.25">
      <c r="A101" s="5">
        <v>44621</v>
      </c>
      <c r="B101" s="2">
        <f>HAVERM!B393</f>
        <v>2.14</v>
      </c>
      <c r="C101" s="2">
        <f>HAVERM!C393</f>
        <v>2.11</v>
      </c>
      <c r="D101" s="2"/>
      <c r="E101" s="5">
        <v>44621</v>
      </c>
      <c r="F101" s="2">
        <f t="shared" si="3"/>
        <v>0.74000000000000021</v>
      </c>
      <c r="G101" s="2">
        <f t="shared" si="2"/>
        <v>-4.0000000000000036E-2</v>
      </c>
      <c r="H101">
        <v>0</v>
      </c>
    </row>
    <row r="102" spans="1:8" x14ac:dyDescent="0.25">
      <c r="A102" s="5">
        <v>44652</v>
      </c>
      <c r="B102" s="2">
        <f>HAVERM!B394</f>
        <v>2.35</v>
      </c>
      <c r="C102" s="2">
        <f>HAVERM!C394</f>
        <v>2.35</v>
      </c>
      <c r="D102" s="2"/>
      <c r="E102" s="5">
        <v>44652</v>
      </c>
      <c r="F102" s="2">
        <f t="shared" si="3"/>
        <v>0.9700000000000002</v>
      </c>
      <c r="G102" s="2">
        <f t="shared" si="2"/>
        <v>0.26000000000000023</v>
      </c>
      <c r="H102">
        <v>0</v>
      </c>
    </row>
    <row r="103" spans="1:8" x14ac:dyDescent="0.25">
      <c r="A103" s="5">
        <v>44682</v>
      </c>
      <c r="B103" s="2">
        <f>HAVERM!B395</f>
        <v>2.63</v>
      </c>
      <c r="C103" s="2">
        <f>HAVERM!C395</f>
        <v>2.62</v>
      </c>
      <c r="D103" s="2"/>
      <c r="E103" s="5">
        <v>44682</v>
      </c>
      <c r="F103" s="2">
        <f t="shared" si="3"/>
        <v>1.21</v>
      </c>
      <c r="G103" s="2">
        <f t="shared" si="2"/>
        <v>0.5900000000000003</v>
      </c>
      <c r="H103">
        <v>0</v>
      </c>
    </row>
    <row r="104" spans="1:8" x14ac:dyDescent="0.25">
      <c r="A104" s="5">
        <v>44713</v>
      </c>
      <c r="B104" s="2">
        <f>HAVERM!B396</f>
        <v>2.87</v>
      </c>
      <c r="C104" s="2">
        <f>HAVERM!C396</f>
        <v>2.9</v>
      </c>
      <c r="D104" s="2"/>
      <c r="E104" s="5">
        <v>44713</v>
      </c>
      <c r="F104" s="2">
        <f t="shared" si="3"/>
        <v>1.4600000000000002</v>
      </c>
      <c r="G104" s="2">
        <f t="shared" si="2"/>
        <v>0.90999999999999992</v>
      </c>
      <c r="H104">
        <v>0</v>
      </c>
    </row>
    <row r="105" spans="1:8" x14ac:dyDescent="0.25">
      <c r="A105" s="5">
        <v>44743</v>
      </c>
      <c r="B105" s="2">
        <f>HAVERM!B397</f>
        <v>3.48</v>
      </c>
      <c r="C105" s="2">
        <f>HAVERM!C397</f>
        <v>3.43</v>
      </c>
      <c r="D105" s="2"/>
      <c r="E105" s="5">
        <v>44743</v>
      </c>
      <c r="F105" s="2">
        <f t="shared" si="3"/>
        <v>2.0300000000000002</v>
      </c>
      <c r="G105" s="2">
        <f t="shared" si="2"/>
        <v>1.4600000000000002</v>
      </c>
      <c r="H105">
        <v>0</v>
      </c>
    </row>
    <row r="106" spans="1:8" x14ac:dyDescent="0.25">
      <c r="A106" s="5">
        <v>44774</v>
      </c>
      <c r="B106" s="2">
        <f>HAVERM!B398</f>
        <v>3.6</v>
      </c>
      <c r="C106" s="2">
        <f>HAVERM!C398</f>
        <v>3.61</v>
      </c>
      <c r="D106" s="2"/>
      <c r="E106" s="5">
        <v>44774</v>
      </c>
      <c r="F106" s="2">
        <f t="shared" si="3"/>
        <v>2</v>
      </c>
      <c r="G106" s="2">
        <f t="shared" si="2"/>
        <v>1.65</v>
      </c>
      <c r="H106">
        <v>0</v>
      </c>
    </row>
    <row r="107" spans="1:8" x14ac:dyDescent="0.25">
      <c r="A107" s="5">
        <v>44805</v>
      </c>
      <c r="B107" s="2">
        <f>HAVERM!B399</f>
        <v>4.17</v>
      </c>
      <c r="C107" s="2">
        <f>HAVERM!C399</f>
        <v>3.97</v>
      </c>
      <c r="D107" s="2"/>
      <c r="E107" s="5">
        <v>44805</v>
      </c>
      <c r="F107" s="2">
        <f t="shared" si="3"/>
        <v>2.42</v>
      </c>
      <c r="G107" s="2">
        <f t="shared" si="2"/>
        <v>2.0700000000000003</v>
      </c>
      <c r="H107">
        <v>0</v>
      </c>
    </row>
    <row r="108" spans="1:8" x14ac:dyDescent="0.25">
      <c r="A108" s="5">
        <v>44835</v>
      </c>
      <c r="B108" s="2">
        <f>HAVERM!B400</f>
        <v>5.99</v>
      </c>
      <c r="C108" s="2">
        <f>HAVERM!C400</f>
        <v>5.61</v>
      </c>
      <c r="D108" s="2"/>
      <c r="E108" s="5">
        <v>44835</v>
      </c>
      <c r="F108" s="2">
        <f t="shared" si="3"/>
        <v>4.0500000000000007</v>
      </c>
      <c r="G108" s="2">
        <f t="shared" si="2"/>
        <v>3.5700000000000003</v>
      </c>
      <c r="H108">
        <v>0</v>
      </c>
    </row>
    <row r="109" spans="1:8" x14ac:dyDescent="0.25">
      <c r="A109" s="5">
        <v>44866</v>
      </c>
      <c r="B109" s="2">
        <f>HAVERM!B401</f>
        <v>5.98</v>
      </c>
      <c r="C109" s="2">
        <f>HAVERM!C401</f>
        <v>5.5</v>
      </c>
      <c r="D109" s="2"/>
      <c r="E109" s="5">
        <v>44866</v>
      </c>
      <c r="F109" s="2">
        <f t="shared" si="3"/>
        <v>4.0600000000000005</v>
      </c>
      <c r="G109" s="2">
        <f t="shared" si="2"/>
        <v>3.46</v>
      </c>
      <c r="H109">
        <v>0</v>
      </c>
    </row>
    <row r="110" spans="1:8" x14ac:dyDescent="0.25">
      <c r="A110" s="5">
        <v>44896</v>
      </c>
      <c r="B110" s="2">
        <f>HAVERM!B402</f>
        <v>5.43</v>
      </c>
      <c r="C110" s="2">
        <f>HAVERM!C402</f>
        <v>5.05</v>
      </c>
      <c r="D110" s="2"/>
      <c r="E110" s="5">
        <v>44896</v>
      </c>
      <c r="F110" s="2">
        <f t="shared" si="3"/>
        <v>3.5699999999999994</v>
      </c>
      <c r="G110" s="2">
        <f t="shared" si="2"/>
        <v>2.98</v>
      </c>
      <c r="H110">
        <v>0</v>
      </c>
    </row>
    <row r="111" spans="1:8" x14ac:dyDescent="0.25">
      <c r="A111" s="5">
        <v>44927</v>
      </c>
      <c r="B111" s="2">
        <f>HAVERM!B403</f>
        <v>5.14</v>
      </c>
      <c r="C111" s="2">
        <f>HAVERM!C403</f>
        <v>4.66</v>
      </c>
      <c r="D111" s="2"/>
      <c r="E111" s="5">
        <v>44927</v>
      </c>
      <c r="F111" s="2">
        <f t="shared" si="3"/>
        <v>3.3899999999999997</v>
      </c>
      <c r="G111" s="2">
        <f t="shared" si="2"/>
        <v>2.68</v>
      </c>
      <c r="H111">
        <v>0</v>
      </c>
    </row>
    <row r="112" spans="1:8" x14ac:dyDescent="0.25">
      <c r="A112" s="5">
        <v>44958</v>
      </c>
      <c r="B112" s="2">
        <f>HAVERM!B404</f>
        <v>4.79</v>
      </c>
      <c r="C112" s="2">
        <f>HAVERM!C404</f>
        <v>4.3600000000000003</v>
      </c>
      <c r="D112" s="2"/>
      <c r="E112" s="5">
        <v>44958</v>
      </c>
      <c r="F112" s="2">
        <f t="shared" si="3"/>
        <v>3.1799999999999997</v>
      </c>
      <c r="G112" s="2">
        <f t="shared" si="2"/>
        <v>2.37</v>
      </c>
      <c r="H112">
        <v>0</v>
      </c>
    </row>
    <row r="113" spans="1:8" x14ac:dyDescent="0.25">
      <c r="A113" s="5">
        <v>44986</v>
      </c>
      <c r="B113" s="2">
        <f>HAVERM!B405</f>
        <v>4.74</v>
      </c>
      <c r="C113" s="2">
        <f>HAVERM!C405</f>
        <v>4.26</v>
      </c>
      <c r="D113" s="2"/>
      <c r="E113" s="5">
        <v>44986</v>
      </c>
      <c r="F113" s="2">
        <f t="shared" si="3"/>
        <v>3.18</v>
      </c>
      <c r="G113" s="2">
        <f t="shared" si="2"/>
        <v>2.2399999999999998</v>
      </c>
      <c r="H113">
        <v>0</v>
      </c>
    </row>
    <row r="114" spans="1:8" x14ac:dyDescent="0.25">
      <c r="A114" s="5">
        <v>45017</v>
      </c>
      <c r="B114" s="2">
        <f>HAVERM!B406</f>
        <v>4.5999999999999996</v>
      </c>
      <c r="C114" s="2">
        <f>HAVERM!C406</f>
        <v>4.16</v>
      </c>
      <c r="D114" s="2"/>
      <c r="E114" s="5">
        <v>45017</v>
      </c>
      <c r="F114" s="2">
        <f t="shared" si="3"/>
        <v>3.1099999999999994</v>
      </c>
      <c r="G114" s="2">
        <f t="shared" si="2"/>
        <v>2.1500000000000004</v>
      </c>
      <c r="H114">
        <v>0</v>
      </c>
    </row>
    <row r="115" spans="1:8" x14ac:dyDescent="0.25">
      <c r="A115" s="5">
        <v>45047</v>
      </c>
      <c r="B115" s="2">
        <f>HAVERM!B407</f>
        <v>4.72</v>
      </c>
      <c r="C115" s="2">
        <f>HAVERM!C407</f>
        <v>4.28</v>
      </c>
      <c r="D115" s="2"/>
      <c r="E115" s="5">
        <v>45047</v>
      </c>
      <c r="F115" s="2">
        <f t="shared" si="3"/>
        <v>3.25</v>
      </c>
      <c r="G115" s="2">
        <f t="shared" si="2"/>
        <v>2.2200000000000002</v>
      </c>
      <c r="H115">
        <v>0</v>
      </c>
    </row>
    <row r="116" spans="1:8" x14ac:dyDescent="0.25">
      <c r="A116" s="5">
        <v>45078</v>
      </c>
      <c r="B116" s="2">
        <f>HAVERM!B408</f>
        <v>5.49</v>
      </c>
      <c r="C116" s="2">
        <f>HAVERM!C408</f>
        <v>4.95</v>
      </c>
      <c r="D116" s="2"/>
      <c r="E116" s="5">
        <v>45078</v>
      </c>
      <c r="F116" s="2">
        <f t="shared" si="3"/>
        <v>4.1000000000000005</v>
      </c>
      <c r="G116" s="2">
        <f t="shared" si="2"/>
        <v>2.9200000000000004</v>
      </c>
      <c r="H116">
        <v>0</v>
      </c>
    </row>
    <row r="117" spans="1:8" x14ac:dyDescent="0.25">
      <c r="A117" s="5">
        <v>45108</v>
      </c>
      <c r="B117" s="2">
        <f>HAVERM!B409</f>
        <v>6.22</v>
      </c>
      <c r="C117" s="2">
        <f>HAVERM!C409</f>
        <v>5.71</v>
      </c>
      <c r="D117" s="2"/>
      <c r="E117" s="5">
        <v>45108</v>
      </c>
      <c r="F117" s="2">
        <f t="shared" si="3"/>
        <v>4.93</v>
      </c>
      <c r="G117" s="2">
        <f t="shared" si="2"/>
        <v>3.67</v>
      </c>
      <c r="H117">
        <v>0</v>
      </c>
    </row>
    <row r="118" spans="1:8" x14ac:dyDescent="0.25">
      <c r="A118" s="5">
        <v>45139</v>
      </c>
      <c r="B118" s="2">
        <f>HAVERM!B410</f>
        <v>6.18</v>
      </c>
      <c r="C118" s="2">
        <f>HAVERM!C410</f>
        <v>5.53</v>
      </c>
      <c r="D118" s="2"/>
      <c r="E118" s="5">
        <v>45139</v>
      </c>
      <c r="F118" s="2">
        <f t="shared" si="3"/>
        <v>4.9499999999999993</v>
      </c>
      <c r="G118" s="2">
        <f t="shared" si="2"/>
        <v>3.5000000000000004</v>
      </c>
      <c r="H118">
        <v>0</v>
      </c>
    </row>
    <row r="119" spans="1:8" x14ac:dyDescent="0.25">
      <c r="A119" s="5">
        <v>45170</v>
      </c>
      <c r="B119" s="2">
        <f>HAVERM!B411</f>
        <v>5.91</v>
      </c>
      <c r="C119" s="2">
        <f>HAVERM!C411</f>
        <v>5.24</v>
      </c>
      <c r="D119" s="2"/>
      <c r="E119" s="5">
        <v>45170</v>
      </c>
      <c r="F119" s="2">
        <f t="shared" si="3"/>
        <v>4.71</v>
      </c>
      <c r="G119" s="2">
        <f t="shared" si="2"/>
        <v>3.2300000000000004</v>
      </c>
      <c r="H119">
        <v>0</v>
      </c>
    </row>
    <row r="120" spans="1:8" x14ac:dyDescent="0.25">
      <c r="A120" s="5">
        <v>45200</v>
      </c>
      <c r="B120" s="2">
        <f>HAVERM!B412</f>
        <v>5.61</v>
      </c>
      <c r="C120" s="2">
        <f>HAVERM!C412</f>
        <v>5.01</v>
      </c>
      <c r="D120" s="2"/>
      <c r="E120" s="5">
        <v>45200</v>
      </c>
      <c r="F120" s="2">
        <f>B120-B96</f>
        <v>4.32</v>
      </c>
      <c r="G120" s="2">
        <f t="shared" si="2"/>
        <v>2.9499999999999997</v>
      </c>
      <c r="H120">
        <v>0</v>
      </c>
    </row>
    <row r="121" spans="1:8" x14ac:dyDescent="0.25">
      <c r="A121" s="5">
        <v>45231</v>
      </c>
      <c r="B121" s="2">
        <f>HAVERM!B413</f>
        <v>5.28</v>
      </c>
      <c r="C121" s="2">
        <f>HAVERM!C413</f>
        <v>4.88</v>
      </c>
      <c r="E121" s="5">
        <v>45231</v>
      </c>
      <c r="F121" s="2">
        <f>B121-B97</f>
        <v>3.75</v>
      </c>
      <c r="G121" s="2">
        <f t="shared" ref="G121" si="4">C121-C61</f>
        <v>2.86</v>
      </c>
      <c r="H121">
        <v>0</v>
      </c>
    </row>
    <row r="122" spans="1:8" x14ac:dyDescent="0.25">
      <c r="A122" s="5">
        <v>45261</v>
      </c>
      <c r="B122" s="2">
        <f>HAVERM!B414</f>
        <v>5.03</v>
      </c>
      <c r="C122" s="2">
        <f>HAVERM!C414</f>
        <v>4.68</v>
      </c>
      <c r="E122" s="5">
        <v>45261</v>
      </c>
      <c r="F122" s="2">
        <f>B122-B98</f>
        <v>3.46</v>
      </c>
      <c r="G122" s="2">
        <f t="shared" ref="G122" si="5">C122-C62</f>
        <v>2.67</v>
      </c>
      <c r="H122">
        <v>0</v>
      </c>
    </row>
    <row r="127" spans="1:8" x14ac:dyDescent="0.25">
      <c r="B127" s="2">
        <f>B120-B117</f>
        <v>-0.60999999999999943</v>
      </c>
      <c r="C127" s="2">
        <f>C120-C117</f>
        <v>-0.70000000000000018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3842-7C4A-49F9-842B-669B5DF64F5F}">
  <dimension ref="A1:C417"/>
  <sheetViews>
    <sheetView workbookViewId="0">
      <pane xSplit="1" ySplit="6" topLeftCell="B409" activePane="bottomRight" state="frozen"/>
      <selection pane="topRight" activeCell="B1" sqref="B1"/>
      <selection pane="bottomLeft" activeCell="A7" sqref="A7"/>
      <selection pane="bottomRight" activeCell="L410" sqref="L410"/>
    </sheetView>
  </sheetViews>
  <sheetFormatPr defaultRowHeight="15" x14ac:dyDescent="0.25"/>
  <cols>
    <col min="2" max="3" width="17.7109375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s="3" customFormat="1" ht="75" x14ac:dyDescent="0.25">
      <c r="A2" s="3" t="s">
        <v>8</v>
      </c>
      <c r="B2" s="3" t="s">
        <v>11</v>
      </c>
      <c r="C2" s="3" t="s">
        <v>12</v>
      </c>
    </row>
    <row r="3" spans="1:3" x14ac:dyDescent="0.25">
      <c r="A3" t="s">
        <v>7</v>
      </c>
      <c r="B3" t="s">
        <v>10</v>
      </c>
      <c r="C3" t="s">
        <v>10</v>
      </c>
    </row>
    <row r="4" spans="1:3" x14ac:dyDescent="0.25">
      <c r="A4" t="s">
        <v>6</v>
      </c>
      <c r="B4" t="s">
        <v>698</v>
      </c>
      <c r="C4" t="s">
        <v>698</v>
      </c>
    </row>
    <row r="5" spans="1:3" x14ac:dyDescent="0.25">
      <c r="A5" t="s">
        <v>5</v>
      </c>
      <c r="B5" t="s">
        <v>9</v>
      </c>
      <c r="C5" t="s">
        <v>9</v>
      </c>
    </row>
    <row r="6" spans="1:3" x14ac:dyDescent="0.25">
      <c r="A6" t="s">
        <v>4</v>
      </c>
      <c r="B6" t="s">
        <v>697</v>
      </c>
      <c r="C6" t="s">
        <v>697</v>
      </c>
    </row>
    <row r="7" spans="1:3" x14ac:dyDescent="0.25">
      <c r="A7" t="s">
        <v>3</v>
      </c>
      <c r="B7" s="2" t="e">
        <v>#N/A</v>
      </c>
      <c r="C7" s="2" t="e">
        <v>#N/A</v>
      </c>
    </row>
    <row r="8" spans="1:3" x14ac:dyDescent="0.25">
      <c r="A8" t="s">
        <v>13</v>
      </c>
      <c r="B8" s="2" t="e">
        <v>#N/A</v>
      </c>
      <c r="C8" s="2" t="e">
        <v>#N/A</v>
      </c>
    </row>
    <row r="9" spans="1:3" x14ac:dyDescent="0.25">
      <c r="A9" t="s">
        <v>14</v>
      </c>
      <c r="B9" s="2" t="e">
        <v>#N/A</v>
      </c>
      <c r="C9" s="2" t="e">
        <v>#N/A</v>
      </c>
    </row>
    <row r="10" spans="1:3" x14ac:dyDescent="0.25">
      <c r="A10" t="s">
        <v>15</v>
      </c>
      <c r="B10" s="2" t="e">
        <v>#N/A</v>
      </c>
      <c r="C10" s="2" t="e">
        <v>#N/A</v>
      </c>
    </row>
    <row r="11" spans="1:3" x14ac:dyDescent="0.25">
      <c r="A11" t="s">
        <v>16</v>
      </c>
      <c r="B11" s="2" t="e">
        <v>#N/A</v>
      </c>
      <c r="C11" s="2" t="e">
        <v>#N/A</v>
      </c>
    </row>
    <row r="12" spans="1:3" x14ac:dyDescent="0.25">
      <c r="A12" t="s">
        <v>17</v>
      </c>
      <c r="B12" s="2" t="e">
        <v>#N/A</v>
      </c>
      <c r="C12" s="2" t="e">
        <v>#N/A</v>
      </c>
    </row>
    <row r="13" spans="1:3" x14ac:dyDescent="0.25">
      <c r="A13" t="s">
        <v>18</v>
      </c>
      <c r="B13" s="2" t="e">
        <v>#N/A</v>
      </c>
      <c r="C13" s="2" t="e">
        <v>#N/A</v>
      </c>
    </row>
    <row r="14" spans="1:3" x14ac:dyDescent="0.25">
      <c r="A14" t="s">
        <v>19</v>
      </c>
      <c r="B14" s="2" t="e">
        <v>#N/A</v>
      </c>
      <c r="C14" s="2" t="e">
        <v>#N/A</v>
      </c>
    </row>
    <row r="15" spans="1:3" x14ac:dyDescent="0.25">
      <c r="A15" t="s">
        <v>20</v>
      </c>
      <c r="B15" s="2" t="e">
        <v>#N/A</v>
      </c>
      <c r="C15" s="2" t="e">
        <v>#N/A</v>
      </c>
    </row>
    <row r="16" spans="1:3" x14ac:dyDescent="0.25">
      <c r="A16" t="s">
        <v>21</v>
      </c>
      <c r="B16" s="2" t="e">
        <v>#N/A</v>
      </c>
      <c r="C16" s="2" t="e">
        <v>#N/A</v>
      </c>
    </row>
    <row r="17" spans="1:3" x14ac:dyDescent="0.25">
      <c r="A17" t="s">
        <v>22</v>
      </c>
      <c r="B17" s="2" t="e">
        <v>#N/A</v>
      </c>
      <c r="C17" s="2" t="e">
        <v>#N/A</v>
      </c>
    </row>
    <row r="18" spans="1:3" x14ac:dyDescent="0.25">
      <c r="A18" t="s">
        <v>23</v>
      </c>
      <c r="B18" s="2" t="e">
        <v>#N/A</v>
      </c>
      <c r="C18" s="2" t="e">
        <v>#N/A</v>
      </c>
    </row>
    <row r="19" spans="1:3" x14ac:dyDescent="0.25">
      <c r="A19" t="s">
        <v>24</v>
      </c>
      <c r="B19" s="2" t="e">
        <v>#N/A</v>
      </c>
      <c r="C19" s="2" t="e">
        <v>#N/A</v>
      </c>
    </row>
    <row r="20" spans="1:3" x14ac:dyDescent="0.25">
      <c r="A20" t="s">
        <v>25</v>
      </c>
      <c r="B20" s="2" t="e">
        <v>#N/A</v>
      </c>
      <c r="C20" s="2" t="e">
        <v>#N/A</v>
      </c>
    </row>
    <row r="21" spans="1:3" x14ac:dyDescent="0.25">
      <c r="A21" t="s">
        <v>26</v>
      </c>
      <c r="B21" s="2" t="e">
        <v>#N/A</v>
      </c>
      <c r="C21" s="2" t="e">
        <v>#N/A</v>
      </c>
    </row>
    <row r="22" spans="1:3" x14ac:dyDescent="0.25">
      <c r="A22" t="s">
        <v>27</v>
      </c>
      <c r="B22" s="2" t="e">
        <v>#N/A</v>
      </c>
      <c r="C22" s="2" t="e">
        <v>#N/A</v>
      </c>
    </row>
    <row r="23" spans="1:3" x14ac:dyDescent="0.25">
      <c r="A23" t="s">
        <v>28</v>
      </c>
      <c r="B23" s="2" t="e">
        <v>#N/A</v>
      </c>
      <c r="C23" s="2" t="e">
        <v>#N/A</v>
      </c>
    </row>
    <row r="24" spans="1:3" x14ac:dyDescent="0.25">
      <c r="A24" t="s">
        <v>29</v>
      </c>
      <c r="B24" s="2" t="e">
        <v>#N/A</v>
      </c>
      <c r="C24" s="2" t="e">
        <v>#N/A</v>
      </c>
    </row>
    <row r="25" spans="1:3" x14ac:dyDescent="0.25">
      <c r="A25" t="s">
        <v>30</v>
      </c>
      <c r="B25" s="2" t="e">
        <v>#N/A</v>
      </c>
      <c r="C25" s="2" t="e">
        <v>#N/A</v>
      </c>
    </row>
    <row r="26" spans="1:3" x14ac:dyDescent="0.25">
      <c r="A26" t="s">
        <v>31</v>
      </c>
      <c r="B26" s="2" t="e">
        <v>#N/A</v>
      </c>
      <c r="C26" s="2" t="e">
        <v>#N/A</v>
      </c>
    </row>
    <row r="27" spans="1:3" x14ac:dyDescent="0.25">
      <c r="A27" t="s">
        <v>32</v>
      </c>
      <c r="B27" s="2" t="e">
        <v>#N/A</v>
      </c>
      <c r="C27" s="2" t="e">
        <v>#N/A</v>
      </c>
    </row>
    <row r="28" spans="1:3" x14ac:dyDescent="0.25">
      <c r="A28" t="s">
        <v>33</v>
      </c>
      <c r="B28" s="2" t="e">
        <v>#N/A</v>
      </c>
      <c r="C28" s="2" t="e">
        <v>#N/A</v>
      </c>
    </row>
    <row r="29" spans="1:3" x14ac:dyDescent="0.25">
      <c r="A29" t="s">
        <v>34</v>
      </c>
      <c r="B29" s="2" t="e">
        <v>#N/A</v>
      </c>
      <c r="C29" s="2" t="e">
        <v>#N/A</v>
      </c>
    </row>
    <row r="30" spans="1:3" x14ac:dyDescent="0.25">
      <c r="A30" t="s">
        <v>35</v>
      </c>
      <c r="B30" s="2" t="e">
        <v>#N/A</v>
      </c>
      <c r="C30" s="2" t="e">
        <v>#N/A</v>
      </c>
    </row>
    <row r="31" spans="1:3" x14ac:dyDescent="0.25">
      <c r="A31" t="s">
        <v>36</v>
      </c>
      <c r="B31" s="2" t="e">
        <v>#N/A</v>
      </c>
      <c r="C31" s="2" t="e">
        <v>#N/A</v>
      </c>
    </row>
    <row r="32" spans="1:3" x14ac:dyDescent="0.25">
      <c r="A32" t="s">
        <v>37</v>
      </c>
      <c r="B32" s="2" t="e">
        <v>#N/A</v>
      </c>
      <c r="C32" s="2" t="e">
        <v>#N/A</v>
      </c>
    </row>
    <row r="33" spans="1:3" x14ac:dyDescent="0.25">
      <c r="A33" t="s">
        <v>38</v>
      </c>
      <c r="B33" s="2" t="e">
        <v>#N/A</v>
      </c>
      <c r="C33" s="2" t="e">
        <v>#N/A</v>
      </c>
    </row>
    <row r="34" spans="1:3" x14ac:dyDescent="0.25">
      <c r="A34" t="s">
        <v>39</v>
      </c>
      <c r="B34" s="2" t="e">
        <v>#N/A</v>
      </c>
      <c r="C34" s="2" t="e">
        <v>#N/A</v>
      </c>
    </row>
    <row r="35" spans="1:3" x14ac:dyDescent="0.25">
      <c r="A35" t="s">
        <v>40</v>
      </c>
      <c r="B35" s="2" t="e">
        <v>#N/A</v>
      </c>
      <c r="C35" s="2" t="e">
        <v>#N/A</v>
      </c>
    </row>
    <row r="36" spans="1:3" x14ac:dyDescent="0.25">
      <c r="A36" t="s">
        <v>41</v>
      </c>
      <c r="B36" s="2" t="e">
        <v>#N/A</v>
      </c>
      <c r="C36" s="2" t="e">
        <v>#N/A</v>
      </c>
    </row>
    <row r="37" spans="1:3" x14ac:dyDescent="0.25">
      <c r="A37" t="s">
        <v>42</v>
      </c>
      <c r="B37" s="2" t="e">
        <v>#N/A</v>
      </c>
      <c r="C37" s="2" t="e">
        <v>#N/A</v>
      </c>
    </row>
    <row r="38" spans="1:3" x14ac:dyDescent="0.25">
      <c r="A38" t="s">
        <v>43</v>
      </c>
      <c r="B38" s="2" t="e">
        <v>#N/A</v>
      </c>
      <c r="C38" s="2" t="e">
        <v>#N/A</v>
      </c>
    </row>
    <row r="39" spans="1:3" x14ac:dyDescent="0.25">
      <c r="A39" t="s">
        <v>44</v>
      </c>
      <c r="B39" s="2" t="e">
        <v>#N/A</v>
      </c>
      <c r="C39" s="2" t="e">
        <v>#N/A</v>
      </c>
    </row>
    <row r="40" spans="1:3" x14ac:dyDescent="0.25">
      <c r="A40" t="s">
        <v>45</v>
      </c>
      <c r="B40" s="2" t="e">
        <v>#N/A</v>
      </c>
      <c r="C40" s="2" t="e">
        <v>#N/A</v>
      </c>
    </row>
    <row r="41" spans="1:3" x14ac:dyDescent="0.25">
      <c r="A41" t="s">
        <v>46</v>
      </c>
      <c r="B41" s="2" t="e">
        <v>#N/A</v>
      </c>
      <c r="C41" s="2" t="e">
        <v>#N/A</v>
      </c>
    </row>
    <row r="42" spans="1:3" x14ac:dyDescent="0.25">
      <c r="A42" t="s">
        <v>47</v>
      </c>
      <c r="B42" s="2" t="e">
        <v>#N/A</v>
      </c>
      <c r="C42" s="2" t="e">
        <v>#N/A</v>
      </c>
    </row>
    <row r="43" spans="1:3" x14ac:dyDescent="0.25">
      <c r="A43" t="s">
        <v>48</v>
      </c>
      <c r="B43" s="2" t="e">
        <v>#N/A</v>
      </c>
      <c r="C43" s="2" t="e">
        <v>#N/A</v>
      </c>
    </row>
    <row r="44" spans="1:3" x14ac:dyDescent="0.25">
      <c r="A44" t="s">
        <v>49</v>
      </c>
      <c r="B44" s="2" t="e">
        <v>#N/A</v>
      </c>
      <c r="C44" s="2" t="e">
        <v>#N/A</v>
      </c>
    </row>
    <row r="45" spans="1:3" x14ac:dyDescent="0.25">
      <c r="A45" t="s">
        <v>50</v>
      </c>
      <c r="B45" s="2" t="e">
        <v>#N/A</v>
      </c>
      <c r="C45" s="2" t="e">
        <v>#N/A</v>
      </c>
    </row>
    <row r="46" spans="1:3" x14ac:dyDescent="0.25">
      <c r="A46" t="s">
        <v>51</v>
      </c>
      <c r="B46" s="2" t="e">
        <v>#N/A</v>
      </c>
      <c r="C46" s="2" t="e">
        <v>#N/A</v>
      </c>
    </row>
    <row r="47" spans="1:3" x14ac:dyDescent="0.25">
      <c r="A47" t="s">
        <v>52</v>
      </c>
      <c r="B47" s="2" t="e">
        <v>#N/A</v>
      </c>
      <c r="C47" s="2" t="e">
        <v>#N/A</v>
      </c>
    </row>
    <row r="48" spans="1:3" x14ac:dyDescent="0.25">
      <c r="A48" t="s">
        <v>53</v>
      </c>
      <c r="B48" s="2" t="e">
        <v>#N/A</v>
      </c>
      <c r="C48" s="2" t="e">
        <v>#N/A</v>
      </c>
    </row>
    <row r="49" spans="1:3" x14ac:dyDescent="0.25">
      <c r="A49" t="s">
        <v>54</v>
      </c>
      <c r="B49" s="2" t="e">
        <v>#N/A</v>
      </c>
      <c r="C49" s="2" t="e">
        <v>#N/A</v>
      </c>
    </row>
    <row r="50" spans="1:3" x14ac:dyDescent="0.25">
      <c r="A50" t="s">
        <v>55</v>
      </c>
      <c r="B50" s="2" t="e">
        <v>#N/A</v>
      </c>
      <c r="C50" s="2" t="e">
        <v>#N/A</v>
      </c>
    </row>
    <row r="51" spans="1:3" x14ac:dyDescent="0.25">
      <c r="A51" t="s">
        <v>56</v>
      </c>
      <c r="B51" s="2" t="e">
        <v>#N/A</v>
      </c>
      <c r="C51" s="2" t="e">
        <v>#N/A</v>
      </c>
    </row>
    <row r="52" spans="1:3" x14ac:dyDescent="0.25">
      <c r="A52" t="s">
        <v>57</v>
      </c>
      <c r="B52" s="2" t="e">
        <v>#N/A</v>
      </c>
      <c r="C52" s="2" t="e">
        <v>#N/A</v>
      </c>
    </row>
    <row r="53" spans="1:3" x14ac:dyDescent="0.25">
      <c r="A53" t="s">
        <v>58</v>
      </c>
      <c r="B53" s="2" t="e">
        <v>#N/A</v>
      </c>
      <c r="C53" s="2" t="e">
        <v>#N/A</v>
      </c>
    </row>
    <row r="54" spans="1:3" x14ac:dyDescent="0.25">
      <c r="A54" t="s">
        <v>59</v>
      </c>
      <c r="B54" s="2" t="e">
        <v>#N/A</v>
      </c>
      <c r="C54" s="2" t="e">
        <v>#N/A</v>
      </c>
    </row>
    <row r="55" spans="1:3" x14ac:dyDescent="0.25">
      <c r="A55" t="s">
        <v>60</v>
      </c>
      <c r="B55" s="2" t="e">
        <v>#N/A</v>
      </c>
      <c r="C55" s="2" t="e">
        <v>#N/A</v>
      </c>
    </row>
    <row r="56" spans="1:3" x14ac:dyDescent="0.25">
      <c r="A56" t="s">
        <v>61</v>
      </c>
      <c r="B56" s="2" t="e">
        <v>#N/A</v>
      </c>
      <c r="C56" s="2" t="e">
        <v>#N/A</v>
      </c>
    </row>
    <row r="57" spans="1:3" x14ac:dyDescent="0.25">
      <c r="A57" t="s">
        <v>62</v>
      </c>
      <c r="B57" s="2" t="e">
        <v>#N/A</v>
      </c>
      <c r="C57" s="2" t="e">
        <v>#N/A</v>
      </c>
    </row>
    <row r="58" spans="1:3" x14ac:dyDescent="0.25">
      <c r="A58" t="s">
        <v>63</v>
      </c>
      <c r="B58" s="2" t="e">
        <v>#N/A</v>
      </c>
      <c r="C58" s="2" t="e">
        <v>#N/A</v>
      </c>
    </row>
    <row r="59" spans="1:3" x14ac:dyDescent="0.25">
      <c r="A59" t="s">
        <v>64</v>
      </c>
      <c r="B59" s="2" t="e">
        <v>#N/A</v>
      </c>
      <c r="C59" s="2" t="e">
        <v>#N/A</v>
      </c>
    </row>
    <row r="60" spans="1:3" x14ac:dyDescent="0.25">
      <c r="A60" t="s">
        <v>65</v>
      </c>
      <c r="B60" s="2" t="e">
        <v>#N/A</v>
      </c>
      <c r="C60" s="2" t="e">
        <v>#N/A</v>
      </c>
    </row>
    <row r="61" spans="1:3" x14ac:dyDescent="0.25">
      <c r="A61" t="s">
        <v>66</v>
      </c>
      <c r="B61" s="2" t="e">
        <v>#N/A</v>
      </c>
      <c r="C61" s="2" t="e">
        <v>#N/A</v>
      </c>
    </row>
    <row r="62" spans="1:3" x14ac:dyDescent="0.25">
      <c r="A62" t="s">
        <v>67</v>
      </c>
      <c r="B62" s="2" t="e">
        <v>#N/A</v>
      </c>
      <c r="C62" s="2" t="e">
        <v>#N/A</v>
      </c>
    </row>
    <row r="63" spans="1:3" x14ac:dyDescent="0.25">
      <c r="A63" t="s">
        <v>68</v>
      </c>
      <c r="B63" s="2" t="e">
        <v>#N/A</v>
      </c>
      <c r="C63" s="2" t="e">
        <v>#N/A</v>
      </c>
    </row>
    <row r="64" spans="1:3" x14ac:dyDescent="0.25">
      <c r="A64" t="s">
        <v>69</v>
      </c>
      <c r="B64" s="2" t="e">
        <v>#N/A</v>
      </c>
      <c r="C64" s="2" t="e">
        <v>#N/A</v>
      </c>
    </row>
    <row r="65" spans="1:3" x14ac:dyDescent="0.25">
      <c r="A65" t="s">
        <v>70</v>
      </c>
      <c r="B65" s="2" t="e">
        <v>#N/A</v>
      </c>
      <c r="C65" s="2" t="e">
        <v>#N/A</v>
      </c>
    </row>
    <row r="66" spans="1:3" x14ac:dyDescent="0.25">
      <c r="A66" t="s">
        <v>71</v>
      </c>
      <c r="B66" s="2" t="e">
        <v>#N/A</v>
      </c>
      <c r="C66" s="2" t="e">
        <v>#N/A</v>
      </c>
    </row>
    <row r="67" spans="1:3" x14ac:dyDescent="0.25">
      <c r="A67" t="s">
        <v>72</v>
      </c>
      <c r="B67" s="2">
        <v>8.1300000000000008</v>
      </c>
      <c r="C67" s="2">
        <v>9.44</v>
      </c>
    </row>
    <row r="68" spans="1:3" x14ac:dyDescent="0.25">
      <c r="A68" t="s">
        <v>73</v>
      </c>
      <c r="B68" s="2">
        <v>8.3800000000000008</v>
      </c>
      <c r="C68" s="2">
        <v>9.3800000000000008</v>
      </c>
    </row>
    <row r="69" spans="1:3" x14ac:dyDescent="0.25">
      <c r="A69" t="s">
        <v>74</v>
      </c>
      <c r="B69" s="2">
        <v>8.08</v>
      </c>
      <c r="C69" s="2">
        <v>9.33</v>
      </c>
    </row>
    <row r="70" spans="1:3" x14ac:dyDescent="0.25">
      <c r="A70" t="s">
        <v>75</v>
      </c>
      <c r="B70" s="2">
        <v>8.2899999999999991</v>
      </c>
      <c r="C70" s="2">
        <v>9.4</v>
      </c>
    </row>
    <row r="71" spans="1:3" x14ac:dyDescent="0.25">
      <c r="A71" t="s">
        <v>76</v>
      </c>
      <c r="B71" s="2">
        <v>8.2200000000000006</v>
      </c>
      <c r="C71" s="2">
        <v>9.4</v>
      </c>
    </row>
    <row r="72" spans="1:3" x14ac:dyDescent="0.25">
      <c r="A72" t="s">
        <v>77</v>
      </c>
      <c r="B72" s="2">
        <v>7.94</v>
      </c>
      <c r="C72" s="2">
        <v>9.01</v>
      </c>
    </row>
    <row r="73" spans="1:3" x14ac:dyDescent="0.25">
      <c r="A73" t="s">
        <v>78</v>
      </c>
      <c r="B73" s="2">
        <v>7.89</v>
      </c>
      <c r="C73" s="2">
        <v>8.93</v>
      </c>
    </row>
    <row r="74" spans="1:3" x14ac:dyDescent="0.25">
      <c r="A74" t="s">
        <v>79</v>
      </c>
      <c r="B74" s="2">
        <v>7.99</v>
      </c>
      <c r="C74" s="2">
        <v>8.85</v>
      </c>
    </row>
    <row r="75" spans="1:3" x14ac:dyDescent="0.25">
      <c r="A75" t="s">
        <v>80</v>
      </c>
      <c r="B75" s="2">
        <v>7.99</v>
      </c>
      <c r="C75" s="2">
        <v>8.57</v>
      </c>
    </row>
    <row r="76" spans="1:3" x14ac:dyDescent="0.25">
      <c r="A76" t="s">
        <v>81</v>
      </c>
      <c r="B76" s="2">
        <v>7.99</v>
      </c>
      <c r="C76" s="2">
        <v>8.19</v>
      </c>
    </row>
    <row r="77" spans="1:3" x14ac:dyDescent="0.25">
      <c r="A77" t="s">
        <v>82</v>
      </c>
      <c r="B77" s="2">
        <v>7.99</v>
      </c>
      <c r="C77" s="2">
        <v>8.14</v>
      </c>
    </row>
    <row r="78" spans="1:3" x14ac:dyDescent="0.25">
      <c r="A78" t="s">
        <v>83</v>
      </c>
      <c r="B78" s="2">
        <v>7.99</v>
      </c>
      <c r="C78" s="2">
        <v>8.1300000000000008</v>
      </c>
    </row>
    <row r="79" spans="1:3" x14ac:dyDescent="0.25">
      <c r="A79" t="s">
        <v>84</v>
      </c>
      <c r="B79" s="2">
        <v>6.7</v>
      </c>
      <c r="C79" s="2">
        <v>7.87</v>
      </c>
    </row>
    <row r="80" spans="1:3" x14ac:dyDescent="0.25">
      <c r="A80" t="s">
        <v>85</v>
      </c>
      <c r="B80" s="2">
        <v>6.65</v>
      </c>
      <c r="C80" s="2">
        <v>7.66</v>
      </c>
    </row>
    <row r="81" spans="1:3" x14ac:dyDescent="0.25">
      <c r="A81" t="s">
        <v>86</v>
      </c>
      <c r="B81" s="2">
        <v>6.49</v>
      </c>
      <c r="C81" s="2">
        <v>7.7</v>
      </c>
    </row>
    <row r="82" spans="1:3" x14ac:dyDescent="0.25">
      <c r="A82" t="s">
        <v>87</v>
      </c>
      <c r="B82" s="2">
        <v>6.62</v>
      </c>
      <c r="C82" s="2">
        <v>7.82</v>
      </c>
    </row>
    <row r="83" spans="1:3" x14ac:dyDescent="0.25">
      <c r="A83" t="s">
        <v>88</v>
      </c>
      <c r="B83" s="2">
        <v>7.01</v>
      </c>
      <c r="C83" s="2">
        <v>8.18</v>
      </c>
    </row>
    <row r="84" spans="1:3" x14ac:dyDescent="0.25">
      <c r="A84" t="s">
        <v>89</v>
      </c>
      <c r="B84" s="2">
        <v>7.06</v>
      </c>
      <c r="C84" s="2">
        <v>8.1300000000000008</v>
      </c>
    </row>
    <row r="85" spans="1:3" x14ac:dyDescent="0.25">
      <c r="A85" t="s">
        <v>90</v>
      </c>
      <c r="B85" s="2">
        <v>7.12</v>
      </c>
      <c r="C85" s="2">
        <v>8.25</v>
      </c>
    </row>
    <row r="86" spans="1:3" x14ac:dyDescent="0.25">
      <c r="A86" t="s">
        <v>91</v>
      </c>
      <c r="B86" s="2">
        <v>7.09</v>
      </c>
      <c r="C86" s="2">
        <v>8.2799999999999994</v>
      </c>
    </row>
    <row r="87" spans="1:3" x14ac:dyDescent="0.25">
      <c r="A87" t="s">
        <v>92</v>
      </c>
      <c r="B87" s="2">
        <v>7.06</v>
      </c>
      <c r="C87" s="2">
        <v>8.16</v>
      </c>
    </row>
    <row r="88" spans="1:3" x14ac:dyDescent="0.25">
      <c r="A88" t="s">
        <v>93</v>
      </c>
      <c r="B88" s="2">
        <v>6.96</v>
      </c>
      <c r="C88" s="2">
        <v>8.17</v>
      </c>
    </row>
    <row r="89" spans="1:3" x14ac:dyDescent="0.25">
      <c r="A89" t="s">
        <v>94</v>
      </c>
      <c r="B89" s="2">
        <v>6.94</v>
      </c>
      <c r="C89" s="2">
        <v>8.02</v>
      </c>
    </row>
    <row r="90" spans="1:3" x14ac:dyDescent="0.25">
      <c r="A90" t="s">
        <v>95</v>
      </c>
      <c r="B90" s="2">
        <v>7.24</v>
      </c>
      <c r="C90" s="2">
        <v>8.27</v>
      </c>
    </row>
    <row r="91" spans="1:3" x14ac:dyDescent="0.25">
      <c r="A91" t="s">
        <v>96</v>
      </c>
      <c r="B91" s="2">
        <v>7.29</v>
      </c>
      <c r="C91" s="2">
        <v>8.31</v>
      </c>
    </row>
    <row r="92" spans="1:3" x14ac:dyDescent="0.25">
      <c r="A92" t="s">
        <v>97</v>
      </c>
      <c r="B92" s="2">
        <v>7.35</v>
      </c>
      <c r="C92" s="2">
        <v>8.2200000000000006</v>
      </c>
    </row>
    <row r="93" spans="1:3" x14ac:dyDescent="0.25">
      <c r="A93" t="s">
        <v>98</v>
      </c>
      <c r="B93" s="2">
        <v>7.11</v>
      </c>
      <c r="C93" s="2">
        <v>7.98</v>
      </c>
    </row>
    <row r="94" spans="1:3" x14ac:dyDescent="0.25">
      <c r="A94" t="s">
        <v>99</v>
      </c>
      <c r="B94" s="2">
        <v>7.24</v>
      </c>
      <c r="C94" s="2">
        <v>7.93</v>
      </c>
    </row>
    <row r="95" spans="1:3" x14ac:dyDescent="0.25">
      <c r="A95" t="s">
        <v>100</v>
      </c>
      <c r="B95" s="2">
        <v>7.15</v>
      </c>
      <c r="C95" s="2">
        <v>8.02</v>
      </c>
    </row>
    <row r="96" spans="1:3" x14ac:dyDescent="0.25">
      <c r="A96" t="s">
        <v>101</v>
      </c>
      <c r="B96" s="2">
        <v>7.14</v>
      </c>
      <c r="C96" s="2">
        <v>7.91</v>
      </c>
    </row>
    <row r="97" spans="1:3" x14ac:dyDescent="0.25">
      <c r="A97" t="s">
        <v>102</v>
      </c>
      <c r="B97" s="2">
        <v>7.2</v>
      </c>
      <c r="C97" s="2">
        <v>7.91</v>
      </c>
    </row>
    <row r="98" spans="1:3" x14ac:dyDescent="0.25">
      <c r="A98" t="s">
        <v>103</v>
      </c>
      <c r="B98" s="2">
        <v>7.17</v>
      </c>
      <c r="C98" s="2">
        <v>7.9</v>
      </c>
    </row>
    <row r="99" spans="1:3" x14ac:dyDescent="0.25">
      <c r="A99" t="s">
        <v>104</v>
      </c>
      <c r="B99" s="2">
        <v>7.06</v>
      </c>
      <c r="C99" s="2">
        <v>7.67</v>
      </c>
    </row>
    <row r="100" spans="1:3" x14ac:dyDescent="0.25">
      <c r="A100" t="s">
        <v>105</v>
      </c>
      <c r="B100" s="2">
        <v>7.07</v>
      </c>
      <c r="C100" s="2">
        <v>7.49</v>
      </c>
    </row>
    <row r="101" spans="1:3" x14ac:dyDescent="0.25">
      <c r="A101" t="s">
        <v>106</v>
      </c>
      <c r="B101" s="2">
        <v>7.04</v>
      </c>
      <c r="C101" s="2">
        <v>7.33</v>
      </c>
    </row>
    <row r="102" spans="1:3" x14ac:dyDescent="0.25">
      <c r="A102" t="s">
        <v>107</v>
      </c>
      <c r="B102" s="2">
        <v>7.13</v>
      </c>
      <c r="C102" s="2">
        <v>7.4</v>
      </c>
    </row>
    <row r="103" spans="1:3" x14ac:dyDescent="0.25">
      <c r="A103" t="s">
        <v>108</v>
      </c>
      <c r="B103" s="2">
        <v>7.13</v>
      </c>
      <c r="C103" s="2">
        <v>7.31</v>
      </c>
    </row>
    <row r="104" spans="1:3" x14ac:dyDescent="0.25">
      <c r="A104" t="s">
        <v>109</v>
      </c>
      <c r="B104" s="2">
        <v>7.08</v>
      </c>
      <c r="C104" s="2">
        <v>7.15</v>
      </c>
    </row>
    <row r="105" spans="1:3" x14ac:dyDescent="0.25">
      <c r="A105" t="s">
        <v>110</v>
      </c>
      <c r="B105" s="2">
        <v>7.02</v>
      </c>
      <c r="C105" s="2">
        <v>7.06</v>
      </c>
    </row>
    <row r="106" spans="1:3" x14ac:dyDescent="0.25">
      <c r="A106" t="s">
        <v>111</v>
      </c>
      <c r="B106" s="2">
        <v>7.14</v>
      </c>
      <c r="C106" s="2">
        <v>6.82</v>
      </c>
    </row>
    <row r="107" spans="1:3" x14ac:dyDescent="0.25">
      <c r="A107" t="s">
        <v>112</v>
      </c>
      <c r="B107" s="2">
        <v>7.12</v>
      </c>
      <c r="C107" s="2">
        <v>6.83</v>
      </c>
    </row>
    <row r="108" spans="1:3" x14ac:dyDescent="0.25">
      <c r="A108" t="s">
        <v>113</v>
      </c>
      <c r="B108" s="2">
        <v>6.94</v>
      </c>
      <c r="C108" s="2">
        <v>6.75</v>
      </c>
    </row>
    <row r="109" spans="1:3" x14ac:dyDescent="0.25">
      <c r="A109" t="s">
        <v>114</v>
      </c>
      <c r="B109" s="2">
        <v>7.08</v>
      </c>
      <c r="C109" s="2">
        <v>6.94</v>
      </c>
    </row>
    <row r="110" spans="1:3" x14ac:dyDescent="0.25">
      <c r="A110" t="s">
        <v>115</v>
      </c>
      <c r="B110" s="2">
        <v>7.33</v>
      </c>
      <c r="C110" s="2">
        <v>7.04</v>
      </c>
    </row>
    <row r="111" spans="1:3" x14ac:dyDescent="0.25">
      <c r="A111" t="s">
        <v>116</v>
      </c>
      <c r="B111" s="2">
        <v>7.27</v>
      </c>
      <c r="C111" s="2">
        <v>6.93</v>
      </c>
    </row>
    <row r="112" spans="1:3" x14ac:dyDescent="0.25">
      <c r="A112" t="s">
        <v>117</v>
      </c>
      <c r="B112" s="2">
        <v>6.91</v>
      </c>
      <c r="C112" s="2">
        <v>6.66</v>
      </c>
    </row>
    <row r="113" spans="1:3" x14ac:dyDescent="0.25">
      <c r="A113" t="s">
        <v>118</v>
      </c>
      <c r="B113" s="2">
        <v>6.66</v>
      </c>
      <c r="C113" s="2">
        <v>6.51</v>
      </c>
    </row>
    <row r="114" spans="1:3" x14ac:dyDescent="0.25">
      <c r="A114" t="s">
        <v>119</v>
      </c>
      <c r="B114" s="2">
        <v>6.42</v>
      </c>
      <c r="C114" s="2">
        <v>6.36</v>
      </c>
    </row>
    <row r="115" spans="1:3" x14ac:dyDescent="0.25">
      <c r="A115" t="s">
        <v>120</v>
      </c>
      <c r="B115" s="2">
        <v>5.9</v>
      </c>
      <c r="C115" s="2">
        <v>5.9</v>
      </c>
    </row>
    <row r="116" spans="1:3" x14ac:dyDescent="0.25">
      <c r="A116" t="s">
        <v>121</v>
      </c>
      <c r="B116" s="2">
        <v>5.78</v>
      </c>
      <c r="C116" s="2">
        <v>5.7</v>
      </c>
    </row>
    <row r="117" spans="1:3" x14ac:dyDescent="0.25">
      <c r="A117" t="s">
        <v>122</v>
      </c>
      <c r="B117" s="2">
        <v>5.64</v>
      </c>
      <c r="C117" s="2">
        <v>5.8</v>
      </c>
    </row>
    <row r="118" spans="1:3" x14ac:dyDescent="0.25">
      <c r="A118" t="s">
        <v>123</v>
      </c>
      <c r="B118" s="2">
        <v>5.71</v>
      </c>
      <c r="C118" s="2">
        <v>5.89</v>
      </c>
    </row>
    <row r="119" spans="1:3" x14ac:dyDescent="0.25">
      <c r="A119" t="s">
        <v>124</v>
      </c>
      <c r="B119" s="2">
        <v>5.72</v>
      </c>
      <c r="C119" s="2">
        <v>5.97</v>
      </c>
    </row>
    <row r="120" spans="1:3" x14ac:dyDescent="0.25">
      <c r="A120" t="s">
        <v>125</v>
      </c>
      <c r="B120" s="2">
        <v>5.89</v>
      </c>
      <c r="C120" s="2">
        <v>6.29</v>
      </c>
    </row>
    <row r="121" spans="1:3" x14ac:dyDescent="0.25">
      <c r="A121" t="s">
        <v>126</v>
      </c>
      <c r="B121" s="2">
        <v>6</v>
      </c>
      <c r="C121" s="2">
        <v>6.3</v>
      </c>
    </row>
    <row r="122" spans="1:3" x14ac:dyDescent="0.25">
      <c r="A122" t="s">
        <v>127</v>
      </c>
      <c r="B122" s="2">
        <v>6.19</v>
      </c>
      <c r="C122" s="2">
        <v>6.64</v>
      </c>
    </row>
    <row r="123" spans="1:3" x14ac:dyDescent="0.25">
      <c r="A123" t="s">
        <v>128</v>
      </c>
      <c r="B123" s="2">
        <v>6.22</v>
      </c>
      <c r="C123" s="2">
        <v>6.67</v>
      </c>
    </row>
    <row r="124" spans="1:3" x14ac:dyDescent="0.25">
      <c r="A124" t="s">
        <v>129</v>
      </c>
      <c r="B124" s="2">
        <v>6.5</v>
      </c>
      <c r="C124" s="2">
        <v>6.88</v>
      </c>
    </row>
    <row r="125" spans="1:3" x14ac:dyDescent="0.25">
      <c r="A125" t="s">
        <v>130</v>
      </c>
      <c r="B125" s="2">
        <v>6.6</v>
      </c>
      <c r="C125" s="2">
        <v>6.94</v>
      </c>
    </row>
    <row r="126" spans="1:3" x14ac:dyDescent="0.25">
      <c r="A126" t="s">
        <v>131</v>
      </c>
      <c r="B126" s="2">
        <v>6.52</v>
      </c>
      <c r="C126" s="2">
        <v>6.92</v>
      </c>
    </row>
    <row r="127" spans="1:3" x14ac:dyDescent="0.25">
      <c r="A127" t="s">
        <v>132</v>
      </c>
      <c r="B127" s="2">
        <v>6.78</v>
      </c>
      <c r="C127" s="2">
        <v>7.09</v>
      </c>
    </row>
    <row r="128" spans="1:3" x14ac:dyDescent="0.25">
      <c r="A128" t="s">
        <v>133</v>
      </c>
      <c r="B128" s="2">
        <v>6.79</v>
      </c>
      <c r="C128" s="2">
        <v>7.11</v>
      </c>
    </row>
    <row r="129" spans="1:3" x14ac:dyDescent="0.25">
      <c r="A129" t="s">
        <v>134</v>
      </c>
      <c r="B129" s="2">
        <v>6.45</v>
      </c>
      <c r="C129" s="2">
        <v>6.94</v>
      </c>
    </row>
    <row r="130" spans="1:3" x14ac:dyDescent="0.25">
      <c r="A130" t="s">
        <v>135</v>
      </c>
      <c r="B130" s="2">
        <v>6.31</v>
      </c>
      <c r="C130" s="2">
        <v>6.92</v>
      </c>
    </row>
    <row r="131" spans="1:3" x14ac:dyDescent="0.25">
      <c r="A131" t="s">
        <v>136</v>
      </c>
      <c r="B131" s="2">
        <v>6.39</v>
      </c>
      <c r="C131" s="2">
        <v>6.9</v>
      </c>
    </row>
    <row r="132" spans="1:3" x14ac:dyDescent="0.25">
      <c r="A132" t="s">
        <v>137</v>
      </c>
      <c r="B132" s="2">
        <v>6.46</v>
      </c>
      <c r="C132" s="2">
        <v>6.87</v>
      </c>
    </row>
    <row r="133" spans="1:3" x14ac:dyDescent="0.25">
      <c r="A133" t="s">
        <v>138</v>
      </c>
      <c r="B133" s="2">
        <v>6.37</v>
      </c>
      <c r="C133" s="2">
        <v>6.81</v>
      </c>
    </row>
    <row r="134" spans="1:3" x14ac:dyDescent="0.25">
      <c r="A134" t="s">
        <v>139</v>
      </c>
      <c r="B134" s="2">
        <v>6.35</v>
      </c>
      <c r="C134" s="2">
        <v>6.76</v>
      </c>
    </row>
    <row r="135" spans="1:3" x14ac:dyDescent="0.25">
      <c r="A135" t="s">
        <v>140</v>
      </c>
      <c r="B135" s="2">
        <v>6.31</v>
      </c>
      <c r="C135" s="2">
        <v>6.7</v>
      </c>
    </row>
    <row r="136" spans="1:3" x14ac:dyDescent="0.25">
      <c r="A136" t="s">
        <v>141</v>
      </c>
      <c r="B136" s="2">
        <v>6.05</v>
      </c>
      <c r="C136" s="2">
        <v>6.61</v>
      </c>
    </row>
    <row r="137" spans="1:3" x14ac:dyDescent="0.25">
      <c r="A137" t="s">
        <v>142</v>
      </c>
      <c r="B137" s="2">
        <v>6.06</v>
      </c>
      <c r="C137" s="2">
        <v>6.58</v>
      </c>
    </row>
    <row r="138" spans="1:3" x14ac:dyDescent="0.25">
      <c r="A138" t="s">
        <v>143</v>
      </c>
      <c r="B138" s="2">
        <v>6.03</v>
      </c>
      <c r="C138" s="2">
        <v>6.2</v>
      </c>
    </row>
    <row r="139" spans="1:3" x14ac:dyDescent="0.25">
      <c r="A139" t="s">
        <v>144</v>
      </c>
      <c r="B139" s="2">
        <v>5.78</v>
      </c>
      <c r="C139" s="2">
        <v>6.14</v>
      </c>
    </row>
    <row r="140" spans="1:3" x14ac:dyDescent="0.25">
      <c r="A140" t="s">
        <v>145</v>
      </c>
      <c r="B140" s="2">
        <v>5.7</v>
      </c>
      <c r="C140" s="2">
        <v>6</v>
      </c>
    </row>
    <row r="141" spans="1:3" x14ac:dyDescent="0.25">
      <c r="A141" t="s">
        <v>146</v>
      </c>
      <c r="B141" s="2">
        <v>5.68</v>
      </c>
      <c r="C141" s="2">
        <v>5.91</v>
      </c>
    </row>
    <row r="142" spans="1:3" x14ac:dyDescent="0.25">
      <c r="A142" t="s">
        <v>147</v>
      </c>
      <c r="B142" s="2">
        <v>5.63</v>
      </c>
      <c r="C142" s="2">
        <v>5.76</v>
      </c>
    </row>
    <row r="143" spans="1:3" x14ac:dyDescent="0.25">
      <c r="A143" t="s">
        <v>148</v>
      </c>
      <c r="B143" s="2">
        <v>5.65</v>
      </c>
      <c r="C143" s="2">
        <v>5.78</v>
      </c>
    </row>
    <row r="144" spans="1:3" x14ac:dyDescent="0.25">
      <c r="A144" t="s">
        <v>149</v>
      </c>
      <c r="B144" s="2">
        <v>5.72</v>
      </c>
      <c r="C144" s="2">
        <v>5.93</v>
      </c>
    </row>
    <row r="145" spans="1:3" x14ac:dyDescent="0.25">
      <c r="A145" t="s">
        <v>150</v>
      </c>
      <c r="B145" s="2">
        <v>5.92</v>
      </c>
      <c r="C145" s="2">
        <v>6.07</v>
      </c>
    </row>
    <row r="146" spans="1:3" x14ac:dyDescent="0.25">
      <c r="A146" t="s">
        <v>151</v>
      </c>
      <c r="B146" s="2">
        <v>5.58</v>
      </c>
      <c r="C146" s="2">
        <v>5.91</v>
      </c>
    </row>
    <row r="147" spans="1:3" x14ac:dyDescent="0.25">
      <c r="A147" t="s">
        <v>152</v>
      </c>
      <c r="B147" s="2">
        <v>5.39</v>
      </c>
      <c r="C147" s="2">
        <v>5.77</v>
      </c>
    </row>
    <row r="148" spans="1:3" x14ac:dyDescent="0.25">
      <c r="A148" t="s">
        <v>153</v>
      </c>
      <c r="B148" s="2">
        <v>5.0599999999999996</v>
      </c>
      <c r="C148" s="2">
        <v>5.61</v>
      </c>
    </row>
    <row r="149" spans="1:3" x14ac:dyDescent="0.25">
      <c r="A149" t="s">
        <v>154</v>
      </c>
      <c r="B149" s="2">
        <v>4.84</v>
      </c>
      <c r="C149" s="2">
        <v>5.49</v>
      </c>
    </row>
    <row r="150" spans="1:3" x14ac:dyDescent="0.25">
      <c r="A150" t="s">
        <v>155</v>
      </c>
      <c r="B150" s="2">
        <v>4.9800000000000004</v>
      </c>
      <c r="C150" s="2">
        <v>5.65</v>
      </c>
    </row>
    <row r="151" spans="1:3" x14ac:dyDescent="0.25">
      <c r="A151" t="s">
        <v>156</v>
      </c>
      <c r="B151" s="2">
        <v>5.0599999999999996</v>
      </c>
      <c r="C151" s="2">
        <v>5.66</v>
      </c>
    </row>
    <row r="152" spans="1:3" x14ac:dyDescent="0.25">
      <c r="A152" t="s">
        <v>157</v>
      </c>
      <c r="B152" s="2">
        <v>5.14</v>
      </c>
      <c r="C152" s="2">
        <v>5.69</v>
      </c>
    </row>
    <row r="153" spans="1:3" x14ac:dyDescent="0.25">
      <c r="A153" t="s">
        <v>158</v>
      </c>
      <c r="B153" s="2">
        <v>5.22</v>
      </c>
      <c r="C153" s="2">
        <v>5.79</v>
      </c>
    </row>
    <row r="154" spans="1:3" x14ac:dyDescent="0.25">
      <c r="A154" t="s">
        <v>159</v>
      </c>
      <c r="B154" s="2">
        <v>5.35</v>
      </c>
      <c r="C154" s="2">
        <v>5.86</v>
      </c>
    </row>
    <row r="155" spans="1:3" x14ac:dyDescent="0.25">
      <c r="A155" t="s">
        <v>160</v>
      </c>
      <c r="B155" s="2">
        <v>5.43</v>
      </c>
      <c r="C155" s="2">
        <v>5.87</v>
      </c>
    </row>
    <row r="156" spans="1:3" x14ac:dyDescent="0.25">
      <c r="A156" t="s">
        <v>161</v>
      </c>
      <c r="B156" s="2">
        <v>5.41</v>
      </c>
      <c r="C156" s="2">
        <v>5.81</v>
      </c>
    </row>
    <row r="157" spans="1:3" x14ac:dyDescent="0.25">
      <c r="A157" t="s">
        <v>162</v>
      </c>
      <c r="B157" s="2">
        <v>5.3</v>
      </c>
      <c r="C157" s="2">
        <v>5.72</v>
      </c>
    </row>
    <row r="158" spans="1:3" x14ac:dyDescent="0.25">
      <c r="A158" t="s">
        <v>163</v>
      </c>
      <c r="B158" s="2">
        <v>4.59</v>
      </c>
      <c r="C158" s="2">
        <v>5.27</v>
      </c>
    </row>
    <row r="159" spans="1:3" x14ac:dyDescent="0.25">
      <c r="A159" t="s">
        <v>164</v>
      </c>
      <c r="B159" s="2">
        <v>4.5</v>
      </c>
      <c r="C159" s="2">
        <v>5.0599999999999996</v>
      </c>
    </row>
    <row r="160" spans="1:3" x14ac:dyDescent="0.25">
      <c r="A160" t="s">
        <v>165</v>
      </c>
      <c r="B160" s="2">
        <v>4.43</v>
      </c>
      <c r="C160" s="2">
        <v>4.9800000000000004</v>
      </c>
    </row>
    <row r="161" spans="1:3" x14ac:dyDescent="0.25">
      <c r="A161" t="s">
        <v>166</v>
      </c>
      <c r="B161" s="2">
        <v>4.45</v>
      </c>
      <c r="C161" s="2">
        <v>5.01</v>
      </c>
    </row>
    <row r="162" spans="1:3" x14ac:dyDescent="0.25">
      <c r="A162" t="s">
        <v>167</v>
      </c>
      <c r="B162" s="2">
        <v>4.62</v>
      </c>
      <c r="C162" s="2">
        <v>5.0999999999999996</v>
      </c>
    </row>
    <row r="163" spans="1:3" x14ac:dyDescent="0.25">
      <c r="A163" t="s">
        <v>168</v>
      </c>
      <c r="B163" s="2">
        <v>4.5</v>
      </c>
      <c r="C163" s="2">
        <v>4.99</v>
      </c>
    </row>
    <row r="164" spans="1:3" x14ac:dyDescent="0.25">
      <c r="A164" t="s">
        <v>169</v>
      </c>
      <c r="B164" s="2">
        <v>4.1399999999999997</v>
      </c>
      <c r="C164" s="2">
        <v>4.74</v>
      </c>
    </row>
    <row r="165" spans="1:3" x14ac:dyDescent="0.25">
      <c r="A165" t="s">
        <v>170</v>
      </c>
      <c r="B165" s="2">
        <v>4.0599999999999996</v>
      </c>
      <c r="C165" s="2">
        <v>4.76</v>
      </c>
    </row>
    <row r="166" spans="1:3" x14ac:dyDescent="0.25">
      <c r="A166" t="s">
        <v>171</v>
      </c>
      <c r="B166" s="2">
        <v>4.0599999999999996</v>
      </c>
      <c r="C166" s="2">
        <v>4.75</v>
      </c>
    </row>
    <row r="167" spans="1:3" x14ac:dyDescent="0.25">
      <c r="A167" t="s">
        <v>172</v>
      </c>
      <c r="B167" s="2">
        <v>3.91</v>
      </c>
      <c r="C167" s="2">
        <v>4.6399999999999997</v>
      </c>
    </row>
    <row r="168" spans="1:3" x14ac:dyDescent="0.25">
      <c r="A168" t="s">
        <v>173</v>
      </c>
      <c r="B168" s="2">
        <v>3.85</v>
      </c>
      <c r="C168" s="2">
        <v>4.3600000000000003</v>
      </c>
    </row>
    <row r="169" spans="1:3" x14ac:dyDescent="0.25">
      <c r="A169" t="s">
        <v>174</v>
      </c>
      <c r="B169" s="2">
        <v>3.87</v>
      </c>
      <c r="C169" s="2">
        <v>4.4800000000000004</v>
      </c>
    </row>
    <row r="170" spans="1:3" x14ac:dyDescent="0.25">
      <c r="A170" t="s">
        <v>175</v>
      </c>
      <c r="B170" s="2">
        <v>4.32</v>
      </c>
      <c r="C170" s="2">
        <v>4.8099999999999996</v>
      </c>
    </row>
    <row r="171" spans="1:3" x14ac:dyDescent="0.25">
      <c r="A171" t="s">
        <v>176</v>
      </c>
      <c r="B171" s="2">
        <v>4.5599999999999996</v>
      </c>
      <c r="C171" s="2">
        <v>5.05</v>
      </c>
    </row>
    <row r="172" spans="1:3" x14ac:dyDescent="0.25">
      <c r="A172" t="s">
        <v>177</v>
      </c>
      <c r="B172" s="2">
        <v>4.9800000000000004</v>
      </c>
      <c r="C172" s="2">
        <v>5.41</v>
      </c>
    </row>
    <row r="173" spans="1:3" x14ac:dyDescent="0.25">
      <c r="A173" t="s">
        <v>178</v>
      </c>
      <c r="B173" s="2">
        <v>5.0999999999999996</v>
      </c>
      <c r="C173" s="2">
        <v>5.54</v>
      </c>
    </row>
    <row r="174" spans="1:3" x14ac:dyDescent="0.25">
      <c r="A174" t="s">
        <v>179</v>
      </c>
      <c r="B174" s="2">
        <v>5.05</v>
      </c>
      <c r="C174" s="2">
        <v>5.53</v>
      </c>
    </row>
    <row r="175" spans="1:3" x14ac:dyDescent="0.25">
      <c r="A175" t="s">
        <v>180</v>
      </c>
      <c r="B175" s="2">
        <v>4.95</v>
      </c>
      <c r="C175" s="2">
        <v>5.43</v>
      </c>
    </row>
    <row r="176" spans="1:3" x14ac:dyDescent="0.25">
      <c r="A176" t="s">
        <v>181</v>
      </c>
      <c r="B176" s="2">
        <v>4.8899999999999997</v>
      </c>
      <c r="C176" s="2">
        <v>5.38</v>
      </c>
    </row>
    <row r="177" spans="1:3" x14ac:dyDescent="0.25">
      <c r="A177" t="s">
        <v>182</v>
      </c>
      <c r="B177" s="2">
        <v>4.9000000000000004</v>
      </c>
      <c r="C177" s="2">
        <v>5.39</v>
      </c>
    </row>
    <row r="178" spans="1:3" x14ac:dyDescent="0.25">
      <c r="A178" t="s">
        <v>183</v>
      </c>
      <c r="B178" s="2">
        <v>5.1100000000000003</v>
      </c>
      <c r="C178" s="2">
        <v>5.52</v>
      </c>
    </row>
    <row r="179" spans="1:3" x14ac:dyDescent="0.25">
      <c r="A179" t="s">
        <v>184</v>
      </c>
      <c r="B179" s="2">
        <v>5.18</v>
      </c>
      <c r="C179" s="2">
        <v>5.57</v>
      </c>
    </row>
    <row r="180" spans="1:3" x14ac:dyDescent="0.25">
      <c r="A180" t="s">
        <v>185</v>
      </c>
      <c r="B180" s="2">
        <v>5.52</v>
      </c>
      <c r="C180" s="2">
        <v>5.87</v>
      </c>
    </row>
    <row r="181" spans="1:3" x14ac:dyDescent="0.25">
      <c r="A181" t="s">
        <v>186</v>
      </c>
      <c r="B181" s="2">
        <v>5.53</v>
      </c>
      <c r="C181" s="2">
        <v>5.88</v>
      </c>
    </row>
    <row r="182" spans="1:3" x14ac:dyDescent="0.25">
      <c r="A182" t="s">
        <v>187</v>
      </c>
      <c r="B182" s="2">
        <v>5.47</v>
      </c>
      <c r="C182" s="2">
        <v>5.84</v>
      </c>
    </row>
    <row r="183" spans="1:3" x14ac:dyDescent="0.25">
      <c r="A183" t="s">
        <v>188</v>
      </c>
      <c r="B183" s="2">
        <v>5.33</v>
      </c>
      <c r="C183" s="2">
        <v>5.79</v>
      </c>
    </row>
    <row r="184" spans="1:3" x14ac:dyDescent="0.25">
      <c r="A184" t="s">
        <v>189</v>
      </c>
      <c r="B184" s="2">
        <v>5.29</v>
      </c>
      <c r="C184" s="2">
        <v>5.68</v>
      </c>
    </row>
    <row r="185" spans="1:3" x14ac:dyDescent="0.25">
      <c r="A185" t="s">
        <v>190</v>
      </c>
      <c r="B185" s="2">
        <v>5.0599999999999996</v>
      </c>
      <c r="C185" s="2">
        <v>5.49</v>
      </c>
    </row>
    <row r="186" spans="1:3" x14ac:dyDescent="0.25">
      <c r="A186" t="s">
        <v>191</v>
      </c>
      <c r="B186" s="2">
        <v>5.07</v>
      </c>
      <c r="C186" s="2">
        <v>5.37</v>
      </c>
    </row>
    <row r="187" spans="1:3" x14ac:dyDescent="0.25">
      <c r="A187" t="s">
        <v>192</v>
      </c>
      <c r="B187" s="2">
        <v>4.99</v>
      </c>
      <c r="C187" s="2">
        <v>5.2</v>
      </c>
    </row>
    <row r="188" spans="1:3" x14ac:dyDescent="0.25">
      <c r="A188" t="s">
        <v>193</v>
      </c>
      <c r="B188" s="2">
        <v>5.07</v>
      </c>
      <c r="C188" s="2">
        <v>5.25</v>
      </c>
    </row>
    <row r="189" spans="1:3" x14ac:dyDescent="0.25">
      <c r="A189" t="s">
        <v>194</v>
      </c>
      <c r="B189" s="2">
        <v>5.2</v>
      </c>
      <c r="C189" s="2">
        <v>5.28</v>
      </c>
    </row>
    <row r="190" spans="1:3" x14ac:dyDescent="0.25">
      <c r="A190" t="s">
        <v>195</v>
      </c>
      <c r="B190" s="2">
        <v>5.16</v>
      </c>
      <c r="C190" s="2">
        <v>5.23</v>
      </c>
    </row>
    <row r="191" spans="1:3" x14ac:dyDescent="0.25">
      <c r="A191" t="s">
        <v>196</v>
      </c>
      <c r="B191" s="2">
        <v>4.91</v>
      </c>
      <c r="C191" s="2">
        <v>5.05</v>
      </c>
    </row>
    <row r="192" spans="1:3" x14ac:dyDescent="0.25">
      <c r="A192" t="s">
        <v>197</v>
      </c>
      <c r="B192" s="2">
        <v>4.7699999999999996</v>
      </c>
      <c r="C192" s="2">
        <v>4.92</v>
      </c>
    </row>
    <row r="193" spans="1:3" x14ac:dyDescent="0.25">
      <c r="A193" t="s">
        <v>198</v>
      </c>
      <c r="B193" s="2">
        <v>4.59</v>
      </c>
      <c r="C193" s="2">
        <v>4.84</v>
      </c>
    </row>
    <row r="194" spans="1:3" x14ac:dyDescent="0.25">
      <c r="A194" t="s">
        <v>199</v>
      </c>
      <c r="B194" s="2">
        <v>4.5599999999999996</v>
      </c>
      <c r="C194" s="2">
        <v>4.8499999999999996</v>
      </c>
    </row>
    <row r="195" spans="1:3" x14ac:dyDescent="0.25">
      <c r="A195" t="s">
        <v>200</v>
      </c>
      <c r="B195" s="2">
        <v>4.5199999999999996</v>
      </c>
      <c r="C195" s="2">
        <v>4.82</v>
      </c>
    </row>
    <row r="196" spans="1:3" x14ac:dyDescent="0.25">
      <c r="A196" t="s">
        <v>201</v>
      </c>
      <c r="B196" s="2">
        <v>4.54</v>
      </c>
      <c r="C196" s="2">
        <v>4.8499999999999996</v>
      </c>
    </row>
    <row r="197" spans="1:3" x14ac:dyDescent="0.25">
      <c r="A197" t="s">
        <v>202</v>
      </c>
      <c r="B197" s="2">
        <v>4.74</v>
      </c>
      <c r="C197" s="2">
        <v>4.9800000000000004</v>
      </c>
    </row>
    <row r="198" spans="1:3" x14ac:dyDescent="0.25">
      <c r="A198" t="s">
        <v>203</v>
      </c>
      <c r="B198" s="2">
        <v>4.74</v>
      </c>
      <c r="C198" s="2">
        <v>5</v>
      </c>
    </row>
    <row r="199" spans="1:3" x14ac:dyDescent="0.25">
      <c r="A199" t="s">
        <v>204</v>
      </c>
      <c r="B199" s="2">
        <v>4.62</v>
      </c>
      <c r="C199" s="2">
        <v>4.92</v>
      </c>
    </row>
    <row r="200" spans="1:3" x14ac:dyDescent="0.25">
      <c r="A200" t="s">
        <v>205</v>
      </c>
      <c r="B200" s="2">
        <v>4.71</v>
      </c>
      <c r="C200" s="2">
        <v>4.93</v>
      </c>
    </row>
    <row r="201" spans="1:3" x14ac:dyDescent="0.25">
      <c r="A201" t="s">
        <v>206</v>
      </c>
      <c r="B201" s="2">
        <v>4.72</v>
      </c>
      <c r="C201" s="2">
        <v>4.9800000000000004</v>
      </c>
    </row>
    <row r="202" spans="1:3" x14ac:dyDescent="0.25">
      <c r="A202" t="s">
        <v>207</v>
      </c>
      <c r="B202" s="2">
        <v>4.7699999999999996</v>
      </c>
      <c r="C202" s="2">
        <v>5.09</v>
      </c>
    </row>
    <row r="203" spans="1:3" x14ac:dyDescent="0.25">
      <c r="A203" t="s">
        <v>208</v>
      </c>
      <c r="B203" s="2">
        <v>5</v>
      </c>
      <c r="C203" s="2">
        <v>5.36</v>
      </c>
    </row>
    <row r="204" spans="1:3" x14ac:dyDescent="0.25">
      <c r="A204" t="s">
        <v>209</v>
      </c>
      <c r="B204" s="2">
        <v>5</v>
      </c>
      <c r="C204" s="2">
        <v>5.34</v>
      </c>
    </row>
    <row r="205" spans="1:3" x14ac:dyDescent="0.25">
      <c r="A205" t="s">
        <v>210</v>
      </c>
      <c r="B205" s="2">
        <v>5.01</v>
      </c>
      <c r="C205" s="2">
        <v>5.31</v>
      </c>
    </row>
    <row r="206" spans="1:3" x14ac:dyDescent="0.25">
      <c r="A206" t="s">
        <v>211</v>
      </c>
      <c r="B206" s="2">
        <v>5.0999999999999996</v>
      </c>
      <c r="C206" s="2">
        <v>5.4</v>
      </c>
    </row>
    <row r="207" spans="1:3" x14ac:dyDescent="0.25">
      <c r="A207" t="s">
        <v>212</v>
      </c>
      <c r="B207" s="2">
        <v>5.0999999999999996</v>
      </c>
      <c r="C207" s="2">
        <v>5.39</v>
      </c>
    </row>
    <row r="208" spans="1:3" x14ac:dyDescent="0.25">
      <c r="A208" t="s">
        <v>213</v>
      </c>
      <c r="B208" s="2">
        <v>4.99</v>
      </c>
      <c r="C208" s="2">
        <v>5.36</v>
      </c>
    </row>
    <row r="209" spans="1:3" x14ac:dyDescent="0.25">
      <c r="A209" t="s">
        <v>214</v>
      </c>
      <c r="B209" s="2">
        <v>5.2</v>
      </c>
      <c r="C209" s="2">
        <v>5.48</v>
      </c>
    </row>
    <row r="210" spans="1:3" x14ac:dyDescent="0.25">
      <c r="A210" t="s">
        <v>215</v>
      </c>
      <c r="B210" s="2">
        <v>5.15</v>
      </c>
      <c r="C210" s="2">
        <v>5.49</v>
      </c>
    </row>
    <row r="211" spans="1:3" x14ac:dyDescent="0.25">
      <c r="A211" t="s">
        <v>216</v>
      </c>
      <c r="B211" s="2">
        <v>5.32</v>
      </c>
      <c r="C211" s="2">
        <v>5.61</v>
      </c>
    </row>
    <row r="212" spans="1:3" x14ac:dyDescent="0.25">
      <c r="A212" t="s">
        <v>217</v>
      </c>
      <c r="B212" s="2">
        <v>5.46</v>
      </c>
      <c r="C212" s="2">
        <v>5.73</v>
      </c>
    </row>
    <row r="213" spans="1:3" x14ac:dyDescent="0.25">
      <c r="A213" t="s">
        <v>218</v>
      </c>
      <c r="B213" s="2">
        <v>5.55</v>
      </c>
      <c r="C213" s="2">
        <v>5.73</v>
      </c>
    </row>
    <row r="214" spans="1:3" x14ac:dyDescent="0.25">
      <c r="A214" t="s">
        <v>219</v>
      </c>
      <c r="B214" s="2">
        <v>5.62</v>
      </c>
      <c r="C214" s="2">
        <v>5.9</v>
      </c>
    </row>
    <row r="215" spans="1:3" x14ac:dyDescent="0.25">
      <c r="A215" t="s">
        <v>220</v>
      </c>
      <c r="B215" s="2">
        <v>5.7</v>
      </c>
      <c r="C215" s="2">
        <v>5.82</v>
      </c>
    </row>
    <row r="216" spans="1:3" x14ac:dyDescent="0.25">
      <c r="A216" t="s">
        <v>221</v>
      </c>
      <c r="B216" s="2">
        <v>5.98</v>
      </c>
      <c r="C216" s="2">
        <v>6.1</v>
      </c>
    </row>
    <row r="217" spans="1:3" x14ac:dyDescent="0.25">
      <c r="A217" t="s">
        <v>222</v>
      </c>
      <c r="B217" s="2">
        <v>6.07</v>
      </c>
      <c r="C217" s="2">
        <v>6.33</v>
      </c>
    </row>
    <row r="218" spans="1:3" x14ac:dyDescent="0.25">
      <c r="A218" t="s">
        <v>223</v>
      </c>
      <c r="B218" s="2">
        <v>6.11</v>
      </c>
      <c r="C218" s="2">
        <v>6.28</v>
      </c>
    </row>
    <row r="219" spans="1:3" x14ac:dyDescent="0.25">
      <c r="A219" t="s">
        <v>224</v>
      </c>
      <c r="B219" s="2">
        <v>6.05</v>
      </c>
      <c r="C219" s="2">
        <v>6.19</v>
      </c>
    </row>
    <row r="220" spans="1:3" x14ac:dyDescent="0.25">
      <c r="A220" t="s">
        <v>225</v>
      </c>
      <c r="B220" s="2">
        <v>6.11</v>
      </c>
      <c r="C220" s="2">
        <v>6.23</v>
      </c>
    </row>
    <row r="221" spans="1:3" x14ac:dyDescent="0.25">
      <c r="A221" t="s">
        <v>226</v>
      </c>
      <c r="B221" s="2">
        <v>6.09</v>
      </c>
      <c r="C221" s="2">
        <v>6.02</v>
      </c>
    </row>
    <row r="222" spans="1:3" x14ac:dyDescent="0.25">
      <c r="A222" t="s">
        <v>227</v>
      </c>
      <c r="B222" s="2">
        <v>6.06</v>
      </c>
      <c r="C222" s="2">
        <v>5.97</v>
      </c>
    </row>
    <row r="223" spans="1:3" x14ac:dyDescent="0.25">
      <c r="A223" t="s">
        <v>228</v>
      </c>
      <c r="B223" s="2">
        <v>5.97</v>
      </c>
      <c r="C223" s="2">
        <v>5.91</v>
      </c>
    </row>
    <row r="224" spans="1:3" x14ac:dyDescent="0.25">
      <c r="A224" t="s">
        <v>229</v>
      </c>
      <c r="B224" s="2">
        <v>5.74</v>
      </c>
      <c r="C224" s="2">
        <v>5.68</v>
      </c>
    </row>
    <row r="225" spans="1:3" x14ac:dyDescent="0.25">
      <c r="A225" t="s">
        <v>230</v>
      </c>
      <c r="B225" s="2">
        <v>5.8</v>
      </c>
      <c r="C225" s="2">
        <v>5.7</v>
      </c>
    </row>
    <row r="226" spans="1:3" x14ac:dyDescent="0.25">
      <c r="A226" t="s">
        <v>231</v>
      </c>
      <c r="B226" s="2">
        <v>6.06</v>
      </c>
      <c r="C226" s="2">
        <v>5.85</v>
      </c>
    </row>
    <row r="227" spans="1:3" x14ac:dyDescent="0.25">
      <c r="A227" t="s">
        <v>232</v>
      </c>
      <c r="B227" s="2">
        <v>6.26</v>
      </c>
      <c r="C227" s="2">
        <v>6.11</v>
      </c>
    </row>
    <row r="228" spans="1:3" x14ac:dyDescent="0.25">
      <c r="A228" t="s">
        <v>233</v>
      </c>
      <c r="B228" s="2">
        <v>6.6</v>
      </c>
      <c r="C228" s="2">
        <v>6.4</v>
      </c>
    </row>
    <row r="229" spans="1:3" x14ac:dyDescent="0.25">
      <c r="A229" t="s">
        <v>234</v>
      </c>
      <c r="B229" s="2">
        <v>6.35</v>
      </c>
      <c r="C229" s="2">
        <v>6.37</v>
      </c>
    </row>
    <row r="230" spans="1:3" x14ac:dyDescent="0.25">
      <c r="A230" t="s">
        <v>235</v>
      </c>
      <c r="B230" s="2">
        <v>6.08</v>
      </c>
      <c r="C230" s="2">
        <v>6.09</v>
      </c>
    </row>
    <row r="231" spans="1:3" x14ac:dyDescent="0.25">
      <c r="A231" t="s">
        <v>236</v>
      </c>
      <c r="B231" s="2">
        <v>5.96</v>
      </c>
      <c r="C231" s="2">
        <v>5.84</v>
      </c>
    </row>
    <row r="232" spans="1:3" x14ac:dyDescent="0.25">
      <c r="A232" t="s">
        <v>237</v>
      </c>
      <c r="B232" s="2">
        <v>5.83</v>
      </c>
      <c r="C232" s="2">
        <v>5.88</v>
      </c>
    </row>
    <row r="233" spans="1:3" x14ac:dyDescent="0.25">
      <c r="A233" t="s">
        <v>238</v>
      </c>
      <c r="B233" s="2">
        <v>5.0999999999999996</v>
      </c>
      <c r="C233" s="2">
        <v>5.47</v>
      </c>
    </row>
    <row r="234" spans="1:3" x14ac:dyDescent="0.25">
      <c r="A234" t="s">
        <v>239</v>
      </c>
      <c r="B234" s="2">
        <v>4.7699999999999996</v>
      </c>
      <c r="C234" s="2">
        <v>5.28</v>
      </c>
    </row>
    <row r="235" spans="1:3" x14ac:dyDescent="0.25">
      <c r="A235" t="s">
        <v>240</v>
      </c>
      <c r="B235" s="2">
        <v>4.3499999999999996</v>
      </c>
      <c r="C235" s="2">
        <v>4.9400000000000004</v>
      </c>
    </row>
    <row r="236" spans="1:3" x14ac:dyDescent="0.25">
      <c r="A236" t="s">
        <v>241</v>
      </c>
      <c r="B236" s="2">
        <v>4.3499999999999996</v>
      </c>
      <c r="C236" s="2">
        <v>4.97</v>
      </c>
    </row>
    <row r="237" spans="1:3" x14ac:dyDescent="0.25">
      <c r="A237" t="s">
        <v>242</v>
      </c>
      <c r="B237" s="2">
        <v>3.98</v>
      </c>
      <c r="C237" s="2">
        <v>4.95</v>
      </c>
    </row>
    <row r="238" spans="1:3" x14ac:dyDescent="0.25">
      <c r="A238" t="s">
        <v>243</v>
      </c>
      <c r="B238" s="2">
        <v>4.0199999999999996</v>
      </c>
      <c r="C238" s="2">
        <v>4.88</v>
      </c>
    </row>
    <row r="239" spans="1:3" x14ac:dyDescent="0.25">
      <c r="A239" t="s">
        <v>244</v>
      </c>
      <c r="B239" s="2">
        <v>3.98</v>
      </c>
      <c r="C239" s="2">
        <v>4.93</v>
      </c>
    </row>
    <row r="240" spans="1:3" x14ac:dyDescent="0.25">
      <c r="A240" t="s">
        <v>245</v>
      </c>
      <c r="B240" s="2">
        <v>4.45</v>
      </c>
      <c r="C240" s="2">
        <v>5.54</v>
      </c>
    </row>
    <row r="241" spans="1:3" x14ac:dyDescent="0.25">
      <c r="A241" t="s">
        <v>246</v>
      </c>
      <c r="B241" s="2">
        <v>4.42</v>
      </c>
      <c r="C241" s="2">
        <v>5.68</v>
      </c>
    </row>
    <row r="242" spans="1:3" x14ac:dyDescent="0.25">
      <c r="A242" t="s">
        <v>247</v>
      </c>
      <c r="B242" s="2">
        <v>4.43</v>
      </c>
      <c r="C242" s="2">
        <v>5.72</v>
      </c>
    </row>
    <row r="243" spans="1:3" x14ac:dyDescent="0.25">
      <c r="A243" t="s">
        <v>248</v>
      </c>
      <c r="B243" s="2">
        <v>4.47</v>
      </c>
      <c r="C243" s="2">
        <v>5.69</v>
      </c>
    </row>
    <row r="244" spans="1:3" x14ac:dyDescent="0.25">
      <c r="A244" t="s">
        <v>249</v>
      </c>
      <c r="B244" s="2">
        <v>4.32</v>
      </c>
      <c r="C244" s="2">
        <v>5.67</v>
      </c>
    </row>
    <row r="245" spans="1:3" x14ac:dyDescent="0.25">
      <c r="A245" t="s">
        <v>250</v>
      </c>
      <c r="B245" s="2">
        <v>4.0999999999999996</v>
      </c>
      <c r="C245" s="2">
        <v>5.71</v>
      </c>
    </row>
    <row r="246" spans="1:3" x14ac:dyDescent="0.25">
      <c r="A246" t="s">
        <v>251</v>
      </c>
      <c r="B246" s="2">
        <v>4.05</v>
      </c>
      <c r="C246" s="2">
        <v>5.67</v>
      </c>
    </row>
    <row r="247" spans="1:3" x14ac:dyDescent="0.25">
      <c r="A247" t="s">
        <v>252</v>
      </c>
      <c r="B247" s="2">
        <v>3.97</v>
      </c>
      <c r="C247" s="2">
        <v>5.56</v>
      </c>
    </row>
    <row r="248" spans="1:3" x14ac:dyDescent="0.25">
      <c r="A248" t="s">
        <v>253</v>
      </c>
      <c r="B248" s="2">
        <v>3.88</v>
      </c>
      <c r="C248" s="2">
        <v>5.5</v>
      </c>
    </row>
    <row r="249" spans="1:3" x14ac:dyDescent="0.25">
      <c r="A249" t="s">
        <v>254</v>
      </c>
      <c r="B249" s="2">
        <v>3.92</v>
      </c>
      <c r="C249" s="2">
        <v>5.5</v>
      </c>
    </row>
    <row r="250" spans="1:3" x14ac:dyDescent="0.25">
      <c r="A250" t="s">
        <v>255</v>
      </c>
      <c r="B250" s="2">
        <v>3.82</v>
      </c>
      <c r="C250" s="2">
        <v>5.5</v>
      </c>
    </row>
    <row r="251" spans="1:3" x14ac:dyDescent="0.25">
      <c r="A251" t="s">
        <v>256</v>
      </c>
      <c r="B251" s="2">
        <v>3.78</v>
      </c>
      <c r="C251" s="2">
        <v>5.38</v>
      </c>
    </row>
    <row r="252" spans="1:3" x14ac:dyDescent="0.25">
      <c r="A252" t="s">
        <v>257</v>
      </c>
      <c r="B252" s="2">
        <v>3.67</v>
      </c>
      <c r="C252" s="2">
        <v>5.35</v>
      </c>
    </row>
    <row r="253" spans="1:3" x14ac:dyDescent="0.25">
      <c r="A253" t="s">
        <v>258</v>
      </c>
      <c r="B253" s="2">
        <v>3.77</v>
      </c>
      <c r="C253" s="2">
        <v>5.24</v>
      </c>
    </row>
    <row r="254" spans="1:3" x14ac:dyDescent="0.25">
      <c r="A254" t="s">
        <v>259</v>
      </c>
      <c r="B254" s="2">
        <v>3.74</v>
      </c>
      <c r="C254" s="2">
        <v>5.07</v>
      </c>
    </row>
    <row r="255" spans="1:3" x14ac:dyDescent="0.25">
      <c r="A255" t="s">
        <v>260</v>
      </c>
      <c r="B255" s="2">
        <v>3.8</v>
      </c>
      <c r="C255" s="2">
        <v>5.04</v>
      </c>
    </row>
    <row r="256" spans="1:3" x14ac:dyDescent="0.25">
      <c r="A256" t="s">
        <v>261</v>
      </c>
      <c r="B256" s="2">
        <v>3.68</v>
      </c>
      <c r="C256" s="2">
        <v>4.8600000000000003</v>
      </c>
    </row>
    <row r="257" spans="1:3" x14ac:dyDescent="0.25">
      <c r="A257" t="s">
        <v>262</v>
      </c>
      <c r="B257" s="2">
        <v>3.53</v>
      </c>
      <c r="C257" s="2">
        <v>4.7300000000000004</v>
      </c>
    </row>
    <row r="258" spans="1:3" x14ac:dyDescent="0.25">
      <c r="A258" t="s">
        <v>263</v>
      </c>
      <c r="B258" s="2">
        <v>3.5</v>
      </c>
      <c r="C258" s="2">
        <v>4.76</v>
      </c>
    </row>
    <row r="259" spans="1:3" x14ac:dyDescent="0.25">
      <c r="A259" t="s">
        <v>264</v>
      </c>
      <c r="B259" s="2">
        <v>3.7</v>
      </c>
      <c r="C259" s="2">
        <v>5.03</v>
      </c>
    </row>
    <row r="260" spans="1:3" x14ac:dyDescent="0.25">
      <c r="A260" t="s">
        <v>265</v>
      </c>
      <c r="B260" s="2">
        <v>3.7</v>
      </c>
      <c r="C260" s="2">
        <v>5.15</v>
      </c>
    </row>
    <row r="261" spans="1:3" x14ac:dyDescent="0.25">
      <c r="A261" t="s">
        <v>266</v>
      </c>
      <c r="B261" s="2">
        <v>3.68</v>
      </c>
      <c r="C261" s="2">
        <v>5.0999999999999996</v>
      </c>
    </row>
    <row r="262" spans="1:3" x14ac:dyDescent="0.25">
      <c r="A262" t="s">
        <v>267</v>
      </c>
      <c r="B262" s="2">
        <v>3.66</v>
      </c>
      <c r="C262" s="2">
        <v>5.0999999999999996</v>
      </c>
    </row>
    <row r="263" spans="1:3" x14ac:dyDescent="0.25">
      <c r="A263" t="s">
        <v>268</v>
      </c>
      <c r="B263" s="2">
        <v>3.51</v>
      </c>
      <c r="C263" s="2">
        <v>5.0199999999999996</v>
      </c>
    </row>
    <row r="264" spans="1:3" x14ac:dyDescent="0.25">
      <c r="A264" t="s">
        <v>269</v>
      </c>
      <c r="B264" s="2">
        <v>3.36</v>
      </c>
      <c r="C264" s="2">
        <v>4.9000000000000004</v>
      </c>
    </row>
    <row r="265" spans="1:3" x14ac:dyDescent="0.25">
      <c r="A265" t="s">
        <v>270</v>
      </c>
      <c r="B265" s="2">
        <v>3.14</v>
      </c>
      <c r="C265" s="2">
        <v>4.6900000000000004</v>
      </c>
    </row>
    <row r="266" spans="1:3" x14ac:dyDescent="0.25">
      <c r="A266" t="s">
        <v>271</v>
      </c>
      <c r="B266" s="2">
        <v>3</v>
      </c>
      <c r="C266" s="2">
        <v>4.51</v>
      </c>
    </row>
    <row r="267" spans="1:3" x14ac:dyDescent="0.25">
      <c r="A267" t="s">
        <v>272</v>
      </c>
      <c r="B267" s="2">
        <v>2.92</v>
      </c>
      <c r="C267" s="2">
        <v>3.98</v>
      </c>
    </row>
    <row r="268" spans="1:3" x14ac:dyDescent="0.25">
      <c r="A268" t="s">
        <v>273</v>
      </c>
      <c r="B268" s="2">
        <v>3.04</v>
      </c>
      <c r="C268" s="2">
        <v>4</v>
      </c>
    </row>
    <row r="269" spans="1:3" x14ac:dyDescent="0.25">
      <c r="A269" t="s">
        <v>274</v>
      </c>
      <c r="B269" s="2">
        <v>3.14</v>
      </c>
      <c r="C269" s="2">
        <v>4.08</v>
      </c>
    </row>
    <row r="270" spans="1:3" x14ac:dyDescent="0.25">
      <c r="A270" t="s">
        <v>275</v>
      </c>
      <c r="B270" s="2">
        <v>3.22</v>
      </c>
      <c r="C270" s="2">
        <v>4.0599999999999996</v>
      </c>
    </row>
    <row r="271" spans="1:3" x14ac:dyDescent="0.25">
      <c r="A271" t="s">
        <v>276</v>
      </c>
      <c r="B271" s="2">
        <v>3.27</v>
      </c>
      <c r="C271" s="2">
        <v>4.18</v>
      </c>
    </row>
    <row r="272" spans="1:3" x14ac:dyDescent="0.25">
      <c r="A272" t="s">
        <v>277</v>
      </c>
      <c r="B272" s="2">
        <v>3.37</v>
      </c>
      <c r="C272" s="2">
        <v>4.17</v>
      </c>
    </row>
    <row r="273" spans="1:3" x14ac:dyDescent="0.25">
      <c r="A273" t="s">
        <v>278</v>
      </c>
      <c r="B273" s="2">
        <v>3.44</v>
      </c>
      <c r="C273" s="2">
        <v>4.1900000000000004</v>
      </c>
    </row>
    <row r="274" spans="1:3" x14ac:dyDescent="0.25">
      <c r="A274" t="s">
        <v>279</v>
      </c>
      <c r="B274" s="2">
        <v>3.66</v>
      </c>
      <c r="C274" s="2">
        <v>4.29</v>
      </c>
    </row>
    <row r="275" spans="1:3" x14ac:dyDescent="0.25">
      <c r="A275" t="s">
        <v>280</v>
      </c>
      <c r="B275" s="2">
        <v>3.68</v>
      </c>
      <c r="C275" s="2">
        <v>4.28</v>
      </c>
    </row>
    <row r="276" spans="1:3" x14ac:dyDescent="0.25">
      <c r="A276" t="s">
        <v>281</v>
      </c>
      <c r="B276" s="2">
        <v>3.74</v>
      </c>
      <c r="C276" s="2">
        <v>4.3</v>
      </c>
    </row>
    <row r="277" spans="1:3" x14ac:dyDescent="0.25">
      <c r="A277" t="s">
        <v>282</v>
      </c>
      <c r="B277" s="2">
        <v>3.67</v>
      </c>
      <c r="C277" s="2">
        <v>4.18</v>
      </c>
    </row>
    <row r="278" spans="1:3" x14ac:dyDescent="0.25">
      <c r="A278" t="s">
        <v>283</v>
      </c>
      <c r="B278" s="2">
        <v>3.69</v>
      </c>
      <c r="C278" s="2">
        <v>4.1100000000000003</v>
      </c>
    </row>
    <row r="279" spans="1:3" x14ac:dyDescent="0.25">
      <c r="A279" t="s">
        <v>284</v>
      </c>
      <c r="B279" s="2">
        <v>3.67</v>
      </c>
      <c r="C279" s="2">
        <v>4.07</v>
      </c>
    </row>
    <row r="280" spans="1:3" x14ac:dyDescent="0.25">
      <c r="A280" t="s">
        <v>285</v>
      </c>
      <c r="B280" s="2">
        <v>3.49</v>
      </c>
      <c r="C280" s="2">
        <v>3.96</v>
      </c>
    </row>
    <row r="281" spans="1:3" x14ac:dyDescent="0.25">
      <c r="A281" t="s">
        <v>286</v>
      </c>
      <c r="B281" s="2">
        <v>3.43</v>
      </c>
      <c r="C281" s="2">
        <v>3.92</v>
      </c>
    </row>
    <row r="282" spans="1:3" x14ac:dyDescent="0.25">
      <c r="A282" t="s">
        <v>287</v>
      </c>
      <c r="B282" s="2">
        <v>3.35</v>
      </c>
      <c r="C282" s="2">
        <v>3.91</v>
      </c>
    </row>
    <row r="283" spans="1:3" x14ac:dyDescent="0.25">
      <c r="A283" t="s">
        <v>288</v>
      </c>
      <c r="B283" s="2">
        <v>3.11</v>
      </c>
      <c r="C283" s="2">
        <v>3.71</v>
      </c>
    </row>
    <row r="284" spans="1:3" x14ac:dyDescent="0.25">
      <c r="A284" t="s">
        <v>289</v>
      </c>
      <c r="B284" s="2">
        <v>2.92</v>
      </c>
      <c r="C284" s="2">
        <v>3.62</v>
      </c>
    </row>
    <row r="285" spans="1:3" x14ac:dyDescent="0.25">
      <c r="A285" t="s">
        <v>290</v>
      </c>
      <c r="B285" s="2">
        <v>2.9</v>
      </c>
      <c r="C285" s="2">
        <v>3.63</v>
      </c>
    </row>
    <row r="286" spans="1:3" x14ac:dyDescent="0.25">
      <c r="A286" t="s">
        <v>291</v>
      </c>
      <c r="B286" s="2">
        <v>2.87</v>
      </c>
      <c r="C286" s="2">
        <v>3.61</v>
      </c>
    </row>
    <row r="287" spans="1:3" x14ac:dyDescent="0.25">
      <c r="A287" t="s">
        <v>292</v>
      </c>
      <c r="B287" s="2">
        <v>2.69</v>
      </c>
      <c r="C287" s="2">
        <v>3.44</v>
      </c>
    </row>
    <row r="288" spans="1:3" x14ac:dyDescent="0.25">
      <c r="A288" t="s">
        <v>293</v>
      </c>
      <c r="B288" s="2">
        <v>2.63</v>
      </c>
      <c r="C288" s="2">
        <v>3.41</v>
      </c>
    </row>
    <row r="289" spans="1:3" x14ac:dyDescent="0.25">
      <c r="A289" t="s">
        <v>294</v>
      </c>
      <c r="B289" s="2">
        <v>2.62</v>
      </c>
      <c r="C289" s="2">
        <v>3.39</v>
      </c>
    </row>
    <row r="290" spans="1:3" x14ac:dyDescent="0.25">
      <c r="A290" t="s">
        <v>295</v>
      </c>
      <c r="B290" s="2">
        <v>2.58</v>
      </c>
      <c r="C290" s="2">
        <v>3.35</v>
      </c>
    </row>
    <row r="291" spans="1:3" x14ac:dyDescent="0.25">
      <c r="A291" t="s">
        <v>296</v>
      </c>
      <c r="B291" s="2">
        <v>2.54</v>
      </c>
      <c r="C291" s="2">
        <v>3.4</v>
      </c>
    </row>
    <row r="292" spans="1:3" x14ac:dyDescent="0.25">
      <c r="A292" t="s">
        <v>297</v>
      </c>
      <c r="B292" s="2">
        <v>2.48</v>
      </c>
      <c r="C292" s="2">
        <v>3.37</v>
      </c>
    </row>
    <row r="293" spans="1:3" x14ac:dyDescent="0.25">
      <c r="A293" t="s">
        <v>298</v>
      </c>
      <c r="B293" s="2">
        <v>2.44</v>
      </c>
      <c r="C293" s="2">
        <v>3.36</v>
      </c>
    </row>
    <row r="294" spans="1:3" x14ac:dyDescent="0.25">
      <c r="A294" t="s">
        <v>299</v>
      </c>
      <c r="B294" s="2">
        <v>2.4</v>
      </c>
      <c r="C294" s="2">
        <v>3.34</v>
      </c>
    </row>
    <row r="295" spans="1:3" x14ac:dyDescent="0.25">
      <c r="A295" t="s">
        <v>300</v>
      </c>
      <c r="B295" s="2">
        <v>2.37</v>
      </c>
      <c r="C295" s="2">
        <v>3.34</v>
      </c>
    </row>
    <row r="296" spans="1:3" x14ac:dyDescent="0.25">
      <c r="A296" t="s">
        <v>301</v>
      </c>
      <c r="B296" s="2">
        <v>2.38</v>
      </c>
      <c r="C296" s="2">
        <v>3.45</v>
      </c>
    </row>
    <row r="297" spans="1:3" x14ac:dyDescent="0.25">
      <c r="A297" t="s">
        <v>302</v>
      </c>
      <c r="B297" s="2">
        <v>2.37</v>
      </c>
      <c r="C297" s="2">
        <v>3.48</v>
      </c>
    </row>
    <row r="298" spans="1:3" x14ac:dyDescent="0.25">
      <c r="A298" t="s">
        <v>303</v>
      </c>
      <c r="B298" s="2">
        <v>2.54</v>
      </c>
      <c r="C298" s="2">
        <v>3.69</v>
      </c>
    </row>
    <row r="299" spans="1:3" x14ac:dyDescent="0.25">
      <c r="A299" t="s">
        <v>304</v>
      </c>
      <c r="B299" s="2">
        <v>2.56</v>
      </c>
      <c r="C299" s="2">
        <v>3.72</v>
      </c>
    </row>
    <row r="300" spans="1:3" x14ac:dyDescent="0.25">
      <c r="A300" t="s">
        <v>305</v>
      </c>
      <c r="B300" s="2">
        <v>2.6</v>
      </c>
      <c r="C300" s="2">
        <v>3.69</v>
      </c>
    </row>
    <row r="301" spans="1:3" x14ac:dyDescent="0.25">
      <c r="A301" t="s">
        <v>306</v>
      </c>
      <c r="B301" s="2">
        <v>2.54</v>
      </c>
      <c r="C301" s="2">
        <v>3.78</v>
      </c>
    </row>
    <row r="302" spans="1:3" x14ac:dyDescent="0.25">
      <c r="A302" t="s">
        <v>307</v>
      </c>
      <c r="B302" s="2">
        <v>2.54</v>
      </c>
      <c r="C302" s="2">
        <v>3.76</v>
      </c>
    </row>
    <row r="303" spans="1:3" x14ac:dyDescent="0.25">
      <c r="A303" t="s">
        <v>308</v>
      </c>
      <c r="B303" s="2">
        <v>2.46</v>
      </c>
      <c r="C303" s="2">
        <v>3.61</v>
      </c>
    </row>
    <row r="304" spans="1:3" x14ac:dyDescent="0.25">
      <c r="A304" t="s">
        <v>309</v>
      </c>
      <c r="B304" s="2">
        <v>2.21</v>
      </c>
      <c r="C304" s="2">
        <v>3.27</v>
      </c>
    </row>
    <row r="305" spans="1:3" x14ac:dyDescent="0.25">
      <c r="A305" t="s">
        <v>310</v>
      </c>
      <c r="B305" s="2">
        <v>2.17</v>
      </c>
      <c r="C305" s="2">
        <v>3.21</v>
      </c>
    </row>
    <row r="306" spans="1:3" x14ac:dyDescent="0.25">
      <c r="A306" t="s">
        <v>311</v>
      </c>
      <c r="B306" s="2">
        <v>2.08</v>
      </c>
      <c r="C306" s="2">
        <v>3.21</v>
      </c>
    </row>
    <row r="307" spans="1:3" x14ac:dyDescent="0.25">
      <c r="A307" t="s">
        <v>312</v>
      </c>
      <c r="B307" s="2">
        <v>2.0099999999999998</v>
      </c>
      <c r="C307" s="2">
        <v>3.09</v>
      </c>
    </row>
    <row r="308" spans="1:3" x14ac:dyDescent="0.25">
      <c r="A308" t="s">
        <v>313</v>
      </c>
      <c r="B308" s="2">
        <v>1.96</v>
      </c>
      <c r="C308" s="2">
        <v>3.05</v>
      </c>
    </row>
    <row r="309" spans="1:3" x14ac:dyDescent="0.25">
      <c r="A309" t="s">
        <v>314</v>
      </c>
      <c r="B309" s="2">
        <v>1.99</v>
      </c>
      <c r="C309" s="2">
        <v>2.98</v>
      </c>
    </row>
    <row r="310" spans="1:3" x14ac:dyDescent="0.25">
      <c r="A310" t="s">
        <v>315</v>
      </c>
      <c r="B310" s="2">
        <v>1.95</v>
      </c>
      <c r="C310" s="2">
        <v>2.92</v>
      </c>
    </row>
    <row r="311" spans="1:3" x14ac:dyDescent="0.25">
      <c r="A311" t="s">
        <v>316</v>
      </c>
      <c r="B311" s="2">
        <v>1.9</v>
      </c>
      <c r="C311" s="2">
        <v>2.86</v>
      </c>
    </row>
    <row r="312" spans="1:3" x14ac:dyDescent="0.25">
      <c r="A312" t="s">
        <v>317</v>
      </c>
      <c r="B312" s="2">
        <v>1.83</v>
      </c>
      <c r="C312" s="2">
        <v>2.82</v>
      </c>
    </row>
    <row r="313" spans="1:3" x14ac:dyDescent="0.25">
      <c r="A313" t="s">
        <v>318</v>
      </c>
      <c r="B313" s="2">
        <v>1.87</v>
      </c>
      <c r="C313" s="2">
        <v>2.83</v>
      </c>
    </row>
    <row r="314" spans="1:3" x14ac:dyDescent="0.25">
      <c r="A314" t="s">
        <v>319</v>
      </c>
      <c r="B314" s="2">
        <v>1.95</v>
      </c>
      <c r="C314" s="2">
        <v>2.92</v>
      </c>
    </row>
    <row r="315" spans="1:3" x14ac:dyDescent="0.25">
      <c r="A315" t="s">
        <v>320</v>
      </c>
      <c r="B315" s="2">
        <v>1.91</v>
      </c>
      <c r="C315" s="2">
        <v>2.84</v>
      </c>
    </row>
    <row r="316" spans="1:3" x14ac:dyDescent="0.25">
      <c r="A316" t="s">
        <v>321</v>
      </c>
      <c r="B316" s="2">
        <v>1.87</v>
      </c>
      <c r="C316" s="2">
        <v>2.78</v>
      </c>
    </row>
    <row r="317" spans="1:3" x14ac:dyDescent="0.25">
      <c r="A317" t="s">
        <v>322</v>
      </c>
      <c r="B317" s="2">
        <v>1.92</v>
      </c>
      <c r="C317" s="2">
        <v>2.77</v>
      </c>
    </row>
    <row r="318" spans="1:3" x14ac:dyDescent="0.25">
      <c r="A318" t="s">
        <v>323</v>
      </c>
      <c r="B318" s="2">
        <v>1.9</v>
      </c>
      <c r="C318" s="2">
        <v>2.75</v>
      </c>
    </row>
    <row r="319" spans="1:3" x14ac:dyDescent="0.25">
      <c r="A319" t="s">
        <v>324</v>
      </c>
      <c r="B319" s="2">
        <v>1.93</v>
      </c>
      <c r="C319" s="2">
        <v>2.68</v>
      </c>
    </row>
    <row r="320" spans="1:3" x14ac:dyDescent="0.25">
      <c r="A320" t="s">
        <v>325</v>
      </c>
      <c r="B320" s="2">
        <v>1.95</v>
      </c>
      <c r="C320" s="2">
        <v>2.73</v>
      </c>
    </row>
    <row r="321" spans="1:3" x14ac:dyDescent="0.25">
      <c r="A321" t="s">
        <v>326</v>
      </c>
      <c r="B321" s="2">
        <v>1.9</v>
      </c>
      <c r="C321" s="2">
        <v>2.7</v>
      </c>
    </row>
    <row r="322" spans="1:3" x14ac:dyDescent="0.25">
      <c r="A322" t="s">
        <v>327</v>
      </c>
      <c r="B322" s="2">
        <v>1.84</v>
      </c>
      <c r="C322" s="2">
        <v>2.71</v>
      </c>
    </row>
    <row r="323" spans="1:3" x14ac:dyDescent="0.25">
      <c r="A323" t="s">
        <v>328</v>
      </c>
      <c r="B323" s="2">
        <v>1.91</v>
      </c>
      <c r="C323" s="2">
        <v>2.64</v>
      </c>
    </row>
    <row r="324" spans="1:3" x14ac:dyDescent="0.25">
      <c r="A324" t="s">
        <v>329</v>
      </c>
      <c r="B324" s="2">
        <v>1.75</v>
      </c>
      <c r="C324" s="2">
        <v>2.54</v>
      </c>
    </row>
    <row r="325" spans="1:3" x14ac:dyDescent="0.25">
      <c r="A325" t="s">
        <v>330</v>
      </c>
      <c r="B325" s="2">
        <v>1.72</v>
      </c>
      <c r="C325" s="2">
        <v>2.5099999999999998</v>
      </c>
    </row>
    <row r="326" spans="1:3" x14ac:dyDescent="0.25">
      <c r="A326" t="s">
        <v>331</v>
      </c>
      <c r="B326" s="2">
        <v>1.69</v>
      </c>
      <c r="C326" s="2">
        <v>2.39</v>
      </c>
    </row>
    <row r="327" spans="1:3" x14ac:dyDescent="0.25">
      <c r="A327" t="s">
        <v>332</v>
      </c>
      <c r="B327" s="2">
        <v>1.59</v>
      </c>
      <c r="C327" s="2">
        <v>2.34</v>
      </c>
    </row>
    <row r="328" spans="1:3" x14ac:dyDescent="0.25">
      <c r="A328" t="s">
        <v>333</v>
      </c>
      <c r="B328" s="2">
        <v>1.52</v>
      </c>
      <c r="C328" s="2">
        <v>2.27</v>
      </c>
    </row>
    <row r="329" spans="1:3" x14ac:dyDescent="0.25">
      <c r="A329" t="s">
        <v>334</v>
      </c>
      <c r="B329" s="2">
        <v>1.43</v>
      </c>
      <c r="C329" s="2">
        <v>2.25</v>
      </c>
    </row>
    <row r="330" spans="1:3" x14ac:dyDescent="0.25">
      <c r="A330" t="s">
        <v>335</v>
      </c>
      <c r="B330" s="2">
        <v>1.45</v>
      </c>
      <c r="C330" s="2">
        <v>2.2599999999999998</v>
      </c>
    </row>
    <row r="331" spans="1:3" x14ac:dyDescent="0.25">
      <c r="A331" t="s">
        <v>336</v>
      </c>
      <c r="B331" s="2">
        <v>1.45</v>
      </c>
      <c r="C331" s="2">
        <v>2.2200000000000002</v>
      </c>
    </row>
    <row r="332" spans="1:3" x14ac:dyDescent="0.25">
      <c r="A332" t="s">
        <v>337</v>
      </c>
      <c r="B332" s="2">
        <v>1.42</v>
      </c>
      <c r="C332" s="2">
        <v>2.2000000000000002</v>
      </c>
    </row>
    <row r="333" spans="1:3" x14ac:dyDescent="0.25">
      <c r="A333" t="s">
        <v>338</v>
      </c>
      <c r="B333" s="2">
        <v>1.37</v>
      </c>
      <c r="C333" s="2">
        <v>2.15</v>
      </c>
    </row>
    <row r="334" spans="1:3" x14ac:dyDescent="0.25">
      <c r="A334" t="s">
        <v>339</v>
      </c>
      <c r="B334" s="2">
        <v>1.35</v>
      </c>
      <c r="C334" s="2">
        <v>2.09</v>
      </c>
    </row>
    <row r="335" spans="1:3" x14ac:dyDescent="0.25">
      <c r="A335" t="s">
        <v>340</v>
      </c>
      <c r="B335" s="2">
        <v>1.49</v>
      </c>
      <c r="C335" s="2">
        <v>2.0299999999999998</v>
      </c>
    </row>
    <row r="336" spans="1:3" x14ac:dyDescent="0.25">
      <c r="A336" t="s">
        <v>341</v>
      </c>
      <c r="B336" s="2">
        <v>1.48</v>
      </c>
      <c r="C336" s="2">
        <v>1.99</v>
      </c>
    </row>
    <row r="337" spans="1:3" x14ac:dyDescent="0.25">
      <c r="A337" t="s">
        <v>342</v>
      </c>
      <c r="B337" s="2">
        <v>1.41</v>
      </c>
      <c r="C337" s="2">
        <v>1.97</v>
      </c>
    </row>
    <row r="338" spans="1:3" x14ac:dyDescent="0.25">
      <c r="A338" t="s">
        <v>343</v>
      </c>
      <c r="B338" s="2">
        <v>1.43</v>
      </c>
      <c r="C338" s="2">
        <v>1.96</v>
      </c>
    </row>
    <row r="339" spans="1:3" x14ac:dyDescent="0.25">
      <c r="A339" t="s">
        <v>344</v>
      </c>
      <c r="B339" s="2">
        <v>1.4</v>
      </c>
      <c r="C339" s="2">
        <v>1.9</v>
      </c>
    </row>
    <row r="340" spans="1:3" x14ac:dyDescent="0.25">
      <c r="A340" t="s">
        <v>345</v>
      </c>
      <c r="B340" s="2">
        <v>1.55</v>
      </c>
      <c r="C340" s="2">
        <v>2.04</v>
      </c>
    </row>
    <row r="341" spans="1:3" x14ac:dyDescent="0.25">
      <c r="A341" t="s">
        <v>346</v>
      </c>
      <c r="B341" s="2">
        <v>1.61</v>
      </c>
      <c r="C341" s="2">
        <v>2.04</v>
      </c>
    </row>
    <row r="342" spans="1:3" x14ac:dyDescent="0.25">
      <c r="A342" t="s">
        <v>347</v>
      </c>
      <c r="B342" s="2">
        <v>1.57</v>
      </c>
      <c r="C342" s="2">
        <v>2.0699999999999998</v>
      </c>
    </row>
    <row r="343" spans="1:3" x14ac:dyDescent="0.25">
      <c r="A343" t="s">
        <v>348</v>
      </c>
      <c r="B343" s="2">
        <v>1.54</v>
      </c>
      <c r="C343" s="2">
        <v>1.98</v>
      </c>
    </row>
    <row r="344" spans="1:3" x14ac:dyDescent="0.25">
      <c r="A344" t="s">
        <v>349</v>
      </c>
      <c r="B344" s="2">
        <v>1.49</v>
      </c>
      <c r="C344" s="2">
        <v>1.99</v>
      </c>
    </row>
    <row r="345" spans="1:3" x14ac:dyDescent="0.25">
      <c r="A345" t="s">
        <v>350</v>
      </c>
      <c r="B345" s="2">
        <v>1.53</v>
      </c>
      <c r="C345" s="2">
        <v>2.02</v>
      </c>
    </row>
    <row r="346" spans="1:3" x14ac:dyDescent="0.25">
      <c r="A346" t="s">
        <v>351</v>
      </c>
      <c r="B346" s="2">
        <v>1.72</v>
      </c>
      <c r="C346" s="2">
        <v>2.0099999999999998</v>
      </c>
    </row>
    <row r="347" spans="1:3" x14ac:dyDescent="0.25">
      <c r="A347" t="s">
        <v>352</v>
      </c>
      <c r="B347" s="2">
        <v>1.74</v>
      </c>
      <c r="C347" s="2">
        <v>2.06</v>
      </c>
    </row>
    <row r="348" spans="1:3" x14ac:dyDescent="0.25">
      <c r="A348" t="s">
        <v>353</v>
      </c>
      <c r="B348" s="2">
        <v>1.74</v>
      </c>
      <c r="C348" s="2">
        <v>2.0299999999999998</v>
      </c>
    </row>
    <row r="349" spans="1:3" x14ac:dyDescent="0.25">
      <c r="A349" t="s">
        <v>354</v>
      </c>
      <c r="B349" s="2">
        <v>1.75</v>
      </c>
      <c r="C349" s="2">
        <v>2.04</v>
      </c>
    </row>
    <row r="350" spans="1:3" x14ac:dyDescent="0.25">
      <c r="A350" t="s">
        <v>355</v>
      </c>
      <c r="B350" s="2">
        <v>1.75</v>
      </c>
      <c r="C350" s="2">
        <v>2.0299999999999998</v>
      </c>
    </row>
    <row r="351" spans="1:3" x14ac:dyDescent="0.25">
      <c r="A351" t="s">
        <v>356</v>
      </c>
      <c r="B351" s="2">
        <v>1.71</v>
      </c>
      <c r="C351" s="2">
        <v>2.0099999999999998</v>
      </c>
    </row>
    <row r="352" spans="1:3" x14ac:dyDescent="0.25">
      <c r="A352" t="s">
        <v>357</v>
      </c>
      <c r="B352" s="2">
        <v>1.8</v>
      </c>
      <c r="C352" s="2">
        <v>2.06</v>
      </c>
    </row>
    <row r="353" spans="1:3" x14ac:dyDescent="0.25">
      <c r="A353" t="s">
        <v>358</v>
      </c>
      <c r="B353" s="2">
        <v>1.75</v>
      </c>
      <c r="C353" s="2">
        <v>2.02</v>
      </c>
    </row>
    <row r="354" spans="1:3" x14ac:dyDescent="0.25">
      <c r="A354" t="s">
        <v>359</v>
      </c>
      <c r="B354" s="2">
        <v>1.73</v>
      </c>
      <c r="C354" s="2">
        <v>2.0099999999999998</v>
      </c>
    </row>
    <row r="355" spans="1:3" x14ac:dyDescent="0.25">
      <c r="A355" t="s">
        <v>360</v>
      </c>
      <c r="B355" s="2">
        <v>1.72</v>
      </c>
      <c r="C355" s="2">
        <v>2.0499999999999998</v>
      </c>
    </row>
    <row r="356" spans="1:3" x14ac:dyDescent="0.25">
      <c r="A356" t="s">
        <v>361</v>
      </c>
      <c r="B356" s="2">
        <v>1.7</v>
      </c>
      <c r="C356" s="2">
        <v>2.0499999999999998</v>
      </c>
    </row>
    <row r="357" spans="1:3" x14ac:dyDescent="0.25">
      <c r="A357" t="s">
        <v>362</v>
      </c>
      <c r="B357" s="2">
        <v>1.7</v>
      </c>
      <c r="C357" s="2">
        <v>2.0299999999999998</v>
      </c>
    </row>
    <row r="358" spans="1:3" x14ac:dyDescent="0.25">
      <c r="A358" t="s">
        <v>363</v>
      </c>
      <c r="B358" s="2">
        <v>1.66</v>
      </c>
      <c r="C358" s="2">
        <v>2</v>
      </c>
    </row>
    <row r="359" spans="1:3" x14ac:dyDescent="0.25">
      <c r="A359" t="s">
        <v>364</v>
      </c>
      <c r="B359" s="2">
        <v>1.65</v>
      </c>
      <c r="C359" s="2">
        <v>1.99</v>
      </c>
    </row>
    <row r="360" spans="1:3" x14ac:dyDescent="0.25">
      <c r="A360" t="s">
        <v>365</v>
      </c>
      <c r="B360" s="2">
        <v>1.64</v>
      </c>
      <c r="C360" s="2">
        <v>1.97</v>
      </c>
    </row>
    <row r="361" spans="1:3" x14ac:dyDescent="0.25">
      <c r="A361" t="s">
        <v>366</v>
      </c>
      <c r="B361" s="2">
        <v>1.61</v>
      </c>
      <c r="C361" s="2">
        <v>1.93</v>
      </c>
    </row>
    <row r="362" spans="1:3" x14ac:dyDescent="0.25">
      <c r="A362" t="s">
        <v>367</v>
      </c>
      <c r="B362" s="2">
        <v>1.59</v>
      </c>
      <c r="C362" s="2">
        <v>1.89</v>
      </c>
    </row>
    <row r="363" spans="1:3" x14ac:dyDescent="0.25">
      <c r="A363" t="s">
        <v>368</v>
      </c>
      <c r="B363" s="2">
        <v>1.55</v>
      </c>
      <c r="C363" s="2">
        <v>1.79</v>
      </c>
    </row>
    <row r="364" spans="1:3" x14ac:dyDescent="0.25">
      <c r="A364" t="s">
        <v>369</v>
      </c>
      <c r="B364" s="2">
        <v>1.47</v>
      </c>
      <c r="C364" s="2">
        <v>1.71</v>
      </c>
    </row>
    <row r="365" spans="1:3" x14ac:dyDescent="0.25">
      <c r="A365" t="s">
        <v>370</v>
      </c>
      <c r="B365" s="2">
        <v>1.41</v>
      </c>
      <c r="C365" s="2">
        <v>1.67</v>
      </c>
    </row>
    <row r="366" spans="1:3" x14ac:dyDescent="0.25">
      <c r="A366" t="s">
        <v>371</v>
      </c>
      <c r="B366" s="2">
        <v>1.42</v>
      </c>
      <c r="C366" s="2">
        <v>1.67</v>
      </c>
    </row>
    <row r="367" spans="1:3" x14ac:dyDescent="0.25">
      <c r="A367" t="s">
        <v>372</v>
      </c>
      <c r="B367" s="2">
        <v>1.41</v>
      </c>
      <c r="C367" s="2">
        <v>1.68</v>
      </c>
    </row>
    <row r="368" spans="1:3" x14ac:dyDescent="0.25">
      <c r="A368" t="s">
        <v>373</v>
      </c>
      <c r="B368" s="2">
        <v>1.4</v>
      </c>
      <c r="C368" s="2">
        <v>1.67</v>
      </c>
    </row>
    <row r="369" spans="1:3" x14ac:dyDescent="0.25">
      <c r="A369" t="s">
        <v>374</v>
      </c>
      <c r="B369" s="2">
        <v>1.4</v>
      </c>
      <c r="C369" s="2">
        <v>1.66</v>
      </c>
    </row>
    <row r="370" spans="1:3" x14ac:dyDescent="0.25">
      <c r="A370" t="s">
        <v>375</v>
      </c>
      <c r="B370" s="2">
        <v>1.38</v>
      </c>
      <c r="C370" s="2">
        <v>1.67</v>
      </c>
    </row>
    <row r="371" spans="1:3" x14ac:dyDescent="0.25">
      <c r="A371" t="s">
        <v>376</v>
      </c>
      <c r="B371" s="2">
        <v>1.42</v>
      </c>
      <c r="C371" s="2">
        <v>1.7</v>
      </c>
    </row>
    <row r="372" spans="1:3" x14ac:dyDescent="0.25">
      <c r="A372" t="s">
        <v>377</v>
      </c>
      <c r="B372" s="2">
        <v>1.41</v>
      </c>
      <c r="C372" s="2">
        <v>1.69</v>
      </c>
    </row>
    <row r="373" spans="1:3" x14ac:dyDescent="0.25">
      <c r="A373" t="s">
        <v>378</v>
      </c>
      <c r="B373" s="2">
        <v>1.45</v>
      </c>
      <c r="C373" s="2">
        <v>1.7</v>
      </c>
    </row>
    <row r="374" spans="1:3" x14ac:dyDescent="0.25">
      <c r="A374" t="s">
        <v>379</v>
      </c>
      <c r="B374" s="2">
        <v>1.6</v>
      </c>
      <c r="C374" s="2">
        <v>1.79</v>
      </c>
    </row>
    <row r="375" spans="1:3" x14ac:dyDescent="0.25">
      <c r="A375" t="s">
        <v>380</v>
      </c>
      <c r="B375" s="2">
        <v>1.75</v>
      </c>
      <c r="C375" s="2">
        <v>1.92</v>
      </c>
    </row>
    <row r="376" spans="1:3" x14ac:dyDescent="0.25">
      <c r="A376" t="s">
        <v>381</v>
      </c>
      <c r="B376" s="2">
        <v>1.94</v>
      </c>
      <c r="C376" s="2">
        <v>2.0499999999999998</v>
      </c>
    </row>
    <row r="377" spans="1:3" x14ac:dyDescent="0.25">
      <c r="A377" t="s">
        <v>382</v>
      </c>
      <c r="B377" s="2">
        <v>1.92</v>
      </c>
      <c r="C377" s="2">
        <v>2.0499999999999998</v>
      </c>
    </row>
    <row r="378" spans="1:3" x14ac:dyDescent="0.25">
      <c r="A378" t="s">
        <v>383</v>
      </c>
      <c r="B378" s="2">
        <v>1.86</v>
      </c>
      <c r="C378" s="2">
        <v>2</v>
      </c>
    </row>
    <row r="379" spans="1:3" x14ac:dyDescent="0.25">
      <c r="A379" t="s">
        <v>384</v>
      </c>
      <c r="B379" s="2">
        <v>1.75</v>
      </c>
      <c r="C379" s="2">
        <v>1.92</v>
      </c>
    </row>
    <row r="380" spans="1:3" x14ac:dyDescent="0.25">
      <c r="A380" t="s">
        <v>385</v>
      </c>
      <c r="B380" s="2">
        <v>1.61</v>
      </c>
      <c r="C380" s="2">
        <v>1.8</v>
      </c>
    </row>
    <row r="381" spans="1:3" x14ac:dyDescent="0.25">
      <c r="A381" t="s">
        <v>386</v>
      </c>
      <c r="B381" s="2">
        <v>1.56</v>
      </c>
      <c r="C381" s="2">
        <v>1.74</v>
      </c>
    </row>
    <row r="382" spans="1:3" x14ac:dyDescent="0.25">
      <c r="A382" t="s">
        <v>387</v>
      </c>
      <c r="B382" s="2">
        <v>1.49</v>
      </c>
      <c r="C382" s="2">
        <v>1.71</v>
      </c>
    </row>
    <row r="383" spans="1:3" x14ac:dyDescent="0.25">
      <c r="A383" t="s">
        <v>388</v>
      </c>
      <c r="B383" s="2">
        <v>1.47</v>
      </c>
      <c r="C383" s="2">
        <v>1.68</v>
      </c>
    </row>
    <row r="384" spans="1:3" x14ac:dyDescent="0.25">
      <c r="A384" t="s">
        <v>389</v>
      </c>
      <c r="B384" s="2">
        <v>1.39</v>
      </c>
      <c r="C384" s="2">
        <v>1.6</v>
      </c>
    </row>
    <row r="385" spans="1:3" x14ac:dyDescent="0.25">
      <c r="A385" t="s">
        <v>390</v>
      </c>
      <c r="B385" s="2">
        <v>1.29</v>
      </c>
      <c r="C385" s="2">
        <v>1.45</v>
      </c>
    </row>
    <row r="386" spans="1:3" x14ac:dyDescent="0.25">
      <c r="A386" t="s">
        <v>391</v>
      </c>
      <c r="B386" s="2">
        <v>1.23</v>
      </c>
      <c r="C386" s="2">
        <v>1.39</v>
      </c>
    </row>
    <row r="387" spans="1:3" x14ac:dyDescent="0.25">
      <c r="A387" t="s">
        <v>392</v>
      </c>
      <c r="B387" s="2">
        <v>1.2</v>
      </c>
      <c r="C387" s="2">
        <v>1.28</v>
      </c>
    </row>
    <row r="388" spans="1:3" x14ac:dyDescent="0.25">
      <c r="A388" t="s">
        <v>393</v>
      </c>
      <c r="B388" s="2">
        <v>1.29</v>
      </c>
      <c r="C388" s="2">
        <v>1.3</v>
      </c>
    </row>
    <row r="389" spans="1:3" x14ac:dyDescent="0.25">
      <c r="A389" t="s">
        <v>394</v>
      </c>
      <c r="B389" s="2">
        <v>1.53</v>
      </c>
      <c r="C389" s="2">
        <v>1.52</v>
      </c>
    </row>
    <row r="390" spans="1:3" x14ac:dyDescent="0.25">
      <c r="A390" t="s">
        <v>395</v>
      </c>
      <c r="B390" s="2">
        <v>1.57</v>
      </c>
      <c r="C390" s="2">
        <v>1.59</v>
      </c>
    </row>
    <row r="391" spans="1:3" x14ac:dyDescent="0.25">
      <c r="A391" t="s">
        <v>396</v>
      </c>
      <c r="B391" s="2">
        <v>1.64</v>
      </c>
      <c r="C391" s="2">
        <v>1.63</v>
      </c>
    </row>
    <row r="392" spans="1:3" x14ac:dyDescent="0.25">
      <c r="A392" t="s">
        <v>397</v>
      </c>
      <c r="B392" s="2">
        <v>1.78</v>
      </c>
      <c r="C392" s="2">
        <v>1.79</v>
      </c>
    </row>
    <row r="393" spans="1:3" x14ac:dyDescent="0.25">
      <c r="A393" t="s">
        <v>398</v>
      </c>
      <c r="B393" s="2">
        <v>2.14</v>
      </c>
      <c r="C393" s="2">
        <v>2.11</v>
      </c>
    </row>
    <row r="394" spans="1:3" x14ac:dyDescent="0.25">
      <c r="A394" t="s">
        <v>399</v>
      </c>
      <c r="B394" s="2">
        <v>2.35</v>
      </c>
      <c r="C394" s="2">
        <v>2.35</v>
      </c>
    </row>
    <row r="395" spans="1:3" x14ac:dyDescent="0.25">
      <c r="A395" t="s">
        <v>400</v>
      </c>
      <c r="B395" s="2">
        <v>2.63</v>
      </c>
      <c r="C395" s="2">
        <v>2.62</v>
      </c>
    </row>
    <row r="396" spans="1:3" x14ac:dyDescent="0.25">
      <c r="A396" t="s">
        <v>401</v>
      </c>
      <c r="B396" s="2">
        <v>2.87</v>
      </c>
      <c r="C396" s="2">
        <v>2.9</v>
      </c>
    </row>
    <row r="397" spans="1:3" x14ac:dyDescent="0.25">
      <c r="A397" t="s">
        <v>402</v>
      </c>
      <c r="B397" s="2">
        <v>3.48</v>
      </c>
      <c r="C397" s="2">
        <v>3.43</v>
      </c>
    </row>
    <row r="398" spans="1:3" x14ac:dyDescent="0.25">
      <c r="A398" t="s">
        <v>403</v>
      </c>
      <c r="B398" s="2">
        <v>3.6</v>
      </c>
      <c r="C398" s="2">
        <v>3.61</v>
      </c>
    </row>
    <row r="399" spans="1:3" x14ac:dyDescent="0.25">
      <c r="A399" t="s">
        <v>404</v>
      </c>
      <c r="B399" s="2">
        <v>4.17</v>
      </c>
      <c r="C399" s="2">
        <v>3.97</v>
      </c>
    </row>
    <row r="400" spans="1:3" x14ac:dyDescent="0.25">
      <c r="A400" t="s">
        <v>405</v>
      </c>
      <c r="B400" s="2">
        <v>5.99</v>
      </c>
      <c r="C400" s="2">
        <v>5.61</v>
      </c>
    </row>
    <row r="401" spans="1:3" x14ac:dyDescent="0.25">
      <c r="A401" t="s">
        <v>406</v>
      </c>
      <c r="B401" s="2">
        <v>5.98</v>
      </c>
      <c r="C401" s="2">
        <v>5.5</v>
      </c>
    </row>
    <row r="402" spans="1:3" x14ac:dyDescent="0.25">
      <c r="A402" t="s">
        <v>407</v>
      </c>
      <c r="B402" s="2">
        <v>5.43</v>
      </c>
      <c r="C402" s="2">
        <v>5.05</v>
      </c>
    </row>
    <row r="403" spans="1:3" x14ac:dyDescent="0.25">
      <c r="A403" t="s">
        <v>408</v>
      </c>
      <c r="B403" s="2">
        <v>5.14</v>
      </c>
      <c r="C403" s="2">
        <v>4.66</v>
      </c>
    </row>
    <row r="404" spans="1:3" x14ac:dyDescent="0.25">
      <c r="A404" t="s">
        <v>409</v>
      </c>
      <c r="B404" s="2">
        <v>4.79</v>
      </c>
      <c r="C404" s="2">
        <v>4.3600000000000003</v>
      </c>
    </row>
    <row r="405" spans="1:3" x14ac:dyDescent="0.25">
      <c r="A405" t="s">
        <v>410</v>
      </c>
      <c r="B405" s="2">
        <v>4.74</v>
      </c>
      <c r="C405" s="2">
        <v>4.26</v>
      </c>
    </row>
    <row r="406" spans="1:3" x14ac:dyDescent="0.25">
      <c r="A406" t="s">
        <v>411</v>
      </c>
      <c r="B406" s="2">
        <v>4.5999999999999996</v>
      </c>
      <c r="C406" s="2">
        <v>4.16</v>
      </c>
    </row>
    <row r="407" spans="1:3" x14ac:dyDescent="0.25">
      <c r="A407" t="s">
        <v>412</v>
      </c>
      <c r="B407" s="2">
        <v>4.72</v>
      </c>
      <c r="C407" s="2">
        <v>4.28</v>
      </c>
    </row>
    <row r="408" spans="1:3" x14ac:dyDescent="0.25">
      <c r="A408" t="s">
        <v>413</v>
      </c>
      <c r="B408" s="2">
        <v>5.49</v>
      </c>
      <c r="C408" s="2">
        <v>4.95</v>
      </c>
    </row>
    <row r="409" spans="1:3" x14ac:dyDescent="0.25">
      <c r="A409" t="s">
        <v>414</v>
      </c>
      <c r="B409" s="2">
        <v>6.22</v>
      </c>
      <c r="C409" s="2">
        <v>5.71</v>
      </c>
    </row>
    <row r="410" spans="1:3" x14ac:dyDescent="0.25">
      <c r="A410" t="s">
        <v>415</v>
      </c>
      <c r="B410" s="2">
        <v>6.18</v>
      </c>
      <c r="C410" s="2">
        <v>5.53</v>
      </c>
    </row>
    <row r="411" spans="1:3" x14ac:dyDescent="0.25">
      <c r="A411" t="s">
        <v>416</v>
      </c>
      <c r="B411" s="2">
        <v>5.91</v>
      </c>
      <c r="C411" s="2">
        <v>5.24</v>
      </c>
    </row>
    <row r="412" spans="1:3" x14ac:dyDescent="0.25">
      <c r="A412" t="s">
        <v>417</v>
      </c>
      <c r="B412" s="2">
        <v>5.61</v>
      </c>
      <c r="C412" s="2">
        <v>5.01</v>
      </c>
    </row>
    <row r="413" spans="1:3" x14ac:dyDescent="0.25">
      <c r="A413" t="s">
        <v>423</v>
      </c>
      <c r="B413" s="2">
        <v>5.28</v>
      </c>
      <c r="C413" s="2">
        <v>4.88</v>
      </c>
    </row>
    <row r="414" spans="1:3" x14ac:dyDescent="0.25">
      <c r="A414" t="s">
        <v>699</v>
      </c>
      <c r="B414" s="2">
        <v>5.03</v>
      </c>
      <c r="C414" s="2">
        <v>4.68</v>
      </c>
    </row>
    <row r="416" spans="1:3" x14ac:dyDescent="0.25">
      <c r="A416" t="s">
        <v>723</v>
      </c>
      <c r="B416" s="2">
        <f>+B414-B413</f>
        <v>-0.25</v>
      </c>
      <c r="C416" s="2">
        <f>+C414-C413</f>
        <v>-0.20000000000000018</v>
      </c>
    </row>
    <row r="417" spans="1:3" x14ac:dyDescent="0.25">
      <c r="A417" t="s">
        <v>724</v>
      </c>
      <c r="B417" s="2">
        <f>+B414-B409</f>
        <v>-1.1899999999999995</v>
      </c>
      <c r="C417" s="2">
        <f>+C414-C409</f>
        <v>-1.0300000000000002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6E4B-7D41-40BE-9A02-F563B1A7DCB6}">
  <dimension ref="A1:J287"/>
  <sheetViews>
    <sheetView workbookViewId="0">
      <pane xSplit="1" ySplit="6" topLeftCell="B274" activePane="bottomRight" state="frozen"/>
      <selection pane="topRight" activeCell="B1" sqref="B1"/>
      <selection pane="bottomLeft" activeCell="A7" sqref="A7"/>
      <selection pane="bottomRight" activeCell="D292" sqref="D292"/>
    </sheetView>
  </sheetViews>
  <sheetFormatPr defaultRowHeight="15" x14ac:dyDescent="0.25"/>
  <cols>
    <col min="1" max="1" width="12.85546875" customWidth="1"/>
    <col min="2" max="11" width="16.7109375" customWidth="1"/>
  </cols>
  <sheetData>
    <row r="1" spans="1:10" x14ac:dyDescent="0.25">
      <c r="A1" s="1" t="s">
        <v>430</v>
      </c>
      <c r="B1" t="s">
        <v>425</v>
      </c>
      <c r="C1" s="6" t="s">
        <v>426</v>
      </c>
      <c r="D1" t="s">
        <v>424</v>
      </c>
      <c r="E1" s="6" t="s">
        <v>688</v>
      </c>
      <c r="F1" s="6" t="s">
        <v>689</v>
      </c>
      <c r="G1" s="6" t="s">
        <v>690</v>
      </c>
      <c r="H1" t="s">
        <v>428</v>
      </c>
      <c r="I1" t="s">
        <v>429</v>
      </c>
      <c r="J1" t="s">
        <v>427</v>
      </c>
    </row>
    <row r="2" spans="1:10" s="8" customFormat="1" ht="90" x14ac:dyDescent="0.25">
      <c r="A2" s="8" t="s">
        <v>8</v>
      </c>
      <c r="B2" s="8" t="s">
        <v>434</v>
      </c>
      <c r="C2" s="8" t="s">
        <v>436</v>
      </c>
      <c r="D2" s="8" t="s">
        <v>437</v>
      </c>
      <c r="E2" s="8" t="s">
        <v>693</v>
      </c>
      <c r="F2" s="8" t="s">
        <v>695</v>
      </c>
      <c r="G2" s="8" t="s">
        <v>696</v>
      </c>
      <c r="H2" s="8" t="s">
        <v>440</v>
      </c>
      <c r="I2" s="8" t="s">
        <v>441</v>
      </c>
      <c r="J2" s="8" t="s">
        <v>442</v>
      </c>
    </row>
    <row r="3" spans="1:10" x14ac:dyDescent="0.25">
      <c r="A3" t="s">
        <v>7</v>
      </c>
      <c r="B3" t="s">
        <v>433</v>
      </c>
      <c r="C3" t="s">
        <v>435</v>
      </c>
      <c r="D3" t="s">
        <v>433</v>
      </c>
      <c r="E3" t="s">
        <v>692</v>
      </c>
      <c r="F3" t="s">
        <v>694</v>
      </c>
      <c r="G3" t="s">
        <v>694</v>
      </c>
      <c r="H3" t="s">
        <v>439</v>
      </c>
      <c r="I3" t="s">
        <v>439</v>
      </c>
      <c r="J3" t="s">
        <v>439</v>
      </c>
    </row>
    <row r="4" spans="1:10" x14ac:dyDescent="0.25">
      <c r="A4" t="s">
        <v>6</v>
      </c>
      <c r="B4" t="s">
        <v>727</v>
      </c>
      <c r="C4" t="s">
        <v>727</v>
      </c>
      <c r="D4" t="s">
        <v>727</v>
      </c>
      <c r="E4" t="s">
        <v>727</v>
      </c>
      <c r="F4" t="s">
        <v>727</v>
      </c>
      <c r="G4" t="s">
        <v>727</v>
      </c>
      <c r="H4" t="s">
        <v>727</v>
      </c>
      <c r="I4" t="s">
        <v>727</v>
      </c>
      <c r="J4" t="s">
        <v>727</v>
      </c>
    </row>
    <row r="5" spans="1:10" x14ac:dyDescent="0.25">
      <c r="A5" t="s">
        <v>5</v>
      </c>
      <c r="B5" t="s">
        <v>432</v>
      </c>
      <c r="C5" t="s">
        <v>432</v>
      </c>
      <c r="D5" t="s">
        <v>432</v>
      </c>
      <c r="E5" t="s">
        <v>691</v>
      </c>
      <c r="F5" t="s">
        <v>691</v>
      </c>
      <c r="G5" t="s">
        <v>691</v>
      </c>
      <c r="H5" t="s">
        <v>438</v>
      </c>
      <c r="I5" t="s">
        <v>438</v>
      </c>
      <c r="J5" t="s">
        <v>438</v>
      </c>
    </row>
    <row r="6" spans="1:10" x14ac:dyDescent="0.25">
      <c r="A6" t="s">
        <v>4</v>
      </c>
      <c r="B6" t="s">
        <v>726</v>
      </c>
      <c r="C6" t="s">
        <v>726</v>
      </c>
      <c r="D6" t="s">
        <v>726</v>
      </c>
      <c r="E6" t="s">
        <v>728</v>
      </c>
      <c r="F6" t="s">
        <v>728</v>
      </c>
      <c r="G6" t="s">
        <v>728</v>
      </c>
      <c r="H6" t="s">
        <v>729</v>
      </c>
      <c r="I6" t="s">
        <v>729</v>
      </c>
      <c r="J6" t="s">
        <v>729</v>
      </c>
    </row>
    <row r="7" spans="1:10" x14ac:dyDescent="0.25">
      <c r="A7" t="s">
        <v>431</v>
      </c>
      <c r="B7" s="2" t="e">
        <v>#N/A</v>
      </c>
      <c r="C7" s="2" t="e">
        <v>#N/A</v>
      </c>
      <c r="D7" s="2">
        <v>3.67</v>
      </c>
      <c r="E7" s="2" t="e">
        <v>#N/A</v>
      </c>
      <c r="F7" s="2" t="e">
        <v>#N/A</v>
      </c>
      <c r="G7" s="2" t="e">
        <v>#N/A</v>
      </c>
      <c r="H7" s="7">
        <v>4.4691999999999998</v>
      </c>
      <c r="I7" s="7">
        <v>4.0929000000000002</v>
      </c>
      <c r="J7" s="7">
        <v>3.7490999999999999</v>
      </c>
    </row>
    <row r="8" spans="1:10" x14ac:dyDescent="0.25">
      <c r="A8" t="s">
        <v>443</v>
      </c>
      <c r="B8" s="2">
        <v>3.57</v>
      </c>
      <c r="C8" s="2">
        <v>3.61</v>
      </c>
      <c r="D8" s="2">
        <v>3.65</v>
      </c>
      <c r="E8" s="2">
        <v>4.4000000000000004</v>
      </c>
      <c r="F8" s="2">
        <v>3.94</v>
      </c>
      <c r="G8" s="2">
        <v>3.79</v>
      </c>
      <c r="H8" s="7">
        <v>4.3962000000000003</v>
      </c>
      <c r="I8" s="7">
        <v>4.0118</v>
      </c>
      <c r="J8" s="7">
        <v>3.6974</v>
      </c>
    </row>
    <row r="9" spans="1:10" x14ac:dyDescent="0.25">
      <c r="A9" t="s">
        <v>444</v>
      </c>
      <c r="B9" s="2">
        <v>3.44</v>
      </c>
      <c r="C9" s="2">
        <v>3.49</v>
      </c>
      <c r="D9" s="2">
        <v>3.5</v>
      </c>
      <c r="E9" s="2">
        <v>4.3600000000000003</v>
      </c>
      <c r="F9" s="2">
        <v>3.85</v>
      </c>
      <c r="G9" s="2">
        <v>3.69</v>
      </c>
      <c r="H9" s="7">
        <v>4.2847999999999997</v>
      </c>
      <c r="I9" s="7">
        <v>3.8555999999999999</v>
      </c>
      <c r="J9" s="7">
        <v>3.5436999999999999</v>
      </c>
    </row>
    <row r="10" spans="1:10" x14ac:dyDescent="0.25">
      <c r="A10" t="s">
        <v>445</v>
      </c>
      <c r="B10" s="2">
        <v>3.5</v>
      </c>
      <c r="C10" s="2">
        <v>3.54</v>
      </c>
      <c r="D10" s="2">
        <v>3.55</v>
      </c>
      <c r="E10" s="2">
        <v>4.45</v>
      </c>
      <c r="F10" s="2">
        <v>3.9</v>
      </c>
      <c r="G10" s="2">
        <v>3.71</v>
      </c>
      <c r="H10" s="7">
        <v>4.3917000000000002</v>
      </c>
      <c r="I10" s="7">
        <v>3.9430999999999998</v>
      </c>
      <c r="J10" s="7">
        <v>3.6097999999999999</v>
      </c>
    </row>
    <row r="11" spans="1:10" x14ac:dyDescent="0.25">
      <c r="A11" t="s">
        <v>446</v>
      </c>
      <c r="B11" s="2">
        <v>3.41</v>
      </c>
      <c r="C11" s="2">
        <v>3.44</v>
      </c>
      <c r="D11" s="2">
        <v>3.47</v>
      </c>
      <c r="E11" s="2">
        <v>4.24</v>
      </c>
      <c r="F11" s="2">
        <v>3.69</v>
      </c>
      <c r="G11" s="2">
        <v>3.55</v>
      </c>
      <c r="H11" s="7">
        <v>4.3201000000000001</v>
      </c>
      <c r="I11" s="7">
        <v>3.8677000000000001</v>
      </c>
      <c r="J11" s="7">
        <v>3.5531999999999999</v>
      </c>
    </row>
    <row r="12" spans="1:10" x14ac:dyDescent="0.25">
      <c r="A12" t="s">
        <v>447</v>
      </c>
      <c r="B12" s="2">
        <v>3.44</v>
      </c>
      <c r="C12" s="2">
        <v>3.44</v>
      </c>
      <c r="D12" s="2">
        <v>3.53</v>
      </c>
      <c r="E12" s="2">
        <v>4.1900000000000004</v>
      </c>
      <c r="F12" s="2">
        <v>3.66</v>
      </c>
      <c r="G12" s="2">
        <v>3.53</v>
      </c>
      <c r="H12" s="7">
        <v>4.2377000000000002</v>
      </c>
      <c r="I12" s="7">
        <v>3.8117999999999999</v>
      </c>
      <c r="J12" s="7">
        <v>3.5758000000000001</v>
      </c>
    </row>
    <row r="13" spans="1:10" x14ac:dyDescent="0.25">
      <c r="A13" t="s">
        <v>448</v>
      </c>
      <c r="B13" s="2">
        <v>3.46</v>
      </c>
      <c r="C13" s="2">
        <v>3.46</v>
      </c>
      <c r="D13" s="2">
        <v>3.56</v>
      </c>
      <c r="E13" s="2">
        <v>4.24</v>
      </c>
      <c r="F13" s="2">
        <v>3.72</v>
      </c>
      <c r="G13" s="2">
        <v>3.61</v>
      </c>
      <c r="H13" s="7">
        <v>4.2666000000000004</v>
      </c>
      <c r="I13" s="7">
        <v>3.8361999999999998</v>
      </c>
      <c r="J13" s="7">
        <v>3.5937999999999999</v>
      </c>
    </row>
    <row r="14" spans="1:10" x14ac:dyDescent="0.25">
      <c r="A14" t="s">
        <v>449</v>
      </c>
      <c r="B14" s="2">
        <v>3.52</v>
      </c>
      <c r="C14" s="2">
        <v>3.33</v>
      </c>
      <c r="D14" s="2">
        <v>3.41</v>
      </c>
      <c r="E14" s="2">
        <v>4.2</v>
      </c>
      <c r="F14" s="2">
        <v>3.66</v>
      </c>
      <c r="G14" s="2">
        <v>3.54</v>
      </c>
      <c r="H14" s="7">
        <v>4.1441999999999997</v>
      </c>
      <c r="I14" s="7">
        <v>3.6913</v>
      </c>
      <c r="J14" s="7">
        <v>3.4487000000000001</v>
      </c>
    </row>
    <row r="15" spans="1:10" x14ac:dyDescent="0.25">
      <c r="A15" t="s">
        <v>450</v>
      </c>
      <c r="B15" s="2">
        <v>3.41</v>
      </c>
      <c r="C15" s="2">
        <v>3.22</v>
      </c>
      <c r="D15" s="2">
        <v>3.32</v>
      </c>
      <c r="E15" s="2">
        <v>4.12</v>
      </c>
      <c r="F15" s="2">
        <v>3.53</v>
      </c>
      <c r="G15" s="2">
        <v>3.43</v>
      </c>
      <c r="H15" s="7">
        <v>4.0865999999999998</v>
      </c>
      <c r="I15" s="7">
        <v>3.6103999999999998</v>
      </c>
      <c r="J15" s="7">
        <v>3.3563999999999998</v>
      </c>
    </row>
    <row r="16" spans="1:10" x14ac:dyDescent="0.25">
      <c r="A16" t="s">
        <v>451</v>
      </c>
      <c r="B16" s="2">
        <v>3.48</v>
      </c>
      <c r="C16" s="2">
        <v>3.3</v>
      </c>
      <c r="D16" s="2">
        <v>3.37</v>
      </c>
      <c r="E16" s="2">
        <v>4.22</v>
      </c>
      <c r="F16" s="2">
        <v>3.6</v>
      </c>
      <c r="G16" s="2">
        <v>3.49</v>
      </c>
      <c r="H16" s="7">
        <v>4.1078000000000001</v>
      </c>
      <c r="I16" s="7">
        <v>3.6417000000000002</v>
      </c>
      <c r="J16" s="7">
        <v>3.3931</v>
      </c>
    </row>
    <row r="17" spans="1:10" x14ac:dyDescent="0.25">
      <c r="A17" t="s">
        <v>452</v>
      </c>
      <c r="B17" s="2">
        <v>3.5</v>
      </c>
      <c r="C17" s="2">
        <v>3.32</v>
      </c>
      <c r="D17" s="2">
        <v>3.39</v>
      </c>
      <c r="E17" s="2" t="e">
        <v>#N/A</v>
      </c>
      <c r="F17" s="2" t="e">
        <v>#N/A</v>
      </c>
      <c r="G17" s="2" t="e">
        <v>#N/A</v>
      </c>
      <c r="H17" s="7">
        <v>4.1161000000000003</v>
      </c>
      <c r="I17" s="7">
        <v>3.6429999999999998</v>
      </c>
      <c r="J17" s="7">
        <v>3.3948</v>
      </c>
    </row>
    <row r="18" spans="1:10" x14ac:dyDescent="0.25">
      <c r="A18" t="s">
        <v>453</v>
      </c>
      <c r="B18" s="2">
        <v>3.46</v>
      </c>
      <c r="C18" s="2">
        <v>3.28</v>
      </c>
      <c r="D18" s="2">
        <v>3.33</v>
      </c>
      <c r="E18" s="2">
        <v>4.18</v>
      </c>
      <c r="F18" s="2">
        <v>3.6</v>
      </c>
      <c r="G18" s="2">
        <v>3.53</v>
      </c>
      <c r="H18" s="7">
        <v>4.109</v>
      </c>
      <c r="I18" s="7">
        <v>3.6128999999999998</v>
      </c>
      <c r="J18" s="7">
        <v>3.3429000000000002</v>
      </c>
    </row>
    <row r="19" spans="1:10" x14ac:dyDescent="0.25">
      <c r="A19" t="s">
        <v>454</v>
      </c>
      <c r="B19" s="2">
        <v>3.48</v>
      </c>
      <c r="C19" s="2">
        <v>3.26</v>
      </c>
      <c r="D19" s="2">
        <v>3.31</v>
      </c>
      <c r="E19" s="2">
        <v>4.0599999999999996</v>
      </c>
      <c r="F19" s="2">
        <v>3.43</v>
      </c>
      <c r="G19" s="2">
        <v>3.37</v>
      </c>
      <c r="H19" s="7">
        <v>4.13</v>
      </c>
      <c r="I19" s="7">
        <v>3.6206999999999998</v>
      </c>
      <c r="J19" s="7">
        <v>3.3319000000000001</v>
      </c>
    </row>
    <row r="20" spans="1:10" x14ac:dyDescent="0.25">
      <c r="A20" t="s">
        <v>455</v>
      </c>
      <c r="B20" s="2">
        <v>3.49</v>
      </c>
      <c r="C20" s="2">
        <v>3.28</v>
      </c>
      <c r="D20" s="2">
        <v>3.32</v>
      </c>
      <c r="E20" s="2">
        <v>4.09</v>
      </c>
      <c r="F20" s="2">
        <v>3.48</v>
      </c>
      <c r="G20" s="2">
        <v>3.39</v>
      </c>
      <c r="H20" s="7">
        <v>4.1162999999999998</v>
      </c>
      <c r="I20" s="7">
        <v>3.621</v>
      </c>
      <c r="J20" s="7">
        <v>3.3388</v>
      </c>
    </row>
    <row r="21" spans="1:10" x14ac:dyDescent="0.25">
      <c r="A21" t="s">
        <v>456</v>
      </c>
      <c r="B21" s="2">
        <v>3.48</v>
      </c>
      <c r="C21" s="2">
        <v>3.28</v>
      </c>
      <c r="D21" s="2">
        <v>3.37</v>
      </c>
      <c r="E21" s="2">
        <v>4.1399999999999997</v>
      </c>
      <c r="F21" s="2">
        <v>3.56</v>
      </c>
      <c r="G21" s="2">
        <v>3.48</v>
      </c>
      <c r="H21" s="7">
        <v>4.1135999999999999</v>
      </c>
      <c r="I21" s="7">
        <v>3.6503000000000001</v>
      </c>
      <c r="J21" s="7">
        <v>3.4018999999999999</v>
      </c>
    </row>
    <row r="22" spans="1:10" x14ac:dyDescent="0.25">
      <c r="A22" t="s">
        <v>457</v>
      </c>
      <c r="B22" s="2">
        <v>3.45</v>
      </c>
      <c r="C22" s="2">
        <v>3.26</v>
      </c>
      <c r="D22" s="2">
        <v>3.36</v>
      </c>
      <c r="E22" s="2">
        <v>4.21</v>
      </c>
      <c r="F22" s="2">
        <v>3.61</v>
      </c>
      <c r="G22" s="2">
        <v>3.52</v>
      </c>
      <c r="H22" s="7">
        <v>4.1044999999999998</v>
      </c>
      <c r="I22" s="7">
        <v>3.645</v>
      </c>
      <c r="J22" s="7">
        <v>3.4018000000000002</v>
      </c>
    </row>
    <row r="23" spans="1:10" x14ac:dyDescent="0.25">
      <c r="A23" t="s">
        <v>458</v>
      </c>
      <c r="B23" s="2">
        <v>3.36</v>
      </c>
      <c r="C23" s="2">
        <v>3.18</v>
      </c>
      <c r="D23" s="2">
        <v>3.28</v>
      </c>
      <c r="E23" s="2">
        <v>4.12</v>
      </c>
      <c r="F23" s="2">
        <v>3.58</v>
      </c>
      <c r="G23" s="2">
        <v>3.46</v>
      </c>
      <c r="H23" s="7">
        <v>4.0486000000000004</v>
      </c>
      <c r="I23" s="7">
        <v>3.581</v>
      </c>
      <c r="J23" s="7">
        <v>3.3363</v>
      </c>
    </row>
    <row r="24" spans="1:10" x14ac:dyDescent="0.25">
      <c r="A24" t="s">
        <v>459</v>
      </c>
      <c r="B24" s="2">
        <v>3.41</v>
      </c>
      <c r="C24" s="2">
        <v>3.14</v>
      </c>
      <c r="D24" s="2">
        <v>3.24</v>
      </c>
      <c r="E24" s="2">
        <v>4.1100000000000003</v>
      </c>
      <c r="F24" s="2">
        <v>3.54</v>
      </c>
      <c r="G24" s="2">
        <v>3.46</v>
      </c>
      <c r="H24" s="7">
        <v>3.9708999999999999</v>
      </c>
      <c r="I24" s="7">
        <v>3.5146999999999999</v>
      </c>
      <c r="J24" s="7">
        <v>3.2768999999999999</v>
      </c>
    </row>
    <row r="25" spans="1:10" x14ac:dyDescent="0.25">
      <c r="A25" t="s">
        <v>460</v>
      </c>
      <c r="B25" s="2">
        <v>3.43</v>
      </c>
      <c r="C25" s="2">
        <v>3.17</v>
      </c>
      <c r="D25" s="2">
        <v>3.3</v>
      </c>
      <c r="E25" s="2">
        <v>4.17</v>
      </c>
      <c r="F25" s="2">
        <v>3.58</v>
      </c>
      <c r="G25" s="2">
        <v>3.49</v>
      </c>
      <c r="H25" s="7">
        <v>4.0160999999999998</v>
      </c>
      <c r="I25" s="7">
        <v>3.5728</v>
      </c>
      <c r="J25" s="7">
        <v>3.3416999999999999</v>
      </c>
    </row>
    <row r="26" spans="1:10" x14ac:dyDescent="0.25">
      <c r="A26" t="s">
        <v>461</v>
      </c>
      <c r="B26" s="2">
        <v>3.48</v>
      </c>
      <c r="C26" s="2">
        <v>3.21</v>
      </c>
      <c r="D26" s="2">
        <v>3.33</v>
      </c>
      <c r="E26" s="2">
        <v>4.1900000000000004</v>
      </c>
      <c r="F26" s="2">
        <v>3.62</v>
      </c>
      <c r="G26" s="2">
        <v>3.52</v>
      </c>
      <c r="H26" s="7">
        <v>4.0392000000000001</v>
      </c>
      <c r="I26" s="7">
        <v>3.597</v>
      </c>
      <c r="J26" s="7">
        <v>3.3628</v>
      </c>
    </row>
    <row r="27" spans="1:10" x14ac:dyDescent="0.25">
      <c r="A27" t="s">
        <v>462</v>
      </c>
      <c r="B27" s="2">
        <v>3.47</v>
      </c>
      <c r="C27" s="2">
        <v>3.23</v>
      </c>
      <c r="D27" s="2">
        <v>3.35</v>
      </c>
      <c r="E27" s="2">
        <v>4.25</v>
      </c>
      <c r="F27" s="2">
        <v>3.68</v>
      </c>
      <c r="G27" s="2">
        <v>3.55</v>
      </c>
      <c r="H27" s="7">
        <v>4.0709</v>
      </c>
      <c r="I27" s="7">
        <v>3.6202999999999999</v>
      </c>
      <c r="J27" s="7">
        <v>3.3831000000000002</v>
      </c>
    </row>
    <row r="28" spans="1:10" x14ac:dyDescent="0.25">
      <c r="A28" t="s">
        <v>463</v>
      </c>
      <c r="B28" s="2">
        <v>3.46</v>
      </c>
      <c r="C28" s="2">
        <v>3.22</v>
      </c>
      <c r="D28" s="2">
        <v>3.34</v>
      </c>
      <c r="E28" s="2">
        <v>4.21</v>
      </c>
      <c r="F28" s="2">
        <v>3.63</v>
      </c>
      <c r="G28" s="2">
        <v>3.52</v>
      </c>
      <c r="H28" s="7">
        <v>4.0446</v>
      </c>
      <c r="I28" s="7">
        <v>3.6080000000000001</v>
      </c>
      <c r="J28" s="7">
        <v>3.3874</v>
      </c>
    </row>
    <row r="29" spans="1:10" x14ac:dyDescent="0.25">
      <c r="A29" t="s">
        <v>464</v>
      </c>
      <c r="B29" s="2">
        <v>3.41</v>
      </c>
      <c r="C29" s="2">
        <v>3.16</v>
      </c>
      <c r="D29" s="2">
        <v>3.3</v>
      </c>
      <c r="E29" s="2">
        <v>4.09</v>
      </c>
      <c r="F29" s="2">
        <v>3.48</v>
      </c>
      <c r="G29" s="2">
        <v>3.39</v>
      </c>
      <c r="H29" s="7">
        <v>4.0080999999999998</v>
      </c>
      <c r="I29" s="7">
        <v>3.5689000000000002</v>
      </c>
      <c r="J29" s="7">
        <v>3.3519999999999999</v>
      </c>
    </row>
    <row r="30" spans="1:10" x14ac:dyDescent="0.25">
      <c r="A30" t="s">
        <v>465</v>
      </c>
      <c r="B30" s="2">
        <v>3.15</v>
      </c>
      <c r="C30" s="2">
        <v>2.85</v>
      </c>
      <c r="D30" s="2">
        <v>2.99</v>
      </c>
      <c r="E30" s="2">
        <v>4.09</v>
      </c>
      <c r="F30" s="2">
        <v>3.49</v>
      </c>
      <c r="G30" s="2">
        <v>3.4</v>
      </c>
      <c r="H30" s="7">
        <v>3.7669000000000001</v>
      </c>
      <c r="I30" s="7">
        <v>3.2608999999999999</v>
      </c>
      <c r="J30" s="7">
        <v>3.073</v>
      </c>
    </row>
    <row r="31" spans="1:10" x14ac:dyDescent="0.25">
      <c r="A31" t="s">
        <v>466</v>
      </c>
      <c r="B31" s="2">
        <v>3.22</v>
      </c>
      <c r="C31" s="2">
        <v>2.9</v>
      </c>
      <c r="D31" s="2">
        <v>3.05</v>
      </c>
      <c r="E31" s="2">
        <v>4.3</v>
      </c>
      <c r="F31" s="2">
        <v>3.67</v>
      </c>
      <c r="G31" s="2">
        <v>3.53</v>
      </c>
      <c r="H31" s="7">
        <v>3.8149000000000002</v>
      </c>
      <c r="I31" s="7">
        <v>3.3296999999999999</v>
      </c>
      <c r="J31" s="7">
        <v>3.1434000000000002</v>
      </c>
    </row>
    <row r="32" spans="1:10" x14ac:dyDescent="0.25">
      <c r="A32" t="s">
        <v>467</v>
      </c>
      <c r="B32" s="2">
        <v>3.45</v>
      </c>
      <c r="C32" s="2">
        <v>3.14</v>
      </c>
      <c r="D32" s="2">
        <v>3.26</v>
      </c>
      <c r="E32" s="2">
        <v>4.4400000000000004</v>
      </c>
      <c r="F32" s="2">
        <v>3.81</v>
      </c>
      <c r="G32" s="2">
        <v>3.63</v>
      </c>
      <c r="H32" s="7">
        <v>3.948</v>
      </c>
      <c r="I32" s="7">
        <v>3.5183</v>
      </c>
      <c r="J32" s="7">
        <v>3.3186</v>
      </c>
    </row>
    <row r="33" spans="1:10" x14ac:dyDescent="0.25">
      <c r="A33" t="s">
        <v>468</v>
      </c>
      <c r="B33" s="2">
        <v>3.48</v>
      </c>
      <c r="C33" s="2">
        <v>3.18</v>
      </c>
      <c r="D33" s="2">
        <v>3.29</v>
      </c>
      <c r="E33" s="2">
        <v>4.47</v>
      </c>
      <c r="F33" s="2">
        <v>3.85</v>
      </c>
      <c r="G33" s="2">
        <v>3.67</v>
      </c>
      <c r="H33" s="7">
        <v>4.0155000000000003</v>
      </c>
      <c r="I33" s="7">
        <v>3.6053000000000002</v>
      </c>
      <c r="J33" s="7">
        <v>3.3892000000000002</v>
      </c>
    </row>
    <row r="34" spans="1:10" x14ac:dyDescent="0.25">
      <c r="A34" t="s">
        <v>469</v>
      </c>
      <c r="B34" s="2">
        <v>3.44</v>
      </c>
      <c r="C34" s="2">
        <v>3.16</v>
      </c>
      <c r="D34" s="2">
        <v>3.29</v>
      </c>
      <c r="E34" s="2">
        <v>4.45</v>
      </c>
      <c r="F34" s="2">
        <v>3.82</v>
      </c>
      <c r="G34" s="2">
        <v>3.63</v>
      </c>
      <c r="H34" s="7">
        <v>3.9956999999999998</v>
      </c>
      <c r="I34" s="7">
        <v>3.569</v>
      </c>
      <c r="J34" s="7">
        <v>3.3477000000000001</v>
      </c>
    </row>
    <row r="35" spans="1:10" x14ac:dyDescent="0.25">
      <c r="A35" t="s">
        <v>470</v>
      </c>
      <c r="B35" s="2">
        <v>3.5</v>
      </c>
      <c r="C35" s="2">
        <v>3.22</v>
      </c>
      <c r="D35" s="2">
        <v>3.29</v>
      </c>
      <c r="E35" s="2">
        <v>4.4800000000000004</v>
      </c>
      <c r="F35" s="2">
        <v>3.87</v>
      </c>
      <c r="G35" s="2">
        <v>3.67</v>
      </c>
      <c r="H35" s="7">
        <v>4.0209000000000001</v>
      </c>
      <c r="I35" s="7">
        <v>3.5794000000000001</v>
      </c>
      <c r="J35" s="7">
        <v>3.3422000000000001</v>
      </c>
    </row>
    <row r="36" spans="1:10" x14ac:dyDescent="0.25">
      <c r="A36" t="s">
        <v>471</v>
      </c>
      <c r="B36" s="2">
        <v>3.61</v>
      </c>
      <c r="C36" s="2">
        <v>3.33</v>
      </c>
      <c r="D36" s="2">
        <v>3.39</v>
      </c>
      <c r="E36" s="2">
        <v>4.5</v>
      </c>
      <c r="F36" s="2">
        <v>3.93</v>
      </c>
      <c r="G36" s="2">
        <v>3.74</v>
      </c>
      <c r="H36" s="7">
        <v>4.1536</v>
      </c>
      <c r="I36" s="7">
        <v>3.7090000000000001</v>
      </c>
      <c r="J36" s="7">
        <v>3.4504999999999999</v>
      </c>
    </row>
    <row r="37" spans="1:10" x14ac:dyDescent="0.25">
      <c r="A37" t="s">
        <v>472</v>
      </c>
      <c r="B37" s="2">
        <v>3.63</v>
      </c>
      <c r="C37" s="2">
        <v>3.35</v>
      </c>
      <c r="D37" s="2">
        <v>3.4</v>
      </c>
      <c r="E37" s="2">
        <v>4.5199999999999996</v>
      </c>
      <c r="F37" s="2">
        <v>3.93</v>
      </c>
      <c r="G37" s="2">
        <v>3.72</v>
      </c>
      <c r="H37" s="7">
        <v>4.173</v>
      </c>
      <c r="I37" s="7">
        <v>3.7103999999999999</v>
      </c>
      <c r="J37" s="7">
        <v>3.4447999999999999</v>
      </c>
    </row>
    <row r="38" spans="1:10" x14ac:dyDescent="0.25">
      <c r="A38" t="s">
        <v>473</v>
      </c>
      <c r="B38" s="2">
        <v>3.81</v>
      </c>
      <c r="C38" s="2">
        <v>3.51</v>
      </c>
      <c r="D38" s="2">
        <v>3.53</v>
      </c>
      <c r="E38" s="2">
        <v>4.5999999999999996</v>
      </c>
      <c r="F38" s="2">
        <v>4</v>
      </c>
      <c r="G38" s="2">
        <v>3.77</v>
      </c>
      <c r="H38" s="7">
        <v>4.3406000000000002</v>
      </c>
      <c r="I38" s="7">
        <v>3.8613</v>
      </c>
      <c r="J38" s="7">
        <v>3.5600999999999998</v>
      </c>
    </row>
    <row r="39" spans="1:10" x14ac:dyDescent="0.25">
      <c r="A39" t="s">
        <v>474</v>
      </c>
      <c r="B39" s="2">
        <v>3.77</v>
      </c>
      <c r="C39" s="2">
        <v>3.42</v>
      </c>
      <c r="D39" s="2">
        <v>3.48</v>
      </c>
      <c r="E39" s="2">
        <v>4.62</v>
      </c>
      <c r="F39" s="2">
        <v>4.04</v>
      </c>
      <c r="G39" s="2">
        <v>3.81</v>
      </c>
      <c r="H39" s="7">
        <v>4.2115999999999998</v>
      </c>
      <c r="I39" s="7">
        <v>3.7795000000000001</v>
      </c>
      <c r="J39" s="7">
        <v>3.5204</v>
      </c>
    </row>
    <row r="40" spans="1:10" x14ac:dyDescent="0.25">
      <c r="A40" t="s">
        <v>475</v>
      </c>
      <c r="B40" s="2">
        <v>3.79</v>
      </c>
      <c r="C40" s="2">
        <v>3.41</v>
      </c>
      <c r="D40" s="2">
        <v>3.5</v>
      </c>
      <c r="E40" s="2">
        <v>4.62</v>
      </c>
      <c r="F40" s="2">
        <v>4.0599999999999996</v>
      </c>
      <c r="G40" s="2">
        <v>3.86</v>
      </c>
      <c r="H40" s="7">
        <v>4.1753999999999998</v>
      </c>
      <c r="I40" s="7">
        <v>3.7631999999999999</v>
      </c>
      <c r="J40" s="7">
        <v>3.5211999999999999</v>
      </c>
    </row>
    <row r="41" spans="1:10" x14ac:dyDescent="0.25">
      <c r="A41" t="s">
        <v>476</v>
      </c>
      <c r="B41" s="2">
        <v>3.79</v>
      </c>
      <c r="C41" s="2">
        <v>3.42</v>
      </c>
      <c r="D41" s="2">
        <v>3.51</v>
      </c>
      <c r="E41" s="2">
        <v>4.5999999999999996</v>
      </c>
      <c r="F41" s="2">
        <v>4.03</v>
      </c>
      <c r="G41" s="2">
        <v>3.82</v>
      </c>
      <c r="H41" s="7">
        <v>4.1942000000000004</v>
      </c>
      <c r="I41" s="7">
        <v>3.7713000000000001</v>
      </c>
      <c r="J41" s="7">
        <v>3.5274000000000001</v>
      </c>
    </row>
    <row r="42" spans="1:10" x14ac:dyDescent="0.25">
      <c r="A42" t="s">
        <v>477</v>
      </c>
      <c r="B42" s="2">
        <v>3.75</v>
      </c>
      <c r="C42" s="2">
        <v>3.39</v>
      </c>
      <c r="D42" s="2">
        <v>3.48</v>
      </c>
      <c r="E42" s="2" t="e">
        <v>#N/A</v>
      </c>
      <c r="F42" s="2" t="e">
        <v>#N/A</v>
      </c>
      <c r="G42" s="2" t="e">
        <v>#N/A</v>
      </c>
      <c r="H42" s="7">
        <v>4.1548999999999996</v>
      </c>
      <c r="I42" s="7">
        <v>3.7160000000000002</v>
      </c>
      <c r="J42" s="7">
        <v>3.4782000000000002</v>
      </c>
    </row>
    <row r="43" spans="1:10" x14ac:dyDescent="0.25">
      <c r="A43" t="s">
        <v>478</v>
      </c>
      <c r="B43" s="2">
        <v>3.93</v>
      </c>
      <c r="C43" s="2">
        <v>3.57</v>
      </c>
      <c r="D43" s="2">
        <v>3.63</v>
      </c>
      <c r="E43" s="2">
        <v>4.67</v>
      </c>
      <c r="F43" s="2">
        <v>4.16</v>
      </c>
      <c r="G43" s="2">
        <v>3.95</v>
      </c>
      <c r="H43" s="7">
        <v>4.3227000000000002</v>
      </c>
      <c r="I43" s="7">
        <v>3.8841000000000001</v>
      </c>
      <c r="J43" s="7">
        <v>3.6316000000000002</v>
      </c>
    </row>
    <row r="44" spans="1:10" x14ac:dyDescent="0.25">
      <c r="A44" t="s">
        <v>479</v>
      </c>
      <c r="B44" s="2">
        <v>3.92</v>
      </c>
      <c r="C44" s="2">
        <v>3.57</v>
      </c>
      <c r="D44" s="2">
        <v>3.61</v>
      </c>
      <c r="E44" s="2">
        <v>4.66</v>
      </c>
      <c r="F44" s="2">
        <v>4.13</v>
      </c>
      <c r="G44" s="2">
        <v>3.93</v>
      </c>
      <c r="H44" s="7">
        <v>4.3163</v>
      </c>
      <c r="I44" s="7">
        <v>3.8976000000000002</v>
      </c>
      <c r="J44" s="7">
        <v>3.6394000000000002</v>
      </c>
    </row>
    <row r="45" spans="1:10" x14ac:dyDescent="0.25">
      <c r="A45" t="s">
        <v>480</v>
      </c>
      <c r="B45" s="2">
        <v>3.9</v>
      </c>
      <c r="C45" s="2">
        <v>3.56</v>
      </c>
      <c r="D45" s="2">
        <v>3.58</v>
      </c>
      <c r="E45" s="2">
        <v>4.66</v>
      </c>
      <c r="F45" s="2">
        <v>4.09</v>
      </c>
      <c r="G45" s="2">
        <v>3.88</v>
      </c>
      <c r="H45" s="7">
        <v>4.3452999999999999</v>
      </c>
      <c r="I45" s="7">
        <v>3.9022000000000001</v>
      </c>
      <c r="J45" s="7">
        <v>3.6294</v>
      </c>
    </row>
    <row r="46" spans="1:10" x14ac:dyDescent="0.25">
      <c r="A46" t="s">
        <v>481</v>
      </c>
      <c r="B46" s="2">
        <v>3.62</v>
      </c>
      <c r="C46" s="2">
        <v>3.64</v>
      </c>
      <c r="D46" s="2">
        <v>3.75</v>
      </c>
      <c r="E46" s="2">
        <v>4.78</v>
      </c>
      <c r="F46" s="2">
        <v>4.1900000000000004</v>
      </c>
      <c r="G46" s="2">
        <v>3.95</v>
      </c>
      <c r="H46" s="7">
        <v>4.4920999999999998</v>
      </c>
      <c r="I46" s="7">
        <v>4.0134999999999996</v>
      </c>
      <c r="J46" s="7">
        <v>3.7010000000000001</v>
      </c>
    </row>
    <row r="47" spans="1:10" x14ac:dyDescent="0.25">
      <c r="A47" t="s">
        <v>482</v>
      </c>
      <c r="B47" s="2">
        <v>3.68</v>
      </c>
      <c r="C47" s="2">
        <v>3.7</v>
      </c>
      <c r="D47" s="2">
        <v>3.8</v>
      </c>
      <c r="E47" s="2">
        <v>4.78</v>
      </c>
      <c r="F47" s="2">
        <v>4.17</v>
      </c>
      <c r="G47" s="2">
        <v>3.92</v>
      </c>
      <c r="H47" s="7">
        <v>4.5549999999999997</v>
      </c>
      <c r="I47" s="7">
        <v>4.0612000000000004</v>
      </c>
      <c r="J47" s="7">
        <v>3.7494999999999998</v>
      </c>
    </row>
    <row r="48" spans="1:10" x14ac:dyDescent="0.25">
      <c r="A48" t="s">
        <v>483</v>
      </c>
      <c r="B48" s="2">
        <v>3.66</v>
      </c>
      <c r="C48" s="2">
        <v>3.68</v>
      </c>
      <c r="D48" s="2">
        <v>3.84</v>
      </c>
      <c r="E48" s="2">
        <v>4.8099999999999996</v>
      </c>
      <c r="F48" s="2">
        <v>4.18</v>
      </c>
      <c r="G48" s="2">
        <v>3.92</v>
      </c>
      <c r="H48" s="7">
        <v>4.5812999999999997</v>
      </c>
      <c r="I48" s="7">
        <v>4.0631000000000004</v>
      </c>
      <c r="J48" s="7">
        <v>3.7442000000000002</v>
      </c>
    </row>
    <row r="49" spans="1:10" x14ac:dyDescent="0.25">
      <c r="A49" t="s">
        <v>484</v>
      </c>
      <c r="B49" s="2">
        <v>3.68</v>
      </c>
      <c r="C49" s="2">
        <v>3.68</v>
      </c>
      <c r="D49" s="2">
        <v>3.83</v>
      </c>
      <c r="E49" s="2">
        <v>4.8899999999999997</v>
      </c>
      <c r="F49" s="2">
        <v>4.2699999999999996</v>
      </c>
      <c r="G49" s="2">
        <v>4.01</v>
      </c>
      <c r="H49" s="7">
        <v>4.5122999999999998</v>
      </c>
      <c r="I49" s="7">
        <v>4.0312999999999999</v>
      </c>
      <c r="J49" s="7">
        <v>3.7656999999999998</v>
      </c>
    </row>
    <row r="50" spans="1:10" x14ac:dyDescent="0.25">
      <c r="A50" t="s">
        <v>485</v>
      </c>
      <c r="B50" s="2">
        <v>3.69</v>
      </c>
      <c r="C50" s="2">
        <v>3.69</v>
      </c>
      <c r="D50" s="2">
        <v>3.91</v>
      </c>
      <c r="E50" s="2">
        <v>4.8899999999999997</v>
      </c>
      <c r="F50" s="2">
        <v>4.32</v>
      </c>
      <c r="G50" s="2">
        <v>4.08</v>
      </c>
      <c r="H50" s="7">
        <v>4.5475000000000003</v>
      </c>
      <c r="I50" s="7">
        <v>4.0811000000000002</v>
      </c>
      <c r="J50" s="7">
        <v>3.8140000000000001</v>
      </c>
    </row>
    <row r="51" spans="1:10" x14ac:dyDescent="0.25">
      <c r="A51" t="s">
        <v>486</v>
      </c>
      <c r="B51" s="2">
        <v>3.69</v>
      </c>
      <c r="C51" s="2">
        <v>3.65</v>
      </c>
      <c r="D51" s="2">
        <v>3.8</v>
      </c>
      <c r="E51" s="2">
        <v>4.8600000000000003</v>
      </c>
      <c r="F51" s="2">
        <v>4.26</v>
      </c>
      <c r="G51" s="2">
        <v>3.97</v>
      </c>
      <c r="H51" s="7">
        <v>4.5393999999999997</v>
      </c>
      <c r="I51" s="7">
        <v>4.0655000000000001</v>
      </c>
      <c r="J51" s="7">
        <v>3.7797000000000001</v>
      </c>
    </row>
    <row r="52" spans="1:10" x14ac:dyDescent="0.25">
      <c r="A52" t="s">
        <v>487</v>
      </c>
      <c r="B52" s="2">
        <v>3.76</v>
      </c>
      <c r="C52" s="2">
        <v>3.7</v>
      </c>
      <c r="D52" s="2">
        <v>3.88</v>
      </c>
      <c r="E52" s="2">
        <v>4.8899999999999997</v>
      </c>
      <c r="F52" s="2">
        <v>4.2699999999999996</v>
      </c>
      <c r="G52" s="2">
        <v>3.98</v>
      </c>
      <c r="H52" s="7">
        <v>4.5697000000000001</v>
      </c>
      <c r="I52" s="7">
        <v>4.0919999999999996</v>
      </c>
      <c r="J52" s="7">
        <v>3.7843</v>
      </c>
    </row>
    <row r="53" spans="1:10" x14ac:dyDescent="0.25">
      <c r="A53" t="s">
        <v>488</v>
      </c>
      <c r="B53" s="2">
        <v>3.79</v>
      </c>
      <c r="C53" s="2">
        <v>3.69</v>
      </c>
      <c r="D53" s="2">
        <v>3.85</v>
      </c>
      <c r="E53" s="2">
        <v>5</v>
      </c>
      <c r="F53" s="2">
        <v>4.3099999999999996</v>
      </c>
      <c r="G53" s="2">
        <v>3.97</v>
      </c>
      <c r="H53" s="7">
        <v>4.6341000000000001</v>
      </c>
      <c r="I53" s="7">
        <v>4.0853999999999999</v>
      </c>
      <c r="J53" s="7">
        <v>3.7277</v>
      </c>
    </row>
    <row r="54" spans="1:10" x14ac:dyDescent="0.25">
      <c r="A54" t="s">
        <v>489</v>
      </c>
      <c r="B54" s="2">
        <v>3.79</v>
      </c>
      <c r="C54" s="2">
        <v>3.67</v>
      </c>
      <c r="D54" s="2">
        <v>3.79</v>
      </c>
      <c r="E54" s="2">
        <v>5.05</v>
      </c>
      <c r="F54" s="2">
        <v>4.34</v>
      </c>
      <c r="G54" s="2">
        <v>3.98</v>
      </c>
      <c r="H54" s="7">
        <v>4.6292999999999997</v>
      </c>
      <c r="I54" s="7">
        <v>4.0758999999999999</v>
      </c>
      <c r="J54" s="7">
        <v>3.698</v>
      </c>
    </row>
    <row r="55" spans="1:10" x14ac:dyDescent="0.25">
      <c r="A55" t="s">
        <v>490</v>
      </c>
      <c r="B55" s="2">
        <v>3.8</v>
      </c>
      <c r="C55" s="2">
        <v>3.67</v>
      </c>
      <c r="D55" s="2">
        <v>3.83</v>
      </c>
      <c r="E55" s="2">
        <v>4.9000000000000004</v>
      </c>
      <c r="F55" s="2">
        <v>4.22</v>
      </c>
      <c r="G55" s="2">
        <v>3.93</v>
      </c>
      <c r="H55" s="7">
        <v>4.6294000000000004</v>
      </c>
      <c r="I55" s="7">
        <v>4.0895999999999999</v>
      </c>
      <c r="J55" s="7">
        <v>3.7332000000000001</v>
      </c>
    </row>
    <row r="56" spans="1:10" x14ac:dyDescent="0.25">
      <c r="A56" t="s">
        <v>491</v>
      </c>
      <c r="B56" s="2">
        <v>3.61</v>
      </c>
      <c r="C56" s="2">
        <v>3.49</v>
      </c>
      <c r="D56" s="2">
        <v>3.62</v>
      </c>
      <c r="E56" s="2">
        <v>4.5999999999999996</v>
      </c>
      <c r="F56" s="2">
        <v>3.96</v>
      </c>
      <c r="G56" s="2">
        <v>3.7</v>
      </c>
      <c r="H56" s="7">
        <v>4.4321000000000002</v>
      </c>
      <c r="I56" s="7">
        <v>3.9116</v>
      </c>
      <c r="J56" s="7">
        <v>3.5851999999999999</v>
      </c>
    </row>
    <row r="57" spans="1:10" x14ac:dyDescent="0.25">
      <c r="A57" t="s">
        <v>492</v>
      </c>
      <c r="B57" s="2">
        <v>3.36</v>
      </c>
      <c r="C57" s="2">
        <v>3.27</v>
      </c>
      <c r="D57" s="2">
        <v>3.38</v>
      </c>
      <c r="E57" s="2">
        <v>4.03</v>
      </c>
      <c r="F57" s="2">
        <v>3.68</v>
      </c>
      <c r="G57" s="2">
        <v>3.55</v>
      </c>
      <c r="H57" s="7">
        <v>4.1741000000000001</v>
      </c>
      <c r="I57" s="7">
        <v>3.7397</v>
      </c>
      <c r="J57" s="7">
        <v>3.4203000000000001</v>
      </c>
    </row>
    <row r="58" spans="1:10" x14ac:dyDescent="0.25">
      <c r="A58" t="s">
        <v>493</v>
      </c>
      <c r="B58" s="2">
        <v>3.47</v>
      </c>
      <c r="C58" s="2">
        <v>3.39</v>
      </c>
      <c r="D58" s="2">
        <v>3.5</v>
      </c>
      <c r="E58" s="2">
        <v>4.2</v>
      </c>
      <c r="F58" s="2">
        <v>3.78</v>
      </c>
      <c r="G58" s="2">
        <v>3.64</v>
      </c>
      <c r="H58" s="7">
        <v>4.2664999999999997</v>
      </c>
      <c r="I58" s="7">
        <v>3.8525999999999998</v>
      </c>
      <c r="J58" s="7">
        <v>3.4965999999999999</v>
      </c>
    </row>
    <row r="59" spans="1:10" x14ac:dyDescent="0.25">
      <c r="A59" t="s">
        <v>494</v>
      </c>
      <c r="B59" s="2">
        <v>3.31</v>
      </c>
      <c r="C59" s="2">
        <v>3.24</v>
      </c>
      <c r="D59" s="2">
        <v>3.33</v>
      </c>
      <c r="E59" s="2">
        <v>3.93</v>
      </c>
      <c r="F59" s="2">
        <v>3.59</v>
      </c>
      <c r="G59" s="2">
        <v>3.51</v>
      </c>
      <c r="H59" s="7">
        <v>4.0500999999999996</v>
      </c>
      <c r="I59" s="7">
        <v>3.718</v>
      </c>
      <c r="J59" s="7">
        <v>3.3887999999999998</v>
      </c>
    </row>
    <row r="60" spans="1:10" x14ac:dyDescent="0.25">
      <c r="A60" t="s">
        <v>495</v>
      </c>
      <c r="B60" s="2">
        <v>3.42</v>
      </c>
      <c r="C60" s="2">
        <v>3.33</v>
      </c>
      <c r="D60" s="2">
        <v>3.41</v>
      </c>
      <c r="E60" s="2">
        <v>4.1399999999999997</v>
      </c>
      <c r="F60" s="2">
        <v>3.72</v>
      </c>
      <c r="G60" s="2">
        <v>3.56</v>
      </c>
      <c r="H60" s="7">
        <v>4.1623000000000001</v>
      </c>
      <c r="I60" s="7">
        <v>3.7803</v>
      </c>
      <c r="J60" s="7">
        <v>3.4432</v>
      </c>
    </row>
    <row r="61" spans="1:10" x14ac:dyDescent="0.25">
      <c r="A61" t="s">
        <v>496</v>
      </c>
      <c r="B61" s="2">
        <v>3.24</v>
      </c>
      <c r="C61" s="2">
        <v>3.17</v>
      </c>
      <c r="D61" s="2">
        <v>3.28</v>
      </c>
      <c r="E61" s="2">
        <v>3.81</v>
      </c>
      <c r="F61" s="2">
        <v>3.44</v>
      </c>
      <c r="G61" s="2">
        <v>3.39</v>
      </c>
      <c r="H61" s="7">
        <v>4.0053999999999998</v>
      </c>
      <c r="I61" s="7">
        <v>3.6141999999999999</v>
      </c>
      <c r="J61" s="7">
        <v>3.3079000000000001</v>
      </c>
    </row>
    <row r="62" spans="1:10" x14ac:dyDescent="0.25">
      <c r="A62" t="s">
        <v>497</v>
      </c>
      <c r="B62" s="2">
        <v>3.23</v>
      </c>
      <c r="C62" s="2">
        <v>3.17</v>
      </c>
      <c r="D62" s="2">
        <v>3.31</v>
      </c>
      <c r="E62" s="2">
        <v>3.92</v>
      </c>
      <c r="F62" s="2">
        <v>3.56</v>
      </c>
      <c r="G62" s="2">
        <v>3.47</v>
      </c>
      <c r="H62" s="7">
        <v>3.9220999999999999</v>
      </c>
      <c r="I62" s="7">
        <v>3.5745</v>
      </c>
      <c r="J62" s="7">
        <v>3.3029999999999999</v>
      </c>
    </row>
    <row r="63" spans="1:10" x14ac:dyDescent="0.25">
      <c r="A63" t="s">
        <v>498</v>
      </c>
      <c r="B63" s="2">
        <v>3.29</v>
      </c>
      <c r="C63" s="2">
        <v>3.22</v>
      </c>
      <c r="D63" s="2">
        <v>3.36</v>
      </c>
      <c r="E63" s="2">
        <v>4.17</v>
      </c>
      <c r="F63" s="2">
        <v>3.73</v>
      </c>
      <c r="G63" s="2">
        <v>3.59</v>
      </c>
      <c r="H63" s="7">
        <v>4.0209000000000001</v>
      </c>
      <c r="I63" s="7">
        <v>3.6236000000000002</v>
      </c>
      <c r="J63" s="7">
        <v>3.3443999999999998</v>
      </c>
    </row>
    <row r="64" spans="1:10" x14ac:dyDescent="0.25">
      <c r="A64" t="s">
        <v>499</v>
      </c>
      <c r="B64" s="2">
        <v>3.48</v>
      </c>
      <c r="C64" s="2">
        <v>3.36</v>
      </c>
      <c r="D64" s="2">
        <v>3.44</v>
      </c>
      <c r="E64" s="2">
        <v>3.96</v>
      </c>
      <c r="F64" s="2">
        <v>3.54</v>
      </c>
      <c r="G64" s="2">
        <v>3.48</v>
      </c>
      <c r="H64" s="7">
        <v>4.2929000000000004</v>
      </c>
      <c r="I64" s="7">
        <v>3.7793000000000001</v>
      </c>
      <c r="J64" s="7">
        <v>3.4211999999999998</v>
      </c>
    </row>
    <row r="65" spans="1:10" x14ac:dyDescent="0.25">
      <c r="A65" t="s">
        <v>500</v>
      </c>
      <c r="B65" s="2">
        <v>3.28</v>
      </c>
      <c r="C65" s="2">
        <v>3.2</v>
      </c>
      <c r="D65" s="2">
        <v>3.36</v>
      </c>
      <c r="E65" s="2">
        <v>3.76</v>
      </c>
      <c r="F65" s="2">
        <v>3.39</v>
      </c>
      <c r="G65" s="2">
        <v>3.38</v>
      </c>
      <c r="H65" s="7">
        <v>4.0983999999999998</v>
      </c>
      <c r="I65" s="7">
        <v>3.6118999999999999</v>
      </c>
      <c r="J65" s="7">
        <v>3.3155999999999999</v>
      </c>
    </row>
    <row r="66" spans="1:10" x14ac:dyDescent="0.25">
      <c r="A66" t="s">
        <v>501</v>
      </c>
      <c r="B66" s="2">
        <v>3.21</v>
      </c>
      <c r="C66" s="2">
        <v>3.12</v>
      </c>
      <c r="D66" s="2">
        <v>3.28</v>
      </c>
      <c r="E66" s="2">
        <v>3.76</v>
      </c>
      <c r="F66" s="2">
        <v>3.41</v>
      </c>
      <c r="G66" s="2">
        <v>3.38</v>
      </c>
      <c r="H66" s="7">
        <v>4.0359999999999996</v>
      </c>
      <c r="I66" s="7">
        <v>3.5550000000000002</v>
      </c>
      <c r="J66" s="7">
        <v>3.2618999999999998</v>
      </c>
    </row>
    <row r="67" spans="1:10" x14ac:dyDescent="0.25">
      <c r="A67" t="s">
        <v>502</v>
      </c>
      <c r="B67" s="2">
        <v>3.34</v>
      </c>
      <c r="C67" s="2">
        <v>3.23</v>
      </c>
      <c r="D67" s="2">
        <v>3.38</v>
      </c>
      <c r="E67" s="2">
        <v>3.94</v>
      </c>
      <c r="F67" s="2">
        <v>3.59</v>
      </c>
      <c r="G67" s="2">
        <v>3.53</v>
      </c>
      <c r="H67" s="7">
        <v>4.1668000000000003</v>
      </c>
      <c r="I67" s="7">
        <v>3.6762999999999999</v>
      </c>
      <c r="J67" s="7">
        <v>3.3633000000000002</v>
      </c>
    </row>
    <row r="68" spans="1:10" x14ac:dyDescent="0.25">
      <c r="A68" t="s">
        <v>503</v>
      </c>
      <c r="B68" s="2">
        <v>3.38</v>
      </c>
      <c r="C68" s="2">
        <v>3.29</v>
      </c>
      <c r="D68" s="2">
        <v>3.46</v>
      </c>
      <c r="E68" s="2">
        <v>4.0199999999999996</v>
      </c>
      <c r="F68" s="2">
        <v>3.63</v>
      </c>
      <c r="G68" s="2">
        <v>3.55</v>
      </c>
      <c r="H68" s="7">
        <v>4.1931000000000003</v>
      </c>
      <c r="I68" s="7">
        <v>3.7275999999999998</v>
      </c>
      <c r="J68" s="7">
        <v>3.4300999999999999</v>
      </c>
    </row>
    <row r="69" spans="1:10" x14ac:dyDescent="0.25">
      <c r="A69" t="s">
        <v>504</v>
      </c>
      <c r="B69" s="2">
        <v>3.4</v>
      </c>
      <c r="C69" s="2">
        <v>3.31</v>
      </c>
      <c r="D69" s="2">
        <v>3.46</v>
      </c>
      <c r="E69" s="2">
        <v>4.08</v>
      </c>
      <c r="F69" s="2">
        <v>3.67</v>
      </c>
      <c r="G69" s="2">
        <v>3.57</v>
      </c>
      <c r="H69" s="7">
        <v>4.2515999999999998</v>
      </c>
      <c r="I69" s="7">
        <v>3.7761999999999998</v>
      </c>
      <c r="J69" s="7">
        <v>3.4552999999999998</v>
      </c>
    </row>
    <row r="70" spans="1:10" x14ac:dyDescent="0.25">
      <c r="A70" t="s">
        <v>505</v>
      </c>
      <c r="B70" s="2">
        <v>3.45</v>
      </c>
      <c r="C70" s="2">
        <v>3.35</v>
      </c>
      <c r="D70" s="2">
        <v>3.5</v>
      </c>
      <c r="E70" s="2">
        <v>4.0999999999999996</v>
      </c>
      <c r="F70" s="2">
        <v>3.66</v>
      </c>
      <c r="G70" s="2">
        <v>3.55</v>
      </c>
      <c r="H70" s="7">
        <v>4.3010999999999999</v>
      </c>
      <c r="I70" s="7">
        <v>3.8100999999999998</v>
      </c>
      <c r="J70" s="7">
        <v>3.4693000000000001</v>
      </c>
    </row>
    <row r="71" spans="1:10" x14ac:dyDescent="0.25">
      <c r="A71" t="s">
        <v>506</v>
      </c>
      <c r="B71" s="2">
        <v>3.42</v>
      </c>
      <c r="C71" s="2">
        <v>3.33</v>
      </c>
      <c r="D71" s="2">
        <v>3.47</v>
      </c>
      <c r="E71" s="2">
        <v>4.0599999999999996</v>
      </c>
      <c r="F71" s="2">
        <v>3.6</v>
      </c>
      <c r="G71" s="2">
        <v>3.48</v>
      </c>
      <c r="H71" s="7">
        <v>4.2766000000000002</v>
      </c>
      <c r="I71" s="7">
        <v>3.7766000000000002</v>
      </c>
      <c r="J71" s="7">
        <v>3.4291999999999998</v>
      </c>
    </row>
    <row r="72" spans="1:10" x14ac:dyDescent="0.25">
      <c r="A72" t="s">
        <v>507</v>
      </c>
      <c r="B72" s="2">
        <v>3.39</v>
      </c>
      <c r="C72" s="2">
        <v>3.3</v>
      </c>
      <c r="D72" s="2">
        <v>3.43</v>
      </c>
      <c r="E72" s="2">
        <v>3.97</v>
      </c>
      <c r="F72" s="2">
        <v>3.52</v>
      </c>
      <c r="G72" s="2">
        <v>3.43</v>
      </c>
      <c r="H72" s="7">
        <v>4.1917999999999997</v>
      </c>
      <c r="I72" s="7">
        <v>3.6958000000000002</v>
      </c>
      <c r="J72" s="7">
        <v>3.3628999999999998</v>
      </c>
    </row>
    <row r="73" spans="1:10" x14ac:dyDescent="0.25">
      <c r="A73" t="s">
        <v>508</v>
      </c>
      <c r="B73" s="2">
        <v>3.34</v>
      </c>
      <c r="C73" s="2">
        <v>3.26</v>
      </c>
      <c r="D73" s="2">
        <v>3.42</v>
      </c>
      <c r="E73" s="2">
        <v>3.84</v>
      </c>
      <c r="F73" s="2">
        <v>3.39</v>
      </c>
      <c r="G73" s="2">
        <v>3.35</v>
      </c>
      <c r="H73" s="7">
        <v>4.1307</v>
      </c>
      <c r="I73" s="7">
        <v>3.6698</v>
      </c>
      <c r="J73" s="7">
        <v>3.3708999999999998</v>
      </c>
    </row>
    <row r="74" spans="1:10" x14ac:dyDescent="0.25">
      <c r="A74" t="s">
        <v>509</v>
      </c>
      <c r="B74" s="2">
        <v>3.32</v>
      </c>
      <c r="C74" s="2">
        <v>3.25</v>
      </c>
      <c r="D74" s="2">
        <v>3.42</v>
      </c>
      <c r="E74" s="2">
        <v>3.79</v>
      </c>
      <c r="F74" s="2">
        <v>3.36</v>
      </c>
      <c r="G74" s="2">
        <v>3.3</v>
      </c>
      <c r="H74" s="7">
        <v>4.1069000000000004</v>
      </c>
      <c r="I74" s="7">
        <v>3.6455000000000002</v>
      </c>
      <c r="J74" s="7">
        <v>3.3506999999999998</v>
      </c>
    </row>
    <row r="75" spans="1:10" x14ac:dyDescent="0.25">
      <c r="A75" t="s">
        <v>510</v>
      </c>
      <c r="B75" s="2">
        <v>3.33</v>
      </c>
      <c r="C75" s="2">
        <v>3.24</v>
      </c>
      <c r="D75" s="2">
        <v>3.41</v>
      </c>
      <c r="E75" s="2">
        <v>3.82</v>
      </c>
      <c r="F75" s="2">
        <v>3.37</v>
      </c>
      <c r="G75" s="2">
        <v>3.3</v>
      </c>
      <c r="H75" s="7">
        <v>4.1338999999999997</v>
      </c>
      <c r="I75" s="7">
        <v>3.6709000000000001</v>
      </c>
      <c r="J75" s="7">
        <v>3.3712</v>
      </c>
    </row>
    <row r="76" spans="1:10" x14ac:dyDescent="0.25">
      <c r="A76" t="s">
        <v>511</v>
      </c>
      <c r="B76" s="2" t="e">
        <v>#N/A</v>
      </c>
      <c r="C76" s="2" t="e">
        <v>#N/A</v>
      </c>
      <c r="D76" s="2" t="e">
        <v>#N/A</v>
      </c>
      <c r="E76" s="2">
        <v>3.97</v>
      </c>
      <c r="F76" s="2">
        <v>3.49</v>
      </c>
      <c r="G76" s="2">
        <v>3.39</v>
      </c>
      <c r="H76" s="7">
        <v>4.1338999999999997</v>
      </c>
      <c r="I76" s="7">
        <v>3.6709000000000001</v>
      </c>
      <c r="J76" s="7">
        <v>3.3712</v>
      </c>
    </row>
    <row r="77" spans="1:10" x14ac:dyDescent="0.25">
      <c r="A77" t="s">
        <v>512</v>
      </c>
      <c r="B77" s="2">
        <v>3.36</v>
      </c>
      <c r="C77" s="2">
        <v>3.26</v>
      </c>
      <c r="D77" s="2" t="e">
        <v>#N/A</v>
      </c>
      <c r="E77" s="2">
        <v>4</v>
      </c>
      <c r="F77" s="2">
        <v>3.52</v>
      </c>
      <c r="G77" s="2">
        <v>3.41</v>
      </c>
      <c r="H77" s="7">
        <v>4.1338999999999997</v>
      </c>
      <c r="I77" s="7">
        <v>3.6709000000000001</v>
      </c>
      <c r="J77" s="7">
        <v>3.3712</v>
      </c>
    </row>
    <row r="78" spans="1:10" x14ac:dyDescent="0.25">
      <c r="A78" t="s">
        <v>513</v>
      </c>
      <c r="B78" s="2">
        <v>3.48</v>
      </c>
      <c r="C78" s="2">
        <v>3.38</v>
      </c>
      <c r="D78" s="2">
        <v>3.54</v>
      </c>
      <c r="E78" s="2">
        <v>4.03</v>
      </c>
      <c r="F78" s="2">
        <v>3.54</v>
      </c>
      <c r="G78" s="2">
        <v>3.43</v>
      </c>
      <c r="H78" s="7">
        <v>4.2538</v>
      </c>
      <c r="I78" s="7">
        <v>3.7871000000000001</v>
      </c>
      <c r="J78" s="7">
        <v>3.4878</v>
      </c>
    </row>
    <row r="79" spans="1:10" x14ac:dyDescent="0.25">
      <c r="A79" t="s">
        <v>514</v>
      </c>
      <c r="B79" s="2">
        <v>3.52</v>
      </c>
      <c r="C79" s="2">
        <v>3.41</v>
      </c>
      <c r="D79" s="2">
        <v>3.57</v>
      </c>
      <c r="E79" s="2">
        <v>3.95</v>
      </c>
      <c r="F79" s="2">
        <v>3.46</v>
      </c>
      <c r="G79" s="2">
        <v>3.41</v>
      </c>
      <c r="H79" s="7">
        <v>4.2817999999999996</v>
      </c>
      <c r="I79" s="7">
        <v>3.8089</v>
      </c>
      <c r="J79" s="7">
        <v>3.5139</v>
      </c>
    </row>
    <row r="80" spans="1:10" x14ac:dyDescent="0.25">
      <c r="A80" t="s">
        <v>515</v>
      </c>
      <c r="B80" s="2">
        <v>3.5</v>
      </c>
      <c r="C80" s="2">
        <v>3.39</v>
      </c>
      <c r="D80" s="2">
        <v>3.56</v>
      </c>
      <c r="E80" s="2">
        <v>3.96</v>
      </c>
      <c r="F80" s="2">
        <v>3.51</v>
      </c>
      <c r="G80" s="2">
        <v>3.45</v>
      </c>
      <c r="H80" s="7">
        <v>4.2648999999999999</v>
      </c>
      <c r="I80" s="7">
        <v>3.8041999999999998</v>
      </c>
      <c r="J80" s="7">
        <v>3.5213000000000001</v>
      </c>
    </row>
    <row r="81" spans="1:10" x14ac:dyDescent="0.25">
      <c r="A81" t="s">
        <v>516</v>
      </c>
      <c r="B81" s="2">
        <v>3.6</v>
      </c>
      <c r="C81" s="2">
        <v>3.49</v>
      </c>
      <c r="D81" s="2">
        <v>3.65</v>
      </c>
      <c r="E81" s="2">
        <v>4.08</v>
      </c>
      <c r="F81" s="2">
        <v>3.6</v>
      </c>
      <c r="G81" s="2">
        <v>3.52</v>
      </c>
      <c r="H81" s="7">
        <v>4.3483000000000001</v>
      </c>
      <c r="I81" s="7">
        <v>3.8727999999999998</v>
      </c>
      <c r="J81" s="7">
        <v>3.5800999999999998</v>
      </c>
    </row>
    <row r="82" spans="1:10" x14ac:dyDescent="0.25">
      <c r="A82" t="s">
        <v>517</v>
      </c>
      <c r="B82" s="2">
        <v>3.62</v>
      </c>
      <c r="C82" s="2">
        <v>3.51</v>
      </c>
      <c r="D82" s="2">
        <v>3.7</v>
      </c>
      <c r="E82" s="2">
        <v>4.18</v>
      </c>
      <c r="F82" s="2">
        <v>3.69</v>
      </c>
      <c r="G82" s="2">
        <v>3.6</v>
      </c>
      <c r="H82" s="7">
        <v>4.3357000000000001</v>
      </c>
      <c r="I82" s="7">
        <v>3.8675999999999999</v>
      </c>
      <c r="J82" s="7">
        <v>3.5945999999999998</v>
      </c>
    </row>
    <row r="83" spans="1:10" x14ac:dyDescent="0.25">
      <c r="A83" t="s">
        <v>518</v>
      </c>
      <c r="B83" s="2">
        <v>3.69</v>
      </c>
      <c r="C83" s="2">
        <v>3.58</v>
      </c>
      <c r="D83" s="2">
        <v>3.75</v>
      </c>
      <c r="E83" s="2">
        <v>4.1900000000000004</v>
      </c>
      <c r="F83" s="2">
        <v>3.69</v>
      </c>
      <c r="G83" s="2">
        <v>3.58</v>
      </c>
      <c r="H83" s="7">
        <v>4.4306000000000001</v>
      </c>
      <c r="I83" s="7">
        <v>3.9478</v>
      </c>
      <c r="J83" s="7">
        <v>3.6665000000000001</v>
      </c>
    </row>
    <row r="84" spans="1:10" x14ac:dyDescent="0.25">
      <c r="A84" t="s">
        <v>519</v>
      </c>
      <c r="B84" s="2">
        <v>3.82</v>
      </c>
      <c r="C84" s="2">
        <v>3.71</v>
      </c>
      <c r="D84" s="2">
        <v>3.85</v>
      </c>
      <c r="E84" s="2">
        <v>4.24</v>
      </c>
      <c r="F84" s="2">
        <v>3.71</v>
      </c>
      <c r="G84" s="2">
        <v>3.6</v>
      </c>
      <c r="H84" s="7">
        <v>4.5967000000000002</v>
      </c>
      <c r="I84" s="7">
        <v>4.0853000000000002</v>
      </c>
      <c r="J84" s="7">
        <v>3.7652999999999999</v>
      </c>
    </row>
    <row r="85" spans="1:10" x14ac:dyDescent="0.25">
      <c r="A85" t="s">
        <v>520</v>
      </c>
      <c r="B85" s="2">
        <v>3.71</v>
      </c>
      <c r="C85" s="2">
        <v>3.61</v>
      </c>
      <c r="D85" s="2">
        <v>3.75</v>
      </c>
      <c r="E85" s="2">
        <v>4.1399999999999997</v>
      </c>
      <c r="F85" s="2">
        <v>3.63</v>
      </c>
      <c r="G85" s="2">
        <v>3.54</v>
      </c>
      <c r="H85" s="7">
        <v>4.5171999999999999</v>
      </c>
      <c r="I85" s="7">
        <v>3.9862000000000002</v>
      </c>
      <c r="J85" s="7">
        <v>3.6665999999999999</v>
      </c>
    </row>
    <row r="86" spans="1:10" x14ac:dyDescent="0.25">
      <c r="A86" t="s">
        <v>521</v>
      </c>
      <c r="B86" s="2">
        <v>3.74</v>
      </c>
      <c r="C86" s="2">
        <v>3.61</v>
      </c>
      <c r="D86" s="2">
        <v>3.75</v>
      </c>
      <c r="E86" s="2">
        <v>4.17</v>
      </c>
      <c r="F86" s="2">
        <v>3.66</v>
      </c>
      <c r="G86" s="2">
        <v>3.57</v>
      </c>
      <c r="H86" s="7">
        <v>4.5068000000000001</v>
      </c>
      <c r="I86" s="7">
        <v>3.9830999999999999</v>
      </c>
      <c r="J86" s="7">
        <v>3.6728999999999998</v>
      </c>
    </row>
    <row r="87" spans="1:10" x14ac:dyDescent="0.25">
      <c r="A87" t="s">
        <v>522</v>
      </c>
      <c r="B87" s="2">
        <v>3.81</v>
      </c>
      <c r="C87" s="2">
        <v>3.66</v>
      </c>
      <c r="D87" s="2">
        <v>3.78</v>
      </c>
      <c r="E87" s="2">
        <v>4.12</v>
      </c>
      <c r="F87" s="2">
        <v>3.6</v>
      </c>
      <c r="G87" s="2">
        <v>3.52</v>
      </c>
      <c r="H87" s="7">
        <v>4.5561999999999996</v>
      </c>
      <c r="I87" s="7">
        <v>4.0316999999999998</v>
      </c>
      <c r="J87" s="7">
        <v>3.7187000000000001</v>
      </c>
    </row>
    <row r="88" spans="1:10" x14ac:dyDescent="0.25">
      <c r="A88" t="s">
        <v>523</v>
      </c>
      <c r="B88" s="2">
        <v>3.73</v>
      </c>
      <c r="C88" s="2">
        <v>3.55</v>
      </c>
      <c r="D88" s="2">
        <v>3.69</v>
      </c>
      <c r="E88" s="2">
        <v>3.86</v>
      </c>
      <c r="F88" s="2">
        <v>3.43</v>
      </c>
      <c r="G88" s="2">
        <v>3.4</v>
      </c>
      <c r="H88" s="7">
        <v>4.4875999999999996</v>
      </c>
      <c r="I88" s="7">
        <v>3.9563000000000001</v>
      </c>
      <c r="J88" s="7">
        <v>3.6423999999999999</v>
      </c>
    </row>
    <row r="89" spans="1:10" x14ac:dyDescent="0.25">
      <c r="A89" t="s">
        <v>524</v>
      </c>
      <c r="B89" s="2">
        <v>3.77</v>
      </c>
      <c r="C89" s="2">
        <v>3.61</v>
      </c>
      <c r="D89" s="2">
        <v>3.74</v>
      </c>
      <c r="E89" s="2">
        <v>3.9</v>
      </c>
      <c r="F89" s="2">
        <v>3.46</v>
      </c>
      <c r="G89" s="2">
        <v>3.43</v>
      </c>
      <c r="H89" s="7">
        <v>4.4710000000000001</v>
      </c>
      <c r="I89" s="7">
        <v>3.9622999999999999</v>
      </c>
      <c r="J89" s="7">
        <v>3.6682000000000001</v>
      </c>
    </row>
    <row r="90" spans="1:10" x14ac:dyDescent="0.25">
      <c r="A90" t="s">
        <v>525</v>
      </c>
      <c r="B90" s="2">
        <v>3.81</v>
      </c>
      <c r="C90" s="2">
        <v>3.66</v>
      </c>
      <c r="D90" s="2">
        <v>3.8</v>
      </c>
      <c r="E90" s="2">
        <v>4.07</v>
      </c>
      <c r="F90" s="2">
        <v>3.6</v>
      </c>
      <c r="G90" s="2">
        <v>3.53</v>
      </c>
      <c r="H90" s="7">
        <v>4.5232999999999999</v>
      </c>
      <c r="I90" s="7">
        <v>4.0210999999999997</v>
      </c>
      <c r="J90" s="7">
        <v>3.7271999999999998</v>
      </c>
    </row>
    <row r="91" spans="1:10" x14ac:dyDescent="0.25">
      <c r="A91" t="s">
        <v>526</v>
      </c>
      <c r="B91" s="2">
        <v>3.78</v>
      </c>
      <c r="C91" s="2">
        <v>3.61</v>
      </c>
      <c r="D91" s="2">
        <v>3.72</v>
      </c>
      <c r="E91" s="2">
        <v>4.04</v>
      </c>
      <c r="F91" s="2">
        <v>3.51</v>
      </c>
      <c r="G91" s="2">
        <v>3.44</v>
      </c>
      <c r="H91" s="7">
        <v>4.5138999999999996</v>
      </c>
      <c r="I91" s="7">
        <v>3.9897999999999998</v>
      </c>
      <c r="J91" s="7">
        <v>3.6815000000000002</v>
      </c>
    </row>
    <row r="92" spans="1:10" x14ac:dyDescent="0.25">
      <c r="A92" t="s">
        <v>527</v>
      </c>
      <c r="B92" s="2">
        <v>3.78</v>
      </c>
      <c r="C92" s="2">
        <v>3.61</v>
      </c>
      <c r="D92" s="2" t="e">
        <v>#N/A</v>
      </c>
      <c r="E92" s="2">
        <v>4.1399999999999997</v>
      </c>
      <c r="F92" s="2">
        <v>3.64</v>
      </c>
      <c r="G92" s="2">
        <v>3.59</v>
      </c>
      <c r="H92" s="7">
        <v>4.5138999999999996</v>
      </c>
      <c r="I92" s="7">
        <v>3.9897999999999998</v>
      </c>
      <c r="J92" s="7">
        <v>3.6815000000000002</v>
      </c>
    </row>
    <row r="93" spans="1:10" x14ac:dyDescent="0.25">
      <c r="A93" t="s">
        <v>528</v>
      </c>
      <c r="B93" s="2">
        <v>3.73</v>
      </c>
      <c r="C93" s="2">
        <v>3.54</v>
      </c>
      <c r="D93" s="2">
        <v>3.66</v>
      </c>
      <c r="E93" s="2">
        <v>3.97</v>
      </c>
      <c r="F93" s="2">
        <v>3.46</v>
      </c>
      <c r="G93" s="2">
        <v>3.44</v>
      </c>
      <c r="H93" s="7">
        <v>4.4589999999999996</v>
      </c>
      <c r="I93" s="7">
        <v>3.9388999999999998</v>
      </c>
      <c r="J93" s="7">
        <v>3.6379000000000001</v>
      </c>
    </row>
    <row r="94" spans="1:10" x14ac:dyDescent="0.25">
      <c r="A94" t="s">
        <v>529</v>
      </c>
      <c r="B94" s="2">
        <v>3.76</v>
      </c>
      <c r="C94" s="2">
        <v>3.57</v>
      </c>
      <c r="D94" s="2">
        <v>3.69</v>
      </c>
      <c r="E94" s="2">
        <v>3.89</v>
      </c>
      <c r="F94" s="2">
        <v>3.37</v>
      </c>
      <c r="G94" s="2">
        <v>3.38</v>
      </c>
      <c r="H94" s="7">
        <v>4.4816000000000003</v>
      </c>
      <c r="I94" s="7">
        <v>3.9514</v>
      </c>
      <c r="J94" s="7">
        <v>3.6509</v>
      </c>
    </row>
    <row r="95" spans="1:10" x14ac:dyDescent="0.25">
      <c r="A95" t="s">
        <v>530</v>
      </c>
      <c r="B95" s="2">
        <v>3.68</v>
      </c>
      <c r="C95" s="2">
        <v>3.48</v>
      </c>
      <c r="D95" s="2">
        <v>3.66</v>
      </c>
      <c r="E95" s="2">
        <v>3.75</v>
      </c>
      <c r="F95" s="2">
        <v>3.29</v>
      </c>
      <c r="G95" s="2">
        <v>3.37</v>
      </c>
      <c r="H95" s="7">
        <v>4.3348000000000004</v>
      </c>
      <c r="I95" s="7">
        <v>3.8637000000000001</v>
      </c>
      <c r="J95" s="7">
        <v>3.6190000000000002</v>
      </c>
    </row>
    <row r="96" spans="1:10" x14ac:dyDescent="0.25">
      <c r="A96" t="s">
        <v>531</v>
      </c>
      <c r="B96" s="2">
        <v>3.77</v>
      </c>
      <c r="C96" s="2">
        <v>3.58</v>
      </c>
      <c r="D96" s="2">
        <v>3.77</v>
      </c>
      <c r="E96" s="2">
        <v>3.92</v>
      </c>
      <c r="F96" s="2">
        <v>3.41</v>
      </c>
      <c r="G96" s="2">
        <v>3.44</v>
      </c>
      <c r="H96" s="7">
        <v>4.4673999999999996</v>
      </c>
      <c r="I96" s="7">
        <v>3.9847999999999999</v>
      </c>
      <c r="J96" s="7">
        <v>3.7233000000000001</v>
      </c>
    </row>
    <row r="97" spans="1:10" x14ac:dyDescent="0.25">
      <c r="A97" t="s">
        <v>532</v>
      </c>
      <c r="B97" s="2">
        <v>3.78</v>
      </c>
      <c r="C97" s="2">
        <v>3.59</v>
      </c>
      <c r="D97" s="2" t="e">
        <v>#N/A</v>
      </c>
      <c r="E97" s="2">
        <v>4</v>
      </c>
      <c r="F97" s="2">
        <v>3.49</v>
      </c>
      <c r="G97" s="2">
        <v>3.52</v>
      </c>
      <c r="H97" s="7">
        <v>4.4673999999999996</v>
      </c>
      <c r="I97" s="7">
        <v>3.9847999999999999</v>
      </c>
      <c r="J97" s="7">
        <v>3.7233000000000001</v>
      </c>
    </row>
    <row r="98" spans="1:10" x14ac:dyDescent="0.25">
      <c r="A98" t="s">
        <v>533</v>
      </c>
      <c r="B98" s="2">
        <v>3.87</v>
      </c>
      <c r="C98" s="2">
        <v>3.68</v>
      </c>
      <c r="D98" s="2">
        <v>3.86</v>
      </c>
      <c r="E98" s="2">
        <v>4.01</v>
      </c>
      <c r="F98" s="2">
        <v>3.51</v>
      </c>
      <c r="G98" s="2">
        <v>3.53</v>
      </c>
      <c r="H98" s="7">
        <v>4.5347999999999997</v>
      </c>
      <c r="I98" s="7">
        <v>4.0553999999999997</v>
      </c>
      <c r="J98" s="7">
        <v>3.7959999999999998</v>
      </c>
    </row>
    <row r="99" spans="1:10" x14ac:dyDescent="0.25">
      <c r="A99" t="s">
        <v>534</v>
      </c>
      <c r="B99" s="2">
        <v>3.83</v>
      </c>
      <c r="C99" s="2">
        <v>3.63</v>
      </c>
      <c r="D99" s="2">
        <v>3.8</v>
      </c>
      <c r="E99" s="2">
        <v>3.9</v>
      </c>
      <c r="F99" s="2">
        <v>3.37</v>
      </c>
      <c r="G99" s="2">
        <v>3.43</v>
      </c>
      <c r="H99" s="7">
        <v>4.4863999999999997</v>
      </c>
      <c r="I99" s="7">
        <v>4.0042999999999997</v>
      </c>
      <c r="J99" s="7">
        <v>3.7496999999999998</v>
      </c>
    </row>
    <row r="100" spans="1:10" x14ac:dyDescent="0.25">
      <c r="A100" t="s">
        <v>535</v>
      </c>
      <c r="B100" s="2">
        <v>3.73</v>
      </c>
      <c r="C100" s="2">
        <v>3.54</v>
      </c>
      <c r="D100" s="2">
        <v>3.71</v>
      </c>
      <c r="E100" s="2">
        <v>3.89</v>
      </c>
      <c r="F100" s="2">
        <v>3.36</v>
      </c>
      <c r="G100" s="2">
        <v>3.39</v>
      </c>
      <c r="H100" s="7">
        <v>4.4066999999999998</v>
      </c>
      <c r="I100" s="7">
        <v>3.9005000000000001</v>
      </c>
      <c r="J100" s="7">
        <v>3.6619999999999999</v>
      </c>
    </row>
    <row r="101" spans="1:10" x14ac:dyDescent="0.25">
      <c r="A101" t="s">
        <v>536</v>
      </c>
      <c r="B101" s="2">
        <v>3.8</v>
      </c>
      <c r="C101" s="2">
        <v>3.6</v>
      </c>
      <c r="D101" s="2">
        <v>3.78</v>
      </c>
      <c r="E101" s="2">
        <v>3.98</v>
      </c>
      <c r="F101" s="2">
        <v>3.45</v>
      </c>
      <c r="G101" s="2">
        <v>3.46</v>
      </c>
      <c r="H101" s="7">
        <v>4.4850000000000003</v>
      </c>
      <c r="I101" s="7">
        <v>3.9685000000000001</v>
      </c>
      <c r="J101" s="7">
        <v>3.7195999999999998</v>
      </c>
    </row>
    <row r="102" spans="1:10" x14ac:dyDescent="0.25">
      <c r="A102" t="s">
        <v>537</v>
      </c>
      <c r="B102" s="2">
        <v>3.83</v>
      </c>
      <c r="C102" s="2">
        <v>3.63</v>
      </c>
      <c r="D102" s="2">
        <v>3.82</v>
      </c>
      <c r="E102" s="2">
        <v>3.99</v>
      </c>
      <c r="F102" s="2">
        <v>3.46</v>
      </c>
      <c r="G102" s="2">
        <v>3.5</v>
      </c>
      <c r="H102" s="7">
        <v>4.4981</v>
      </c>
      <c r="I102" s="7">
        <v>3.9893999999999998</v>
      </c>
      <c r="J102" s="7">
        <v>3.7475999999999998</v>
      </c>
    </row>
    <row r="103" spans="1:10" x14ac:dyDescent="0.25">
      <c r="A103" t="s">
        <v>538</v>
      </c>
      <c r="B103" s="2">
        <v>3.8</v>
      </c>
      <c r="C103" s="2">
        <v>3.6</v>
      </c>
      <c r="D103" s="2">
        <v>3.8</v>
      </c>
      <c r="E103" s="2">
        <v>4.0599999999999996</v>
      </c>
      <c r="F103" s="2">
        <v>3.52</v>
      </c>
      <c r="G103" s="2">
        <v>3.54</v>
      </c>
      <c r="H103" s="7">
        <v>4.4839000000000002</v>
      </c>
      <c r="I103" s="7">
        <v>3.9836999999999998</v>
      </c>
      <c r="J103" s="7">
        <v>3.7435999999999998</v>
      </c>
    </row>
    <row r="104" spans="1:10" x14ac:dyDescent="0.25">
      <c r="A104" t="s">
        <v>539</v>
      </c>
      <c r="B104" s="2">
        <v>3.87</v>
      </c>
      <c r="C104" s="2">
        <v>3.68</v>
      </c>
      <c r="D104" s="2">
        <v>3.84</v>
      </c>
      <c r="E104" s="2">
        <v>4.12</v>
      </c>
      <c r="F104" s="2">
        <v>3.58</v>
      </c>
      <c r="G104" s="2">
        <v>3.57</v>
      </c>
      <c r="H104" s="7">
        <v>4.5186999999999999</v>
      </c>
      <c r="I104" s="7">
        <v>4.0233999999999996</v>
      </c>
      <c r="J104" s="7">
        <v>3.7685</v>
      </c>
    </row>
    <row r="105" spans="1:10" x14ac:dyDescent="0.25">
      <c r="A105" t="s">
        <v>540</v>
      </c>
      <c r="B105" s="2">
        <v>3.97</v>
      </c>
      <c r="C105" s="2">
        <v>3.8</v>
      </c>
      <c r="D105" s="2">
        <v>3.97</v>
      </c>
      <c r="E105" s="2">
        <v>4.24</v>
      </c>
      <c r="F105" s="2">
        <v>3.69</v>
      </c>
      <c r="G105" s="2">
        <v>3.65</v>
      </c>
      <c r="H105" s="7">
        <v>4.5991999999999997</v>
      </c>
      <c r="I105" s="7">
        <v>4.1093000000000002</v>
      </c>
      <c r="J105" s="7">
        <v>3.8698000000000001</v>
      </c>
    </row>
    <row r="106" spans="1:10" x14ac:dyDescent="0.25">
      <c r="A106" t="s">
        <v>541</v>
      </c>
      <c r="B106" s="2">
        <v>3.96</v>
      </c>
      <c r="C106" s="2">
        <v>3.83</v>
      </c>
      <c r="D106" s="2">
        <v>4.01</v>
      </c>
      <c r="E106" s="2">
        <v>4.28</v>
      </c>
      <c r="F106" s="2">
        <v>3.76</v>
      </c>
      <c r="G106" s="2">
        <v>3.7</v>
      </c>
      <c r="H106" s="7">
        <v>4.6315999999999997</v>
      </c>
      <c r="I106" s="7">
        <v>4.1574</v>
      </c>
      <c r="J106" s="7">
        <v>3.9157000000000002</v>
      </c>
    </row>
    <row r="107" spans="1:10" x14ac:dyDescent="0.25">
      <c r="A107" t="s">
        <v>542</v>
      </c>
      <c r="B107" s="2">
        <v>4.04</v>
      </c>
      <c r="C107" s="2">
        <v>3.89</v>
      </c>
      <c r="D107" s="2">
        <v>4.05</v>
      </c>
      <c r="E107" s="2">
        <v>4.29</v>
      </c>
      <c r="F107" s="2">
        <v>3.77</v>
      </c>
      <c r="G107" s="2">
        <v>3.72</v>
      </c>
      <c r="H107" s="7">
        <v>4.6936999999999998</v>
      </c>
      <c r="I107" s="7">
        <v>4.2195</v>
      </c>
      <c r="J107" s="7">
        <v>3.9542000000000002</v>
      </c>
    </row>
    <row r="108" spans="1:10" x14ac:dyDescent="0.25">
      <c r="A108" t="s">
        <v>543</v>
      </c>
      <c r="B108" s="2">
        <v>4.13</v>
      </c>
      <c r="C108" s="2">
        <v>3.99</v>
      </c>
      <c r="D108" s="2">
        <v>4.16</v>
      </c>
      <c r="E108" s="2">
        <v>4.26</v>
      </c>
      <c r="F108" s="2">
        <v>3.76</v>
      </c>
      <c r="G108" s="2">
        <v>3.7</v>
      </c>
      <c r="H108" s="7">
        <v>4.7774000000000001</v>
      </c>
      <c r="I108" s="7">
        <v>4.3205999999999998</v>
      </c>
      <c r="J108" s="7">
        <v>4.0548000000000002</v>
      </c>
    </row>
    <row r="109" spans="1:10" x14ac:dyDescent="0.25">
      <c r="A109" t="s">
        <v>544</v>
      </c>
      <c r="B109" s="2">
        <v>4.38</v>
      </c>
      <c r="C109" s="2">
        <v>4.1399999999999997</v>
      </c>
      <c r="D109" s="2">
        <v>4.22</v>
      </c>
      <c r="E109" s="2">
        <v>4.3099999999999996</v>
      </c>
      <c r="F109" s="2">
        <v>3.75</v>
      </c>
      <c r="G109" s="2">
        <v>3.73</v>
      </c>
      <c r="H109" s="7">
        <v>5.0750000000000002</v>
      </c>
      <c r="I109" s="7">
        <v>4.4794999999999998</v>
      </c>
      <c r="J109" s="7">
        <v>4.1351000000000004</v>
      </c>
    </row>
    <row r="110" spans="1:10" x14ac:dyDescent="0.25">
      <c r="A110" t="s">
        <v>545</v>
      </c>
      <c r="B110" s="2">
        <v>4.55</v>
      </c>
      <c r="C110" s="2">
        <v>4.33</v>
      </c>
      <c r="D110" s="2">
        <v>4.38</v>
      </c>
      <c r="E110" s="2">
        <v>4.5</v>
      </c>
      <c r="F110" s="2">
        <v>3.9</v>
      </c>
      <c r="G110" s="2">
        <v>3.83</v>
      </c>
      <c r="H110" s="7">
        <v>5.2812000000000001</v>
      </c>
      <c r="I110" s="7">
        <v>4.6870000000000003</v>
      </c>
      <c r="J110" s="7">
        <v>4.2996999999999996</v>
      </c>
    </row>
    <row r="111" spans="1:10" x14ac:dyDescent="0.25">
      <c r="A111" t="s">
        <v>546</v>
      </c>
      <c r="B111" s="2">
        <v>4.4800000000000004</v>
      </c>
      <c r="C111" s="2">
        <v>4.2699999999999996</v>
      </c>
      <c r="D111" s="2">
        <v>4.33</v>
      </c>
      <c r="E111" s="2">
        <v>4.54</v>
      </c>
      <c r="F111" s="2">
        <v>3.92</v>
      </c>
      <c r="G111" s="2">
        <v>3.8</v>
      </c>
      <c r="H111" s="7">
        <v>5.1999000000000004</v>
      </c>
      <c r="I111" s="7">
        <v>4.6285999999999996</v>
      </c>
      <c r="J111" s="7">
        <v>4.2568999999999999</v>
      </c>
    </row>
    <row r="112" spans="1:10" x14ac:dyDescent="0.25">
      <c r="A112" t="s">
        <v>547</v>
      </c>
      <c r="B112" s="2">
        <v>4.51</v>
      </c>
      <c r="C112" s="2">
        <v>4.3</v>
      </c>
      <c r="D112" s="2" t="e">
        <v>#N/A</v>
      </c>
      <c r="E112" s="2" t="e">
        <v>#N/A</v>
      </c>
      <c r="F112" s="2" t="e">
        <v>#N/A</v>
      </c>
      <c r="G112" s="2" t="e">
        <v>#N/A</v>
      </c>
      <c r="H112" s="7">
        <v>5.1999000000000004</v>
      </c>
      <c r="I112" s="7">
        <v>4.6285999999999996</v>
      </c>
      <c r="J112" s="7">
        <v>4.2568999999999999</v>
      </c>
    </row>
    <row r="113" spans="1:10" x14ac:dyDescent="0.25">
      <c r="A113" t="s">
        <v>548</v>
      </c>
      <c r="B113" s="2">
        <v>4.4400000000000004</v>
      </c>
      <c r="C113" s="2">
        <v>4.21</v>
      </c>
      <c r="D113" s="2">
        <v>4.24</v>
      </c>
      <c r="E113" s="2">
        <v>4.46</v>
      </c>
      <c r="F113" s="2">
        <v>3.81</v>
      </c>
      <c r="G113" s="2">
        <v>3.69</v>
      </c>
      <c r="H113" s="7">
        <v>5.1773999999999996</v>
      </c>
      <c r="I113" s="7">
        <v>4.5815999999999999</v>
      </c>
      <c r="J113" s="7">
        <v>4.1862000000000004</v>
      </c>
    </row>
    <row r="114" spans="1:10" x14ac:dyDescent="0.25">
      <c r="A114" t="s">
        <v>549</v>
      </c>
      <c r="B114" s="2">
        <v>4.32</v>
      </c>
      <c r="C114" s="2">
        <v>4.0999999999999996</v>
      </c>
      <c r="D114" s="2">
        <v>4.18</v>
      </c>
      <c r="E114" s="2">
        <v>4.4000000000000004</v>
      </c>
      <c r="F114" s="2">
        <v>3.74</v>
      </c>
      <c r="G114" s="2">
        <v>3.64</v>
      </c>
      <c r="H114" s="7">
        <v>5.0442999999999998</v>
      </c>
      <c r="I114" s="7">
        <v>4.4665999999999997</v>
      </c>
      <c r="J114" s="7">
        <v>4.0989000000000004</v>
      </c>
    </row>
    <row r="115" spans="1:10" x14ac:dyDescent="0.25">
      <c r="A115" t="s">
        <v>550</v>
      </c>
      <c r="B115" s="2">
        <v>4.29</v>
      </c>
      <c r="C115" s="2">
        <v>4.0599999999999996</v>
      </c>
      <c r="D115" s="2">
        <v>4.13</v>
      </c>
      <c r="E115" s="2">
        <v>4.33</v>
      </c>
      <c r="F115" s="2">
        <v>3.7</v>
      </c>
      <c r="G115" s="2">
        <v>3.61</v>
      </c>
      <c r="H115" s="7">
        <v>5.0461999999999998</v>
      </c>
      <c r="I115" s="7">
        <v>4.4496000000000002</v>
      </c>
      <c r="J115" s="7">
        <v>4.0632999999999999</v>
      </c>
    </row>
    <row r="116" spans="1:10" x14ac:dyDescent="0.25">
      <c r="A116" t="s">
        <v>551</v>
      </c>
      <c r="B116" s="2">
        <v>4.3600000000000003</v>
      </c>
      <c r="C116" s="2">
        <v>4.0999999999999996</v>
      </c>
      <c r="D116" s="2">
        <v>4.1500000000000004</v>
      </c>
      <c r="E116" s="2">
        <v>4.5</v>
      </c>
      <c r="F116" s="2">
        <v>3.84</v>
      </c>
      <c r="G116" s="2">
        <v>3.69</v>
      </c>
      <c r="H116" s="7">
        <v>5.0845000000000002</v>
      </c>
      <c r="I116" s="7">
        <v>4.4790000000000001</v>
      </c>
      <c r="J116" s="7">
        <v>4.0805999999999996</v>
      </c>
    </row>
    <row r="117" spans="1:10" x14ac:dyDescent="0.25">
      <c r="A117" t="s">
        <v>552</v>
      </c>
      <c r="B117" s="2">
        <v>4.46</v>
      </c>
      <c r="C117" s="2">
        <v>4.18</v>
      </c>
      <c r="D117" s="2">
        <v>4.22</v>
      </c>
      <c r="E117" s="2">
        <v>4.46</v>
      </c>
      <c r="F117" s="2">
        <v>3.82</v>
      </c>
      <c r="G117" s="2">
        <v>3.69</v>
      </c>
      <c r="H117" s="7">
        <v>5.1576000000000004</v>
      </c>
      <c r="I117" s="7">
        <v>4.5580999999999996</v>
      </c>
      <c r="J117" s="7">
        <v>4.1485000000000003</v>
      </c>
    </row>
    <row r="118" spans="1:10" x14ac:dyDescent="0.25">
      <c r="A118" t="s">
        <v>553</v>
      </c>
      <c r="B118" s="2">
        <v>4.46</v>
      </c>
      <c r="C118" s="2">
        <v>4.17</v>
      </c>
      <c r="D118" s="2">
        <v>4.1900000000000004</v>
      </c>
      <c r="E118" s="2">
        <v>4.51</v>
      </c>
      <c r="F118" s="2">
        <v>3.85</v>
      </c>
      <c r="G118" s="2">
        <v>3.7</v>
      </c>
      <c r="H118" s="7">
        <v>5.1515000000000004</v>
      </c>
      <c r="I118" s="7">
        <v>4.5479000000000003</v>
      </c>
      <c r="J118" s="7">
        <v>4.1281999999999996</v>
      </c>
    </row>
    <row r="119" spans="1:10" x14ac:dyDescent="0.25">
      <c r="A119" t="s">
        <v>554</v>
      </c>
      <c r="B119" s="2">
        <v>4.58</v>
      </c>
      <c r="C119" s="2">
        <v>4.26</v>
      </c>
      <c r="D119" s="2">
        <v>4.26</v>
      </c>
      <c r="E119" s="2">
        <v>4.5599999999999996</v>
      </c>
      <c r="F119" s="2">
        <v>3.93</v>
      </c>
      <c r="G119" s="2">
        <v>3.79</v>
      </c>
      <c r="H119" s="7">
        <v>5.2255000000000003</v>
      </c>
      <c r="I119" s="7">
        <v>4.6116000000000001</v>
      </c>
      <c r="J119" s="7">
        <v>4.1840999999999999</v>
      </c>
    </row>
    <row r="120" spans="1:10" x14ac:dyDescent="0.25">
      <c r="A120" t="s">
        <v>555</v>
      </c>
      <c r="B120" s="2">
        <v>4.51</v>
      </c>
      <c r="C120" s="2">
        <v>4.22</v>
      </c>
      <c r="D120" s="2">
        <v>4.25</v>
      </c>
      <c r="E120" s="2">
        <v>4.5199999999999996</v>
      </c>
      <c r="F120" s="2">
        <v>3.87</v>
      </c>
      <c r="G120" s="2">
        <v>3.73</v>
      </c>
      <c r="H120" s="7">
        <v>5.1664000000000003</v>
      </c>
      <c r="I120" s="7">
        <v>4.5777000000000001</v>
      </c>
      <c r="J120" s="7">
        <v>4.1753999999999998</v>
      </c>
    </row>
    <row r="121" spans="1:10" x14ac:dyDescent="0.25">
      <c r="A121" t="s">
        <v>556</v>
      </c>
      <c r="B121" s="2">
        <v>4.5199999999999996</v>
      </c>
      <c r="C121" s="2">
        <v>4.25</v>
      </c>
      <c r="D121" s="2">
        <v>4.24</v>
      </c>
      <c r="E121" s="2">
        <v>4.59</v>
      </c>
      <c r="F121" s="2">
        <v>3.92</v>
      </c>
      <c r="G121" s="2">
        <v>3.75</v>
      </c>
      <c r="H121" s="7">
        <v>5.2267999999999999</v>
      </c>
      <c r="I121" s="7">
        <v>4.6007999999999996</v>
      </c>
      <c r="J121" s="7">
        <v>4.1707999999999998</v>
      </c>
    </row>
    <row r="122" spans="1:10" x14ac:dyDescent="0.25">
      <c r="A122" t="s">
        <v>557</v>
      </c>
      <c r="B122" s="2">
        <v>4.6399999999999997</v>
      </c>
      <c r="C122" s="2">
        <v>4.34</v>
      </c>
      <c r="D122" s="2">
        <v>4.34</v>
      </c>
      <c r="E122" s="2">
        <v>4.55</v>
      </c>
      <c r="F122" s="2">
        <v>3.89</v>
      </c>
      <c r="G122" s="2">
        <v>3.73</v>
      </c>
      <c r="H122" s="7">
        <v>5.2972999999999999</v>
      </c>
      <c r="I122" s="7">
        <v>4.6901000000000002</v>
      </c>
      <c r="J122" s="7">
        <v>4.26</v>
      </c>
    </row>
    <row r="123" spans="1:10" x14ac:dyDescent="0.25">
      <c r="A123" t="s">
        <v>558</v>
      </c>
      <c r="B123" s="2">
        <v>4.88</v>
      </c>
      <c r="C123" s="2">
        <v>4.5199999999999996</v>
      </c>
      <c r="D123" s="2">
        <v>4.43</v>
      </c>
      <c r="E123" s="2">
        <v>4.67</v>
      </c>
      <c r="F123" s="2">
        <v>4.01</v>
      </c>
      <c r="G123" s="2">
        <v>3.84</v>
      </c>
      <c r="H123" s="7">
        <v>5.5575000000000001</v>
      </c>
      <c r="I123" s="7">
        <v>4.8906999999999998</v>
      </c>
      <c r="J123" s="7">
        <v>4.3628999999999998</v>
      </c>
    </row>
    <row r="124" spans="1:10" x14ac:dyDescent="0.25">
      <c r="A124" t="s">
        <v>559</v>
      </c>
      <c r="B124" s="2">
        <v>4.8</v>
      </c>
      <c r="C124" s="2">
        <v>4.45</v>
      </c>
      <c r="D124" s="2">
        <v>4.37</v>
      </c>
      <c r="E124" s="2">
        <v>4.74</v>
      </c>
      <c r="F124" s="2">
        <v>4.0599999999999996</v>
      </c>
      <c r="G124" s="2">
        <v>3.83</v>
      </c>
      <c r="H124" s="7">
        <v>5.4675000000000002</v>
      </c>
      <c r="I124" s="7">
        <v>4.8223000000000003</v>
      </c>
      <c r="J124" s="7">
        <v>4.3091999999999997</v>
      </c>
    </row>
    <row r="125" spans="1:10" x14ac:dyDescent="0.25">
      <c r="A125" t="s">
        <v>560</v>
      </c>
      <c r="B125" s="2">
        <v>4.8899999999999997</v>
      </c>
      <c r="C125" s="2">
        <v>4.51</v>
      </c>
      <c r="D125" s="2">
        <v>4.37</v>
      </c>
      <c r="E125" s="2">
        <v>4.62</v>
      </c>
      <c r="F125" s="2">
        <v>3.91</v>
      </c>
      <c r="G125" s="2">
        <v>3.72</v>
      </c>
      <c r="H125" s="7">
        <v>5.5255000000000001</v>
      </c>
      <c r="I125" s="7">
        <v>4.8562000000000003</v>
      </c>
      <c r="J125" s="7">
        <v>4.2904</v>
      </c>
    </row>
    <row r="126" spans="1:10" x14ac:dyDescent="0.25">
      <c r="A126" t="s">
        <v>561</v>
      </c>
      <c r="B126" s="2">
        <v>4.92</v>
      </c>
      <c r="C126" s="2">
        <v>4.5599999999999996</v>
      </c>
      <c r="D126" s="2">
        <v>4.4000000000000004</v>
      </c>
      <c r="E126" s="2">
        <v>4.7</v>
      </c>
      <c r="F126" s="2">
        <v>3.99</v>
      </c>
      <c r="G126" s="2">
        <v>3.77</v>
      </c>
      <c r="H126" s="7">
        <v>5.5858999999999996</v>
      </c>
      <c r="I126" s="7">
        <v>4.9189999999999996</v>
      </c>
      <c r="J126" s="7">
        <v>4.34</v>
      </c>
    </row>
    <row r="127" spans="1:10" x14ac:dyDescent="0.25">
      <c r="A127" t="s">
        <v>562</v>
      </c>
      <c r="B127" s="2">
        <v>5.08</v>
      </c>
      <c r="C127" s="2">
        <v>4.68</v>
      </c>
      <c r="D127" s="2">
        <v>4.49</v>
      </c>
      <c r="E127" s="2" t="e">
        <v>#N/A</v>
      </c>
      <c r="F127" s="2" t="e">
        <v>#N/A</v>
      </c>
      <c r="G127" s="2" t="e">
        <v>#N/A</v>
      </c>
      <c r="H127" s="7">
        <v>5.6836000000000002</v>
      </c>
      <c r="I127" s="7">
        <v>5.0137</v>
      </c>
      <c r="J127" s="7">
        <v>4.4173999999999998</v>
      </c>
    </row>
    <row r="128" spans="1:10" x14ac:dyDescent="0.25">
      <c r="A128" t="s">
        <v>563</v>
      </c>
      <c r="B128" s="2">
        <v>4.9400000000000004</v>
      </c>
      <c r="C128" s="2">
        <v>4.5</v>
      </c>
      <c r="D128" s="2">
        <v>4.33</v>
      </c>
      <c r="E128" s="2">
        <v>4.68</v>
      </c>
      <c r="F128" s="2">
        <v>3.96</v>
      </c>
      <c r="G128" s="2">
        <v>3.74</v>
      </c>
      <c r="H128" s="7">
        <v>5.5879000000000003</v>
      </c>
      <c r="I128" s="7">
        <v>4.867</v>
      </c>
      <c r="J128" s="7">
        <v>4.2731000000000003</v>
      </c>
    </row>
    <row r="129" spans="1:10" x14ac:dyDescent="0.25">
      <c r="A129" t="s">
        <v>564</v>
      </c>
      <c r="B129" s="2">
        <v>5.05</v>
      </c>
      <c r="C129" s="2">
        <v>4.58</v>
      </c>
      <c r="D129" s="2">
        <v>4.4000000000000004</v>
      </c>
      <c r="E129" s="2">
        <v>4.68</v>
      </c>
      <c r="F129" s="2">
        <v>3.95</v>
      </c>
      <c r="G129" s="2">
        <v>3.72</v>
      </c>
      <c r="H129" s="7">
        <v>5.7111000000000001</v>
      </c>
      <c r="I129" s="7">
        <v>4.9581</v>
      </c>
      <c r="J129" s="7">
        <v>4.3399000000000001</v>
      </c>
    </row>
    <row r="130" spans="1:10" x14ac:dyDescent="0.25">
      <c r="A130" t="s">
        <v>565</v>
      </c>
      <c r="B130" s="2">
        <v>5.07</v>
      </c>
      <c r="C130" s="2">
        <v>4.55</v>
      </c>
      <c r="D130" s="2">
        <v>4.3600000000000003</v>
      </c>
      <c r="E130" s="2">
        <v>4.7699999999999996</v>
      </c>
      <c r="F130" s="2">
        <v>4.03</v>
      </c>
      <c r="G130" s="2">
        <v>3.8</v>
      </c>
      <c r="H130" s="7">
        <v>5.7695999999999996</v>
      </c>
      <c r="I130" s="7">
        <v>4.9391999999999996</v>
      </c>
      <c r="J130" s="7">
        <v>4.3212000000000002</v>
      </c>
    </row>
    <row r="131" spans="1:10" x14ac:dyDescent="0.25">
      <c r="A131" t="s">
        <v>566</v>
      </c>
      <c r="B131" s="2">
        <v>5.18</v>
      </c>
      <c r="C131" s="2">
        <v>4.58</v>
      </c>
      <c r="D131" s="2">
        <v>4.33</v>
      </c>
      <c r="E131" s="2">
        <v>4.71</v>
      </c>
      <c r="F131" s="2">
        <v>3.99</v>
      </c>
      <c r="G131" s="2">
        <v>3.74</v>
      </c>
      <c r="H131" s="7">
        <v>5.8532999999999999</v>
      </c>
      <c r="I131" s="7">
        <v>4.9607000000000001</v>
      </c>
      <c r="J131" s="7">
        <v>4.2969999999999997</v>
      </c>
    </row>
    <row r="132" spans="1:10" x14ac:dyDescent="0.25">
      <c r="A132" t="s">
        <v>567</v>
      </c>
      <c r="B132" s="2">
        <v>5.14</v>
      </c>
      <c r="C132" s="2">
        <v>4.54</v>
      </c>
      <c r="D132" s="2">
        <v>4.29</v>
      </c>
      <c r="E132" s="2">
        <v>4.6500000000000004</v>
      </c>
      <c r="F132" s="2">
        <v>3.96</v>
      </c>
      <c r="G132" s="2">
        <v>3.72</v>
      </c>
      <c r="H132" s="7">
        <v>5.8437000000000001</v>
      </c>
      <c r="I132" s="7">
        <v>4.9470999999999998</v>
      </c>
      <c r="J132" s="7">
        <v>4.2579000000000002</v>
      </c>
    </row>
    <row r="133" spans="1:10" x14ac:dyDescent="0.25">
      <c r="A133" t="s">
        <v>568</v>
      </c>
      <c r="B133" s="2">
        <v>5.26</v>
      </c>
      <c r="C133" s="2">
        <v>4.67</v>
      </c>
      <c r="D133" s="2">
        <v>4.37</v>
      </c>
      <c r="E133" s="2">
        <v>4.74</v>
      </c>
      <c r="F133" s="2">
        <v>4.0199999999999996</v>
      </c>
      <c r="G133" s="2">
        <v>3.77</v>
      </c>
      <c r="H133" s="7">
        <v>5.9463999999999997</v>
      </c>
      <c r="I133" s="7">
        <v>5.0652999999999997</v>
      </c>
      <c r="J133" s="7">
        <v>4.3181000000000003</v>
      </c>
    </row>
    <row r="134" spans="1:10" x14ac:dyDescent="0.25">
      <c r="A134" t="s">
        <v>569</v>
      </c>
      <c r="B134" s="2">
        <v>5.13</v>
      </c>
      <c r="C134" s="2">
        <v>4.5599999999999996</v>
      </c>
      <c r="D134" s="2">
        <v>4.3099999999999996</v>
      </c>
      <c r="E134" s="2">
        <v>4.71</v>
      </c>
      <c r="F134" s="2">
        <v>3.97</v>
      </c>
      <c r="G134" s="2">
        <v>3.71</v>
      </c>
      <c r="H134" s="7">
        <v>5.827</v>
      </c>
      <c r="I134" s="7">
        <v>4.9683999999999999</v>
      </c>
      <c r="J134" s="7">
        <v>4.2756999999999996</v>
      </c>
    </row>
    <row r="135" spans="1:10" x14ac:dyDescent="0.25">
      <c r="A135" t="s">
        <v>570</v>
      </c>
      <c r="B135" s="2">
        <v>5.22</v>
      </c>
      <c r="C135" s="2">
        <v>4.63</v>
      </c>
      <c r="D135" s="2">
        <v>4.3899999999999997</v>
      </c>
      <c r="E135" s="2">
        <v>4.87</v>
      </c>
      <c r="F135" s="2">
        <v>4.1399999999999997</v>
      </c>
      <c r="G135" s="2">
        <v>3.85</v>
      </c>
      <c r="H135" s="7">
        <v>5.9241999999999999</v>
      </c>
      <c r="I135" s="7">
        <v>5.0486000000000004</v>
      </c>
      <c r="J135" s="7">
        <v>4.3445</v>
      </c>
    </row>
    <row r="136" spans="1:10" x14ac:dyDescent="0.25">
      <c r="A136" t="s">
        <v>571</v>
      </c>
      <c r="B136" s="2">
        <v>5.27</v>
      </c>
      <c r="C136" s="2">
        <v>4.66</v>
      </c>
      <c r="D136" s="2">
        <v>4.3899999999999997</v>
      </c>
      <c r="E136" s="2">
        <v>4.87</v>
      </c>
      <c r="F136" s="2">
        <v>4.13</v>
      </c>
      <c r="G136" s="2">
        <v>3.81</v>
      </c>
      <c r="H136" s="7">
        <v>5.9565999999999999</v>
      </c>
      <c r="I136" s="7">
        <v>5.0827999999999998</v>
      </c>
      <c r="J136" s="7">
        <v>4.3640999999999996</v>
      </c>
    </row>
    <row r="137" spans="1:10" x14ac:dyDescent="0.25">
      <c r="A137" t="s">
        <v>572</v>
      </c>
      <c r="B137" s="2">
        <v>5.35</v>
      </c>
      <c r="C137" s="2">
        <v>4.7300000000000004</v>
      </c>
      <c r="D137" s="2">
        <v>4.45</v>
      </c>
      <c r="E137" s="2">
        <v>4.9400000000000004</v>
      </c>
      <c r="F137" s="2">
        <v>4.1900000000000004</v>
      </c>
      <c r="G137" s="2">
        <v>3.86</v>
      </c>
      <c r="H137" s="7">
        <v>6.0110999999999999</v>
      </c>
      <c r="I137" s="7">
        <v>5.1567999999999996</v>
      </c>
      <c r="J137" s="7">
        <v>4.4185999999999996</v>
      </c>
    </row>
    <row r="138" spans="1:10" x14ac:dyDescent="0.25">
      <c r="A138" t="s">
        <v>573</v>
      </c>
      <c r="B138" s="2">
        <v>5.31</v>
      </c>
      <c r="C138" s="2">
        <v>4.6900000000000004</v>
      </c>
      <c r="D138" s="2">
        <v>4.42</v>
      </c>
      <c r="E138" s="2" t="e">
        <v>#N/A</v>
      </c>
      <c r="F138" s="2" t="e">
        <v>#N/A</v>
      </c>
      <c r="G138" s="2" t="e">
        <v>#N/A</v>
      </c>
      <c r="H138" s="7">
        <v>6.0133999999999999</v>
      </c>
      <c r="I138" s="7">
        <v>5.1524999999999999</v>
      </c>
      <c r="J138" s="7">
        <v>4.4040999999999997</v>
      </c>
    </row>
    <row r="139" spans="1:10" x14ac:dyDescent="0.25">
      <c r="A139" t="s">
        <v>574</v>
      </c>
      <c r="B139" s="2">
        <v>5.38</v>
      </c>
      <c r="C139" s="2">
        <v>4.79</v>
      </c>
      <c r="D139" s="2">
        <v>4.51</v>
      </c>
      <c r="E139" s="2">
        <v>4.9400000000000004</v>
      </c>
      <c r="F139" s="2">
        <v>4.25</v>
      </c>
      <c r="G139" s="2">
        <v>3.95</v>
      </c>
      <c r="H139" s="7">
        <v>6.1243999999999996</v>
      </c>
      <c r="I139" s="7">
        <v>5.2553999999999998</v>
      </c>
      <c r="J139" s="7">
        <v>4.4884000000000004</v>
      </c>
    </row>
    <row r="140" spans="1:10" x14ac:dyDescent="0.25">
      <c r="A140" t="s">
        <v>575</v>
      </c>
      <c r="B140" s="2">
        <v>5.49</v>
      </c>
      <c r="C140" s="2">
        <v>4.9000000000000004</v>
      </c>
      <c r="D140" s="2">
        <v>4.6500000000000004</v>
      </c>
      <c r="E140" s="2">
        <v>4.99</v>
      </c>
      <c r="F140" s="2">
        <v>4.37</v>
      </c>
      <c r="G140" s="2">
        <v>4.05</v>
      </c>
      <c r="H140" s="7">
        <v>6.2378</v>
      </c>
      <c r="I140" s="7">
        <v>5.3777999999999997</v>
      </c>
      <c r="J140" s="7">
        <v>4.6494</v>
      </c>
    </row>
    <row r="141" spans="1:10" x14ac:dyDescent="0.25">
      <c r="A141" t="s">
        <v>576</v>
      </c>
      <c r="B141" s="2">
        <v>5.38</v>
      </c>
      <c r="C141" s="2">
        <v>4.84</v>
      </c>
      <c r="D141" s="2">
        <v>4.6399999999999997</v>
      </c>
      <c r="E141" s="2">
        <v>4.9400000000000004</v>
      </c>
      <c r="F141" s="2">
        <v>4.3499999999999996</v>
      </c>
      <c r="G141" s="2">
        <v>4.0599999999999996</v>
      </c>
      <c r="H141" s="7">
        <v>6.1138000000000003</v>
      </c>
      <c r="I141" s="7">
        <v>5.2907999999999999</v>
      </c>
      <c r="J141" s="7">
        <v>4.6058000000000003</v>
      </c>
    </row>
    <row r="142" spans="1:10" x14ac:dyDescent="0.25">
      <c r="A142" t="s">
        <v>577</v>
      </c>
      <c r="B142" s="2">
        <v>5.38</v>
      </c>
      <c r="C142" s="2">
        <v>4.8499999999999996</v>
      </c>
      <c r="D142" s="2">
        <v>4.6399999999999997</v>
      </c>
      <c r="E142" s="2">
        <v>4.8499999999999996</v>
      </c>
      <c r="F142" s="2">
        <v>4.25</v>
      </c>
      <c r="G142" s="2">
        <v>4.01</v>
      </c>
      <c r="H142" s="7">
        <v>6.1327999999999996</v>
      </c>
      <c r="I142" s="7">
        <v>5.3193999999999999</v>
      </c>
      <c r="J142" s="7">
        <v>4.6189</v>
      </c>
    </row>
    <row r="143" spans="1:10" x14ac:dyDescent="0.25">
      <c r="A143" t="s">
        <v>578</v>
      </c>
      <c r="B143" s="2">
        <v>5.41</v>
      </c>
      <c r="C143" s="2">
        <v>4.87</v>
      </c>
      <c r="D143" s="2">
        <v>4.6500000000000004</v>
      </c>
      <c r="E143" s="2">
        <v>4.88</v>
      </c>
      <c r="F143" s="2">
        <v>4.24</v>
      </c>
      <c r="G143" s="2">
        <v>3.99</v>
      </c>
      <c r="H143" s="7">
        <v>6.1853999999999996</v>
      </c>
      <c r="I143" s="7">
        <v>5.3414999999999999</v>
      </c>
      <c r="J143" s="7">
        <v>4.6337000000000002</v>
      </c>
    </row>
    <row r="144" spans="1:10" x14ac:dyDescent="0.25">
      <c r="A144" t="s">
        <v>579</v>
      </c>
      <c r="B144" s="2">
        <v>5.22</v>
      </c>
      <c r="C144" s="2">
        <v>4.6900000000000004</v>
      </c>
      <c r="D144" s="2">
        <v>4.51</v>
      </c>
      <c r="E144" s="2">
        <v>4.72</v>
      </c>
      <c r="F144" s="2">
        <v>4.07</v>
      </c>
      <c r="G144" s="2">
        <v>3.86</v>
      </c>
      <c r="H144" s="7">
        <v>5.9554</v>
      </c>
      <c r="I144" s="7">
        <v>5.1372</v>
      </c>
      <c r="J144" s="7">
        <v>4.4946999999999999</v>
      </c>
    </row>
    <row r="145" spans="1:10" x14ac:dyDescent="0.25">
      <c r="A145" t="s">
        <v>580</v>
      </c>
      <c r="B145" s="2">
        <v>5.1100000000000003</v>
      </c>
      <c r="C145" s="2">
        <v>4.54</v>
      </c>
      <c r="D145" s="2">
        <v>4.41</v>
      </c>
      <c r="E145" s="2">
        <v>4.59</v>
      </c>
      <c r="F145" s="2">
        <v>3.93</v>
      </c>
      <c r="G145" s="2">
        <v>3.76</v>
      </c>
      <c r="H145" s="7">
        <v>5.8395999999999999</v>
      </c>
      <c r="I145" s="7">
        <v>5.0053999999999998</v>
      </c>
      <c r="J145" s="7">
        <v>4.3952999999999998</v>
      </c>
    </row>
    <row r="146" spans="1:10" x14ac:dyDescent="0.25">
      <c r="A146" t="s">
        <v>581</v>
      </c>
      <c r="B146" s="2">
        <v>5.19</v>
      </c>
      <c r="C146" s="2">
        <v>4.59</v>
      </c>
      <c r="D146" s="2">
        <v>4.4400000000000004</v>
      </c>
      <c r="E146" s="2">
        <v>4.74</v>
      </c>
      <c r="F146" s="2">
        <v>4.04</v>
      </c>
      <c r="G146" s="2">
        <v>3.83</v>
      </c>
      <c r="H146" s="7">
        <v>5.9447999999999999</v>
      </c>
      <c r="I146" s="7">
        <v>5.0801999999999996</v>
      </c>
      <c r="J146" s="7">
        <v>4.4356999999999998</v>
      </c>
    </row>
    <row r="147" spans="1:10" x14ac:dyDescent="0.25">
      <c r="A147" t="s">
        <v>582</v>
      </c>
      <c r="B147" s="2">
        <v>5.15</v>
      </c>
      <c r="C147" s="2">
        <v>4.55</v>
      </c>
      <c r="D147" s="2">
        <v>4.43</v>
      </c>
      <c r="E147" s="2">
        <v>4.74</v>
      </c>
      <c r="F147" s="2">
        <v>4.0199999999999996</v>
      </c>
      <c r="G147" s="2">
        <v>3.81</v>
      </c>
      <c r="H147" s="7">
        <v>5.8613999999999997</v>
      </c>
      <c r="I147" s="7">
        <v>5.0221999999999998</v>
      </c>
      <c r="J147" s="7">
        <v>4.4108999999999998</v>
      </c>
    </row>
    <row r="148" spans="1:10" x14ac:dyDescent="0.25">
      <c r="A148" t="s">
        <v>583</v>
      </c>
      <c r="B148" s="2">
        <v>5.09</v>
      </c>
      <c r="C148" s="2">
        <v>4.4800000000000004</v>
      </c>
      <c r="D148" s="2">
        <v>4.3499999999999996</v>
      </c>
      <c r="E148" s="2">
        <v>4.74</v>
      </c>
      <c r="F148" s="2">
        <v>4</v>
      </c>
      <c r="G148" s="2">
        <v>3.8</v>
      </c>
      <c r="H148" s="7">
        <v>5.7542</v>
      </c>
      <c r="I148" s="7">
        <v>4.9267000000000003</v>
      </c>
      <c r="J148" s="7">
        <v>4.3182</v>
      </c>
    </row>
    <row r="149" spans="1:10" x14ac:dyDescent="0.25">
      <c r="A149" t="s">
        <v>584</v>
      </c>
      <c r="B149" s="2">
        <v>4.8499999999999996</v>
      </c>
      <c r="C149" s="2">
        <v>4.2699999999999996</v>
      </c>
      <c r="D149" s="2">
        <v>4.18</v>
      </c>
      <c r="E149" s="2">
        <v>4.74</v>
      </c>
      <c r="F149" s="2">
        <v>3.98</v>
      </c>
      <c r="G149" s="2">
        <v>3.75</v>
      </c>
      <c r="H149" s="7">
        <v>5.5278</v>
      </c>
      <c r="I149" s="7">
        <v>4.7171000000000003</v>
      </c>
      <c r="J149" s="7">
        <v>4.1590999999999996</v>
      </c>
    </row>
    <row r="150" spans="1:10" x14ac:dyDescent="0.25">
      <c r="A150" t="s">
        <v>585</v>
      </c>
      <c r="B150" s="2">
        <v>4.9800000000000004</v>
      </c>
      <c r="C150" s="2">
        <v>4.3899999999999997</v>
      </c>
      <c r="D150" s="2">
        <v>4.28</v>
      </c>
      <c r="E150" s="2">
        <v>4.8</v>
      </c>
      <c r="F150" s="2">
        <v>4.08</v>
      </c>
      <c r="G150" s="2">
        <v>3.85</v>
      </c>
      <c r="H150" s="7">
        <v>5.6383999999999999</v>
      </c>
      <c r="I150" s="7">
        <v>4.8173000000000004</v>
      </c>
      <c r="J150" s="7">
        <v>4.2416</v>
      </c>
    </row>
    <row r="151" spans="1:10" x14ac:dyDescent="0.25">
      <c r="A151" t="s">
        <v>586</v>
      </c>
      <c r="B151" s="2">
        <v>4.93</v>
      </c>
      <c r="C151" s="2">
        <v>4.3600000000000003</v>
      </c>
      <c r="D151" s="2">
        <v>4.2699999999999996</v>
      </c>
      <c r="E151" s="2">
        <v>4.82</v>
      </c>
      <c r="F151" s="2">
        <v>4.09</v>
      </c>
      <c r="G151" s="2">
        <v>3.84</v>
      </c>
      <c r="H151" s="7">
        <v>5.6144999999999996</v>
      </c>
      <c r="I151" s="7">
        <v>4.8023999999999996</v>
      </c>
      <c r="J151" s="7">
        <v>4.2323000000000004</v>
      </c>
    </row>
    <row r="152" spans="1:10" x14ac:dyDescent="0.25">
      <c r="A152" t="s">
        <v>587</v>
      </c>
      <c r="B152" s="2">
        <v>4.9400000000000004</v>
      </c>
      <c r="C152" s="2">
        <v>4.34</v>
      </c>
      <c r="D152" s="2">
        <v>4.26</v>
      </c>
      <c r="E152" s="2">
        <v>4.8099999999999996</v>
      </c>
      <c r="F152" s="2">
        <v>4.13</v>
      </c>
      <c r="G152" s="2">
        <v>3.86</v>
      </c>
      <c r="H152" s="7">
        <v>5.5846</v>
      </c>
      <c r="I152" s="7">
        <v>4.7782999999999998</v>
      </c>
      <c r="J152" s="7">
        <v>4.2201000000000004</v>
      </c>
    </row>
    <row r="153" spans="1:10" x14ac:dyDescent="0.25">
      <c r="A153" t="s">
        <v>588</v>
      </c>
      <c r="B153" s="2">
        <v>4.97</v>
      </c>
      <c r="C153" s="2">
        <v>4.3600000000000003</v>
      </c>
      <c r="D153" s="2">
        <v>4.2699999999999996</v>
      </c>
      <c r="E153" s="2">
        <v>4.8499999999999996</v>
      </c>
      <c r="F153" s="2">
        <v>4.1500000000000004</v>
      </c>
      <c r="G153" s="2">
        <v>3.91</v>
      </c>
      <c r="H153" s="7">
        <v>5.6083999999999996</v>
      </c>
      <c r="I153" s="7">
        <v>4.7899000000000003</v>
      </c>
      <c r="J153" s="7">
        <v>4.2214999999999998</v>
      </c>
    </row>
    <row r="154" spans="1:10" x14ac:dyDescent="0.25">
      <c r="A154" t="s">
        <v>589</v>
      </c>
      <c r="B154" s="2">
        <v>5.03</v>
      </c>
      <c r="C154" s="2">
        <v>4.4400000000000004</v>
      </c>
      <c r="D154" s="2">
        <v>4.29</v>
      </c>
      <c r="E154" s="2">
        <v>4.82</v>
      </c>
      <c r="F154" s="2">
        <v>4.09</v>
      </c>
      <c r="G154" s="2">
        <v>3.86</v>
      </c>
      <c r="H154" s="7">
        <v>5.7096999999999998</v>
      </c>
      <c r="I154" s="7">
        <v>4.8670999999999998</v>
      </c>
      <c r="J154" s="7">
        <v>4.2503000000000002</v>
      </c>
    </row>
    <row r="155" spans="1:10" x14ac:dyDescent="0.25">
      <c r="A155" t="s">
        <v>590</v>
      </c>
      <c r="B155" s="2">
        <v>5.0199999999999996</v>
      </c>
      <c r="C155" s="2">
        <v>4.42</v>
      </c>
      <c r="D155" s="2">
        <v>4.3099999999999996</v>
      </c>
      <c r="E155" s="2">
        <v>4.91</v>
      </c>
      <c r="F155" s="2">
        <v>4.24</v>
      </c>
      <c r="G155" s="2">
        <v>4.01</v>
      </c>
      <c r="H155" s="7">
        <v>5.6505999999999998</v>
      </c>
      <c r="I155" s="7">
        <v>4.8543000000000003</v>
      </c>
      <c r="J155" s="7">
        <v>4.2835000000000001</v>
      </c>
    </row>
    <row r="156" spans="1:10" x14ac:dyDescent="0.25">
      <c r="A156" t="s">
        <v>591</v>
      </c>
      <c r="B156" s="2">
        <v>4.9800000000000004</v>
      </c>
      <c r="C156" s="2">
        <v>4.41</v>
      </c>
      <c r="D156" s="2">
        <v>4.33</v>
      </c>
      <c r="E156" s="2">
        <v>4.87</v>
      </c>
      <c r="F156" s="2">
        <v>4.18</v>
      </c>
      <c r="G156" s="2">
        <v>3.96</v>
      </c>
      <c r="H156" s="7">
        <v>5.5975999999999999</v>
      </c>
      <c r="I156" s="7">
        <v>4.8262999999999998</v>
      </c>
      <c r="J156" s="7">
        <v>4.2831000000000001</v>
      </c>
    </row>
    <row r="157" spans="1:10" x14ac:dyDescent="0.25">
      <c r="A157" t="s">
        <v>592</v>
      </c>
      <c r="B157" s="2">
        <v>4.97</v>
      </c>
      <c r="C157" s="2">
        <v>4.37</v>
      </c>
      <c r="D157" s="2">
        <v>4.3</v>
      </c>
      <c r="E157" s="2">
        <v>4.88</v>
      </c>
      <c r="F157" s="2">
        <v>4.18</v>
      </c>
      <c r="G157" s="2">
        <v>3.97</v>
      </c>
      <c r="H157" s="7">
        <v>5.5972</v>
      </c>
      <c r="I157" s="7">
        <v>4.8061999999999996</v>
      </c>
      <c r="J157" s="7">
        <v>4.2552000000000003</v>
      </c>
    </row>
    <row r="158" spans="1:10" x14ac:dyDescent="0.25">
      <c r="A158" t="s">
        <v>593</v>
      </c>
      <c r="B158" s="2">
        <v>5.0599999999999996</v>
      </c>
      <c r="C158" s="2">
        <v>4.49</v>
      </c>
      <c r="D158" s="2">
        <v>4.41</v>
      </c>
      <c r="E158" s="2">
        <v>4.92</v>
      </c>
      <c r="F158" s="2">
        <v>4.24</v>
      </c>
      <c r="G158" s="2">
        <v>4.05</v>
      </c>
      <c r="H158" s="7">
        <v>5.66</v>
      </c>
      <c r="I158" s="7">
        <v>4.9074</v>
      </c>
      <c r="J158" s="7">
        <v>4.3597999999999999</v>
      </c>
    </row>
    <row r="159" spans="1:10" x14ac:dyDescent="0.25">
      <c r="A159" t="s">
        <v>594</v>
      </c>
      <c r="B159" s="2">
        <v>4.99</v>
      </c>
      <c r="C159" s="2">
        <v>4.4400000000000004</v>
      </c>
      <c r="D159" s="2">
        <v>4.4000000000000004</v>
      </c>
      <c r="E159" s="2">
        <v>4.88</v>
      </c>
      <c r="F159" s="2">
        <v>4.24</v>
      </c>
      <c r="G159" s="2">
        <v>4.08</v>
      </c>
      <c r="H159" s="7">
        <v>5.5747999999999998</v>
      </c>
      <c r="I159" s="7">
        <v>4.8436000000000003</v>
      </c>
      <c r="J159" s="7">
        <v>4.3353000000000002</v>
      </c>
    </row>
    <row r="160" spans="1:10" x14ac:dyDescent="0.25">
      <c r="A160" t="s">
        <v>595</v>
      </c>
      <c r="B160" s="2">
        <v>4.95</v>
      </c>
      <c r="C160" s="2">
        <v>4.45</v>
      </c>
      <c r="D160" s="2">
        <v>4.46</v>
      </c>
      <c r="E160" s="2">
        <v>4.9000000000000004</v>
      </c>
      <c r="F160" s="2">
        <v>4.3</v>
      </c>
      <c r="G160" s="2">
        <v>4.2</v>
      </c>
      <c r="H160" s="7">
        <v>5.5357000000000003</v>
      </c>
      <c r="I160" s="7">
        <v>4.8558000000000003</v>
      </c>
      <c r="J160" s="7">
        <v>4.4013999999999998</v>
      </c>
    </row>
    <row r="161" spans="1:10" x14ac:dyDescent="0.25">
      <c r="A161" t="s">
        <v>596</v>
      </c>
      <c r="B161" s="2">
        <v>4.8899999999999997</v>
      </c>
      <c r="C161" s="2">
        <v>4.4000000000000004</v>
      </c>
      <c r="D161" s="2">
        <v>4.38</v>
      </c>
      <c r="E161" s="2">
        <v>4.78</v>
      </c>
      <c r="F161" s="2">
        <v>4.1500000000000004</v>
      </c>
      <c r="G161" s="2">
        <v>4.05</v>
      </c>
      <c r="H161" s="7">
        <v>5.5254000000000003</v>
      </c>
      <c r="I161" s="7">
        <v>4.8118999999999996</v>
      </c>
      <c r="J161" s="7">
        <v>4.3183999999999996</v>
      </c>
    </row>
    <row r="162" spans="1:10" x14ac:dyDescent="0.25">
      <c r="A162" t="s">
        <v>597</v>
      </c>
      <c r="B162" s="2">
        <v>4.9400000000000004</v>
      </c>
      <c r="C162" s="2">
        <v>4.45</v>
      </c>
      <c r="D162" s="2">
        <v>4.45</v>
      </c>
      <c r="E162" s="2">
        <v>4.76</v>
      </c>
      <c r="F162" s="2">
        <v>4.16</v>
      </c>
      <c r="G162" s="2">
        <v>4.09</v>
      </c>
      <c r="H162" s="7">
        <v>5.5355999999999996</v>
      </c>
      <c r="I162" s="7">
        <v>4.8658000000000001</v>
      </c>
      <c r="J162" s="7">
        <v>4.3959999999999999</v>
      </c>
    </row>
    <row r="163" spans="1:10" x14ac:dyDescent="0.25">
      <c r="A163" t="s">
        <v>598</v>
      </c>
      <c r="B163" s="2">
        <v>4.8499999999999996</v>
      </c>
      <c r="C163" s="2">
        <v>4.42</v>
      </c>
      <c r="D163" s="2">
        <v>4.3899999999999997</v>
      </c>
      <c r="E163" s="2">
        <v>4.74</v>
      </c>
      <c r="F163" s="2">
        <v>4.0999999999999996</v>
      </c>
      <c r="G163" s="2">
        <v>4.0199999999999996</v>
      </c>
      <c r="H163" s="7">
        <v>5.5274000000000001</v>
      </c>
      <c r="I163" s="7">
        <v>4.8367000000000004</v>
      </c>
      <c r="J163" s="7">
        <v>4.3360000000000003</v>
      </c>
    </row>
    <row r="164" spans="1:10" x14ac:dyDescent="0.25">
      <c r="A164" t="s">
        <v>599</v>
      </c>
      <c r="B164" s="2">
        <v>4.92</v>
      </c>
      <c r="C164" s="2">
        <v>4.41</v>
      </c>
      <c r="D164" s="2">
        <v>4.37</v>
      </c>
      <c r="E164" s="2">
        <v>4.79</v>
      </c>
      <c r="F164" s="2">
        <v>4.12</v>
      </c>
      <c r="G164" s="2">
        <v>4</v>
      </c>
      <c r="H164" s="7">
        <v>5.5065999999999997</v>
      </c>
      <c r="I164" s="7">
        <v>4.8117000000000001</v>
      </c>
      <c r="J164" s="7">
        <v>4.3155000000000001</v>
      </c>
    </row>
    <row r="165" spans="1:10" x14ac:dyDescent="0.25">
      <c r="A165" t="s">
        <v>600</v>
      </c>
      <c r="B165" s="2">
        <v>4.9000000000000004</v>
      </c>
      <c r="C165" s="2">
        <v>4.4000000000000004</v>
      </c>
      <c r="D165" s="2">
        <v>4.37</v>
      </c>
      <c r="E165" s="2">
        <v>4.82</v>
      </c>
      <c r="F165" s="2">
        <v>4.21</v>
      </c>
      <c r="G165" s="2">
        <v>4.09</v>
      </c>
      <c r="H165" s="7">
        <v>5.4744999999999999</v>
      </c>
      <c r="I165" s="7">
        <v>4.7858000000000001</v>
      </c>
      <c r="J165" s="7">
        <v>4.3106</v>
      </c>
    </row>
    <row r="166" spans="1:10" x14ac:dyDescent="0.25">
      <c r="A166" t="s">
        <v>601</v>
      </c>
      <c r="B166" s="2">
        <v>5.03</v>
      </c>
      <c r="C166" s="2">
        <v>4.53</v>
      </c>
      <c r="D166" s="2">
        <v>4.53</v>
      </c>
      <c r="E166" s="2">
        <v>4.8899999999999997</v>
      </c>
      <c r="F166" s="2">
        <v>4.3099999999999996</v>
      </c>
      <c r="G166" s="2">
        <v>4.16</v>
      </c>
      <c r="H166" s="7">
        <v>5.5903</v>
      </c>
      <c r="I166" s="7">
        <v>4.9298999999999999</v>
      </c>
      <c r="J166" s="7">
        <v>4.4654999999999996</v>
      </c>
    </row>
    <row r="167" spans="1:10" x14ac:dyDescent="0.25">
      <c r="A167" t="s">
        <v>602</v>
      </c>
      <c r="B167" s="2">
        <v>5.0599999999999996</v>
      </c>
      <c r="C167" s="2">
        <v>4.5599999999999996</v>
      </c>
      <c r="D167" s="2">
        <v>4.5599999999999996</v>
      </c>
      <c r="E167" s="2">
        <v>4.96</v>
      </c>
      <c r="F167" s="2">
        <v>4.3600000000000003</v>
      </c>
      <c r="G167" s="2">
        <v>4.1900000000000004</v>
      </c>
      <c r="H167" s="7">
        <v>5.6515000000000004</v>
      </c>
      <c r="I167" s="7">
        <v>4.9702000000000002</v>
      </c>
      <c r="J167" s="7">
        <v>4.4837999999999996</v>
      </c>
    </row>
    <row r="168" spans="1:10" x14ac:dyDescent="0.25">
      <c r="A168" t="s">
        <v>603</v>
      </c>
      <c r="B168" s="2">
        <v>5.12</v>
      </c>
      <c r="C168" s="2">
        <v>4.6100000000000003</v>
      </c>
      <c r="D168" s="2">
        <v>4.5999999999999996</v>
      </c>
      <c r="E168" s="2">
        <v>4.92</v>
      </c>
      <c r="F168" s="2">
        <v>4.3600000000000003</v>
      </c>
      <c r="G168" s="2">
        <v>4.21</v>
      </c>
      <c r="H168" s="7">
        <v>5.7230999999999996</v>
      </c>
      <c r="I168" s="7">
        <v>5.0060000000000002</v>
      </c>
      <c r="J168" s="7">
        <v>4.5141</v>
      </c>
    </row>
    <row r="169" spans="1:10" x14ac:dyDescent="0.25">
      <c r="A169" t="s">
        <v>604</v>
      </c>
      <c r="B169" s="2">
        <v>5.17</v>
      </c>
      <c r="C169" s="2">
        <v>4.6500000000000004</v>
      </c>
      <c r="D169" s="2">
        <v>4.6399999999999997</v>
      </c>
      <c r="E169" s="2">
        <v>4.97</v>
      </c>
      <c r="F169" s="2">
        <v>4.42</v>
      </c>
      <c r="G169" s="2">
        <v>4.28</v>
      </c>
      <c r="H169" s="7">
        <v>5.7763</v>
      </c>
      <c r="I169" s="7">
        <v>5.0720999999999998</v>
      </c>
      <c r="J169" s="7">
        <v>4.5827999999999998</v>
      </c>
    </row>
    <row r="170" spans="1:10" x14ac:dyDescent="0.25">
      <c r="A170" t="s">
        <v>605</v>
      </c>
      <c r="B170" s="2">
        <v>5.27</v>
      </c>
      <c r="C170" s="2">
        <v>4.75</v>
      </c>
      <c r="D170" s="2">
        <v>4.75</v>
      </c>
      <c r="E170" s="2">
        <v>4.9400000000000004</v>
      </c>
      <c r="F170" s="2">
        <v>4.42</v>
      </c>
      <c r="G170" s="2">
        <v>4.3</v>
      </c>
      <c r="H170" s="7">
        <v>5.8765999999999998</v>
      </c>
      <c r="I170" s="7">
        <v>5.1856</v>
      </c>
      <c r="J170" s="7">
        <v>4.6851000000000003</v>
      </c>
    </row>
    <row r="171" spans="1:10" x14ac:dyDescent="0.25">
      <c r="A171" t="s">
        <v>606</v>
      </c>
      <c r="B171" s="2">
        <v>5.19</v>
      </c>
      <c r="C171" s="2">
        <v>4.6900000000000004</v>
      </c>
      <c r="D171" s="2">
        <v>4.67</v>
      </c>
      <c r="E171" s="2">
        <v>4.92</v>
      </c>
      <c r="F171" s="2">
        <v>4.38</v>
      </c>
      <c r="G171" s="2">
        <v>4.26</v>
      </c>
      <c r="H171" s="7">
        <v>5.7718999999999996</v>
      </c>
      <c r="I171" s="7">
        <v>5.0970000000000004</v>
      </c>
      <c r="J171" s="7">
        <v>4.6071999999999997</v>
      </c>
    </row>
    <row r="172" spans="1:10" x14ac:dyDescent="0.25">
      <c r="A172" t="s">
        <v>607</v>
      </c>
      <c r="B172" s="2">
        <v>5.23</v>
      </c>
      <c r="C172" s="2">
        <v>4.74</v>
      </c>
      <c r="D172" s="2">
        <v>4.7300000000000004</v>
      </c>
      <c r="E172" s="2">
        <v>4.97</v>
      </c>
      <c r="F172" s="2">
        <v>4.46</v>
      </c>
      <c r="G172" s="2">
        <v>4.34</v>
      </c>
      <c r="H172" s="7">
        <v>5.8433999999999999</v>
      </c>
      <c r="I172" s="7">
        <v>5.1694000000000004</v>
      </c>
      <c r="J172" s="7">
        <v>4.6654</v>
      </c>
    </row>
    <row r="173" spans="1:10" x14ac:dyDescent="0.25">
      <c r="A173" t="s">
        <v>608</v>
      </c>
      <c r="B173" s="2">
        <v>5.14</v>
      </c>
      <c r="C173" s="2">
        <v>4.68</v>
      </c>
      <c r="D173" s="2">
        <v>4.6500000000000004</v>
      </c>
      <c r="E173" s="2">
        <v>5.0199999999999996</v>
      </c>
      <c r="F173" s="2">
        <v>4.49</v>
      </c>
      <c r="G173" s="2">
        <v>4.34</v>
      </c>
      <c r="H173" s="7">
        <v>5.7944000000000004</v>
      </c>
      <c r="I173" s="7">
        <v>5.1013000000000002</v>
      </c>
      <c r="J173" s="7">
        <v>4.5831999999999997</v>
      </c>
    </row>
    <row r="174" spans="1:10" x14ac:dyDescent="0.25">
      <c r="A174" t="s">
        <v>609</v>
      </c>
      <c r="B174" s="2">
        <v>4.95</v>
      </c>
      <c r="C174" s="2">
        <v>4.4800000000000004</v>
      </c>
      <c r="D174" s="2">
        <v>4.46</v>
      </c>
      <c r="E174" s="2">
        <v>4.95</v>
      </c>
      <c r="F174" s="2">
        <v>4.3600000000000003</v>
      </c>
      <c r="G174" s="2">
        <v>4.1900000000000004</v>
      </c>
      <c r="H174" s="7">
        <v>5.6006999999999998</v>
      </c>
      <c r="I174" s="7">
        <v>4.9015000000000004</v>
      </c>
      <c r="J174" s="7">
        <v>4.4149000000000003</v>
      </c>
    </row>
    <row r="175" spans="1:10" x14ac:dyDescent="0.25">
      <c r="A175" t="s">
        <v>610</v>
      </c>
      <c r="B175" s="2">
        <v>4.97</v>
      </c>
      <c r="C175" s="2">
        <v>4.4800000000000004</v>
      </c>
      <c r="D175" s="2">
        <v>4.4400000000000004</v>
      </c>
      <c r="E175" s="2">
        <v>4.9800000000000004</v>
      </c>
      <c r="F175" s="2">
        <v>4.3899999999999997</v>
      </c>
      <c r="G175" s="2">
        <v>4.2300000000000004</v>
      </c>
      <c r="H175" s="7">
        <v>5.5976999999999997</v>
      </c>
      <c r="I175" s="7">
        <v>4.8890000000000002</v>
      </c>
      <c r="J175" s="7">
        <v>4.3905000000000003</v>
      </c>
    </row>
    <row r="176" spans="1:10" x14ac:dyDescent="0.25">
      <c r="A176" t="s">
        <v>611</v>
      </c>
      <c r="B176" s="2">
        <v>5.01</v>
      </c>
      <c r="C176" s="2">
        <v>4.78</v>
      </c>
      <c r="D176" s="2">
        <v>4.4400000000000004</v>
      </c>
      <c r="E176" s="2">
        <v>5.03</v>
      </c>
      <c r="F176" s="2">
        <v>4.4400000000000004</v>
      </c>
      <c r="G176" s="2">
        <v>4.25</v>
      </c>
      <c r="H176" s="7">
        <v>5.6359000000000004</v>
      </c>
      <c r="I176" s="7">
        <v>4.9189999999999996</v>
      </c>
      <c r="J176" s="7">
        <v>4.3989000000000003</v>
      </c>
    </row>
    <row r="177" spans="1:10" x14ac:dyDescent="0.25">
      <c r="A177" t="s">
        <v>612</v>
      </c>
      <c r="B177" s="2">
        <v>5.27</v>
      </c>
      <c r="C177" s="2" t="e">
        <v>#N/A</v>
      </c>
      <c r="D177" s="2">
        <v>4.4400000000000004</v>
      </c>
      <c r="E177" s="2">
        <v>4.9800000000000004</v>
      </c>
      <c r="F177" s="2">
        <v>4.38</v>
      </c>
      <c r="G177" s="2">
        <v>4.2</v>
      </c>
      <c r="H177" s="7">
        <v>5.6359000000000004</v>
      </c>
      <c r="I177" s="7">
        <v>4.9189999999999996</v>
      </c>
      <c r="J177" s="7">
        <v>4.3989000000000003</v>
      </c>
    </row>
    <row r="178" spans="1:10" x14ac:dyDescent="0.25">
      <c r="A178" t="s">
        <v>613</v>
      </c>
      <c r="B178" s="2">
        <v>5.22</v>
      </c>
      <c r="C178" s="2">
        <v>4.75</v>
      </c>
      <c r="D178" s="2">
        <v>4.42</v>
      </c>
      <c r="E178" s="2">
        <v>4.87</v>
      </c>
      <c r="F178" s="2">
        <v>4.26</v>
      </c>
      <c r="G178" s="2">
        <v>4.12</v>
      </c>
      <c r="H178" s="7">
        <v>5.5651999999999999</v>
      </c>
      <c r="I178" s="7">
        <v>4.8551000000000002</v>
      </c>
      <c r="J178" s="7">
        <v>4.3779000000000003</v>
      </c>
    </row>
    <row r="179" spans="1:10" x14ac:dyDescent="0.25">
      <c r="A179" t="s">
        <v>614</v>
      </c>
      <c r="B179" s="2">
        <v>5.22</v>
      </c>
      <c r="C179" s="2">
        <v>4.74</v>
      </c>
      <c r="D179" s="2">
        <v>4.43</v>
      </c>
      <c r="E179" s="2">
        <v>4.9000000000000004</v>
      </c>
      <c r="F179" s="2">
        <v>4.2699999999999996</v>
      </c>
      <c r="G179" s="2">
        <v>4.12</v>
      </c>
      <c r="H179" s="7">
        <v>5.5808999999999997</v>
      </c>
      <c r="I179" s="7">
        <v>4.8543000000000003</v>
      </c>
      <c r="J179" s="7">
        <v>4.3821000000000003</v>
      </c>
    </row>
    <row r="180" spans="1:10" x14ac:dyDescent="0.25">
      <c r="A180" t="s">
        <v>615</v>
      </c>
      <c r="B180" s="2">
        <v>5.14</v>
      </c>
      <c r="C180" s="2">
        <v>4.67</v>
      </c>
      <c r="D180" s="2">
        <v>4.3600000000000003</v>
      </c>
      <c r="E180" s="2">
        <v>4.8499999999999996</v>
      </c>
      <c r="F180" s="2">
        <v>4.2300000000000004</v>
      </c>
      <c r="G180" s="2">
        <v>4.09</v>
      </c>
      <c r="H180" s="7">
        <v>5.4923000000000002</v>
      </c>
      <c r="I180" s="7">
        <v>4.7769000000000004</v>
      </c>
      <c r="J180" s="7">
        <v>4.3045</v>
      </c>
    </row>
    <row r="181" spans="1:10" x14ac:dyDescent="0.25">
      <c r="A181" t="s">
        <v>616</v>
      </c>
      <c r="B181" s="2">
        <v>5.14</v>
      </c>
      <c r="C181" s="2">
        <v>4.68</v>
      </c>
      <c r="D181" s="2">
        <v>4.4000000000000004</v>
      </c>
      <c r="E181" s="2">
        <v>4.87</v>
      </c>
      <c r="F181" s="2">
        <v>4.29</v>
      </c>
      <c r="G181" s="2">
        <v>4.18</v>
      </c>
      <c r="H181" s="7">
        <v>5.4795999999999996</v>
      </c>
      <c r="I181" s="7">
        <v>4.7968000000000002</v>
      </c>
      <c r="J181" s="7">
        <v>4.3540000000000001</v>
      </c>
    </row>
    <row r="182" spans="1:10" x14ac:dyDescent="0.25">
      <c r="A182" t="s">
        <v>617</v>
      </c>
      <c r="B182" s="2">
        <v>5.2</v>
      </c>
      <c r="C182" s="2">
        <v>4.74</v>
      </c>
      <c r="D182" s="2">
        <v>4.47</v>
      </c>
      <c r="E182" s="2" t="e">
        <v>#N/A</v>
      </c>
      <c r="F182" s="2" t="e">
        <v>#N/A</v>
      </c>
      <c r="G182" s="2" t="e">
        <v>#N/A</v>
      </c>
      <c r="H182" s="7">
        <v>5.5068000000000001</v>
      </c>
      <c r="I182" s="7">
        <v>4.8369999999999997</v>
      </c>
      <c r="J182" s="7">
        <v>4.4023000000000003</v>
      </c>
    </row>
    <row r="183" spans="1:10" x14ac:dyDescent="0.25">
      <c r="A183" t="s">
        <v>618</v>
      </c>
      <c r="B183" s="2">
        <v>5.26</v>
      </c>
      <c r="C183" s="2">
        <v>4.8</v>
      </c>
      <c r="D183" s="2">
        <v>4.5199999999999996</v>
      </c>
      <c r="E183" s="2">
        <v>4.9400000000000004</v>
      </c>
      <c r="F183" s="2">
        <v>4.37</v>
      </c>
      <c r="G183" s="2">
        <v>4.2699999999999996</v>
      </c>
      <c r="H183" s="7">
        <v>5.5641999999999996</v>
      </c>
      <c r="I183" s="7">
        <v>4.8973000000000004</v>
      </c>
      <c r="J183" s="7">
        <v>4.4565000000000001</v>
      </c>
    </row>
    <row r="184" spans="1:10" x14ac:dyDescent="0.25">
      <c r="A184" t="s">
        <v>619</v>
      </c>
      <c r="B184" s="2">
        <v>5.22</v>
      </c>
      <c r="C184" s="2">
        <v>4.8</v>
      </c>
      <c r="D184" s="2">
        <v>4.53</v>
      </c>
      <c r="E184" s="2">
        <v>5.01</v>
      </c>
      <c r="F184" s="2">
        <v>4.4400000000000004</v>
      </c>
      <c r="G184" s="2">
        <v>4.3</v>
      </c>
      <c r="H184" s="7">
        <v>5.5465</v>
      </c>
      <c r="I184" s="7">
        <v>4.9031000000000002</v>
      </c>
      <c r="J184" s="7">
        <v>4.4629000000000003</v>
      </c>
    </row>
    <row r="185" spans="1:10" x14ac:dyDescent="0.25">
      <c r="A185" t="s">
        <v>620</v>
      </c>
      <c r="B185" s="2">
        <v>5.14</v>
      </c>
      <c r="C185" s="2">
        <v>4.72</v>
      </c>
      <c r="D185" s="2">
        <v>4.46</v>
      </c>
      <c r="E185" s="2">
        <v>4.9400000000000004</v>
      </c>
      <c r="F185" s="2">
        <v>4.38</v>
      </c>
      <c r="G185" s="2">
        <v>4.2699999999999996</v>
      </c>
      <c r="H185" s="7">
        <v>5.4359000000000002</v>
      </c>
      <c r="I185" s="7">
        <v>4.8049999999999997</v>
      </c>
      <c r="J185" s="7">
        <v>4.3914999999999997</v>
      </c>
    </row>
    <row r="186" spans="1:10" x14ac:dyDescent="0.25">
      <c r="A186" t="s">
        <v>621</v>
      </c>
      <c r="B186" s="2">
        <v>5.08</v>
      </c>
      <c r="C186" s="2">
        <v>4.66</v>
      </c>
      <c r="D186" s="2">
        <v>4.42</v>
      </c>
      <c r="E186" s="2">
        <v>4.9800000000000004</v>
      </c>
      <c r="F186" s="2">
        <v>4.3899999999999997</v>
      </c>
      <c r="G186" s="2">
        <v>4.26</v>
      </c>
      <c r="H186" s="7">
        <v>5.3723000000000001</v>
      </c>
      <c r="I186" s="7">
        <v>4.7441000000000004</v>
      </c>
      <c r="J186" s="7">
        <v>4.3479000000000001</v>
      </c>
    </row>
    <row r="187" spans="1:10" x14ac:dyDescent="0.25">
      <c r="A187" t="s">
        <v>622</v>
      </c>
      <c r="B187" s="2">
        <v>5.08</v>
      </c>
      <c r="C187" s="2">
        <v>4.7</v>
      </c>
      <c r="D187" s="2">
        <v>4.47</v>
      </c>
      <c r="E187" s="2">
        <v>4.97</v>
      </c>
      <c r="F187" s="2">
        <v>4.4000000000000004</v>
      </c>
      <c r="G187" s="2">
        <v>4.29</v>
      </c>
      <c r="H187" s="7">
        <v>5.3869999999999996</v>
      </c>
      <c r="I187" s="7">
        <v>4.7594000000000003</v>
      </c>
      <c r="J187" s="7">
        <v>4.3738000000000001</v>
      </c>
    </row>
    <row r="188" spans="1:10" x14ac:dyDescent="0.25">
      <c r="A188" t="s">
        <v>623</v>
      </c>
      <c r="B188" s="2">
        <v>5.04</v>
      </c>
      <c r="C188" s="2">
        <v>4.6500000000000004</v>
      </c>
      <c r="D188" s="2">
        <v>4.42</v>
      </c>
      <c r="E188" s="2">
        <v>4.9800000000000004</v>
      </c>
      <c r="F188" s="2">
        <v>4.41</v>
      </c>
      <c r="G188" s="2">
        <v>4.2699999999999996</v>
      </c>
      <c r="H188" s="7">
        <v>5.3647</v>
      </c>
      <c r="I188" s="7">
        <v>4.7234999999999996</v>
      </c>
      <c r="J188" s="7">
        <v>4.3273999999999999</v>
      </c>
    </row>
    <row r="189" spans="1:10" x14ac:dyDescent="0.25">
      <c r="A189" t="s">
        <v>624</v>
      </c>
      <c r="B189" s="2">
        <v>4.97</v>
      </c>
      <c r="C189" s="2">
        <v>4.55</v>
      </c>
      <c r="D189" s="2">
        <v>4.34</v>
      </c>
      <c r="E189" s="2">
        <v>4.96</v>
      </c>
      <c r="F189" s="2">
        <v>4.3899999999999997</v>
      </c>
      <c r="G189" s="2">
        <v>4.25</v>
      </c>
      <c r="H189" s="7">
        <v>5.2979000000000003</v>
      </c>
      <c r="I189" s="7">
        <v>4.6374000000000004</v>
      </c>
      <c r="J189" s="7">
        <v>4.2526000000000002</v>
      </c>
    </row>
    <row r="190" spans="1:10" x14ac:dyDescent="0.25">
      <c r="A190" t="s">
        <v>625</v>
      </c>
      <c r="B190" s="2">
        <v>4.95</v>
      </c>
      <c r="C190" s="2">
        <v>4.5</v>
      </c>
      <c r="D190" s="2">
        <v>4.3</v>
      </c>
      <c r="E190" s="2">
        <v>5</v>
      </c>
      <c r="F190" s="2">
        <v>4.42</v>
      </c>
      <c r="G190" s="2">
        <v>4.29</v>
      </c>
      <c r="H190" s="7">
        <v>5.2648000000000001</v>
      </c>
      <c r="I190" s="7">
        <v>4.5765000000000002</v>
      </c>
      <c r="J190" s="7">
        <v>4.2027000000000001</v>
      </c>
    </row>
    <row r="191" spans="1:10" x14ac:dyDescent="0.25">
      <c r="A191" t="s">
        <v>626</v>
      </c>
      <c r="B191" s="2">
        <v>5.03</v>
      </c>
      <c r="C191" s="2">
        <v>4.54</v>
      </c>
      <c r="D191" s="2">
        <v>4.37</v>
      </c>
      <c r="E191" s="2">
        <v>5.0199999999999996</v>
      </c>
      <c r="F191" s="2">
        <v>4.45</v>
      </c>
      <c r="G191" s="2">
        <v>4.33</v>
      </c>
      <c r="H191" s="7">
        <v>5.3002000000000002</v>
      </c>
      <c r="I191" s="7">
        <v>4.6170999999999998</v>
      </c>
      <c r="J191" s="7">
        <v>4.2690000000000001</v>
      </c>
    </row>
    <row r="192" spans="1:10" x14ac:dyDescent="0.25">
      <c r="A192" t="s">
        <v>627</v>
      </c>
      <c r="B192" s="2">
        <v>5.0199999999999996</v>
      </c>
      <c r="C192" s="2">
        <v>4.5599999999999996</v>
      </c>
      <c r="D192" s="2">
        <v>4.38</v>
      </c>
      <c r="E192" s="2">
        <v>5.05</v>
      </c>
      <c r="F192" s="2">
        <v>4.46</v>
      </c>
      <c r="G192" s="2">
        <v>4.32</v>
      </c>
      <c r="H192" s="7">
        <v>5.3296000000000001</v>
      </c>
      <c r="I192" s="7">
        <v>4.6673</v>
      </c>
      <c r="J192" s="7">
        <v>4.3000999999999996</v>
      </c>
    </row>
    <row r="193" spans="1:10" x14ac:dyDescent="0.25">
      <c r="A193" t="s">
        <v>628</v>
      </c>
      <c r="B193" s="2">
        <v>5.01</v>
      </c>
      <c r="C193" s="2">
        <v>4.55</v>
      </c>
      <c r="D193" s="2">
        <v>4.3600000000000003</v>
      </c>
      <c r="E193" s="2">
        <v>5.08</v>
      </c>
      <c r="F193" s="2">
        <v>4.51</v>
      </c>
      <c r="G193" s="2">
        <v>4.37</v>
      </c>
      <c r="H193" s="7">
        <v>5.2923999999999998</v>
      </c>
      <c r="I193" s="7">
        <v>4.6292</v>
      </c>
      <c r="J193" s="7">
        <v>4.2690000000000001</v>
      </c>
    </row>
    <row r="194" spans="1:10" x14ac:dyDescent="0.25">
      <c r="A194" t="s">
        <v>629</v>
      </c>
      <c r="B194" s="2">
        <v>4.84</v>
      </c>
      <c r="C194" s="2">
        <v>4.38</v>
      </c>
      <c r="D194" s="2">
        <v>4.21</v>
      </c>
      <c r="E194" s="2">
        <v>5.12</v>
      </c>
      <c r="F194" s="2">
        <v>4.5199999999999996</v>
      </c>
      <c r="G194" s="2">
        <v>4.3499999999999996</v>
      </c>
      <c r="H194" s="7">
        <v>5.1344000000000003</v>
      </c>
      <c r="I194" s="7">
        <v>4.4638</v>
      </c>
      <c r="J194" s="7">
        <v>4.1379999999999999</v>
      </c>
    </row>
    <row r="195" spans="1:10" x14ac:dyDescent="0.25">
      <c r="A195" t="s">
        <v>630</v>
      </c>
      <c r="B195" s="2">
        <v>4.8499999999999996</v>
      </c>
      <c r="C195" s="2">
        <v>4.42</v>
      </c>
      <c r="D195" s="2">
        <v>4.3</v>
      </c>
      <c r="E195" s="2">
        <v>5.12</v>
      </c>
      <c r="F195" s="2">
        <v>4.6100000000000003</v>
      </c>
      <c r="G195" s="2">
        <v>4.49</v>
      </c>
      <c r="H195" s="7">
        <v>5.1406000000000001</v>
      </c>
      <c r="I195" s="7">
        <v>4.5038999999999998</v>
      </c>
      <c r="J195" s="7">
        <v>4.2026000000000003</v>
      </c>
    </row>
    <row r="196" spans="1:10" x14ac:dyDescent="0.25">
      <c r="A196" t="s">
        <v>631</v>
      </c>
      <c r="B196" s="2">
        <v>4.79</v>
      </c>
      <c r="C196" s="2">
        <v>4.3600000000000003</v>
      </c>
      <c r="D196" s="2">
        <v>4.25</v>
      </c>
      <c r="E196" s="2">
        <v>5.0999999999999996</v>
      </c>
      <c r="F196" s="2">
        <v>4.57</v>
      </c>
      <c r="G196" s="2">
        <v>4.4400000000000004</v>
      </c>
      <c r="H196" s="7">
        <v>5.0688000000000004</v>
      </c>
      <c r="I196" s="7">
        <v>4.4477000000000002</v>
      </c>
      <c r="J196" s="7">
        <v>4.1646999999999998</v>
      </c>
    </row>
    <row r="197" spans="1:10" x14ac:dyDescent="0.25">
      <c r="A197" t="s">
        <v>632</v>
      </c>
      <c r="B197" s="2">
        <v>4.8099999999999996</v>
      </c>
      <c r="C197" s="2">
        <v>4.4000000000000004</v>
      </c>
      <c r="D197" s="2">
        <v>4.33</v>
      </c>
      <c r="E197" s="2">
        <v>5.09</v>
      </c>
      <c r="F197" s="2">
        <v>4.62</v>
      </c>
      <c r="G197" s="2">
        <v>4.55</v>
      </c>
      <c r="H197" s="7">
        <v>5.0735000000000001</v>
      </c>
      <c r="I197" s="7">
        <v>4.4836999999999998</v>
      </c>
      <c r="J197" s="7">
        <v>4.2314999999999996</v>
      </c>
    </row>
    <row r="198" spans="1:10" x14ac:dyDescent="0.25">
      <c r="A198" t="s">
        <v>633</v>
      </c>
      <c r="B198" s="2">
        <v>4.8099999999999996</v>
      </c>
      <c r="C198" s="2">
        <v>4.41</v>
      </c>
      <c r="D198" s="2">
        <v>4.33</v>
      </c>
      <c r="E198" s="2">
        <v>5.04</v>
      </c>
      <c r="F198" s="2">
        <v>4.62</v>
      </c>
      <c r="G198" s="2">
        <v>4.5599999999999996</v>
      </c>
      <c r="H198" s="7">
        <v>5.1060999999999996</v>
      </c>
      <c r="I198" s="7">
        <v>4.4957000000000003</v>
      </c>
      <c r="J198" s="7">
        <v>4.2462</v>
      </c>
    </row>
    <row r="199" spans="1:10" x14ac:dyDescent="0.25">
      <c r="A199" t="s">
        <v>634</v>
      </c>
      <c r="B199" s="2">
        <v>4.88</v>
      </c>
      <c r="C199" s="2">
        <v>4.4800000000000004</v>
      </c>
      <c r="D199" s="2">
        <v>4.38</v>
      </c>
      <c r="E199" s="2">
        <v>5.0999999999999996</v>
      </c>
      <c r="F199" s="2">
        <v>4.67</v>
      </c>
      <c r="G199" s="2">
        <v>4.6100000000000003</v>
      </c>
      <c r="H199" s="7">
        <v>5.1700999999999997</v>
      </c>
      <c r="I199" s="7">
        <v>4.5704000000000002</v>
      </c>
      <c r="J199" s="7">
        <v>4.2868000000000004</v>
      </c>
    </row>
    <row r="200" spans="1:10" x14ac:dyDescent="0.25">
      <c r="A200" t="s">
        <v>635</v>
      </c>
      <c r="B200" s="2">
        <v>4.93</v>
      </c>
      <c r="C200" s="2">
        <v>4.58</v>
      </c>
      <c r="D200" s="2">
        <v>4.49</v>
      </c>
      <c r="E200" s="2">
        <v>5.04</v>
      </c>
      <c r="F200" s="2">
        <v>4.62</v>
      </c>
      <c r="G200" s="2">
        <v>4.59</v>
      </c>
      <c r="H200" s="7">
        <v>5.2161</v>
      </c>
      <c r="I200" s="7">
        <v>4.6605999999999996</v>
      </c>
      <c r="J200" s="7">
        <v>4.3780999999999999</v>
      </c>
    </row>
    <row r="201" spans="1:10" x14ac:dyDescent="0.25">
      <c r="A201" t="s">
        <v>636</v>
      </c>
      <c r="B201" s="2">
        <v>4.91</v>
      </c>
      <c r="C201" s="2">
        <v>4.53</v>
      </c>
      <c r="D201" s="2">
        <v>4.46</v>
      </c>
      <c r="E201" s="2">
        <v>5.03</v>
      </c>
      <c r="F201" s="2">
        <v>4.5999999999999996</v>
      </c>
      <c r="G201" s="2">
        <v>4.59</v>
      </c>
      <c r="H201" s="7">
        <v>5.1605999999999996</v>
      </c>
      <c r="I201" s="7">
        <v>4.6013000000000002</v>
      </c>
      <c r="J201" s="7">
        <v>4.3526999999999996</v>
      </c>
    </row>
    <row r="202" spans="1:10" x14ac:dyDescent="0.25">
      <c r="A202" t="s">
        <v>637</v>
      </c>
      <c r="B202" s="2">
        <v>4.97</v>
      </c>
      <c r="C202" s="2">
        <v>4.6100000000000003</v>
      </c>
      <c r="D202" s="2">
        <v>4.5599999999999996</v>
      </c>
      <c r="E202" s="2">
        <v>5.12</v>
      </c>
      <c r="F202" s="2">
        <v>4.72</v>
      </c>
      <c r="G202" s="2">
        <v>4.6900000000000004</v>
      </c>
      <c r="H202" s="7">
        <v>5.1605999999999996</v>
      </c>
      <c r="I202" s="7">
        <v>4.6013000000000002</v>
      </c>
      <c r="J202" s="7">
        <v>4.3526999999999996</v>
      </c>
    </row>
    <row r="203" spans="1:10" x14ac:dyDescent="0.25">
      <c r="A203" t="s">
        <v>638</v>
      </c>
      <c r="B203" s="2">
        <v>4.99</v>
      </c>
      <c r="C203" s="2">
        <v>4.6399999999999997</v>
      </c>
      <c r="D203" s="2">
        <v>4.5999999999999996</v>
      </c>
      <c r="E203" s="2">
        <v>5.15</v>
      </c>
      <c r="F203" s="2">
        <v>4.8</v>
      </c>
      <c r="G203" s="2">
        <v>4.8099999999999996</v>
      </c>
      <c r="H203" s="7">
        <v>5.2099000000000002</v>
      </c>
      <c r="I203" s="7">
        <v>4.7018000000000004</v>
      </c>
      <c r="J203" s="7">
        <v>4.4816000000000003</v>
      </c>
    </row>
    <row r="204" spans="1:10" x14ac:dyDescent="0.25">
      <c r="A204" t="s">
        <v>639</v>
      </c>
      <c r="B204" s="2">
        <v>4.92</v>
      </c>
      <c r="C204" s="2">
        <v>4.6100000000000003</v>
      </c>
      <c r="D204" s="2">
        <v>4.58</v>
      </c>
      <c r="E204" s="2">
        <v>5.05</v>
      </c>
      <c r="F204" s="2">
        <v>4.72</v>
      </c>
      <c r="G204" s="2">
        <v>4.7300000000000004</v>
      </c>
      <c r="H204" s="7">
        <v>5.1867000000000001</v>
      </c>
      <c r="I204" s="7">
        <v>4.6932</v>
      </c>
      <c r="J204" s="7">
        <v>4.468</v>
      </c>
    </row>
    <row r="205" spans="1:10" x14ac:dyDescent="0.25">
      <c r="A205" t="s">
        <v>640</v>
      </c>
      <c r="B205" s="2">
        <v>4.8600000000000003</v>
      </c>
      <c r="C205" s="2">
        <v>4.54</v>
      </c>
      <c r="D205" s="2">
        <v>4.53</v>
      </c>
      <c r="E205" s="2">
        <v>5.03</v>
      </c>
      <c r="F205" s="2">
        <v>4.68</v>
      </c>
      <c r="G205" s="2">
        <v>4.72</v>
      </c>
      <c r="H205" s="7">
        <v>5.1395999999999997</v>
      </c>
      <c r="I205" s="7">
        <v>4.6367000000000003</v>
      </c>
      <c r="J205" s="7">
        <v>4.4261999999999997</v>
      </c>
    </row>
    <row r="206" spans="1:10" x14ac:dyDescent="0.25">
      <c r="A206" t="s">
        <v>641</v>
      </c>
      <c r="B206" s="2">
        <v>4.8899999999999997</v>
      </c>
      <c r="C206" s="2">
        <v>4.58</v>
      </c>
      <c r="D206" s="2">
        <v>4.59</v>
      </c>
      <c r="E206" s="2">
        <v>5.08</v>
      </c>
      <c r="F206" s="2">
        <v>4.75</v>
      </c>
      <c r="G206" s="2">
        <v>4.78</v>
      </c>
      <c r="H206" s="7">
        <v>5.1626000000000003</v>
      </c>
      <c r="I206" s="7">
        <v>4.6723999999999997</v>
      </c>
      <c r="J206" s="7">
        <v>4.4752000000000001</v>
      </c>
    </row>
    <row r="207" spans="1:10" x14ac:dyDescent="0.25">
      <c r="A207" t="s">
        <v>642</v>
      </c>
      <c r="B207" s="2">
        <v>4.83</v>
      </c>
      <c r="C207" s="2">
        <v>4.47</v>
      </c>
      <c r="D207" s="2">
        <v>4.4800000000000004</v>
      </c>
      <c r="E207" s="2" t="e">
        <v>#N/A</v>
      </c>
      <c r="F207" s="2" t="e">
        <v>#N/A</v>
      </c>
      <c r="G207" s="2" t="e">
        <v>#N/A</v>
      </c>
      <c r="H207" s="7">
        <v>5.0968</v>
      </c>
      <c r="I207" s="7">
        <v>4.5788000000000002</v>
      </c>
      <c r="J207" s="7">
        <v>4.3837000000000002</v>
      </c>
    </row>
    <row r="208" spans="1:10" x14ac:dyDescent="0.25">
      <c r="A208" t="s">
        <v>643</v>
      </c>
      <c r="B208" s="2">
        <v>4.79</v>
      </c>
      <c r="C208" s="2">
        <v>4.42</v>
      </c>
      <c r="D208" s="2">
        <v>4.42</v>
      </c>
      <c r="E208" s="2">
        <v>4.96</v>
      </c>
      <c r="F208" s="2">
        <v>4.62</v>
      </c>
      <c r="G208" s="2">
        <v>4.66</v>
      </c>
      <c r="H208" s="7">
        <v>5.0770999999999997</v>
      </c>
      <c r="I208" s="7">
        <v>4.5385</v>
      </c>
      <c r="J208" s="7">
        <v>4.3399000000000001</v>
      </c>
    </row>
    <row r="209" spans="1:10" x14ac:dyDescent="0.25">
      <c r="A209" t="s">
        <v>644</v>
      </c>
      <c r="B209" s="2">
        <v>4.78</v>
      </c>
      <c r="C209" s="2">
        <v>4.38</v>
      </c>
      <c r="D209" s="2">
        <v>4.33</v>
      </c>
      <c r="E209" s="2">
        <v>4.99</v>
      </c>
      <c r="F209" s="2">
        <v>4.59</v>
      </c>
      <c r="G209" s="2">
        <v>4.58</v>
      </c>
      <c r="H209" s="7">
        <v>5.0773999999999999</v>
      </c>
      <c r="I209" s="7">
        <v>4.4984000000000002</v>
      </c>
      <c r="J209" s="7">
        <v>4.2362000000000002</v>
      </c>
    </row>
    <row r="210" spans="1:10" x14ac:dyDescent="0.25">
      <c r="A210" t="s">
        <v>645</v>
      </c>
      <c r="B210" s="2">
        <v>4.8499999999999996</v>
      </c>
      <c r="C210" s="2">
        <v>4.47</v>
      </c>
      <c r="D210" s="2">
        <v>4.43</v>
      </c>
      <c r="E210" s="2">
        <v>5.0599999999999996</v>
      </c>
      <c r="F210" s="2">
        <v>4.6900000000000004</v>
      </c>
      <c r="G210" s="2">
        <v>4.7</v>
      </c>
      <c r="H210" s="7">
        <v>5.1115000000000004</v>
      </c>
      <c r="I210" s="7">
        <v>4.5660999999999996</v>
      </c>
      <c r="J210" s="7">
        <v>4.3292000000000002</v>
      </c>
    </row>
    <row r="211" spans="1:10" x14ac:dyDescent="0.25">
      <c r="A211" t="s">
        <v>646</v>
      </c>
      <c r="B211" s="2">
        <v>4.84</v>
      </c>
      <c r="C211" s="2">
        <v>4.45</v>
      </c>
      <c r="D211" s="2">
        <v>4.38</v>
      </c>
      <c r="E211" s="2">
        <v>5.04</v>
      </c>
      <c r="F211" s="2">
        <v>4.6500000000000004</v>
      </c>
      <c r="G211" s="2">
        <v>4.63</v>
      </c>
      <c r="H211" s="7">
        <v>5.1010999999999997</v>
      </c>
      <c r="I211" s="7">
        <v>4.5312999999999999</v>
      </c>
      <c r="J211" s="7">
        <v>4.2846000000000002</v>
      </c>
    </row>
    <row r="212" spans="1:10" x14ac:dyDescent="0.25">
      <c r="A212" t="s">
        <v>647</v>
      </c>
      <c r="B212" s="2">
        <v>4.91</v>
      </c>
      <c r="C212" s="2">
        <v>4.54</v>
      </c>
      <c r="D212" s="2">
        <v>4.49</v>
      </c>
      <c r="E212" s="2">
        <v>5.09</v>
      </c>
      <c r="F212" s="2">
        <v>4.72</v>
      </c>
      <c r="G212" s="2">
        <v>4.71</v>
      </c>
      <c r="H212" s="7">
        <v>5.1688000000000001</v>
      </c>
      <c r="I212" s="7">
        <v>4.6132</v>
      </c>
      <c r="J212" s="7">
        <v>4.3795999999999999</v>
      </c>
    </row>
    <row r="213" spans="1:10" x14ac:dyDescent="0.25">
      <c r="A213" t="s">
        <v>648</v>
      </c>
      <c r="B213" s="2">
        <v>4.87</v>
      </c>
      <c r="C213" s="2">
        <v>4.55</v>
      </c>
      <c r="D213" s="2">
        <v>4.5199999999999996</v>
      </c>
      <c r="E213" s="2">
        <v>5.19</v>
      </c>
      <c r="F213" s="2">
        <v>4.8600000000000003</v>
      </c>
      <c r="G213" s="2">
        <v>4.83</v>
      </c>
      <c r="H213" s="7">
        <v>5.1436999999999999</v>
      </c>
      <c r="I213" s="7">
        <v>4.6132</v>
      </c>
      <c r="J213" s="7">
        <v>4.3807</v>
      </c>
    </row>
    <row r="214" spans="1:10" x14ac:dyDescent="0.25">
      <c r="A214" t="s">
        <v>649</v>
      </c>
      <c r="B214" s="2">
        <v>5.01</v>
      </c>
      <c r="C214" s="2">
        <v>4.7</v>
      </c>
      <c r="D214" s="2">
        <v>4.66</v>
      </c>
      <c r="E214" s="2">
        <v>5.19</v>
      </c>
      <c r="F214" s="2">
        <v>4.92</v>
      </c>
      <c r="G214" s="2">
        <v>4.91</v>
      </c>
      <c r="H214" s="7">
        <v>5.2411000000000003</v>
      </c>
      <c r="I214" s="7">
        <v>4.76</v>
      </c>
      <c r="J214" s="7">
        <v>4.5216000000000003</v>
      </c>
    </row>
    <row r="215" spans="1:10" x14ac:dyDescent="0.25">
      <c r="A215" t="s">
        <v>650</v>
      </c>
      <c r="B215" s="2">
        <v>4.99</v>
      </c>
      <c r="C215" s="2">
        <v>4.7300000000000004</v>
      </c>
      <c r="D215" s="2">
        <v>4.7</v>
      </c>
      <c r="E215" s="2">
        <v>5.14</v>
      </c>
      <c r="F215" s="2">
        <v>4.95</v>
      </c>
      <c r="G215" s="2">
        <v>4.9800000000000004</v>
      </c>
      <c r="H215" s="7">
        <v>5.2389000000000001</v>
      </c>
      <c r="I215" s="7">
        <v>4.7942999999999998</v>
      </c>
      <c r="J215" s="7">
        <v>4.5605000000000002</v>
      </c>
    </row>
    <row r="216" spans="1:10" x14ac:dyDescent="0.25">
      <c r="A216" t="s">
        <v>651</v>
      </c>
      <c r="B216" s="2">
        <v>4.87</v>
      </c>
      <c r="C216" s="2">
        <v>4.63</v>
      </c>
      <c r="D216" s="2">
        <v>4.6500000000000004</v>
      </c>
      <c r="E216" s="2">
        <v>5.07</v>
      </c>
      <c r="F216" s="2">
        <v>4.8600000000000003</v>
      </c>
      <c r="G216" s="2">
        <v>4.93</v>
      </c>
      <c r="H216" s="7">
        <v>5.141</v>
      </c>
      <c r="I216" s="7">
        <v>4.7107000000000001</v>
      </c>
      <c r="J216" s="7">
        <v>4.5174000000000003</v>
      </c>
    </row>
    <row r="217" spans="1:10" x14ac:dyDescent="0.25">
      <c r="A217" t="s">
        <v>652</v>
      </c>
      <c r="B217" s="2">
        <v>4.8099999999999996</v>
      </c>
      <c r="C217" s="2">
        <v>4.5599999999999996</v>
      </c>
      <c r="D217" s="2">
        <v>4.58</v>
      </c>
      <c r="E217" s="2">
        <v>5.05</v>
      </c>
      <c r="F217" s="2">
        <v>4.8099999999999996</v>
      </c>
      <c r="G217" s="2">
        <v>4.8600000000000003</v>
      </c>
      <c r="H217" s="7">
        <v>5.0987999999999998</v>
      </c>
      <c r="I217" s="7">
        <v>4.6618000000000004</v>
      </c>
      <c r="J217" s="7">
        <v>4.4748000000000001</v>
      </c>
    </row>
    <row r="218" spans="1:10" x14ac:dyDescent="0.25">
      <c r="A218" t="s">
        <v>653</v>
      </c>
      <c r="B218" s="2">
        <v>4.78</v>
      </c>
      <c r="C218" s="2">
        <v>4.51</v>
      </c>
      <c r="D218" s="2">
        <v>4.54</v>
      </c>
      <c r="E218" s="2">
        <v>5.0199999999999996</v>
      </c>
      <c r="F218" s="2">
        <v>4.82</v>
      </c>
      <c r="G218" s="2">
        <v>4.83</v>
      </c>
      <c r="H218" s="7">
        <v>5.0285000000000002</v>
      </c>
      <c r="I218" s="7">
        <v>4.5735000000000001</v>
      </c>
      <c r="J218" s="7">
        <v>4.4070999999999998</v>
      </c>
    </row>
    <row r="219" spans="1:10" x14ac:dyDescent="0.25">
      <c r="A219" t="s">
        <v>654</v>
      </c>
      <c r="B219" s="2">
        <v>4.8600000000000003</v>
      </c>
      <c r="C219" s="2">
        <v>4.59</v>
      </c>
      <c r="D219" s="2">
        <v>4.63</v>
      </c>
      <c r="E219" s="2">
        <v>5.08</v>
      </c>
      <c r="F219" s="2">
        <v>4.8899999999999997</v>
      </c>
      <c r="G219" s="2">
        <v>4.95</v>
      </c>
      <c r="H219" s="7">
        <v>5.069</v>
      </c>
      <c r="I219" s="7">
        <v>4.6313000000000004</v>
      </c>
      <c r="J219" s="7">
        <v>4.4722999999999997</v>
      </c>
    </row>
    <row r="220" spans="1:10" x14ac:dyDescent="0.25">
      <c r="A220" t="s">
        <v>655</v>
      </c>
      <c r="B220" s="2">
        <v>4.8</v>
      </c>
      <c r="C220" s="2">
        <v>4.53</v>
      </c>
      <c r="D220" s="2">
        <v>4.58</v>
      </c>
      <c r="E220" s="2">
        <v>5.0199999999999996</v>
      </c>
      <c r="F220" s="2">
        <v>4.79</v>
      </c>
      <c r="G220" s="2">
        <v>4.8600000000000003</v>
      </c>
      <c r="H220" s="7">
        <v>5.0143000000000004</v>
      </c>
      <c r="I220" s="7">
        <v>4.5839999999999996</v>
      </c>
      <c r="J220" s="7">
        <v>4.4509999999999996</v>
      </c>
    </row>
    <row r="221" spans="1:10" x14ac:dyDescent="0.25">
      <c r="A221" t="s">
        <v>656</v>
      </c>
      <c r="B221" s="2">
        <v>4.7699999999999996</v>
      </c>
      <c r="C221" s="2">
        <v>4.49</v>
      </c>
      <c r="D221" s="2">
        <v>4.5599999999999996</v>
      </c>
      <c r="E221" s="2">
        <v>4.99</v>
      </c>
      <c r="F221" s="2">
        <v>4.76</v>
      </c>
      <c r="G221" s="2">
        <v>4.84</v>
      </c>
      <c r="H221" s="7">
        <v>4.9973000000000001</v>
      </c>
      <c r="I221" s="7">
        <v>4.5500999999999996</v>
      </c>
      <c r="J221" s="7">
        <v>4.4215</v>
      </c>
    </row>
    <row r="222" spans="1:10" x14ac:dyDescent="0.25">
      <c r="A222" t="s">
        <v>657</v>
      </c>
      <c r="B222" s="2">
        <v>4.7699999999999996</v>
      </c>
      <c r="C222" s="2">
        <v>4.5</v>
      </c>
      <c r="D222" s="2">
        <v>4.5599999999999996</v>
      </c>
      <c r="E222" s="2">
        <v>5.03</v>
      </c>
      <c r="F222" s="2">
        <v>4.8</v>
      </c>
      <c r="G222" s="2">
        <v>4.88</v>
      </c>
      <c r="H222" s="7">
        <v>4.9767999999999999</v>
      </c>
      <c r="I222" s="7">
        <v>4.5381999999999998</v>
      </c>
      <c r="J222" s="7">
        <v>4.4105999999999996</v>
      </c>
    </row>
    <row r="223" spans="1:10" x14ac:dyDescent="0.25">
      <c r="A223" t="s">
        <v>658</v>
      </c>
      <c r="B223" s="2">
        <v>4.78</v>
      </c>
      <c r="C223" s="2">
        <v>4.47</v>
      </c>
      <c r="D223" s="2">
        <v>4.5199999999999996</v>
      </c>
      <c r="E223" s="2">
        <v>5.07</v>
      </c>
      <c r="F223" s="2">
        <v>4.82</v>
      </c>
      <c r="G223" s="2">
        <v>4.88</v>
      </c>
      <c r="H223" s="7">
        <v>4.9722</v>
      </c>
      <c r="I223" s="7">
        <v>4.5094000000000003</v>
      </c>
      <c r="J223" s="7">
        <v>4.3705999999999996</v>
      </c>
    </row>
    <row r="224" spans="1:10" x14ac:dyDescent="0.25">
      <c r="A224" t="s">
        <v>659</v>
      </c>
      <c r="B224" s="2">
        <v>4.78</v>
      </c>
      <c r="C224" s="2">
        <v>4.45</v>
      </c>
      <c r="D224" s="2">
        <v>4.49</v>
      </c>
      <c r="E224" s="2">
        <v>4.95</v>
      </c>
      <c r="F224" s="2">
        <v>4.67</v>
      </c>
      <c r="G224" s="2">
        <v>4.7699999999999996</v>
      </c>
      <c r="H224" s="7">
        <v>4.9535</v>
      </c>
      <c r="I224" s="7">
        <v>4.4805000000000001</v>
      </c>
      <c r="J224" s="7">
        <v>4.3441000000000001</v>
      </c>
    </row>
    <row r="225" spans="1:10" x14ac:dyDescent="0.25">
      <c r="A225" t="s">
        <v>660</v>
      </c>
      <c r="B225" s="2">
        <v>4.72</v>
      </c>
      <c r="C225" s="2">
        <v>4.33</v>
      </c>
      <c r="D225" s="2">
        <v>4.37</v>
      </c>
      <c r="E225" s="2">
        <v>4.9800000000000004</v>
      </c>
      <c r="F225" s="2">
        <v>4.6500000000000004</v>
      </c>
      <c r="G225" s="2">
        <v>4.67</v>
      </c>
      <c r="H225" s="7">
        <v>4.9015000000000004</v>
      </c>
      <c r="I225" s="7">
        <v>4.3808999999999996</v>
      </c>
      <c r="J225" s="7">
        <v>4.2407000000000004</v>
      </c>
    </row>
    <row r="226" spans="1:10" x14ac:dyDescent="0.25">
      <c r="A226" t="s">
        <v>661</v>
      </c>
      <c r="B226" s="2">
        <v>4.67</v>
      </c>
      <c r="C226" s="2">
        <v>4.26</v>
      </c>
      <c r="D226" s="2">
        <v>4.29</v>
      </c>
      <c r="E226" s="2">
        <v>4.83</v>
      </c>
      <c r="F226" s="2">
        <v>4.49</v>
      </c>
      <c r="G226" s="2">
        <v>4.57</v>
      </c>
      <c r="H226" s="7">
        <v>4.8323999999999998</v>
      </c>
      <c r="I226" s="7">
        <v>4.2861000000000002</v>
      </c>
      <c r="J226" s="7">
        <v>4.1474000000000002</v>
      </c>
    </row>
    <row r="227" spans="1:10" x14ac:dyDescent="0.25">
      <c r="A227" t="s">
        <v>662</v>
      </c>
      <c r="B227" s="2">
        <v>4.7300000000000004</v>
      </c>
      <c r="C227" s="2">
        <v>4.33</v>
      </c>
      <c r="D227" s="2">
        <v>4.38</v>
      </c>
      <c r="E227" s="2">
        <v>4.93</v>
      </c>
      <c r="F227" s="2">
        <v>4.5999999999999996</v>
      </c>
      <c r="G227" s="2">
        <v>4.67</v>
      </c>
      <c r="H227" s="7">
        <v>4.8742999999999999</v>
      </c>
      <c r="I227" s="7">
        <v>4.3540999999999999</v>
      </c>
      <c r="J227" s="7">
        <v>4.2169999999999996</v>
      </c>
    </row>
    <row r="228" spans="1:10" x14ac:dyDescent="0.25">
      <c r="A228" t="s">
        <v>663</v>
      </c>
      <c r="B228" s="2">
        <v>4.6399999999999997</v>
      </c>
      <c r="C228" s="2">
        <v>4.25</v>
      </c>
      <c r="D228" s="2">
        <v>4.28</v>
      </c>
      <c r="E228" s="2">
        <v>4.91</v>
      </c>
      <c r="F228" s="2">
        <v>4.53</v>
      </c>
      <c r="G228" s="2">
        <v>4.58</v>
      </c>
      <c r="H228" s="7">
        <v>4.7873000000000001</v>
      </c>
      <c r="I228" s="7">
        <v>4.2691999999999997</v>
      </c>
      <c r="J228" s="7">
        <v>4.1185999999999998</v>
      </c>
    </row>
    <row r="229" spans="1:10" x14ac:dyDescent="0.25">
      <c r="A229" t="s">
        <v>664</v>
      </c>
      <c r="B229" s="2">
        <v>4.63</v>
      </c>
      <c r="C229" s="2">
        <v>4.24</v>
      </c>
      <c r="D229" s="2">
        <v>4.24</v>
      </c>
      <c r="E229" s="2">
        <v>4.93</v>
      </c>
      <c r="F229" s="2">
        <v>4.51</v>
      </c>
      <c r="G229" s="2">
        <v>4.49</v>
      </c>
      <c r="H229" s="7">
        <v>4.8098999999999998</v>
      </c>
      <c r="I229" s="7">
        <v>4.2625999999999999</v>
      </c>
      <c r="J229" s="7">
        <v>4.0743999999999998</v>
      </c>
    </row>
    <row r="230" spans="1:10" x14ac:dyDescent="0.25">
      <c r="A230" t="s">
        <v>665</v>
      </c>
      <c r="B230" s="2">
        <v>4.62</v>
      </c>
      <c r="C230" s="2">
        <v>4.26</v>
      </c>
      <c r="D230" s="2">
        <v>4.28</v>
      </c>
      <c r="E230" s="2">
        <v>5.03</v>
      </c>
      <c r="F230" s="2">
        <v>4.6500000000000004</v>
      </c>
      <c r="G230" s="2">
        <v>4.62</v>
      </c>
      <c r="H230" s="7">
        <v>4.7988999999999997</v>
      </c>
      <c r="I230" s="7">
        <v>4.2737999999999996</v>
      </c>
      <c r="J230" s="7">
        <v>4.1147999999999998</v>
      </c>
    </row>
    <row r="231" spans="1:10" x14ac:dyDescent="0.25">
      <c r="A231" t="s">
        <v>666</v>
      </c>
      <c r="B231" s="2">
        <v>4.66</v>
      </c>
      <c r="C231" s="2">
        <v>4.33</v>
      </c>
      <c r="D231" s="2">
        <v>4.33</v>
      </c>
      <c r="E231" s="2">
        <v>5.04</v>
      </c>
      <c r="F231" s="2">
        <v>4.6500000000000004</v>
      </c>
      <c r="G231" s="2">
        <v>4.6100000000000003</v>
      </c>
      <c r="H231" s="7">
        <v>4.8537999999999997</v>
      </c>
      <c r="I231" s="7">
        <v>4.3394000000000004</v>
      </c>
      <c r="J231" s="7">
        <v>4.165</v>
      </c>
    </row>
    <row r="232" spans="1:10" x14ac:dyDescent="0.25">
      <c r="A232" t="s">
        <v>667</v>
      </c>
      <c r="B232" s="2">
        <v>4.66</v>
      </c>
      <c r="C232" s="2">
        <v>4.32</v>
      </c>
      <c r="D232" s="2">
        <v>4.32</v>
      </c>
      <c r="E232" s="2">
        <v>5.0199999999999996</v>
      </c>
      <c r="F232" s="2">
        <v>4.66</v>
      </c>
      <c r="G232" s="2">
        <v>4.63</v>
      </c>
      <c r="H232" s="7">
        <v>4.8554000000000004</v>
      </c>
      <c r="I232" s="7">
        <v>4.3376999999999999</v>
      </c>
      <c r="J232" s="7">
        <v>4.1498999999999997</v>
      </c>
    </row>
    <row r="233" spans="1:10" x14ac:dyDescent="0.25">
      <c r="A233" t="s">
        <v>668</v>
      </c>
      <c r="B233" s="2">
        <v>4.5599999999999996</v>
      </c>
      <c r="C233" s="2">
        <v>4.18</v>
      </c>
      <c r="D233" s="2">
        <v>4.16</v>
      </c>
      <c r="E233" s="2">
        <v>4.8</v>
      </c>
      <c r="F233" s="2">
        <v>4.42</v>
      </c>
      <c r="G233" s="2">
        <v>4.4400000000000004</v>
      </c>
      <c r="H233" s="7">
        <v>4.7380000000000004</v>
      </c>
      <c r="I233" s="7">
        <v>4.1807999999999996</v>
      </c>
      <c r="J233" s="7">
        <v>3.9910999999999999</v>
      </c>
    </row>
    <row r="234" spans="1:10" x14ac:dyDescent="0.25">
      <c r="A234" t="s">
        <v>669</v>
      </c>
      <c r="B234" s="2">
        <v>4.6100000000000003</v>
      </c>
      <c r="C234" s="2">
        <v>4.2300000000000004</v>
      </c>
      <c r="D234" s="2">
        <v>4.2300000000000004</v>
      </c>
      <c r="E234" s="2">
        <v>4.9000000000000004</v>
      </c>
      <c r="F234" s="2">
        <v>4.5199999999999996</v>
      </c>
      <c r="G234" s="2">
        <v>4.53</v>
      </c>
      <c r="H234" s="7">
        <v>4.7603999999999997</v>
      </c>
      <c r="I234" s="7">
        <v>4.2389000000000001</v>
      </c>
      <c r="J234" s="7">
        <v>4.0639000000000003</v>
      </c>
    </row>
    <row r="235" spans="1:10" x14ac:dyDescent="0.25">
      <c r="A235" t="s">
        <v>670</v>
      </c>
      <c r="B235" s="2">
        <v>4.5199999999999996</v>
      </c>
      <c r="C235" s="2">
        <v>4.13</v>
      </c>
      <c r="D235" s="2">
        <v>4.13</v>
      </c>
      <c r="E235" s="2">
        <v>4.83</v>
      </c>
      <c r="F235" s="2">
        <v>4.43</v>
      </c>
      <c r="G235" s="2">
        <v>4.45</v>
      </c>
      <c r="H235" s="7">
        <v>4.7122000000000002</v>
      </c>
      <c r="I235" s="7">
        <v>4.1558999999999999</v>
      </c>
      <c r="J235" s="7">
        <v>3.9769000000000001</v>
      </c>
    </row>
    <row r="236" spans="1:10" x14ac:dyDescent="0.25">
      <c r="A236" t="s">
        <v>671</v>
      </c>
      <c r="B236" s="2">
        <v>4.5199999999999996</v>
      </c>
      <c r="C236" s="2">
        <v>4.1100000000000003</v>
      </c>
      <c r="D236" s="2">
        <v>4.0999999999999996</v>
      </c>
      <c r="E236" s="2">
        <v>4.88</v>
      </c>
      <c r="F236" s="2">
        <v>4.45</v>
      </c>
      <c r="G236" s="2">
        <v>4.4400000000000004</v>
      </c>
      <c r="H236" s="7">
        <v>4.7077999999999998</v>
      </c>
      <c r="I236" s="7">
        <v>4.1250999999999998</v>
      </c>
      <c r="J236" s="7">
        <v>3.9344000000000001</v>
      </c>
    </row>
    <row r="237" spans="1:10" x14ac:dyDescent="0.25">
      <c r="A237" t="s">
        <v>672</v>
      </c>
      <c r="B237" s="2">
        <v>4.53</v>
      </c>
      <c r="C237" s="2">
        <v>4.13</v>
      </c>
      <c r="D237" s="2">
        <v>4.13</v>
      </c>
      <c r="E237" s="2">
        <v>4.8899999999999997</v>
      </c>
      <c r="F237" s="2">
        <v>4.4400000000000004</v>
      </c>
      <c r="G237" s="2">
        <v>4.42</v>
      </c>
      <c r="H237" s="7">
        <v>4.7173999999999996</v>
      </c>
      <c r="I237" s="7">
        <v>4.1420000000000003</v>
      </c>
      <c r="J237" s="7">
        <v>3.9584999999999999</v>
      </c>
    </row>
    <row r="238" spans="1:10" x14ac:dyDescent="0.25">
      <c r="A238" t="s">
        <v>673</v>
      </c>
      <c r="B238" s="2">
        <v>4.58</v>
      </c>
      <c r="C238" s="2">
        <v>4.16</v>
      </c>
      <c r="D238" s="2">
        <v>4.1399999999999997</v>
      </c>
      <c r="E238" s="2">
        <v>4.8600000000000003</v>
      </c>
      <c r="F238" s="2">
        <v>4.41</v>
      </c>
      <c r="G238" s="2">
        <v>4.41</v>
      </c>
      <c r="H238" s="7">
        <v>4.7478999999999996</v>
      </c>
      <c r="I238" s="7">
        <v>4.1573000000000002</v>
      </c>
      <c r="J238" s="7">
        <v>3.9540999999999999</v>
      </c>
    </row>
    <row r="239" spans="1:10" x14ac:dyDescent="0.25">
      <c r="A239" t="s">
        <v>674</v>
      </c>
      <c r="B239" s="2">
        <v>4.6100000000000003</v>
      </c>
      <c r="C239" s="2">
        <v>4.21</v>
      </c>
      <c r="D239" s="2">
        <v>4.17</v>
      </c>
      <c r="E239" s="2">
        <v>4.8899999999999997</v>
      </c>
      <c r="F239" s="2">
        <v>4.4400000000000004</v>
      </c>
      <c r="G239" s="2">
        <v>4.42</v>
      </c>
      <c r="H239" s="7">
        <v>4.8023999999999996</v>
      </c>
      <c r="I239" s="7">
        <v>4.2234999999999996</v>
      </c>
      <c r="J239" s="7">
        <v>4.0052000000000003</v>
      </c>
    </row>
    <row r="240" spans="1:10" x14ac:dyDescent="0.25">
      <c r="A240" t="s">
        <v>675</v>
      </c>
      <c r="B240" s="2">
        <v>4.7</v>
      </c>
      <c r="C240" s="2">
        <v>4.3</v>
      </c>
      <c r="D240" s="2">
        <v>4.25</v>
      </c>
      <c r="E240" s="2" t="e">
        <v>#N/A</v>
      </c>
      <c r="F240" s="2" t="e">
        <v>#N/A</v>
      </c>
      <c r="G240" s="2" t="e">
        <v>#N/A</v>
      </c>
      <c r="H240" s="7">
        <v>4.8730000000000002</v>
      </c>
      <c r="I240" s="7">
        <v>4.3068</v>
      </c>
      <c r="J240" s="7">
        <v>4.0819000000000001</v>
      </c>
    </row>
    <row r="241" spans="1:10" x14ac:dyDescent="0.25">
      <c r="A241" t="s">
        <v>676</v>
      </c>
      <c r="B241" s="2">
        <v>4.7</v>
      </c>
      <c r="C241" s="2">
        <v>4.32</v>
      </c>
      <c r="D241" s="2">
        <v>4.28</v>
      </c>
      <c r="E241" s="2">
        <v>4.92</v>
      </c>
      <c r="F241" s="2">
        <v>4.49</v>
      </c>
      <c r="G241" s="2">
        <v>4.47</v>
      </c>
      <c r="H241" s="7">
        <v>4.8916000000000004</v>
      </c>
      <c r="I241" s="7">
        <v>4.3268000000000004</v>
      </c>
      <c r="J241" s="7">
        <v>4.1021000000000001</v>
      </c>
    </row>
    <row r="242" spans="1:10" x14ac:dyDescent="0.25">
      <c r="A242" t="s">
        <v>677</v>
      </c>
      <c r="B242" s="2">
        <v>4.63</v>
      </c>
      <c r="C242" s="2">
        <v>4.24</v>
      </c>
      <c r="D242" s="2">
        <v>4.21</v>
      </c>
      <c r="E242" s="2">
        <v>4.84</v>
      </c>
      <c r="F242" s="2">
        <v>4.38</v>
      </c>
      <c r="G242" s="2">
        <v>4.3899999999999997</v>
      </c>
      <c r="H242" s="7">
        <v>4.8205</v>
      </c>
      <c r="I242" s="7">
        <v>4.2535999999999996</v>
      </c>
      <c r="J242" s="7">
        <v>4.0396999999999998</v>
      </c>
    </row>
    <row r="243" spans="1:10" x14ac:dyDescent="0.25">
      <c r="A243" t="s">
        <v>678</v>
      </c>
      <c r="B243" s="2">
        <v>4.62</v>
      </c>
      <c r="C243" s="2">
        <v>4.22</v>
      </c>
      <c r="D243" s="2">
        <v>4.18</v>
      </c>
      <c r="E243" s="2">
        <v>4.7300000000000004</v>
      </c>
      <c r="F243" s="2">
        <v>4.29</v>
      </c>
      <c r="G243" s="2">
        <v>4.34</v>
      </c>
      <c r="H243" s="7">
        <v>4.7630999999999997</v>
      </c>
      <c r="I243" s="7">
        <v>4.1844999999999999</v>
      </c>
      <c r="J243" s="7">
        <v>3.9885000000000002</v>
      </c>
    </row>
    <row r="244" spans="1:10" x14ac:dyDescent="0.25">
      <c r="A244" t="s">
        <v>679</v>
      </c>
      <c r="B244" s="2">
        <v>4.54</v>
      </c>
      <c r="C244" s="2">
        <v>4.0999999999999996</v>
      </c>
      <c r="D244" s="2">
        <v>4.09</v>
      </c>
      <c r="E244" s="2">
        <v>4.6399999999999997</v>
      </c>
      <c r="F244" s="2">
        <v>4.22</v>
      </c>
      <c r="G244" s="2">
        <v>4.2699999999999996</v>
      </c>
      <c r="H244" s="7">
        <v>4.6958000000000002</v>
      </c>
      <c r="I244" s="7">
        <v>4.0980999999999996</v>
      </c>
      <c r="J244" s="7">
        <v>3.9121000000000001</v>
      </c>
    </row>
    <row r="245" spans="1:10" x14ac:dyDescent="0.25">
      <c r="A245" t="s">
        <v>680</v>
      </c>
      <c r="B245" s="2">
        <v>4.63</v>
      </c>
      <c r="C245" s="2">
        <v>4.22</v>
      </c>
      <c r="D245" s="2">
        <v>4.22</v>
      </c>
      <c r="E245" s="2">
        <v>4.7300000000000004</v>
      </c>
      <c r="F245" s="2">
        <v>4.3099999999999996</v>
      </c>
      <c r="G245" s="2">
        <v>4.37</v>
      </c>
      <c r="H245" s="7">
        <v>4.7404999999999999</v>
      </c>
      <c r="I245" s="7">
        <v>4.1627999999999998</v>
      </c>
      <c r="J245" s="7">
        <v>3.9870000000000001</v>
      </c>
    </row>
    <row r="246" spans="1:10" x14ac:dyDescent="0.25">
      <c r="A246" t="s">
        <v>681</v>
      </c>
      <c r="B246" s="2">
        <v>4.51</v>
      </c>
      <c r="C246" s="2">
        <v>4.0999999999999996</v>
      </c>
      <c r="D246" s="2">
        <v>4.1399999999999997</v>
      </c>
      <c r="E246" s="2">
        <v>4.5599999999999996</v>
      </c>
      <c r="F246" s="2">
        <v>4.1399999999999997</v>
      </c>
      <c r="G246" s="2">
        <v>4.22</v>
      </c>
      <c r="H246" s="7">
        <v>4.6734999999999998</v>
      </c>
      <c r="I246" s="7">
        <v>4.1050000000000004</v>
      </c>
      <c r="J246" s="7">
        <v>3.9540000000000002</v>
      </c>
    </row>
    <row r="247" spans="1:10" x14ac:dyDescent="0.25">
      <c r="A247" t="s">
        <v>682</v>
      </c>
      <c r="B247" s="2">
        <v>4.59</v>
      </c>
      <c r="C247" s="2">
        <v>4.18</v>
      </c>
      <c r="D247" s="2">
        <v>4.1900000000000004</v>
      </c>
      <c r="E247" s="2">
        <v>4.6399999999999997</v>
      </c>
      <c r="F247" s="2">
        <v>4.2300000000000004</v>
      </c>
      <c r="G247" s="2">
        <v>4.28</v>
      </c>
      <c r="H247" s="7">
        <v>4.7275</v>
      </c>
      <c r="I247" s="7">
        <v>4.1699000000000002</v>
      </c>
      <c r="J247" s="7">
        <v>4.0063000000000004</v>
      </c>
    </row>
    <row r="248" spans="1:10" x14ac:dyDescent="0.25">
      <c r="A248" t="s">
        <v>683</v>
      </c>
      <c r="B248" s="2">
        <v>4.49</v>
      </c>
      <c r="C248" s="2">
        <v>4.0599999999999996</v>
      </c>
      <c r="D248" s="2">
        <v>4.03</v>
      </c>
      <c r="E248" s="2">
        <v>4.57</v>
      </c>
      <c r="F248" s="2">
        <v>4.1399999999999997</v>
      </c>
      <c r="G248" s="2">
        <v>4.18</v>
      </c>
      <c r="H248" s="7">
        <v>4.6226000000000003</v>
      </c>
      <c r="I248" s="7">
        <v>4.0358999999999998</v>
      </c>
      <c r="J248" s="7">
        <v>3.8491</v>
      </c>
    </row>
    <row r="249" spans="1:10" x14ac:dyDescent="0.25">
      <c r="A249" t="s">
        <v>684</v>
      </c>
      <c r="B249" s="2">
        <v>4.47</v>
      </c>
      <c r="C249" s="2">
        <v>4.01</v>
      </c>
      <c r="D249" s="2">
        <v>3.95</v>
      </c>
      <c r="E249" s="2">
        <v>4.5999999999999996</v>
      </c>
      <c r="F249" s="2">
        <v>4.12</v>
      </c>
      <c r="G249" s="2">
        <v>4.12</v>
      </c>
      <c r="H249" s="7">
        <v>4.5995999999999997</v>
      </c>
      <c r="I249" s="7">
        <v>3.9849999999999999</v>
      </c>
      <c r="J249" s="7">
        <v>3.7725</v>
      </c>
    </row>
    <row r="250" spans="1:10" x14ac:dyDescent="0.25">
      <c r="A250" t="s">
        <v>685</v>
      </c>
      <c r="B250" s="2">
        <v>4.5</v>
      </c>
      <c r="C250" s="2">
        <v>4.0199999999999996</v>
      </c>
      <c r="D250" s="2">
        <v>3.97</v>
      </c>
      <c r="E250" s="2">
        <v>4.58</v>
      </c>
      <c r="F250" s="2">
        <v>4.1100000000000003</v>
      </c>
      <c r="G250" s="2">
        <v>4.1399999999999997</v>
      </c>
      <c r="H250" s="7">
        <v>4.6012000000000004</v>
      </c>
      <c r="I250" s="7">
        <v>3.9944000000000002</v>
      </c>
      <c r="J250" s="7">
        <v>3.786</v>
      </c>
    </row>
    <row r="251" spans="1:10" x14ac:dyDescent="0.25">
      <c r="A251" t="s">
        <v>700</v>
      </c>
      <c r="B251" s="2">
        <v>4.57</v>
      </c>
      <c r="C251" s="2">
        <v>4.09</v>
      </c>
      <c r="D251" s="2">
        <v>4.0199999999999996</v>
      </c>
      <c r="E251" s="2">
        <v>4.71</v>
      </c>
      <c r="F251" s="2">
        <v>4.24</v>
      </c>
      <c r="G251" s="2">
        <v>4.2300000000000004</v>
      </c>
      <c r="H251" s="7">
        <v>4.6445999999999996</v>
      </c>
      <c r="I251" s="7">
        <v>4.0484999999999998</v>
      </c>
      <c r="J251" s="7">
        <v>3.8523000000000001</v>
      </c>
    </row>
    <row r="252" spans="1:10" x14ac:dyDescent="0.25">
      <c r="A252" t="s">
        <v>701</v>
      </c>
      <c r="B252" s="2">
        <v>4.5999999999999996</v>
      </c>
      <c r="C252" s="2">
        <v>4.1399999999999997</v>
      </c>
      <c r="D252" s="2">
        <v>4.08</v>
      </c>
      <c r="E252" s="2">
        <v>4.71</v>
      </c>
      <c r="F252" s="2">
        <v>4.25</v>
      </c>
      <c r="G252" s="2">
        <v>4.2300000000000004</v>
      </c>
      <c r="H252" s="7">
        <v>4.6744000000000003</v>
      </c>
      <c r="I252" s="7">
        <v>4.0890000000000004</v>
      </c>
      <c r="J252" s="7">
        <v>3.8887999999999998</v>
      </c>
    </row>
    <row r="253" spans="1:10" x14ac:dyDescent="0.25">
      <c r="A253" t="s">
        <v>702</v>
      </c>
      <c r="B253" s="2">
        <v>4.51</v>
      </c>
      <c r="C253" s="2">
        <v>4.07</v>
      </c>
      <c r="D253" s="2">
        <v>3.99</v>
      </c>
      <c r="E253" s="2">
        <v>4.7300000000000004</v>
      </c>
      <c r="F253" s="2">
        <v>4.2300000000000004</v>
      </c>
      <c r="G253" s="2">
        <v>4.2</v>
      </c>
      <c r="H253" s="7">
        <v>4.5629999999999997</v>
      </c>
      <c r="I253" s="7">
        <v>3.9756</v>
      </c>
      <c r="J253" s="7">
        <v>3.7902999999999998</v>
      </c>
    </row>
    <row r="254" spans="1:10" x14ac:dyDescent="0.25">
      <c r="A254" t="s">
        <v>703</v>
      </c>
      <c r="B254" s="2">
        <v>4.3600000000000003</v>
      </c>
      <c r="C254" s="2">
        <v>3.88</v>
      </c>
      <c r="D254" s="2">
        <v>3.83</v>
      </c>
      <c r="E254" s="2">
        <v>4.46</v>
      </c>
      <c r="F254" s="2">
        <v>4</v>
      </c>
      <c r="G254" s="2">
        <v>4.04</v>
      </c>
      <c r="H254" s="7">
        <v>4.4448999999999996</v>
      </c>
      <c r="I254" s="7">
        <v>3.8235999999999999</v>
      </c>
      <c r="J254" s="7">
        <v>3.6331000000000002</v>
      </c>
    </row>
    <row r="255" spans="1:10" x14ac:dyDescent="0.25">
      <c r="A255" t="s">
        <v>704</v>
      </c>
      <c r="B255" s="2">
        <v>4.34</v>
      </c>
      <c r="C255" s="2">
        <v>3.81</v>
      </c>
      <c r="D255" s="2">
        <v>3.79</v>
      </c>
      <c r="E255" s="2">
        <v>4.37</v>
      </c>
      <c r="F255" s="2">
        <v>3.9</v>
      </c>
      <c r="G255" s="2">
        <v>3.92</v>
      </c>
      <c r="H255" s="7">
        <v>4.3845000000000001</v>
      </c>
      <c r="I255" s="7">
        <v>3.7505000000000002</v>
      </c>
      <c r="J255" s="7">
        <v>3.5926999999999998</v>
      </c>
    </row>
    <row r="256" spans="1:10" x14ac:dyDescent="0.25">
      <c r="A256" t="s">
        <v>705</v>
      </c>
      <c r="B256" s="2">
        <v>4.29</v>
      </c>
      <c r="C256" s="2">
        <v>3.74</v>
      </c>
      <c r="D256" s="2">
        <v>3.7</v>
      </c>
      <c r="E256" s="2">
        <v>4.4400000000000004</v>
      </c>
      <c r="F256" s="2">
        <v>3.91</v>
      </c>
      <c r="G256" s="2">
        <v>3.91</v>
      </c>
      <c r="H256" s="7">
        <v>4.3479999999999999</v>
      </c>
      <c r="I256" s="7">
        <v>3.6711999999999998</v>
      </c>
      <c r="J256" s="7">
        <v>3.4872999999999998</v>
      </c>
    </row>
    <row r="257" spans="1:10" x14ac:dyDescent="0.25">
      <c r="A257" t="s">
        <v>706</v>
      </c>
      <c r="B257" s="2">
        <v>4.33</v>
      </c>
      <c r="C257" s="2">
        <v>3.76</v>
      </c>
      <c r="D257" s="2">
        <v>3.71</v>
      </c>
      <c r="E257" s="2">
        <v>4.43</v>
      </c>
      <c r="F257" s="2">
        <v>3.94</v>
      </c>
      <c r="G257" s="2">
        <v>3.95</v>
      </c>
      <c r="H257" s="7">
        <v>4.3215000000000003</v>
      </c>
      <c r="I257" s="7">
        <v>3.6495000000000002</v>
      </c>
      <c r="J257" s="7">
        <v>3.4649999999999999</v>
      </c>
    </row>
    <row r="258" spans="1:10" x14ac:dyDescent="0.25">
      <c r="A258" t="s">
        <v>707</v>
      </c>
      <c r="B258" s="2">
        <v>4.3099999999999996</v>
      </c>
      <c r="C258" s="2">
        <v>3.7</v>
      </c>
      <c r="D258" s="2">
        <v>3.68</v>
      </c>
      <c r="E258" s="2">
        <v>4.41</v>
      </c>
      <c r="F258" s="2">
        <v>3.94</v>
      </c>
      <c r="G258" s="2">
        <v>3.93</v>
      </c>
      <c r="H258" s="7">
        <v>4.2911999999999999</v>
      </c>
      <c r="I258" s="7">
        <v>3.5958000000000001</v>
      </c>
      <c r="J258" s="7">
        <v>3.4178000000000002</v>
      </c>
    </row>
    <row r="259" spans="1:10" x14ac:dyDescent="0.25">
      <c r="A259" t="s">
        <v>708</v>
      </c>
      <c r="B259" s="2">
        <v>4.09</v>
      </c>
      <c r="C259" s="2">
        <v>3.5</v>
      </c>
      <c r="D259" s="2">
        <v>3.52</v>
      </c>
      <c r="E259" s="2">
        <v>4.34</v>
      </c>
      <c r="F259" s="2">
        <v>3.86</v>
      </c>
      <c r="G259" s="2">
        <v>3.86</v>
      </c>
      <c r="H259" s="7">
        <v>4.1092000000000004</v>
      </c>
      <c r="I259" s="7">
        <v>3.4422000000000001</v>
      </c>
      <c r="J259" s="7">
        <v>3.2955999999999999</v>
      </c>
    </row>
    <row r="260" spans="1:10" x14ac:dyDescent="0.25">
      <c r="A260" t="s">
        <v>709</v>
      </c>
      <c r="B260" s="2">
        <v>4.07</v>
      </c>
      <c r="C260" s="2">
        <v>3.5</v>
      </c>
      <c r="D260" s="2">
        <v>3.54</v>
      </c>
      <c r="E260" s="2">
        <v>4.33</v>
      </c>
      <c r="F260" s="2">
        <v>3.87</v>
      </c>
      <c r="G260" s="2">
        <v>3.89</v>
      </c>
      <c r="H260" s="7">
        <v>4.1086</v>
      </c>
      <c r="I260" s="7">
        <v>3.4373999999999998</v>
      </c>
      <c r="J260" s="7">
        <v>3.3045</v>
      </c>
    </row>
    <row r="261" spans="1:10" x14ac:dyDescent="0.25">
      <c r="A261" t="s">
        <v>710</v>
      </c>
      <c r="B261" s="2">
        <v>4.03</v>
      </c>
      <c r="C261" s="2">
        <v>3.46</v>
      </c>
      <c r="D261" s="2">
        <v>3.51</v>
      </c>
      <c r="E261" s="2">
        <v>4.3099999999999996</v>
      </c>
      <c r="F261" s="2">
        <v>3.87</v>
      </c>
      <c r="G261" s="2">
        <v>3.9</v>
      </c>
      <c r="H261" s="7">
        <v>4.0747999999999998</v>
      </c>
      <c r="I261" s="7">
        <v>3.3910999999999998</v>
      </c>
      <c r="J261" s="7">
        <v>3.2608999999999999</v>
      </c>
    </row>
    <row r="262" spans="1:10" x14ac:dyDescent="0.25">
      <c r="A262" t="s">
        <v>711</v>
      </c>
      <c r="B262" s="2" t="e">
        <v>#N/A</v>
      </c>
      <c r="C262" s="2" t="e">
        <v>#N/A</v>
      </c>
      <c r="D262" s="2">
        <v>3.5</v>
      </c>
      <c r="E262" s="2" t="e">
        <v>#N/A</v>
      </c>
      <c r="F262" s="2" t="e">
        <v>#N/A</v>
      </c>
      <c r="G262" s="2" t="e">
        <v>#N/A</v>
      </c>
      <c r="H262" s="7">
        <v>4.0747999999999998</v>
      </c>
      <c r="I262" s="7">
        <v>3.3910999999999998</v>
      </c>
      <c r="J262" s="7">
        <v>3.2608999999999999</v>
      </c>
    </row>
    <row r="263" spans="1:10" x14ac:dyDescent="0.25">
      <c r="A263" t="s">
        <v>712</v>
      </c>
      <c r="B263" s="2" t="e">
        <v>#N/A</v>
      </c>
      <c r="C263" s="2" t="e">
        <v>#N/A</v>
      </c>
      <c r="D263" s="2" t="e">
        <v>#N/A</v>
      </c>
      <c r="E263" s="2">
        <v>4.26</v>
      </c>
      <c r="F263" s="2">
        <v>3.89</v>
      </c>
      <c r="G263" s="2">
        <v>3.89</v>
      </c>
      <c r="H263" s="7">
        <v>4.0747999999999998</v>
      </c>
      <c r="I263" s="7">
        <v>3.3910999999999998</v>
      </c>
      <c r="J263" s="7">
        <v>3.2608999999999999</v>
      </c>
    </row>
    <row r="264" spans="1:10" x14ac:dyDescent="0.25">
      <c r="A264" t="s">
        <v>713</v>
      </c>
      <c r="B264" s="2">
        <v>3.98</v>
      </c>
      <c r="C264" s="2">
        <v>3.4</v>
      </c>
      <c r="D264" s="2">
        <v>3.45</v>
      </c>
      <c r="E264" s="2">
        <v>4.2</v>
      </c>
      <c r="F264" s="2">
        <v>3.78</v>
      </c>
      <c r="G264" s="2">
        <v>3.79</v>
      </c>
      <c r="H264" s="7">
        <v>4.0194999999999999</v>
      </c>
      <c r="I264" s="7">
        <v>3.3203999999999998</v>
      </c>
      <c r="J264" s="7">
        <v>3.1917</v>
      </c>
    </row>
    <row r="265" spans="1:10" x14ac:dyDescent="0.25">
      <c r="A265" t="s">
        <v>714</v>
      </c>
      <c r="B265" s="2">
        <v>4</v>
      </c>
      <c r="C265" s="2">
        <v>3.45</v>
      </c>
      <c r="D265" s="2">
        <v>3.5</v>
      </c>
      <c r="E265" s="2">
        <v>4.26</v>
      </c>
      <c r="F265" s="2">
        <v>3.83</v>
      </c>
      <c r="G265" s="2">
        <v>3.84</v>
      </c>
      <c r="H265" s="7">
        <v>4.0190999999999999</v>
      </c>
      <c r="I265" s="7">
        <v>3.3553999999999999</v>
      </c>
      <c r="J265" s="7">
        <v>3.2421000000000002</v>
      </c>
    </row>
    <row r="266" spans="1:10" x14ac:dyDescent="0.25">
      <c r="A266" t="s">
        <v>715</v>
      </c>
      <c r="B266" s="2">
        <v>3.98</v>
      </c>
      <c r="C266" s="2">
        <v>3.46</v>
      </c>
      <c r="D266" s="2">
        <v>3.54</v>
      </c>
      <c r="E266" s="2">
        <v>4.2300000000000004</v>
      </c>
      <c r="F266" s="2">
        <v>3.84</v>
      </c>
      <c r="G266" s="2">
        <v>3.88</v>
      </c>
      <c r="H266" s="7">
        <v>4.0313999999999997</v>
      </c>
      <c r="I266" s="7">
        <v>3.3778000000000001</v>
      </c>
      <c r="J266" s="7">
        <v>3.2915999999999999</v>
      </c>
    </row>
    <row r="267" spans="1:10" x14ac:dyDescent="0.25">
      <c r="A267" t="s">
        <v>716</v>
      </c>
      <c r="B267" s="2" t="e">
        <v>#N/A</v>
      </c>
      <c r="C267" s="2">
        <v>3.46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7">
        <v>4.0313999999999997</v>
      </c>
      <c r="I267" s="7">
        <v>3.3778000000000001</v>
      </c>
      <c r="J267" s="7">
        <v>3.2915999999999999</v>
      </c>
    </row>
    <row r="268" spans="1:10" x14ac:dyDescent="0.25">
      <c r="A268" t="s">
        <v>717</v>
      </c>
      <c r="B268" s="2">
        <v>4.0599999999999996</v>
      </c>
      <c r="C268" s="2">
        <v>3.55</v>
      </c>
      <c r="D268" s="2">
        <v>3.65</v>
      </c>
      <c r="E268" s="2">
        <v>4.33</v>
      </c>
      <c r="F268" s="2">
        <v>3.93</v>
      </c>
      <c r="G268" s="2">
        <v>3.95</v>
      </c>
      <c r="H268" s="7">
        <v>4.0735000000000001</v>
      </c>
      <c r="I268" s="7">
        <v>3.4426999999999999</v>
      </c>
      <c r="J268" s="7">
        <v>3.3877999999999999</v>
      </c>
    </row>
    <row r="269" spans="1:10" x14ac:dyDescent="0.25">
      <c r="A269" t="s">
        <v>718</v>
      </c>
      <c r="B269" s="2">
        <v>4.07</v>
      </c>
      <c r="C269" s="2">
        <v>3.55</v>
      </c>
      <c r="D269" s="2">
        <v>3.61</v>
      </c>
      <c r="E269" s="2">
        <v>4.33</v>
      </c>
      <c r="F269" s="2">
        <v>3.9</v>
      </c>
      <c r="G269" s="2">
        <v>3.91</v>
      </c>
      <c r="H269" s="7">
        <v>4.0625999999999998</v>
      </c>
      <c r="I269" s="7">
        <v>3.4339</v>
      </c>
      <c r="J269" s="7">
        <v>3.3744000000000001</v>
      </c>
    </row>
    <row r="270" spans="1:10" x14ac:dyDescent="0.25">
      <c r="A270" t="s">
        <v>719</v>
      </c>
      <c r="B270" s="2">
        <v>4.22</v>
      </c>
      <c r="C270" s="2">
        <v>3.7</v>
      </c>
      <c r="D270" s="2">
        <v>3.74</v>
      </c>
      <c r="E270" s="2">
        <v>4.38</v>
      </c>
      <c r="F270" s="2">
        <v>3.97</v>
      </c>
      <c r="G270" s="2">
        <v>3.99</v>
      </c>
      <c r="H270" s="7">
        <v>4.1760999999999999</v>
      </c>
      <c r="I270" s="7">
        <v>3.5653999999999999</v>
      </c>
      <c r="J270" s="7">
        <v>3.4950000000000001</v>
      </c>
    </row>
    <row r="271" spans="1:10" x14ac:dyDescent="0.25">
      <c r="A271" t="s">
        <v>720</v>
      </c>
      <c r="B271" s="2">
        <v>4.24</v>
      </c>
      <c r="C271" s="2">
        <v>3.78</v>
      </c>
      <c r="D271" s="2">
        <v>3.81</v>
      </c>
      <c r="E271" s="2">
        <v>4.4000000000000004</v>
      </c>
      <c r="F271" s="2">
        <v>4.0199999999999996</v>
      </c>
      <c r="G271" s="2">
        <v>4.05</v>
      </c>
      <c r="H271" s="7">
        <v>4.2398999999999996</v>
      </c>
      <c r="I271" s="7">
        <v>3.6503999999999999</v>
      </c>
      <c r="J271" s="7">
        <v>3.5708000000000002</v>
      </c>
    </row>
    <row r="272" spans="1:10" x14ac:dyDescent="0.25">
      <c r="A272" t="s">
        <v>721</v>
      </c>
      <c r="B272" s="2">
        <v>4.1900000000000004</v>
      </c>
      <c r="C272" s="2">
        <v>3.72</v>
      </c>
      <c r="D272" s="2">
        <v>3.77</v>
      </c>
      <c r="E272" s="2">
        <v>4.3600000000000003</v>
      </c>
      <c r="F272" s="2">
        <v>3.97</v>
      </c>
      <c r="G272" s="2">
        <v>4.01</v>
      </c>
      <c r="H272" s="7">
        <v>4.2073999999999998</v>
      </c>
      <c r="I272" s="7">
        <v>3.6225999999999998</v>
      </c>
      <c r="J272" s="7">
        <v>3.5522</v>
      </c>
    </row>
    <row r="273" spans="1:10" x14ac:dyDescent="0.25">
      <c r="A273" t="s">
        <v>722</v>
      </c>
      <c r="B273" s="2">
        <v>4.21</v>
      </c>
      <c r="C273" s="2">
        <v>3.73</v>
      </c>
      <c r="D273" s="2">
        <v>3.79</v>
      </c>
      <c r="E273" s="2">
        <v>4.3600000000000003</v>
      </c>
      <c r="F273" s="2">
        <v>3.97</v>
      </c>
      <c r="G273" s="2">
        <v>4.0199999999999996</v>
      </c>
      <c r="H273" s="7">
        <v>4.2218999999999998</v>
      </c>
      <c r="I273" s="7">
        <v>3.621</v>
      </c>
      <c r="J273" s="7">
        <v>3.548</v>
      </c>
    </row>
    <row r="274" spans="1:10" x14ac:dyDescent="0.25">
      <c r="A274" t="s">
        <v>730</v>
      </c>
      <c r="B274" s="2">
        <v>4.22</v>
      </c>
      <c r="C274" s="2">
        <v>3.75</v>
      </c>
      <c r="D274" s="2">
        <v>3.82</v>
      </c>
      <c r="E274" s="2">
        <v>4.37</v>
      </c>
      <c r="F274" s="2">
        <v>3.99</v>
      </c>
      <c r="G274" s="2">
        <v>4.04</v>
      </c>
      <c r="H274" s="7">
        <v>4.2557999999999998</v>
      </c>
      <c r="I274" s="7">
        <v>3.6516000000000002</v>
      </c>
      <c r="J274" s="7">
        <v>3.5754999999999999</v>
      </c>
    </row>
    <row r="275" spans="1:10" x14ac:dyDescent="0.25">
      <c r="B275" s="2"/>
      <c r="C275" s="2"/>
      <c r="D275" s="2"/>
      <c r="E275" s="2"/>
      <c r="F275" s="2"/>
      <c r="G275" s="2"/>
      <c r="H275" s="7"/>
      <c r="I275" s="7"/>
      <c r="J275" s="7"/>
    </row>
    <row r="276" spans="1:10" x14ac:dyDescent="0.25">
      <c r="B276" s="2"/>
      <c r="C276" s="2"/>
      <c r="D276" s="2"/>
      <c r="E276" s="2"/>
      <c r="F276" s="2"/>
      <c r="G276" s="2"/>
      <c r="H276" s="7"/>
      <c r="I276" s="7"/>
      <c r="J276" s="7"/>
    </row>
    <row r="277" spans="1:10" x14ac:dyDescent="0.25">
      <c r="B277" s="2"/>
      <c r="C277" s="2"/>
      <c r="D277" s="2"/>
      <c r="E277" s="2"/>
      <c r="F277" s="2"/>
      <c r="G277" s="2"/>
      <c r="H277" s="7"/>
      <c r="I277" s="7"/>
      <c r="J277" s="7"/>
    </row>
    <row r="278" spans="1:10" x14ac:dyDescent="0.25">
      <c r="B278" s="2"/>
      <c r="C278" s="2"/>
      <c r="D278" s="2"/>
      <c r="E278" s="2"/>
      <c r="F278" s="2"/>
      <c r="G278" s="2"/>
      <c r="H278" s="7"/>
      <c r="I278" s="7"/>
      <c r="J278" s="7"/>
    </row>
    <row r="279" spans="1:10" x14ac:dyDescent="0.25">
      <c r="B279" s="2"/>
      <c r="C279" s="2"/>
      <c r="D279" s="2"/>
      <c r="E279" s="2"/>
      <c r="F279" s="2"/>
      <c r="G279" s="2"/>
      <c r="H279" s="7"/>
      <c r="I279" s="7"/>
      <c r="J279" s="7"/>
    </row>
    <row r="280" spans="1:10" x14ac:dyDescent="0.25">
      <c r="B280" s="2"/>
      <c r="C280" s="2"/>
      <c r="D280" s="2"/>
      <c r="E280" s="2"/>
      <c r="F280" s="2"/>
      <c r="G280" s="2"/>
      <c r="H280" s="7"/>
      <c r="I280" s="7"/>
      <c r="J280" s="7"/>
    </row>
    <row r="281" spans="1:10" x14ac:dyDescent="0.25">
      <c r="B281" s="2"/>
      <c r="C281" s="2"/>
      <c r="D281" s="2"/>
      <c r="E281" s="2"/>
      <c r="F281" s="2"/>
      <c r="G281" s="2"/>
      <c r="H281" s="7"/>
      <c r="I281" s="7"/>
      <c r="J281" s="7"/>
    </row>
    <row r="283" spans="1:10" x14ac:dyDescent="0.25">
      <c r="A283" t="s">
        <v>725</v>
      </c>
      <c r="B283" s="2">
        <f t="shared" ref="B283:J283" si="0">B274-B266</f>
        <v>0.23999999999999977</v>
      </c>
      <c r="C283" s="2">
        <f t="shared" si="0"/>
        <v>0.29000000000000004</v>
      </c>
      <c r="D283" s="2">
        <f t="shared" si="0"/>
        <v>0.2799999999999998</v>
      </c>
      <c r="E283" s="2">
        <f t="shared" si="0"/>
        <v>0.13999999999999968</v>
      </c>
      <c r="F283" s="2">
        <f t="shared" si="0"/>
        <v>0.15000000000000036</v>
      </c>
      <c r="G283" s="2">
        <f t="shared" si="0"/>
        <v>0.16000000000000014</v>
      </c>
      <c r="H283" s="2">
        <f t="shared" si="0"/>
        <v>0.22440000000000015</v>
      </c>
      <c r="I283" s="2">
        <f t="shared" si="0"/>
        <v>0.27380000000000004</v>
      </c>
      <c r="J283" s="2">
        <f t="shared" si="0"/>
        <v>0.28390000000000004</v>
      </c>
    </row>
    <row r="284" spans="1:10" x14ac:dyDescent="0.25">
      <c r="A284" t="s">
        <v>686</v>
      </c>
      <c r="B284" s="2">
        <f t="shared" ref="B284:J284" si="1">B274-B246</f>
        <v>-0.29000000000000004</v>
      </c>
      <c r="C284" s="2">
        <f t="shared" si="1"/>
        <v>-0.34999999999999964</v>
      </c>
      <c r="D284" s="2">
        <f t="shared" si="1"/>
        <v>-0.31999999999999984</v>
      </c>
      <c r="E284" s="2">
        <f t="shared" si="1"/>
        <v>-0.1899999999999995</v>
      </c>
      <c r="F284" s="2">
        <f t="shared" si="1"/>
        <v>-0.14999999999999947</v>
      </c>
      <c r="G284" s="2">
        <f t="shared" si="1"/>
        <v>-0.17999999999999972</v>
      </c>
      <c r="H284" s="2">
        <f t="shared" si="1"/>
        <v>-0.41769999999999996</v>
      </c>
      <c r="I284" s="2">
        <f t="shared" si="1"/>
        <v>-0.45340000000000025</v>
      </c>
      <c r="J284" s="2">
        <f t="shared" si="1"/>
        <v>-0.37850000000000028</v>
      </c>
    </row>
    <row r="285" spans="1:10" x14ac:dyDescent="0.25">
      <c r="A285" t="s">
        <v>731</v>
      </c>
      <c r="B285" s="2">
        <f>B266-B245</f>
        <v>-0.64999999999999991</v>
      </c>
      <c r="C285" s="2">
        <f t="shared" ref="C285:J285" si="2">C266-C245</f>
        <v>-0.75999999999999979</v>
      </c>
      <c r="D285" s="2">
        <f t="shared" si="2"/>
        <v>-0.67999999999999972</v>
      </c>
      <c r="E285" s="2">
        <f t="shared" si="2"/>
        <v>-0.5</v>
      </c>
      <c r="F285" s="2">
        <f t="shared" si="2"/>
        <v>-0.46999999999999975</v>
      </c>
      <c r="G285" s="2">
        <f t="shared" si="2"/>
        <v>-0.49000000000000021</v>
      </c>
      <c r="H285" s="2">
        <f t="shared" si="2"/>
        <v>-0.70910000000000029</v>
      </c>
      <c r="I285" s="2">
        <f t="shared" si="2"/>
        <v>-0.7849999999999997</v>
      </c>
      <c r="J285" s="2">
        <f t="shared" si="2"/>
        <v>-0.69540000000000024</v>
      </c>
    </row>
    <row r="287" spans="1:10" x14ac:dyDescent="0.25">
      <c r="A287" t="s">
        <v>687</v>
      </c>
      <c r="B287" s="2">
        <f t="shared" ref="B287:J287" si="3">B274-B225</f>
        <v>-0.5</v>
      </c>
      <c r="C287" s="2">
        <f t="shared" si="3"/>
        <v>-0.58000000000000007</v>
      </c>
      <c r="D287" s="2">
        <f t="shared" si="3"/>
        <v>-0.55000000000000027</v>
      </c>
      <c r="E287" s="2">
        <f t="shared" si="3"/>
        <v>-0.61000000000000032</v>
      </c>
      <c r="F287" s="2">
        <f t="shared" si="3"/>
        <v>-0.66000000000000014</v>
      </c>
      <c r="G287" s="2">
        <f t="shared" si="3"/>
        <v>-0.62999999999999989</v>
      </c>
      <c r="H287" s="2">
        <f t="shared" si="3"/>
        <v>-0.64570000000000061</v>
      </c>
      <c r="I287" s="2">
        <f t="shared" si="3"/>
        <v>-0.72929999999999939</v>
      </c>
      <c r="J287" s="2">
        <f t="shared" si="3"/>
        <v>-0.66520000000000046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Chart Data</vt:lpstr>
      <vt:lpstr>HAVERM</vt:lpstr>
      <vt:lpstr>HAVERD</vt:lpstr>
      <vt:lpstr>Chart1</vt:lpstr>
      <vt:lpstr>Chart1 (2)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2023-11-09T21:25:40Z</dcterms:created>
  <dcterms:modified xsi:type="dcterms:W3CDTF">2024-01-11T14:22:57Z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2023-11-09T21:33:41Z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ff36c727-c4ff-4afc-b8b4-5fbdb48b65b7</vt:lpwstr>
  </property>
  <property fmtid="{D5CDD505-2E9C-101B-9397-08002B2CF9AE}" pid="8" name="MSIP_Label_231f5784-19ed-4d1e-9a93-4ea41014d730_ContentBits">
    <vt:lpwstr>0</vt:lpwstr>
  </property>
</Properties>
</file>