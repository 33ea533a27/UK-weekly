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2C01C06A-0445-44C2-B944-4571E9873EF6}" xr6:coauthVersionLast="47" xr6:coauthVersionMax="47" xr10:uidLastSave="{00000000-0000-0000-0000-000000000000}"/>
  <bookViews>
    <workbookView xWindow="-120" yWindow="-120" windowWidth="29040" windowHeight="15840" activeTab="1" xr2:uid="{6F4D26FA-8169-4177-BB28-6650CAEBEB98}"/>
  </bookViews>
  <sheets>
    <sheet name="Chart2" sheetId="6" r:id="rId1"/>
    <sheet name="Calculations" sheetId="3" r:id="rId2"/>
    <sheet name="HAVERD" sheetId="1" r:id="rId3"/>
    <sheet name="OBR RR Mar24 - Debt interest" sheetId="2" r:id="rId4"/>
  </sheets>
  <definedNames>
    <definedName name="_DLX1.INC">HAVERD!$A$1:$AL$6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0" i="1" l="1"/>
  <c r="K520" i="1"/>
  <c r="K538" i="1" s="1"/>
  <c r="L520" i="1"/>
  <c r="M520" i="1"/>
  <c r="M538" i="1" s="1"/>
  <c r="I520" i="1"/>
  <c r="H520" i="1"/>
  <c r="L538" i="1"/>
  <c r="J538" i="1"/>
  <c r="I538" i="1"/>
  <c r="H538" i="1"/>
  <c r="G538" i="1"/>
  <c r="F538" i="1"/>
  <c r="E538" i="1"/>
  <c r="D538" i="1"/>
  <c r="C538" i="1"/>
  <c r="B538" i="1"/>
  <c r="C558" i="1"/>
  <c r="L9" i="3"/>
  <c r="L8" i="3"/>
  <c r="I30" i="2"/>
  <c r="I29" i="2"/>
  <c r="I28" i="2"/>
  <c r="I27" i="2"/>
  <c r="I26" i="2"/>
  <c r="I25" i="2"/>
  <c r="I24" i="2"/>
  <c r="I23" i="2"/>
  <c r="I22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K5" i="3" l="1"/>
  <c r="K6" i="3"/>
  <c r="K7" i="3"/>
  <c r="K8" i="3"/>
  <c r="K9" i="3"/>
  <c r="K4" i="3"/>
  <c r="C555" i="1"/>
  <c r="G3" i="3" a="1"/>
  <c r="G4" i="3" s="1"/>
  <c r="C537" i="1"/>
  <c r="D537" i="1"/>
  <c r="E537" i="1"/>
  <c r="F537" i="1"/>
  <c r="G537" i="1"/>
  <c r="H537" i="1"/>
  <c r="F3" i="3" s="1" a="1"/>
  <c r="F4" i="3" s="1"/>
  <c r="I537" i="1"/>
  <c r="J537" i="1"/>
  <c r="K537" i="1"/>
  <c r="L537" i="1"/>
  <c r="M537" i="1"/>
  <c r="B537" i="1"/>
  <c r="O5" i="3" l="1"/>
  <c r="B540" i="1"/>
  <c r="D555" i="1"/>
  <c r="A558" i="1"/>
  <c r="B3" i="3" a="1"/>
  <c r="B5" i="3" s="1"/>
  <c r="G7" i="3"/>
  <c r="G6" i="3"/>
  <c r="G8" i="3"/>
  <c r="O9" i="3" s="1"/>
  <c r="G5" i="3"/>
  <c r="G3" i="3"/>
  <c r="F6" i="3"/>
  <c r="F3" i="3"/>
  <c r="F7" i="3"/>
  <c r="F5" i="3"/>
  <c r="F8" i="3"/>
  <c r="C550" i="1"/>
  <c r="D550" i="1" s="1"/>
  <c r="B4" i="3" l="1"/>
  <c r="B7" i="3"/>
  <c r="B8" i="3"/>
  <c r="B6" i="3"/>
  <c r="B3" i="3"/>
  <c r="O8" i="3"/>
  <c r="P9" i="3" s="1"/>
  <c r="R9" i="3" s="1"/>
  <c r="O4" i="3"/>
  <c r="O6" i="3"/>
  <c r="O7" i="3"/>
  <c r="K3" i="3"/>
  <c r="L4" i="3" l="1"/>
  <c r="L7" i="3"/>
  <c r="L3" i="3"/>
  <c r="L5" i="3"/>
  <c r="L6" i="3"/>
  <c r="F10" i="3"/>
  <c r="C536" i="1"/>
  <c r="D536" i="1"/>
  <c r="E536" i="1"/>
  <c r="F536" i="1"/>
  <c r="G536" i="1"/>
  <c r="H536" i="1"/>
  <c r="I536" i="1"/>
  <c r="J536" i="1"/>
  <c r="K536" i="1"/>
  <c r="L536" i="1"/>
  <c r="M536" i="1"/>
  <c r="B536" i="1"/>
  <c r="C545" i="1"/>
  <c r="G540" i="1" l="1"/>
  <c r="F540" i="1"/>
  <c r="B10" i="3"/>
  <c r="M540" i="1"/>
  <c r="E540" i="1"/>
  <c r="J540" i="1"/>
  <c r="I540" i="1"/>
  <c r="H540" i="1"/>
  <c r="L540" i="1"/>
  <c r="D540" i="1"/>
  <c r="K540" i="1"/>
  <c r="C540" i="1"/>
  <c r="C3" i="3" a="1"/>
  <c r="C4" i="3" s="1"/>
  <c r="D545" i="1"/>
  <c r="C535" i="1"/>
  <c r="D535" i="1"/>
  <c r="E535" i="1"/>
  <c r="F535" i="1"/>
  <c r="G535" i="1"/>
  <c r="C5" i="3" l="1"/>
  <c r="C8" i="3"/>
  <c r="C7" i="3"/>
  <c r="C3" i="3"/>
  <c r="C6" i="3"/>
  <c r="O3" i="3"/>
  <c r="P3" i="3" s="1"/>
  <c r="H535" i="1"/>
  <c r="I535" i="1"/>
  <c r="J535" i="1"/>
  <c r="K535" i="1"/>
  <c r="L535" i="1"/>
  <c r="M535" i="1"/>
  <c r="G10" i="3" l="1"/>
  <c r="G11" i="3" s="1"/>
  <c r="C10" i="3"/>
  <c r="C11" i="3" s="1"/>
  <c r="J28" i="2"/>
  <c r="J21" i="2"/>
  <c r="J14" i="2"/>
  <c r="J7" i="2"/>
  <c r="P6" i="3" l="1"/>
  <c r="P8" i="3"/>
  <c r="P4" i="3"/>
  <c r="P7" i="3"/>
  <c r="B535" i="1"/>
  <c r="P5" i="3" l="1"/>
  <c r="R4" i="3"/>
  <c r="R8" i="3"/>
  <c r="R5" i="3" l="1"/>
  <c r="R6" i="3"/>
  <c r="R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A535" authorId="0" shapeId="0" xr:uid="{326C0AD9-9B43-48EE-BE78-A81889162CD3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AS on 22/11
10 days to 10/10 = 6 weeks before</t>
        </r>
      </text>
    </comment>
  </commentList>
</comments>
</file>

<file path=xl/sharedStrings.xml><?xml version="1.0" encoding="utf-8"?>
<sst xmlns="http://schemas.openxmlformats.org/spreadsheetml/2006/main" count="681" uniqueCount="605">
  <si>
    <t>T112G2@INTDAILY</t>
  </si>
  <si>
    <t>T112GA@INTDAILY</t>
  </si>
  <si>
    <t>20230101 !D</t>
  </si>
  <si>
    <t>20230102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</si>
  <si>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</si>
  <si>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</si>
  <si>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</si>
  <si>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</si>
  <si>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</si>
  <si>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</si>
  <si>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</si>
  <si>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2-Yr Government Bond Yield (%)</t>
  </si>
  <si>
    <t>UK: 10-Yr Government Bond Yield (%)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</si>
  <si>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</si>
  <si>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</si>
  <si>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</si>
  <si>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</si>
  <si>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</si>
  <si>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</si>
  <si>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</si>
  <si>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</si>
  <si>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</si>
  <si>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</si>
  <si>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</si>
  <si>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</si>
  <si>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</si>
  <si>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</si>
  <si>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</si>
  <si>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</si>
  <si>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</si>
  <si>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</si>
  <si>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</si>
  <si>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</si>
  <si>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</si>
  <si>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</si>
  <si>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</si>
  <si>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</si>
  <si>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</si>
  <si>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</si>
  <si>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</si>
  <si>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</si>
  <si>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</si>
  <si>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</si>
  <si>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</si>
  <si>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</si>
  <si>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</si>
  <si>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</si>
  <si>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</si>
  <si>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</si>
  <si>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</si>
  <si>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</si>
  <si>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</si>
  <si>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</si>
  <si>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</si>
  <si>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</si>
  <si>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</si>
  <si>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</si>
  <si>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</si>
  <si>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</si>
  <si>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</si>
  <si>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</si>
  <si>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</si>
  <si>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</si>
  <si>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</si>
  <si>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</si>
  <si>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</si>
  <si>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</si>
  <si>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</si>
  <si>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</si>
  <si>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</si>
  <si>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</si>
  <si>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</si>
  <si>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</si>
  <si>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</si>
  <si>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</si>
  <si>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</si>
  <si>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</si>
  <si>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</si>
  <si>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</si>
  <si>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</si>
  <si>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</si>
  <si>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</si>
  <si>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</si>
  <si>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</si>
  <si>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</si>
  <si>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</si>
  <si>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</si>
  <si>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</si>
  <si>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</si>
  <si>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</si>
  <si>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</si>
  <si>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</si>
  <si>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</si>
  <si>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</si>
  <si>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</si>
  <si>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</si>
  <si>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</si>
  <si>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</si>
  <si>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</si>
  <si>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</si>
  <si>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</si>
  <si>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</si>
  <si>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</si>
  <si>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</si>
  <si>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</si>
  <si>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</si>
  <si>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</si>
  <si>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</si>
  <si>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</si>
  <si>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</si>
  <si>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</si>
  <si>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</si>
  <si>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</si>
  <si>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</si>
  <si>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</si>
  <si>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</si>
  <si>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</si>
  <si>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</si>
  <si>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</si>
  <si>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</si>
  <si>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</si>
  <si>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</si>
  <si>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</si>
  <si>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</si>
  <si>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</si>
  <si>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</si>
  <si>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</si>
  <si>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</si>
  <si>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</si>
  <si>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</si>
  <si>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</si>
  <si>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</si>
  <si>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</si>
  <si>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</si>
  <si>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</si>
  <si>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</si>
  <si>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</si>
  <si>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</si>
  <si>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</si>
  <si>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</si>
  <si>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</si>
  <si>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</si>
  <si>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</si>
  <si>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</si>
  <si>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</si>
  <si>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</si>
  <si>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</si>
  <si>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</si>
  <si>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</si>
  <si>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</si>
  <si>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</si>
  <si>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</si>
  <si>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</si>
  <si>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</si>
  <si>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</si>
  <si>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</si>
  <si>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</si>
  <si>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</si>
  <si>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</si>
  <si>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</si>
  <si>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</si>
  <si>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</si>
  <si>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</si>
  <si>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</si>
  <si>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</si>
  <si>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</si>
  <si>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</si>
  <si>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</si>
  <si>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</si>
  <si>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</si>
  <si>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</si>
  <si>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</si>
  <si>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</si>
  <si>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</si>
  <si>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</si>
  <si>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</si>
  <si>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</si>
  <si>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</si>
  <si>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</si>
  <si>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</si>
  <si>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</si>
  <si>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</si>
  <si>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</si>
  <si>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</si>
  <si>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</si>
  <si>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</si>
  <si>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</si>
  <si>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</si>
  <si>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</si>
  <si>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</si>
  <si>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</si>
  <si>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</si>
  <si>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</si>
  <si>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</si>
  <si>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</si>
  <si>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</si>
  <si>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</si>
  <si>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</si>
  <si>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</si>
  <si>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</si>
  <si>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</si>
  <si>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</si>
  <si>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</si>
  <si>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</si>
  <si>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</si>
  <si>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</si>
  <si>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</si>
  <si>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</si>
  <si>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</si>
  <si>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</si>
  <si>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</si>
  <si>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</si>
  <si>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</si>
  <si>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</si>
  <si>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</si>
  <si>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</si>
  <si>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</si>
  <si>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</si>
  <si>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</si>
  <si>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</si>
  <si>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</si>
  <si>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</si>
  <si>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</si>
  <si>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</si>
  <si>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</si>
  <si>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</si>
  <si>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</si>
  <si>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</si>
  <si>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</si>
  <si>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</si>
  <si>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</si>
  <si>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</si>
  <si>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</si>
  <si>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</si>
  <si>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</si>
  <si>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</si>
  <si>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</si>
  <si>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</si>
  <si>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</si>
  <si>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</si>
  <si>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</si>
  <si>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</si>
  <si>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</si>
  <si>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</si>
  <si>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</si>
  <si>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</si>
  <si>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</si>
  <si>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</si>
  <si>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</si>
  <si>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</si>
  <si>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</si>
  <si>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</si>
  <si>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</si>
  <si>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</si>
  <si>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</si>
  <si>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Back to notes</t>
  </si>
  <si>
    <t>Effect of a 1 per cent increase (unless otherwise stated), £ million</t>
  </si>
  <si>
    <t>Year</t>
  </si>
  <si>
    <t>2023-24</t>
  </si>
  <si>
    <t>2024-25</t>
  </si>
  <si>
    <t>2025-26</t>
  </si>
  <si>
    <t>2026-27</t>
  </si>
  <si>
    <t>2027-28</t>
  </si>
  <si>
    <t>2028-29</t>
  </si>
  <si>
    <t>RPI inflation</t>
  </si>
  <si>
    <t>Gilt rates (long-term interest rates)</t>
  </si>
  <si>
    <t>Short rates (Bank Rate)</t>
  </si>
  <si>
    <t>CGNCR (£1 billion change)</t>
  </si>
  <si>
    <t>Interest rates - gilts</t>
  </si>
  <si>
    <t>OBR gilt</t>
  </si>
  <si>
    <t>FY2023/24</t>
  </si>
  <si>
    <t>FY2024/25</t>
  </si>
  <si>
    <t>FY2025/26</t>
  </si>
  <si>
    <t>FY2026/27</t>
  </si>
  <si>
    <t>FY2027/28</t>
  </si>
  <si>
    <t>FY2028/29</t>
  </si>
  <si>
    <t>OBR RCB</t>
  </si>
  <si>
    <t>R11212F@INTDAILY</t>
  </si>
  <si>
    <t>R11224F@INTDAILY</t>
  </si>
  <si>
    <t>R11236F@INTDAILY</t>
  </si>
  <si>
    <t>R11248F@INTDAILY</t>
  </si>
  <si>
    <t>R11260F@INTDAILY</t>
  </si>
  <si>
    <t>R112I6A@INTDAILY</t>
  </si>
  <si>
    <t>Diff</t>
  </si>
  <si>
    <t>Bank of England</t>
  </si>
  <si>
    <t>02-Jan-2009</t>
  </si>
  <si>
    <t>UK: Overnight Index Swap: Forward Yields, 12-Month (% p.a.)</t>
  </si>
  <si>
    <t>UK: Overnight Index Swap: Forward Yields, 24-Month (% p.a.)</t>
  </si>
  <si>
    <t>UK: Overnight Index Swap: Forward Yields, 36-Month (% p.a.)</t>
  </si>
  <si>
    <t>UK: Overnight Index Swap: Forward Yields, 48-Month (% p.a.)</t>
  </si>
  <si>
    <t>UK: Overnight Index Swap: Forward Yields, 60-Month (% p.a.)</t>
  </si>
  <si>
    <t>UK: Overnight Index Swap: Forward Yields, 6-Year (% p.a.)</t>
  </si>
  <si>
    <t>Interest rates - short rates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</si>
  <si>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</si>
  <si>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</si>
  <si>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</si>
  <si>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</si>
  <si>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</si>
  <si>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</si>
  <si>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</si>
  <si>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</si>
  <si>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</si>
  <si>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</si>
  <si>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</si>
  <si>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</si>
  <si>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</si>
  <si>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</si>
  <si>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</si>
  <si>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</si>
  <si>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</si>
  <si>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</si>
  <si>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</si>
  <si>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</si>
  <si>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</si>
  <si>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</si>
  <si>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</si>
  <si>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</si>
  <si>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</si>
  <si>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</si>
  <si>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</si>
  <si>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</si>
  <si>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</si>
  <si>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</si>
  <si>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</si>
  <si>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</si>
  <si>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</si>
  <si>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</si>
  <si>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</si>
  <si>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</si>
  <si>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</si>
  <si>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</si>
  <si>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</si>
  <si>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</si>
  <si>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</si>
  <si>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</si>
  <si>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</si>
  <si>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</si>
  <si>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</si>
  <si>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</si>
  <si>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</si>
  <si>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</si>
  <si>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</si>
  <si>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</si>
  <si>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</si>
  <si>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</si>
  <si>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</si>
  <si>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T112G5@INTDAILY</t>
  </si>
  <si>
    <t>03-Jan-1995</t>
  </si>
  <si>
    <t>UK: 5-Yr Government Bond Yield (%)</t>
  </si>
  <si>
    <t>T112GK@INTDAILY</t>
  </si>
  <si>
    <t>T112GT@INTDAILY</t>
  </si>
  <si>
    <t>UK: 20-Yr Government Bond Yield (%)</t>
  </si>
  <si>
    <t>UK: 30-Yr Government Bond Yield (%)</t>
  </si>
  <si>
    <t>T112GF@INTDAILY</t>
  </si>
  <si>
    <t>UK: 15-Yr Government Bond Yield (%)</t>
  </si>
  <si>
    <t>10 days to 11/10</t>
  </si>
  <si>
    <t>AS 2023</t>
  </si>
  <si>
    <t>Financial assumptions</t>
  </si>
  <si>
    <t>https://obr.uk/economic-and-fiscal-outlooks/#foreword</t>
  </si>
  <si>
    <t>https://obr.uk/docs/dlm_uploads/March_2024_timetable.pdf</t>
  </si>
  <si>
    <t>Last pre-measures (round 2) forecast sent to HMT</t>
  </si>
  <si>
    <t>Last pre-measures (round 3) forecast sent to HMT</t>
  </si>
  <si>
    <t>Interest rates - market expectations</t>
  </si>
  <si>
    <t>Av</t>
  </si>
  <si>
    <t>AS</t>
  </si>
  <si>
    <t>Budget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</si>
  <si>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</si>
  <si>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</si>
  <si>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</si>
  <si>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</si>
  <si>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</si>
  <si>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</si>
  <si>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</si>
  <si>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</si>
  <si>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</si>
  <si>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</si>
  <si>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</si>
  <si>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</si>
  <si>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</si>
  <si>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</si>
  <si>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</si>
  <si>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</si>
  <si>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</si>
  <si>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</si>
  <si>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</si>
  <si>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</si>
  <si>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</si>
  <si>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</si>
  <si>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</si>
  <si>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</si>
  <si>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</si>
  <si>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</si>
  <si>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</si>
  <si>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</si>
  <si>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</si>
  <si>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</si>
  <si>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</si>
  <si>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</si>
  <si>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</si>
  <si>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</si>
  <si>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</si>
  <si>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</si>
  <si>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</si>
  <si>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</si>
  <si>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</si>
  <si>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</si>
  <si>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</si>
  <si>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</si>
  <si>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</si>
  <si>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</si>
  <si>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10 days to 23/1</t>
  </si>
  <si>
    <t>20240422</t>
  </si>
  <si>
    <t>20240423</t>
  </si>
  <si>
    <t>20240424</t>
  </si>
  <si>
    <t>20240425</t>
  </si>
  <si>
    <t>20240426</t>
  </si>
  <si>
    <t>20240429</t>
  </si>
  <si>
    <t>20240430</t>
  </si>
  <si>
    <t>20240501</t>
  </si>
  <si>
    <t>20240502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</si>
  <si>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</si>
  <si>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</si>
  <si>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</si>
  <si>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</si>
  <si>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</si>
  <si>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</si>
  <si>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</si>
  <si>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</si>
  <si>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</si>
  <si>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</si>
  <si>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</si>
  <si>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</si>
  <si>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</si>
  <si>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</si>
  <si>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</si>
  <si>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</si>
  <si>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</si>
  <si>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</si>
  <si>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</si>
  <si>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</si>
  <si>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</si>
  <si>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</si>
  <si>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</si>
  <si>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</si>
  <si>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</si>
  <si>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</si>
  <si>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20240610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</si>
  <si>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</si>
  <si>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</si>
  <si>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</si>
  <si>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</si>
  <si>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</si>
  <si>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</si>
  <si>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</si>
  <si>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</si>
  <si>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</si>
  <si>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</si>
  <si>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</si>
  <si>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</si>
  <si>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</si>
  <si>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</si>
  <si>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</si>
  <si>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</si>
  <si>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</si>
  <si>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</si>
  <si>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</si>
  <si>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</si>
  <si>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</si>
  <si>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</si>
  <si>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</si>
  <si>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</si>
  <si>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</si>
  <si>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20240716</t>
  </si>
  <si>
    <t>20240717</t>
  </si>
  <si>
    <t>20240718</t>
  </si>
  <si>
    <t>20240719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</si>
  <si>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</si>
  <si>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</si>
  <si>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</si>
  <si>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</si>
  <si>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</si>
  <si>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</si>
  <si>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</si>
  <si>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</si>
  <si>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</si>
  <si>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</si>
  <si>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</si>
  <si>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</si>
  <si>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</si>
  <si>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</si>
  <si>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</si>
  <si>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</si>
  <si>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</si>
  <si>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</si>
  <si>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</si>
  <si>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</si>
  <si>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</si>
  <si>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</si>
  <si>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</si>
  <si>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</si>
  <si>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</si>
  <si>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</si>
  <si>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</si>
  <si>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</si>
  <si>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</si>
  <si>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</si>
  <si>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</si>
  <si>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</si>
  <si>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</si>
  <si>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</si>
  <si>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</si>
  <si>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</si>
  <si>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</si>
  <si>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</si>
  <si>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</si>
  <si>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</si>
  <si>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</si>
  <si>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</si>
  <si>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</si>
  <si>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</si>
  <si>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</si>
  <si>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</si>
  <si>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</si>
  <si>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</si>
  <si>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</si>
  <si>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</si>
  <si>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</si>
  <si>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</si>
  <si>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</si>
  <si>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</si>
  <si>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</si>
  <si>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</si>
  <si>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Budget October 24</t>
  </si>
  <si>
    <t>Diff - this week vs Budget</t>
  </si>
  <si>
    <t>Budget Oct24</t>
  </si>
  <si>
    <t>18-Dec-2024</t>
  </si>
  <si>
    <t>Dec-19-2024 10:01</t>
  </si>
  <si>
    <t>02-Jan-2018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</si>
  <si>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</si>
  <si>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</si>
  <si>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</si>
  <si>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</si>
  <si>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</si>
  <si>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</si>
  <si>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</si>
  <si>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</si>
  <si>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</si>
  <si>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</si>
  <si>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</si>
  <si>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</si>
  <si>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</si>
  <si>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</si>
  <si>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</si>
  <si>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</si>
  <si>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</si>
  <si>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</si>
  <si>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</si>
  <si>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</si>
  <si>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</si>
  <si>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</si>
  <si>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</si>
  <si>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</si>
  <si>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</si>
  <si>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</si>
  <si>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</si>
  <si>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</si>
  <si>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</si>
  <si>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</si>
  <si>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</si>
  <si>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</si>
  <si>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</si>
  <si>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</si>
  <si>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</si>
  <si>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</si>
  <si>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</si>
  <si>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</si>
  <si>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</si>
  <si>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</si>
  <si>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</si>
  <si>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</si>
  <si>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</si>
  <si>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</si>
  <si>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20241209</t>
  </si>
  <si>
    <t>20241210</t>
  </si>
  <si>
    <t>20241211</t>
  </si>
  <si>
    <t>20241212</t>
  </si>
  <si>
    <t>20241213</t>
  </si>
  <si>
    <t>20241216</t>
  </si>
  <si>
    <t>20241217</t>
  </si>
  <si>
    <t>20241218</t>
  </si>
  <si>
    <t>10 days to 12/9</t>
  </si>
  <si>
    <t>19th December</t>
  </si>
  <si>
    <t>https://obr.uk/efo/economic-and-fiscal-outlook-october-2024/#foreword</t>
  </si>
  <si>
    <t>Budget March 24</t>
  </si>
  <si>
    <t>Budget Oct24*</t>
  </si>
  <si>
    <t>FY2029/30</t>
  </si>
  <si>
    <t>2029-30</t>
  </si>
  <si>
    <t>Total impact</t>
  </si>
  <si>
    <t>Impact</t>
  </si>
  <si>
    <t>Markets RCB</t>
  </si>
  <si>
    <t>Markets gilt</t>
  </si>
  <si>
    <t>OBR forecast update March 25</t>
  </si>
  <si>
    <t>Dec-19-2024 20:54</t>
  </si>
  <si>
    <t>19-Dec-2024</t>
  </si>
  <si>
    <t>20241219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</si>
</sst>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38">
    <xf numFmtId="0" fontId="0" fillId="0" borderId="0" xfId="0"/>
    <xf numFmtId="0" fontId="0" fillId="0" borderId="0" xfId="0" quotePrefix="1"/>
    <xf numFmtId="2" fontId="0" fillId="0" borderId="0" xfId="0" applyNumberFormat="1"/>
    <xf numFmtId="0" fontId="2" fillId="2" borderId="0" xfId="1" applyFont="1" applyFill="1"/>
    <xf numFmtId="0" fontId="4" fillId="0" borderId="0" xfId="2" applyFont="1"/>
    <xf numFmtId="0" fontId="4" fillId="2" borderId="0" xfId="2" applyFont="1" applyFill="1"/>
    <xf numFmtId="1" fontId="4" fillId="0" borderId="0" xfId="2" applyNumberFormat="1" applyFont="1"/>
    <xf numFmtId="0" fontId="5" fillId="0" borderId="0" xfId="0" applyFont="1"/>
    <xf numFmtId="0" fontId="0" fillId="0" borderId="0" xfId="0" applyAlignment="1">
      <alignment horizontal="right" wrapText="1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 wrapText="1"/>
    </xf>
    <xf numFmtId="2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applyFill="1"/>
    <xf numFmtId="16" fontId="0" fillId="0" borderId="0" xfId="0" applyNumberFormat="1" applyAlignment="1">
      <alignment horizontal="left"/>
    </xf>
    <xf numFmtId="0" fontId="7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4" fillId="0" borderId="1" xfId="0" applyFont="1" applyBorder="1"/>
    <xf numFmtId="0" fontId="4" fillId="2" borderId="0" xfId="0" applyFont="1" applyFill="1"/>
    <xf numFmtId="3" fontId="4" fillId="3" borderId="1" xfId="0" applyNumberFormat="1" applyFont="1" applyFill="1" applyBorder="1"/>
    <xf numFmtId="3" fontId="4" fillId="3" borderId="0" xfId="0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165" fontId="0" fillId="0" borderId="0" xfId="0" applyNumberFormat="1"/>
    <xf numFmtId="0" fontId="3" fillId="0" borderId="0" xfId="0" applyFont="1"/>
    <xf numFmtId="2" fontId="0" fillId="0" borderId="0" xfId="0" applyNumberFormat="1" applyAlignment="1">
      <alignment horizontal="right"/>
    </xf>
    <xf numFmtId="3" fontId="4" fillId="0" borderId="0" xfId="0" applyNumberFormat="1" applyFont="1" applyBorder="1"/>
    <xf numFmtId="3" fontId="11" fillId="0" borderId="2" xfId="0" applyNumberFormat="1" applyFont="1" applyBorder="1"/>
    <xf numFmtId="1" fontId="11" fillId="0" borderId="2" xfId="0" applyNumberFormat="1" applyFont="1" applyBorder="1"/>
    <xf numFmtId="3" fontId="11" fillId="0" borderId="0" xfId="0" applyNumberFormat="1" applyFont="1"/>
    <xf numFmtId="1" fontId="11" fillId="0" borderId="0" xfId="0" applyNumberFormat="1" applyFont="1"/>
    <xf numFmtId="3" fontId="11" fillId="3" borderId="2" xfId="0" applyNumberFormat="1" applyFont="1" applyFill="1" applyBorder="1"/>
    <xf numFmtId="0" fontId="11" fillId="0" borderId="0" xfId="0" applyFont="1"/>
    <xf numFmtId="3" fontId="11" fillId="3" borderId="1" xfId="0" applyNumberFormat="1" applyFont="1" applyFill="1" applyBorder="1"/>
    <xf numFmtId="3" fontId="11" fillId="3" borderId="0" xfId="0" applyNumberFormat="1" applyFont="1" applyFill="1"/>
  </cellXfs>
  <cellStyles count="3">
    <cellStyle name="Hyperlink 2" xfId="1" xr:uid="{B0322046-0B3D-42D1-9A00-AE47A60B449C}"/>
    <cellStyle name="Normal" xfId="0" builtinId="0"/>
    <cellStyle name="Normal 2" xfId="2" xr:uid="{19C37C4D-0F18-4D14-B856-110BCC00E29A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883254000029657E-2"/>
          <c:y val="0.14714391023940784"/>
          <c:w val="0.37610344469653156"/>
          <c:h val="0.62393151351130616"/>
        </c:manualLayout>
      </c:layout>
      <c:lineChart>
        <c:grouping val="standard"/>
        <c:varyColors val="0"/>
        <c:ser>
          <c:idx val="1"/>
          <c:order val="0"/>
          <c:tx>
            <c:strRef>
              <c:f>Calculations!$B$2</c:f>
              <c:strCache>
                <c:ptCount val="1"/>
                <c:pt idx="0">
                  <c:v>Budget Oct24*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Calculations!$B$3:$B$8</c:f>
              <c:numCache>
                <c:formatCode>0.00</c:formatCode>
                <c:ptCount val="6"/>
                <c:pt idx="0">
                  <c:v>4.2390909090909084</c:v>
                </c:pt>
                <c:pt idx="1">
                  <c:v>4.0472727272727269</c:v>
                </c:pt>
                <c:pt idx="2">
                  <c:v>4.169090909090909</c:v>
                </c:pt>
                <c:pt idx="3">
                  <c:v>4.4490909090909092</c:v>
                </c:pt>
                <c:pt idx="4">
                  <c:v>4.6427272727272717</c:v>
                </c:pt>
                <c:pt idx="5">
                  <c:v>4.6954545454545462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0-4AC4-9E70-D89E2870418B}"/>
            </c:ext>
          </c:extLst>
        </c:ser>
        <c:ser>
          <c:idx val="2"/>
          <c:order val="1"/>
          <c:tx>
            <c:strRef>
              <c:f>Calculations!$C$2</c:f>
              <c:strCache>
                <c:ptCount val="1"/>
                <c:pt idx="0">
                  <c:v>19th December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Calculations!$C$3:$C$8</c:f>
              <c:numCache>
                <c:formatCode>0.00</c:formatCode>
                <c:ptCount val="6"/>
                <c:pt idx="0">
                  <c:v>4.46</c:v>
                </c:pt>
                <c:pt idx="1">
                  <c:v>4.3899999999999997</c:v>
                </c:pt>
                <c:pt idx="2">
                  <c:v>4.6100000000000003</c:v>
                </c:pt>
                <c:pt idx="3">
                  <c:v>4.8899999999999997</c:v>
                </c:pt>
                <c:pt idx="4">
                  <c:v>5.09</c:v>
                </c:pt>
                <c:pt idx="5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E5-4CCB-91AD-D29302AA5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3.5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8697498405919599"/>
          <c:y val="0.59218003690132792"/>
          <c:w val="0.28948428904014112"/>
          <c:h val="0.1435483930845278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277024399727808"/>
          <c:y val="0.15095883522525019"/>
          <c:w val="0.77880358705161845"/>
          <c:h val="0.61725560806811919"/>
        </c:manualLayout>
      </c:layout>
      <c:lineChart>
        <c:grouping val="standard"/>
        <c:varyColors val="0"/>
        <c:ser>
          <c:idx val="1"/>
          <c:order val="0"/>
          <c:tx>
            <c:strRef>
              <c:f>Calculations!$F$2</c:f>
              <c:strCache>
                <c:ptCount val="1"/>
                <c:pt idx="0">
                  <c:v>Budget Oct24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Calculations!$E$3:$E$8</c:f>
              <c:numCache>
                <c:formatCode>General</c:formatCode>
                <c:ptCount val="6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</c:numCache>
            </c:numRef>
          </c:cat>
          <c:val>
            <c:numRef>
              <c:f>Calculations!$F$3:$F$8</c:f>
              <c:numCache>
                <c:formatCode>0.00</c:formatCode>
                <c:ptCount val="6"/>
                <c:pt idx="0">
                  <c:v>3.9658355818181814</c:v>
                </c:pt>
                <c:pt idx="1">
                  <c:v>3.6815352272727271</c:v>
                </c:pt>
                <c:pt idx="2">
                  <c:v>3.5758238545454546</c:v>
                </c:pt>
                <c:pt idx="3">
                  <c:v>3.5328944727272718</c:v>
                </c:pt>
                <c:pt idx="4">
                  <c:v>3.5469718636363634</c:v>
                </c:pt>
                <c:pt idx="5">
                  <c:v>3.6111095363636365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0-44D7-B86F-6A07FD693349}"/>
            </c:ext>
          </c:extLst>
        </c:ser>
        <c:ser>
          <c:idx val="2"/>
          <c:order val="1"/>
          <c:tx>
            <c:strRef>
              <c:f>Calculations!$G$2</c:f>
              <c:strCache>
                <c:ptCount val="1"/>
                <c:pt idx="0">
                  <c:v>19th December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Calculations!$E$3:$E$8</c:f>
              <c:numCache>
                <c:formatCode>General</c:formatCode>
                <c:ptCount val="6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</c:numCache>
            </c:numRef>
          </c:cat>
          <c:val>
            <c:numRef>
              <c:f>Calculations!$G$3:$G$8</c:f>
              <c:numCache>
                <c:formatCode>0.00</c:formatCode>
                <c:ptCount val="6"/>
                <c:pt idx="0">
                  <c:v>4.1867780999999997</c:v>
                </c:pt>
                <c:pt idx="1">
                  <c:v>4.0234214000000001</c:v>
                </c:pt>
                <c:pt idx="2">
                  <c:v>3.8533846</c:v>
                </c:pt>
                <c:pt idx="3">
                  <c:v>3.7779090000000002</c:v>
                </c:pt>
                <c:pt idx="4">
                  <c:v>3.7745549</c:v>
                </c:pt>
                <c:pt idx="5">
                  <c:v>3.8207400000000002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F7-4049-B36B-E58CD21C7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5.25"/>
          <c:min val="3.5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FDBAC3-D384-434D-86FA-CB549AFE7F46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BCEBD-AB63-583E-89C2-BA143CD98D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0.50958</cdr:x>
      <cdr:y>0.01067</cdr:y>
    </cdr:from>
    <cdr:to>
      <cdr:x>0.99769</cdr:x>
      <cdr:y>1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C465EB49-46BF-F263-8E95-228EBC105E86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0.00836</cdr:y>
    </cdr:from>
    <cdr:to>
      <cdr:x>1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43B919-5DC4-92D7-76F5-7FB8CBDE8F34}"/>
            </a:ext>
          </a:extLst>
        </cdr:cNvPr>
        <cdr:cNvSpPr txBox="1"/>
      </cdr:nvSpPr>
      <cdr:spPr>
        <a:xfrm xmlns:a="http://schemas.openxmlformats.org/drawingml/2006/main">
          <a:off x="46027" y="56261"/>
          <a:ext cx="8384043" cy="562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yields                            Bank Rate expectations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1E612E-97BA-35BC-034F-06DD238127A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0.00565</cdr:x>
      <cdr:y>0.07124</cdr:y>
    </cdr:from>
    <cdr:to>
      <cdr:x>0.087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47630" y="479459"/>
          <a:ext cx="685786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0.27117</cdr:x>
      <cdr:y>0.82985</cdr:y>
    </cdr:from>
    <cdr:to>
      <cdr:x>0.48962</cdr:x>
      <cdr:y>0.88081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D0122830-286F-6C22-F185-921D2706A5BA}"/>
            </a:ext>
          </a:extLst>
        </cdr:cNvPr>
        <cdr:cNvSpPr txBox="1"/>
      </cdr:nvSpPr>
      <cdr:spPr>
        <a:xfrm xmlns:a="http://schemas.openxmlformats.org/drawingml/2006/main">
          <a:off x="2285861" y="5588331"/>
          <a:ext cx="1841452" cy="343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Maturity,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years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0.41243</cdr:x>
      <cdr:y>0.8826</cdr:y>
    </cdr:from>
    <cdr:to>
      <cdr:x>1</cdr:x>
      <cdr:y>0.98868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D9CFAD15-9D1A-9D31-2CE6-1A5AD5F3C974}"/>
            </a:ext>
          </a:extLst>
        </cdr:cNvPr>
        <cdr:cNvSpPr txBox="1"/>
      </cdr:nvSpPr>
      <cdr:spPr>
        <a:xfrm xmlns:a="http://schemas.openxmlformats.org/drawingml/2006/main">
          <a:off x="3476631" y="5943614"/>
          <a:ext cx="4952994" cy="714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 includes 25bps increase assumed by the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OBR as a market reaction to the Budget measures</a:t>
          </a:r>
          <a:endParaRPr lang="en-GB" sz="18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0.0712</cdr:y>
    </cdr:from>
    <cdr:to>
      <cdr:x>0.08135</cdr:x>
      <cdr:y>0.12215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0" y="474035"/>
          <a:ext cx="334739" cy="339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l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EBAB-20E8-41A6-A31A-73AE8A4EC814}">
  <dimension ref="A1:R11"/>
  <sheetViews>
    <sheetView tabSelected="1" workbookViewId="0">
      <selection activeCell="K22" sqref="K22"/>
    </sheetView>
  </sheetViews>
  <sheetFormatPr defaultRowHeight="15" x14ac:dyDescent="0.25"/>
  <cols>
    <col min="2" max="3" width="15.7109375" style="17" customWidth="1"/>
    <col min="4" max="4" width="2.7109375" customWidth="1"/>
    <col min="6" max="7" width="15.7109375" style="17" customWidth="1"/>
    <col min="9" max="9" width="11" customWidth="1"/>
    <col min="15" max="15" width="9.140625" customWidth="1"/>
  </cols>
  <sheetData>
    <row r="1" spans="1:18" x14ac:dyDescent="0.25">
      <c r="A1" s="7" t="s">
        <v>268</v>
      </c>
      <c r="E1" s="7" t="s">
        <v>362</v>
      </c>
      <c r="J1" s="7" t="s">
        <v>268</v>
      </c>
      <c r="N1" s="7" t="s">
        <v>292</v>
      </c>
    </row>
    <row r="2" spans="1:18" ht="30" x14ac:dyDescent="0.25">
      <c r="B2" s="17" t="s">
        <v>594</v>
      </c>
      <c r="C2" s="17" t="s">
        <v>591</v>
      </c>
      <c r="F2" s="17" t="s">
        <v>534</v>
      </c>
      <c r="G2" s="17" t="s">
        <v>591</v>
      </c>
      <c r="J2" s="8" t="s">
        <v>269</v>
      </c>
      <c r="K2" s="8" t="s">
        <v>600</v>
      </c>
      <c r="L2" s="24" t="s">
        <v>598</v>
      </c>
      <c r="N2" s="11" t="s">
        <v>276</v>
      </c>
      <c r="O2" s="25" t="s">
        <v>599</v>
      </c>
      <c r="P2" s="24" t="s">
        <v>598</v>
      </c>
      <c r="R2" t="s">
        <v>597</v>
      </c>
    </row>
    <row r="3" spans="1:18" x14ac:dyDescent="0.25">
      <c r="A3">
        <v>2</v>
      </c>
      <c r="B3" s="28">
        <f t="array" ref="B3:B8">TRANSPOSE(HAVERD!B537:G537)+0.25</f>
        <v>4.2390909090909084</v>
      </c>
      <c r="C3" s="28">
        <f t="array" ref="C3:C8">TRANSPOSE(HAVERD!B538:G538)</f>
        <v>4.46</v>
      </c>
      <c r="E3">
        <v>2024</v>
      </c>
      <c r="F3" s="28">
        <f t="array" ref="F3:F8">TRANSPOSE(HAVERD!H537:M537)+0.25</f>
        <v>3.9658355818181814</v>
      </c>
      <c r="G3" s="28">
        <f t="array" ref="G3:G8">TRANSPOSE(HAVERD!H538:M538)</f>
        <v>4.1867780999999997</v>
      </c>
      <c r="I3" s="10" t="s">
        <v>270</v>
      </c>
      <c r="J3" s="2">
        <v>4.2737139871117202</v>
      </c>
      <c r="K3" s="2">
        <f>J3</f>
        <v>4.2737139871117202</v>
      </c>
      <c r="L3" s="9">
        <f>'OBR RR Mar24 - Debt interest'!C10*(K3-J3)</f>
        <v>0</v>
      </c>
      <c r="N3" s="2">
        <v>5.0296249999999993</v>
      </c>
      <c r="O3" s="2">
        <f>N3</f>
        <v>5.0296249999999993</v>
      </c>
      <c r="P3" s="9">
        <f>'OBR RR Mar24 - Debt interest'!C17*(O3-N3)</f>
        <v>0</v>
      </c>
    </row>
    <row r="4" spans="1:18" x14ac:dyDescent="0.25">
      <c r="A4">
        <v>5</v>
      </c>
      <c r="B4" s="28">
        <v>4.0472727272727269</v>
      </c>
      <c r="C4" s="28">
        <v>4.3899999999999997</v>
      </c>
      <c r="E4">
        <v>2025</v>
      </c>
      <c r="F4" s="28">
        <v>3.6815352272727271</v>
      </c>
      <c r="G4" s="28">
        <v>4.0234214000000001</v>
      </c>
      <c r="I4" s="10" t="s">
        <v>271</v>
      </c>
      <c r="J4" s="2">
        <v>4.0656667358911633</v>
      </c>
      <c r="K4" s="2">
        <f>J4+0.33</f>
        <v>4.3956667358911634</v>
      </c>
      <c r="L4" s="9">
        <f>'OBR RR Mar24 - Debt interest'!D11*(K4-J4)+'OBR RR Mar24 - Debt interest'!D10*(K3-J3)</f>
        <v>427.05669537509561</v>
      </c>
      <c r="N4" s="2">
        <v>4.8745813724131875</v>
      </c>
      <c r="O4" s="2">
        <f t="shared" ref="O4:O9" si="0">N4+(G3-F3)</f>
        <v>5.0955238905950058</v>
      </c>
      <c r="P4" s="9">
        <f>'OBR RR Mar24 - Debt interest'!D18*(O4-N4)+'OBR RR Mar24 - Debt interest'!D17*(O3-N3)</f>
        <v>2128.0397236323047</v>
      </c>
      <c r="R4" s="9">
        <f t="shared" ref="R4:R9" si="1">P4+L4</f>
        <v>2555.0964190074001</v>
      </c>
    </row>
    <row r="5" spans="1:18" x14ac:dyDescent="0.25">
      <c r="A5">
        <v>10</v>
      </c>
      <c r="B5" s="28">
        <v>4.169090909090909</v>
      </c>
      <c r="C5" s="28">
        <v>4.6100000000000003</v>
      </c>
      <c r="E5">
        <v>2026</v>
      </c>
      <c r="F5" s="28">
        <v>3.5758238545454546</v>
      </c>
      <c r="G5" s="28">
        <v>3.8533846</v>
      </c>
      <c r="I5" s="10" t="s">
        <v>272</v>
      </c>
      <c r="J5" s="2">
        <v>4.147109018314282</v>
      </c>
      <c r="K5" s="2">
        <f t="shared" ref="K5:K9" si="2">J5+0.33</f>
        <v>4.4771090183142821</v>
      </c>
      <c r="L5" s="9">
        <f>'OBR RR Mar24 - Debt interest'!E12*(K5-J5)+'OBR RR Mar24 - Debt interest'!E11*(K4-J4)+'OBR RR Mar24 - Debt interest'!E10*(K3-J3)</f>
        <v>1218.1134779770528</v>
      </c>
      <c r="N5" s="2">
        <v>3.9095604837163895</v>
      </c>
      <c r="O5" s="2">
        <f t="shared" si="0"/>
        <v>4.2514466564436626</v>
      </c>
      <c r="P5" s="9">
        <f>'OBR RR Mar24 - Debt interest'!E19*(O5-N5)+'OBR RR Mar24 - Debt interest'!E18*(O4-N4)</f>
        <v>3016.6718743065535</v>
      </c>
      <c r="R5" s="9">
        <f t="shared" si="1"/>
        <v>4234.7853522836067</v>
      </c>
    </row>
    <row r="6" spans="1:18" x14ac:dyDescent="0.25">
      <c r="A6">
        <v>15</v>
      </c>
      <c r="B6" s="28">
        <v>4.4490909090909092</v>
      </c>
      <c r="C6" s="28">
        <v>4.8899999999999997</v>
      </c>
      <c r="E6">
        <v>2027</v>
      </c>
      <c r="F6" s="28">
        <v>3.5328944727272718</v>
      </c>
      <c r="G6" s="28">
        <v>3.7779090000000002</v>
      </c>
      <c r="I6" s="10" t="s">
        <v>273</v>
      </c>
      <c r="J6" s="2">
        <v>4.2265644084735623</v>
      </c>
      <c r="K6" s="2">
        <f t="shared" si="2"/>
        <v>4.5565644084735624</v>
      </c>
      <c r="L6" s="9">
        <f>'OBR RR Mar24 - Debt interest'!F13*(K6-J6)+'OBR RR Mar24 - Debt interest'!F12*(K5-J5)+'OBR RR Mar24 - Debt interest'!F11*(K4-J4)+'OBR RR Mar24 - Debt interest'!F10*(K3-J3)</f>
        <v>1906.2003139620851</v>
      </c>
      <c r="N6" s="2">
        <v>3.6534968877954226</v>
      </c>
      <c r="O6" s="2">
        <f t="shared" si="0"/>
        <v>3.931057633249968</v>
      </c>
      <c r="P6" s="9">
        <f>'OBR RR Mar24 - Debt interest'!F20*(O6-N6)+'OBR RR Mar24 - Debt interest'!F19*(O5-N5)</f>
        <v>2288.6089900836832</v>
      </c>
      <c r="R6" s="9">
        <f t="shared" si="1"/>
        <v>4194.8093040457679</v>
      </c>
    </row>
    <row r="7" spans="1:18" x14ac:dyDescent="0.25">
      <c r="A7">
        <v>20</v>
      </c>
      <c r="B7" s="28">
        <v>4.6427272727272717</v>
      </c>
      <c r="C7" s="28">
        <v>5.09</v>
      </c>
      <c r="E7">
        <v>2028</v>
      </c>
      <c r="F7" s="28">
        <v>3.5469718636363634</v>
      </c>
      <c r="G7" s="28">
        <v>3.7745549</v>
      </c>
      <c r="I7" s="10" t="s">
        <v>274</v>
      </c>
      <c r="J7" s="2">
        <v>4.3428788436880534</v>
      </c>
      <c r="K7" s="2">
        <f t="shared" si="2"/>
        <v>4.6728788436880535</v>
      </c>
      <c r="L7" s="9">
        <f>'OBR RR Mar24 - Debt interest'!G14*(K7-J7)+'OBR RR Mar24 - Debt interest'!G13*(K6-J6)+'OBR RR Mar24 - Debt interest'!G12*(K5-J5)+'OBR RR Mar24 - Debt interest'!G11*(K4-J4)+'OBR RR Mar24 - Debt interest'!G10*(K3-J3)</f>
        <v>2507.7654250613214</v>
      </c>
      <c r="N7" s="2">
        <v>3.5561776850282865</v>
      </c>
      <c r="O7" s="2">
        <f t="shared" si="0"/>
        <v>3.8011922123010149</v>
      </c>
      <c r="P7" s="9">
        <f>'OBR RR Mar24 - Debt interest'!G21*(O7-N7)+'OBR RR Mar24 - Debt interest'!G20*(O6-N6)</f>
        <v>1773.1501687187547</v>
      </c>
      <c r="R7" s="9">
        <f t="shared" si="1"/>
        <v>4280.9155937800761</v>
      </c>
    </row>
    <row r="8" spans="1:18" x14ac:dyDescent="0.25">
      <c r="A8">
        <v>30</v>
      </c>
      <c r="B8" s="28">
        <v>4.6954545454545462</v>
      </c>
      <c r="C8" s="28">
        <v>5.13</v>
      </c>
      <c r="E8">
        <v>2029</v>
      </c>
      <c r="F8" s="28">
        <v>3.6111095363636365</v>
      </c>
      <c r="G8" s="28">
        <v>3.8207400000000002</v>
      </c>
      <c r="I8" s="10" t="s">
        <v>275</v>
      </c>
      <c r="J8" s="2">
        <v>4.4869745935598857</v>
      </c>
      <c r="K8" s="2">
        <f t="shared" si="2"/>
        <v>4.8169745935598858</v>
      </c>
      <c r="L8" s="9">
        <f>'OBR RR Mar24 - Debt interest'!H15*(K8-J8)+'OBR RR Mar24 - Debt interest'!H14*(K7-J7)+'OBR RR Mar24 - Debt interest'!H13*(K6-J6)+'OBR RR Mar24 - Debt interest'!H12*(K5-J5)+'OBR RR Mar24 - Debt interest'!H11*(K4-J4)+'OBR RR Mar24 - Debt interest'!H10*(K3-J3)</f>
        <v>3164.950863543163</v>
      </c>
      <c r="N8" s="2">
        <v>3.521788597326827</v>
      </c>
      <c r="O8" s="2">
        <f t="shared" si="0"/>
        <v>3.7493716336904637</v>
      </c>
      <c r="P8" s="9">
        <f>'OBR RR Mar24 - Debt interest'!H22*(O8-N8)+'OBR RR Mar24 - Debt interest'!H21*(O7-N7)</f>
        <v>1474.4851626299348</v>
      </c>
      <c r="R8" s="9">
        <f t="shared" si="1"/>
        <v>4639.4360261730981</v>
      </c>
    </row>
    <row r="9" spans="1:18" x14ac:dyDescent="0.25">
      <c r="I9" s="27" t="s">
        <v>595</v>
      </c>
      <c r="J9" s="2">
        <v>4.6177628634968819</v>
      </c>
      <c r="K9" s="2">
        <f t="shared" si="2"/>
        <v>4.947762863496882</v>
      </c>
      <c r="L9" s="9">
        <f>'OBR RR Mar24 - Debt interest'!I16*(K9-J9)+'OBR RR Mar24 - Debt interest'!I15*(K8-J8)+'OBR RR Mar24 - Debt interest'!I14*(K7-J7)+'OBR RR Mar24 - Debt interest'!I13*(K6-J6)+'OBR RR Mar24 - Debt interest'!I12*(K5-J5)+'OBR RR Mar24 - Debt interest'!I11*(K4-J4)+'OBR RR Mar24 - Debt interest'!I10*(K3-J3)</f>
        <v>3950.0354075295891</v>
      </c>
      <c r="N9" s="2">
        <v>3.5448441283945913</v>
      </c>
      <c r="O9" s="2">
        <f t="shared" si="0"/>
        <v>3.754474592030955</v>
      </c>
      <c r="P9" s="9">
        <f>'OBR RR Mar24 - Debt interest'!I23*(O9-N9)+'OBR RR Mar24 - Debt interest'!I22*(O8-N8)</f>
        <v>1220.0366077605474</v>
      </c>
      <c r="R9" s="9">
        <f t="shared" si="1"/>
        <v>5170.0720152901367</v>
      </c>
    </row>
    <row r="10" spans="1:18" x14ac:dyDescent="0.25">
      <c r="A10" t="s">
        <v>363</v>
      </c>
      <c r="B10" s="28">
        <f>AVERAGE(B3:B8)</f>
        <v>4.3737878787878781</v>
      </c>
      <c r="C10" s="28">
        <f>AVERAGE(C3:C8)</f>
        <v>4.7616666666666667</v>
      </c>
      <c r="F10" s="28">
        <f>AVERAGE(F3:F8)</f>
        <v>3.6523617560606056</v>
      </c>
      <c r="G10" s="28">
        <f>AVERAGE(G3:G8)</f>
        <v>3.9061313333333332</v>
      </c>
    </row>
    <row r="11" spans="1:18" x14ac:dyDescent="0.25">
      <c r="A11" t="s">
        <v>283</v>
      </c>
      <c r="B11" s="28"/>
      <c r="C11" s="28">
        <f>C10-B10</f>
        <v>0.3878787878787886</v>
      </c>
      <c r="F11" s="28"/>
      <c r="G11" s="28">
        <f>G10-F10</f>
        <v>0.25376957727272753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B877-62CE-4EBE-91DC-475B658BBE36}">
  <dimension ref="A1:M559"/>
  <sheetViews>
    <sheetView workbookViewId="0">
      <pane xSplit="1" ySplit="6" topLeftCell="B516" activePane="bottomRight" state="frozen"/>
      <selection pane="topRight" activeCell="B1" sqref="B1"/>
      <selection pane="bottomLeft" activeCell="A7" sqref="A7"/>
      <selection pane="bottomRight" activeCell="H520" sqref="H520"/>
    </sheetView>
  </sheetViews>
  <sheetFormatPr defaultRowHeight="15" x14ac:dyDescent="0.25"/>
  <cols>
    <col min="1" max="1" width="27.140625" customWidth="1"/>
    <col min="2" max="14" width="17.7109375" customWidth="1"/>
  </cols>
  <sheetData>
    <row r="1" spans="1:13" x14ac:dyDescent="0.25">
      <c r="A1" s="1" t="s">
        <v>2</v>
      </c>
      <c r="B1" t="s">
        <v>0</v>
      </c>
      <c r="C1" s="14" t="s">
        <v>346</v>
      </c>
      <c r="D1" t="s">
        <v>1</v>
      </c>
      <c r="E1" s="14" t="s">
        <v>353</v>
      </c>
      <c r="F1" t="s">
        <v>349</v>
      </c>
      <c r="G1" t="s">
        <v>350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282</v>
      </c>
    </row>
    <row r="2" spans="1:13" s="12" customFormat="1" ht="60" x14ac:dyDescent="0.25">
      <c r="A2" s="12" t="s">
        <v>8</v>
      </c>
      <c r="B2" s="12" t="s">
        <v>11</v>
      </c>
      <c r="C2" s="12" t="s">
        <v>348</v>
      </c>
      <c r="D2" s="12" t="s">
        <v>12</v>
      </c>
      <c r="E2" s="12" t="s">
        <v>354</v>
      </c>
      <c r="F2" s="12" t="s">
        <v>351</v>
      </c>
      <c r="G2" s="12" t="s">
        <v>352</v>
      </c>
      <c r="H2" s="12" t="s">
        <v>286</v>
      </c>
      <c r="I2" s="12" t="s">
        <v>287</v>
      </c>
      <c r="J2" s="12" t="s">
        <v>288</v>
      </c>
      <c r="K2" s="12" t="s">
        <v>289</v>
      </c>
      <c r="L2" s="12" t="s">
        <v>290</v>
      </c>
      <c r="M2" s="12" t="s">
        <v>291</v>
      </c>
    </row>
    <row r="3" spans="1:13" x14ac:dyDescent="0.25">
      <c r="A3" t="s">
        <v>7</v>
      </c>
      <c r="B3" t="s">
        <v>10</v>
      </c>
      <c r="C3" t="s">
        <v>347</v>
      </c>
      <c r="D3" t="s">
        <v>10</v>
      </c>
      <c r="E3" t="s">
        <v>347</v>
      </c>
      <c r="F3" t="s">
        <v>347</v>
      </c>
      <c r="G3" t="s">
        <v>347</v>
      </c>
      <c r="H3" t="s">
        <v>285</v>
      </c>
      <c r="I3" t="s">
        <v>285</v>
      </c>
      <c r="J3" t="s">
        <v>285</v>
      </c>
      <c r="K3" t="s">
        <v>285</v>
      </c>
      <c r="L3" t="s">
        <v>285</v>
      </c>
      <c r="M3" t="s">
        <v>537</v>
      </c>
    </row>
    <row r="4" spans="1:13" x14ac:dyDescent="0.25">
      <c r="A4" t="s">
        <v>6</v>
      </c>
      <c r="B4" t="s">
        <v>603</v>
      </c>
      <c r="C4" t="s">
        <v>603</v>
      </c>
      <c r="D4" t="s">
        <v>603</v>
      </c>
      <c r="E4" t="s">
        <v>603</v>
      </c>
      <c r="F4" t="s">
        <v>603</v>
      </c>
      <c r="G4" t="s">
        <v>603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</row>
    <row r="5" spans="1:13" x14ac:dyDescent="0.25">
      <c r="A5" t="s">
        <v>5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284</v>
      </c>
      <c r="I5" t="s">
        <v>284</v>
      </c>
      <c r="J5" t="s">
        <v>284</v>
      </c>
      <c r="K5" t="s">
        <v>284</v>
      </c>
      <c r="L5" t="s">
        <v>284</v>
      </c>
      <c r="M5" t="s">
        <v>284</v>
      </c>
    </row>
    <row r="6" spans="1:13" x14ac:dyDescent="0.25">
      <c r="A6" t="s">
        <v>4</v>
      </c>
      <c r="B6" t="s">
        <v>602</v>
      </c>
      <c r="C6" t="s">
        <v>602</v>
      </c>
      <c r="D6" t="s">
        <v>602</v>
      </c>
      <c r="E6" t="s">
        <v>602</v>
      </c>
      <c r="F6" t="s">
        <v>602</v>
      </c>
      <c r="G6" t="s">
        <v>602</v>
      </c>
      <c r="H6" t="s">
        <v>536</v>
      </c>
      <c r="I6" t="s">
        <v>536</v>
      </c>
      <c r="J6" t="s">
        <v>536</v>
      </c>
      <c r="K6" t="s">
        <v>536</v>
      </c>
      <c r="L6" t="s">
        <v>536</v>
      </c>
      <c r="M6" t="s">
        <v>536</v>
      </c>
    </row>
    <row r="7" spans="1:13" x14ac:dyDescent="0.25">
      <c r="A7" t="s">
        <v>3</v>
      </c>
      <c r="B7" s="2" t="e">
        <v>#N/A</v>
      </c>
      <c r="C7" s="2" t="e">
        <v>#N/A</v>
      </c>
      <c r="D7" s="2">
        <v>3.67</v>
      </c>
      <c r="E7" s="2">
        <v>4</v>
      </c>
      <c r="F7" s="2" t="e">
        <v>#N/A</v>
      </c>
      <c r="G7" s="2" t="e">
        <v>#N/A</v>
      </c>
      <c r="H7" s="13" t="e">
        <v>#N/A</v>
      </c>
      <c r="I7" s="13" t="e">
        <v>#N/A</v>
      </c>
      <c r="J7" s="13" t="e">
        <v>#N/A</v>
      </c>
      <c r="K7" s="13" t="e">
        <v>#N/A</v>
      </c>
      <c r="L7" s="13" t="e">
        <v>#N/A</v>
      </c>
      <c r="M7" s="13" t="e">
        <v>#N/A</v>
      </c>
    </row>
    <row r="8" spans="1:13" x14ac:dyDescent="0.25">
      <c r="A8" t="s">
        <v>13</v>
      </c>
      <c r="B8" s="2">
        <v>3.57</v>
      </c>
      <c r="C8" s="2">
        <v>3.61</v>
      </c>
      <c r="D8" s="2">
        <v>3.65</v>
      </c>
      <c r="E8" s="2">
        <v>3.98</v>
      </c>
      <c r="F8" s="2">
        <v>4.03</v>
      </c>
      <c r="G8" s="2">
        <v>3.95</v>
      </c>
      <c r="H8" s="13">
        <v>4.6062333000000004</v>
      </c>
      <c r="I8" s="13">
        <v>4.0860817000000003</v>
      </c>
      <c r="J8" s="13">
        <v>3.7383644</v>
      </c>
      <c r="K8" s="13">
        <v>3.5202418</v>
      </c>
      <c r="L8" s="13">
        <v>3.3603768000000001</v>
      </c>
      <c r="M8" s="13">
        <v>3.2670637</v>
      </c>
    </row>
    <row r="9" spans="1:13" x14ac:dyDescent="0.25">
      <c r="A9" t="s">
        <v>14</v>
      </c>
      <c r="B9" s="2">
        <v>3.44</v>
      </c>
      <c r="C9" s="2">
        <v>3.49</v>
      </c>
      <c r="D9" s="2">
        <v>3.5</v>
      </c>
      <c r="E9" s="2">
        <v>3.86</v>
      </c>
      <c r="F9" s="2">
        <v>3.91</v>
      </c>
      <c r="G9" s="2">
        <v>3.83</v>
      </c>
      <c r="H9" s="13">
        <v>4.4897159000000002</v>
      </c>
      <c r="I9" s="13">
        <v>3.8946255000000001</v>
      </c>
      <c r="J9" s="13">
        <v>3.5485093999999999</v>
      </c>
      <c r="K9" s="13">
        <v>3.3581344999999998</v>
      </c>
      <c r="L9" s="13">
        <v>3.2157631000000002</v>
      </c>
      <c r="M9" s="13">
        <v>3.1344240999999999</v>
      </c>
    </row>
    <row r="10" spans="1:13" x14ac:dyDescent="0.25">
      <c r="A10" t="s">
        <v>15</v>
      </c>
      <c r="B10" s="2">
        <v>3.5</v>
      </c>
      <c r="C10" s="2">
        <v>3.54</v>
      </c>
      <c r="D10" s="2">
        <v>3.55</v>
      </c>
      <c r="E10" s="2">
        <v>3.92</v>
      </c>
      <c r="F10" s="2">
        <v>3.97</v>
      </c>
      <c r="G10" s="2">
        <v>3.9</v>
      </c>
      <c r="H10" s="13">
        <v>4.6093365999999998</v>
      </c>
      <c r="I10" s="13">
        <v>4.0251200999999996</v>
      </c>
      <c r="J10" s="13">
        <v>3.6258403000000001</v>
      </c>
      <c r="K10" s="13">
        <v>3.4044061000000001</v>
      </c>
      <c r="L10" s="13">
        <v>3.2485979999999999</v>
      </c>
      <c r="M10" s="13">
        <v>3.1579104</v>
      </c>
    </row>
    <row r="11" spans="1:13" x14ac:dyDescent="0.25">
      <c r="A11" t="s">
        <v>16</v>
      </c>
      <c r="B11" s="2">
        <v>3.41</v>
      </c>
      <c r="C11" s="2">
        <v>3.44</v>
      </c>
      <c r="D11" s="2">
        <v>3.47</v>
      </c>
      <c r="E11" s="2">
        <v>3.87</v>
      </c>
      <c r="F11" s="2">
        <v>3.92</v>
      </c>
      <c r="G11" s="2">
        <v>3.87</v>
      </c>
      <c r="H11" s="13">
        <v>4.5135822000000001</v>
      </c>
      <c r="I11" s="13">
        <v>3.9067508000000002</v>
      </c>
      <c r="J11" s="13">
        <v>3.5489763000000001</v>
      </c>
      <c r="K11" s="13">
        <v>3.3517725</v>
      </c>
      <c r="L11" s="13">
        <v>3.2136095999999998</v>
      </c>
      <c r="M11" s="13">
        <v>3.1364836</v>
      </c>
    </row>
    <row r="12" spans="1:13" x14ac:dyDescent="0.25">
      <c r="A12" t="s">
        <v>17</v>
      </c>
      <c r="B12" s="2">
        <v>3.44</v>
      </c>
      <c r="C12" s="2">
        <v>3.44</v>
      </c>
      <c r="D12" s="2">
        <v>3.53</v>
      </c>
      <c r="E12" s="2">
        <v>3.92</v>
      </c>
      <c r="F12" s="2">
        <v>3.99</v>
      </c>
      <c r="G12" s="2">
        <v>3.95</v>
      </c>
      <c r="H12" s="13">
        <v>4.4073146000000003</v>
      </c>
      <c r="I12" s="13">
        <v>3.8168853</v>
      </c>
      <c r="J12" s="13">
        <v>3.4943471000000002</v>
      </c>
      <c r="K12" s="13">
        <v>3.344989</v>
      </c>
      <c r="L12" s="13">
        <v>3.2567799000000002</v>
      </c>
      <c r="M12" s="13">
        <v>3.2227345000000001</v>
      </c>
    </row>
    <row r="13" spans="1:13" x14ac:dyDescent="0.25">
      <c r="A13" t="s">
        <v>18</v>
      </c>
      <c r="B13" s="2">
        <v>3.46</v>
      </c>
      <c r="C13" s="2">
        <v>3.46</v>
      </c>
      <c r="D13" s="2">
        <v>3.56</v>
      </c>
      <c r="E13" s="2">
        <v>3.9</v>
      </c>
      <c r="F13" s="2">
        <v>3.97</v>
      </c>
      <c r="G13" s="2">
        <v>3.9</v>
      </c>
      <c r="H13" s="13">
        <v>4.4532427999999999</v>
      </c>
      <c r="I13" s="13">
        <v>3.8421403000000001</v>
      </c>
      <c r="J13" s="13">
        <v>3.5138981999999999</v>
      </c>
      <c r="K13" s="13">
        <v>3.3666806</v>
      </c>
      <c r="L13" s="13">
        <v>3.2777326000000002</v>
      </c>
      <c r="M13" s="13">
        <v>3.2400696</v>
      </c>
    </row>
    <row r="14" spans="1:13" x14ac:dyDescent="0.25">
      <c r="A14" t="s">
        <v>19</v>
      </c>
      <c r="B14" s="2">
        <v>3.52</v>
      </c>
      <c r="C14" s="2">
        <v>3.33</v>
      </c>
      <c r="D14" s="2">
        <v>3.41</v>
      </c>
      <c r="E14" s="2">
        <v>3.75</v>
      </c>
      <c r="F14" s="2">
        <v>3.82</v>
      </c>
      <c r="G14" s="2">
        <v>3.75</v>
      </c>
      <c r="H14" s="13">
        <v>4.3232654000000004</v>
      </c>
      <c r="I14" s="13">
        <v>3.6598017999999999</v>
      </c>
      <c r="J14" s="13">
        <v>3.2991484</v>
      </c>
      <c r="K14" s="13">
        <v>3.1085172000000001</v>
      </c>
      <c r="L14" s="13">
        <v>2.9904796</v>
      </c>
      <c r="M14" s="13">
        <v>2.9381602</v>
      </c>
    </row>
    <row r="15" spans="1:13" x14ac:dyDescent="0.25">
      <c r="A15" t="s">
        <v>20</v>
      </c>
      <c r="B15" s="2">
        <v>3.41</v>
      </c>
      <c r="C15" s="2">
        <v>3.22</v>
      </c>
      <c r="D15" s="2">
        <v>3.32</v>
      </c>
      <c r="E15" s="2">
        <v>3.67</v>
      </c>
      <c r="F15" s="2">
        <v>3.74</v>
      </c>
      <c r="G15" s="2">
        <v>3.68</v>
      </c>
      <c r="H15" s="13">
        <v>4.2304326999999997</v>
      </c>
      <c r="I15" s="13">
        <v>3.5443186</v>
      </c>
      <c r="J15" s="13">
        <v>3.2434023000000001</v>
      </c>
      <c r="K15" s="13">
        <v>3.1144552999999999</v>
      </c>
      <c r="L15" s="13">
        <v>3.0281772999999998</v>
      </c>
      <c r="M15" s="13">
        <v>2.9867674000000002</v>
      </c>
    </row>
    <row r="16" spans="1:13" x14ac:dyDescent="0.25">
      <c r="A16" t="s">
        <v>21</v>
      </c>
      <c r="B16" s="2">
        <v>3.48</v>
      </c>
      <c r="C16" s="2">
        <v>3.3</v>
      </c>
      <c r="D16" s="2">
        <v>3.37</v>
      </c>
      <c r="E16" s="2">
        <v>3.71</v>
      </c>
      <c r="F16" s="2">
        <v>3.79</v>
      </c>
      <c r="G16" s="2">
        <v>3.73</v>
      </c>
      <c r="H16" s="13">
        <v>4.2881922000000001</v>
      </c>
      <c r="I16" s="13">
        <v>3.5435797</v>
      </c>
      <c r="J16" s="13">
        <v>3.2706631000000002</v>
      </c>
      <c r="K16" s="13">
        <v>3.1708116999999998</v>
      </c>
      <c r="L16" s="13">
        <v>3.0875292999999999</v>
      </c>
      <c r="M16" s="13">
        <v>3.0353737999999999</v>
      </c>
    </row>
    <row r="17" spans="1:13" x14ac:dyDescent="0.25">
      <c r="A17" t="s">
        <v>22</v>
      </c>
      <c r="B17" s="2">
        <v>3.5</v>
      </c>
      <c r="C17" s="2">
        <v>3.32</v>
      </c>
      <c r="D17" s="2">
        <v>3.39</v>
      </c>
      <c r="E17" s="2">
        <v>3.73</v>
      </c>
      <c r="F17" s="2">
        <v>3.79</v>
      </c>
      <c r="G17" s="2">
        <v>3.73</v>
      </c>
      <c r="H17" s="13">
        <v>4.2747052999999999</v>
      </c>
      <c r="I17" s="13">
        <v>3.5420780000000001</v>
      </c>
      <c r="J17" s="13">
        <v>3.2860174999999998</v>
      </c>
      <c r="K17" s="13">
        <v>3.1890703999999999</v>
      </c>
      <c r="L17" s="13">
        <v>3.1073268000000001</v>
      </c>
      <c r="M17" s="13">
        <v>3.0597314999999998</v>
      </c>
    </row>
    <row r="18" spans="1:13" x14ac:dyDescent="0.25">
      <c r="A18" t="s">
        <v>23</v>
      </c>
      <c r="B18" s="2">
        <v>3.46</v>
      </c>
      <c r="C18" s="2">
        <v>3.28</v>
      </c>
      <c r="D18" s="2">
        <v>3.33</v>
      </c>
      <c r="E18" s="2">
        <v>3.67</v>
      </c>
      <c r="F18" s="2">
        <v>3.73</v>
      </c>
      <c r="G18" s="2">
        <v>3.67</v>
      </c>
      <c r="H18" s="13">
        <v>4.2581274999999996</v>
      </c>
      <c r="I18" s="13">
        <v>3.5272779999999999</v>
      </c>
      <c r="J18" s="13">
        <v>3.2329675999999998</v>
      </c>
      <c r="K18" s="13">
        <v>3.1110107999999999</v>
      </c>
      <c r="L18" s="13">
        <v>3.0186674999999998</v>
      </c>
      <c r="M18" s="13">
        <v>2.9668798999999999</v>
      </c>
    </row>
    <row r="19" spans="1:13" x14ac:dyDescent="0.25">
      <c r="A19" t="s">
        <v>24</v>
      </c>
      <c r="B19" s="2">
        <v>3.48</v>
      </c>
      <c r="C19" s="2">
        <v>3.26</v>
      </c>
      <c r="D19" s="2">
        <v>3.31</v>
      </c>
      <c r="E19" s="2">
        <v>3.65</v>
      </c>
      <c r="F19" s="2">
        <v>3.72</v>
      </c>
      <c r="G19" s="2">
        <v>3.67</v>
      </c>
      <c r="H19" s="13">
        <v>4.2900137000000003</v>
      </c>
      <c r="I19" s="13">
        <v>3.5371655</v>
      </c>
      <c r="J19" s="13">
        <v>3.2330215999999998</v>
      </c>
      <c r="K19" s="13">
        <v>3.0933058</v>
      </c>
      <c r="L19" s="13">
        <v>2.9859518999999999</v>
      </c>
      <c r="M19" s="13">
        <v>2.9234030999999998</v>
      </c>
    </row>
    <row r="20" spans="1:13" x14ac:dyDescent="0.25">
      <c r="A20" t="s">
        <v>25</v>
      </c>
      <c r="B20" s="2">
        <v>3.49</v>
      </c>
      <c r="C20" s="2">
        <v>3.28</v>
      </c>
      <c r="D20" s="2">
        <v>3.32</v>
      </c>
      <c r="E20" s="2">
        <v>3.64</v>
      </c>
      <c r="F20" s="2">
        <v>3.71</v>
      </c>
      <c r="G20" s="2">
        <v>3.66</v>
      </c>
      <c r="H20" s="13">
        <v>4.2796181000000004</v>
      </c>
      <c r="I20" s="13">
        <v>3.5336702999999998</v>
      </c>
      <c r="J20" s="13">
        <v>3.2422078000000001</v>
      </c>
      <c r="K20" s="13">
        <v>3.1178094000000001</v>
      </c>
      <c r="L20" s="13">
        <v>3.0257177</v>
      </c>
      <c r="M20" s="13">
        <v>2.9732905999999999</v>
      </c>
    </row>
    <row r="21" spans="1:13" x14ac:dyDescent="0.25">
      <c r="A21" t="s">
        <v>26</v>
      </c>
      <c r="B21" s="2">
        <v>3.48</v>
      </c>
      <c r="C21" s="2">
        <v>3.28</v>
      </c>
      <c r="D21" s="2">
        <v>3.37</v>
      </c>
      <c r="E21" s="2">
        <v>3.7</v>
      </c>
      <c r="F21" s="2">
        <v>3.76</v>
      </c>
      <c r="G21" s="2">
        <v>3.71</v>
      </c>
      <c r="H21" s="13">
        <v>4.2535461999999997</v>
      </c>
      <c r="I21" s="13">
        <v>3.5067360000000001</v>
      </c>
      <c r="J21" s="13">
        <v>3.2901536999999998</v>
      </c>
      <c r="K21" s="13">
        <v>3.2092816000000002</v>
      </c>
      <c r="L21" s="13">
        <v>3.1222392000000001</v>
      </c>
      <c r="M21" s="13">
        <v>3.0606909</v>
      </c>
    </row>
    <row r="22" spans="1:13" x14ac:dyDescent="0.25">
      <c r="A22" t="s">
        <v>27</v>
      </c>
      <c r="B22" s="2">
        <v>3.45</v>
      </c>
      <c r="C22" s="2">
        <v>3.26</v>
      </c>
      <c r="D22" s="2">
        <v>3.36</v>
      </c>
      <c r="E22" s="2">
        <v>3.69</v>
      </c>
      <c r="F22" s="2">
        <v>3.76</v>
      </c>
      <c r="G22" s="2">
        <v>3.71</v>
      </c>
      <c r="H22" s="13">
        <v>4.2283518000000004</v>
      </c>
      <c r="I22" s="13">
        <v>3.5295250999999999</v>
      </c>
      <c r="J22" s="13">
        <v>3.3009659</v>
      </c>
      <c r="K22" s="13">
        <v>3.1859329000000001</v>
      </c>
      <c r="L22" s="13">
        <v>3.0872190000000002</v>
      </c>
      <c r="M22" s="13">
        <v>3.0326498000000002</v>
      </c>
    </row>
    <row r="23" spans="1:13" x14ac:dyDescent="0.25">
      <c r="A23" t="s">
        <v>28</v>
      </c>
      <c r="B23" s="2">
        <v>3.36</v>
      </c>
      <c r="C23" s="2">
        <v>3.18</v>
      </c>
      <c r="D23" s="2">
        <v>3.28</v>
      </c>
      <c r="E23" s="2">
        <v>3.62</v>
      </c>
      <c r="F23" s="2">
        <v>3.7</v>
      </c>
      <c r="G23" s="2">
        <v>3.63</v>
      </c>
      <c r="H23" s="13">
        <v>4.1803933999999998</v>
      </c>
      <c r="I23" s="13">
        <v>3.4376931000000002</v>
      </c>
      <c r="J23" s="13">
        <v>3.2146013999999998</v>
      </c>
      <c r="K23" s="13">
        <v>3.1195656999999999</v>
      </c>
      <c r="L23" s="13">
        <v>3.0376873</v>
      </c>
      <c r="M23" s="13">
        <v>2.9893017</v>
      </c>
    </row>
    <row r="24" spans="1:13" x14ac:dyDescent="0.25">
      <c r="A24" t="s">
        <v>29</v>
      </c>
      <c r="B24" s="2">
        <v>3.41</v>
      </c>
      <c r="C24" s="2">
        <v>3.14</v>
      </c>
      <c r="D24" s="2">
        <v>3.24</v>
      </c>
      <c r="E24" s="2">
        <v>3.59</v>
      </c>
      <c r="F24" s="2">
        <v>3.66</v>
      </c>
      <c r="G24" s="2">
        <v>3.59</v>
      </c>
      <c r="H24" s="13">
        <v>4.0842596000000002</v>
      </c>
      <c r="I24" s="13">
        <v>3.3545126000000001</v>
      </c>
      <c r="J24" s="13">
        <v>3.1566445000000001</v>
      </c>
      <c r="K24" s="13">
        <v>3.0774143</v>
      </c>
      <c r="L24" s="13">
        <v>3.0045476999999998</v>
      </c>
      <c r="M24" s="13">
        <v>2.9612232000000001</v>
      </c>
    </row>
    <row r="25" spans="1:13" x14ac:dyDescent="0.25">
      <c r="A25" t="s">
        <v>30</v>
      </c>
      <c r="B25" s="2">
        <v>3.43</v>
      </c>
      <c r="C25" s="2">
        <v>3.17</v>
      </c>
      <c r="D25" s="2">
        <v>3.3</v>
      </c>
      <c r="E25" s="2">
        <v>3.65</v>
      </c>
      <c r="F25" s="2">
        <v>3.72</v>
      </c>
      <c r="G25" s="2">
        <v>3.64</v>
      </c>
      <c r="H25" s="13">
        <v>4.1220695999999997</v>
      </c>
      <c r="I25" s="13">
        <v>3.4117448000000001</v>
      </c>
      <c r="J25" s="13">
        <v>3.2192973</v>
      </c>
      <c r="K25" s="13">
        <v>3.1489913999999999</v>
      </c>
      <c r="L25" s="13">
        <v>3.0750635000000002</v>
      </c>
      <c r="M25" s="13">
        <v>3.0197927</v>
      </c>
    </row>
    <row r="26" spans="1:13" x14ac:dyDescent="0.25">
      <c r="A26" t="s">
        <v>31</v>
      </c>
      <c r="B26" s="2">
        <v>3.48</v>
      </c>
      <c r="C26" s="2">
        <v>3.21</v>
      </c>
      <c r="D26" s="2">
        <v>3.33</v>
      </c>
      <c r="E26" s="2">
        <v>3.69</v>
      </c>
      <c r="F26" s="2">
        <v>3.76</v>
      </c>
      <c r="G26" s="2">
        <v>3.69</v>
      </c>
      <c r="H26" s="13">
        <v>4.1482315999999999</v>
      </c>
      <c r="I26" s="13">
        <v>3.4598236</v>
      </c>
      <c r="J26" s="13">
        <v>3.2541361000000002</v>
      </c>
      <c r="K26" s="13">
        <v>3.1688494</v>
      </c>
      <c r="L26" s="13">
        <v>3.0929921</v>
      </c>
      <c r="M26" s="13">
        <v>3.0450726000000001</v>
      </c>
    </row>
    <row r="27" spans="1:13" x14ac:dyDescent="0.25">
      <c r="A27" t="s">
        <v>32</v>
      </c>
      <c r="B27" s="2">
        <v>3.47</v>
      </c>
      <c r="C27" s="2">
        <v>3.23</v>
      </c>
      <c r="D27" s="2">
        <v>3.35</v>
      </c>
      <c r="E27" s="2">
        <v>3.7</v>
      </c>
      <c r="F27" s="2">
        <v>3.77</v>
      </c>
      <c r="G27" s="2">
        <v>3.7</v>
      </c>
      <c r="H27" s="13">
        <v>4.1627422999999997</v>
      </c>
      <c r="I27" s="13">
        <v>3.5201679000000001</v>
      </c>
      <c r="J27" s="13">
        <v>3.2903999000000002</v>
      </c>
      <c r="K27" s="13">
        <v>3.1713130999999999</v>
      </c>
      <c r="L27" s="13">
        <v>3.0838505999999999</v>
      </c>
      <c r="M27" s="13">
        <v>3.0433115000000002</v>
      </c>
    </row>
    <row r="28" spans="1:13" x14ac:dyDescent="0.25">
      <c r="A28" t="s">
        <v>33</v>
      </c>
      <c r="B28" s="2">
        <v>3.46</v>
      </c>
      <c r="C28" s="2">
        <v>3.22</v>
      </c>
      <c r="D28" s="2">
        <v>3.34</v>
      </c>
      <c r="E28" s="2">
        <v>3.7</v>
      </c>
      <c r="F28" s="2">
        <v>3.78</v>
      </c>
      <c r="G28" s="2">
        <v>3.72</v>
      </c>
      <c r="H28" s="13">
        <v>4.1364599999999996</v>
      </c>
      <c r="I28" s="13">
        <v>3.4850465000000002</v>
      </c>
      <c r="J28" s="13">
        <v>3.2681635999999998</v>
      </c>
      <c r="K28" s="13">
        <v>3.1628976999999998</v>
      </c>
      <c r="L28" s="13">
        <v>3.0868622000000001</v>
      </c>
      <c r="M28" s="13">
        <v>3.0520801999999998</v>
      </c>
    </row>
    <row r="29" spans="1:13" x14ac:dyDescent="0.25">
      <c r="A29" t="s">
        <v>34</v>
      </c>
      <c r="B29" s="2">
        <v>3.41</v>
      </c>
      <c r="C29" s="2">
        <v>3.16</v>
      </c>
      <c r="D29" s="2">
        <v>3.3</v>
      </c>
      <c r="E29" s="2">
        <v>3.67</v>
      </c>
      <c r="F29" s="2">
        <v>3.75</v>
      </c>
      <c r="G29" s="2">
        <v>3.7</v>
      </c>
      <c r="H29" s="13">
        <v>4.1033394000000003</v>
      </c>
      <c r="I29" s="13">
        <v>3.4228839</v>
      </c>
      <c r="J29" s="13">
        <v>3.2333896000000002</v>
      </c>
      <c r="K29" s="13">
        <v>3.1497986</v>
      </c>
      <c r="L29" s="13">
        <v>3.0680955999999999</v>
      </c>
      <c r="M29" s="13">
        <v>3.019587</v>
      </c>
    </row>
    <row r="30" spans="1:13" x14ac:dyDescent="0.25">
      <c r="A30" t="s">
        <v>35</v>
      </c>
      <c r="B30" s="2">
        <v>3.15</v>
      </c>
      <c r="C30" s="2">
        <v>2.85</v>
      </c>
      <c r="D30" s="2">
        <v>2.99</v>
      </c>
      <c r="E30" s="2">
        <v>3.42</v>
      </c>
      <c r="F30" s="2">
        <v>3.53</v>
      </c>
      <c r="G30" s="2">
        <v>3.51</v>
      </c>
      <c r="H30" s="13">
        <v>3.8397945</v>
      </c>
      <c r="I30" s="13">
        <v>3.0848648999999999</v>
      </c>
      <c r="J30" s="13">
        <v>2.8670154999999999</v>
      </c>
      <c r="K30" s="13">
        <v>2.7791983999999998</v>
      </c>
      <c r="L30" s="13">
        <v>2.7299332999999999</v>
      </c>
      <c r="M30" s="13">
        <v>2.7294752999999998</v>
      </c>
    </row>
    <row r="31" spans="1:13" x14ac:dyDescent="0.25">
      <c r="A31" t="s">
        <v>36</v>
      </c>
      <c r="B31" s="2">
        <v>3.22</v>
      </c>
      <c r="C31" s="2">
        <v>2.9</v>
      </c>
      <c r="D31" s="2">
        <v>3.05</v>
      </c>
      <c r="E31" s="2">
        <v>3.47</v>
      </c>
      <c r="F31" s="2">
        <v>3.59</v>
      </c>
      <c r="G31" s="2">
        <v>3.58</v>
      </c>
      <c r="H31" s="13">
        <v>3.8570690000000001</v>
      </c>
      <c r="I31" s="13">
        <v>3.1314918999999999</v>
      </c>
      <c r="J31" s="13">
        <v>2.9502625</v>
      </c>
      <c r="K31" s="13">
        <v>2.8781367000000002</v>
      </c>
      <c r="L31" s="13">
        <v>2.8316121999999999</v>
      </c>
      <c r="M31" s="13">
        <v>2.8229133000000002</v>
      </c>
    </row>
    <row r="32" spans="1:13" x14ac:dyDescent="0.25">
      <c r="A32" t="s">
        <v>37</v>
      </c>
      <c r="B32" s="2">
        <v>3.45</v>
      </c>
      <c r="C32" s="2">
        <v>3.14</v>
      </c>
      <c r="D32" s="2">
        <v>3.26</v>
      </c>
      <c r="E32" s="2">
        <v>3.65</v>
      </c>
      <c r="F32" s="2">
        <v>3.75</v>
      </c>
      <c r="G32" s="2">
        <v>3.72</v>
      </c>
      <c r="H32" s="13">
        <v>3.9946628999999998</v>
      </c>
      <c r="I32" s="13">
        <v>3.3656776000000002</v>
      </c>
      <c r="J32" s="13">
        <v>3.2148829999999999</v>
      </c>
      <c r="K32" s="13">
        <v>3.1096015000000001</v>
      </c>
      <c r="L32" s="13">
        <v>3.0294004999999999</v>
      </c>
      <c r="M32" s="13">
        <v>3.0012514000000001</v>
      </c>
    </row>
    <row r="33" spans="1:13" x14ac:dyDescent="0.25">
      <c r="A33" t="s">
        <v>38</v>
      </c>
      <c r="B33" s="2">
        <v>3.48</v>
      </c>
      <c r="C33" s="2">
        <v>3.18</v>
      </c>
      <c r="D33" s="2">
        <v>3.29</v>
      </c>
      <c r="E33" s="2">
        <v>3.66</v>
      </c>
      <c r="F33" s="2">
        <v>3.76</v>
      </c>
      <c r="G33" s="2">
        <v>3.72</v>
      </c>
      <c r="H33" s="13">
        <v>4.0212912000000003</v>
      </c>
      <c r="I33" s="13">
        <v>3.4108681999999999</v>
      </c>
      <c r="J33" s="13">
        <v>3.2856323000000001</v>
      </c>
      <c r="K33" s="13">
        <v>3.2072824</v>
      </c>
      <c r="L33" s="13">
        <v>3.0885927999999998</v>
      </c>
      <c r="M33" s="13">
        <v>3.0059884000000001</v>
      </c>
    </row>
    <row r="34" spans="1:13" x14ac:dyDescent="0.25">
      <c r="A34" t="s">
        <v>39</v>
      </c>
      <c r="B34" s="2">
        <v>3.44</v>
      </c>
      <c r="C34" s="2">
        <v>3.16</v>
      </c>
      <c r="D34" s="2">
        <v>3.29</v>
      </c>
      <c r="E34" s="2">
        <v>3.68</v>
      </c>
      <c r="F34" s="2">
        <v>3.77</v>
      </c>
      <c r="G34" s="2">
        <v>3.75</v>
      </c>
      <c r="H34" s="13">
        <v>4.0571777000000004</v>
      </c>
      <c r="I34" s="13">
        <v>3.4237962999999998</v>
      </c>
      <c r="J34" s="13">
        <v>3.244049</v>
      </c>
      <c r="K34" s="13">
        <v>3.153969</v>
      </c>
      <c r="L34" s="13">
        <v>3.0748858999999999</v>
      </c>
      <c r="M34" s="13">
        <v>3.0315243999999999</v>
      </c>
    </row>
    <row r="35" spans="1:13" x14ac:dyDescent="0.25">
      <c r="A35" t="s">
        <v>40</v>
      </c>
      <c r="B35" s="2">
        <v>3.5</v>
      </c>
      <c r="C35" s="2">
        <v>3.22</v>
      </c>
      <c r="D35" s="2">
        <v>3.29</v>
      </c>
      <c r="E35" s="2">
        <v>3.68</v>
      </c>
      <c r="F35" s="2">
        <v>3.77</v>
      </c>
      <c r="G35" s="2">
        <v>3.74</v>
      </c>
      <c r="H35" s="13">
        <v>4.0939996000000001</v>
      </c>
      <c r="I35" s="13">
        <v>3.4792706999999998</v>
      </c>
      <c r="J35" s="13">
        <v>3.2466203</v>
      </c>
      <c r="K35" s="13">
        <v>3.1264767999999998</v>
      </c>
      <c r="L35" s="13">
        <v>3.0423714999999998</v>
      </c>
      <c r="M35" s="13">
        <v>2.9977743000000001</v>
      </c>
    </row>
    <row r="36" spans="1:13" x14ac:dyDescent="0.25">
      <c r="A36" t="s">
        <v>41</v>
      </c>
      <c r="B36" s="2">
        <v>3.61</v>
      </c>
      <c r="C36" s="2">
        <v>3.33</v>
      </c>
      <c r="D36" s="2">
        <v>3.39</v>
      </c>
      <c r="E36" s="2">
        <v>3.76</v>
      </c>
      <c r="F36" s="2">
        <v>3.84</v>
      </c>
      <c r="G36" s="2">
        <v>3.81</v>
      </c>
      <c r="H36" s="13">
        <v>4.2551585000000003</v>
      </c>
      <c r="I36" s="13">
        <v>3.6210263</v>
      </c>
      <c r="J36" s="13">
        <v>3.3864607000000002</v>
      </c>
      <c r="K36" s="13">
        <v>3.2545529000000002</v>
      </c>
      <c r="L36" s="13">
        <v>3.1391751999999999</v>
      </c>
      <c r="M36" s="13">
        <v>3.0643753999999999</v>
      </c>
    </row>
    <row r="37" spans="1:13" x14ac:dyDescent="0.25">
      <c r="A37" t="s">
        <v>42</v>
      </c>
      <c r="B37" s="2">
        <v>3.63</v>
      </c>
      <c r="C37" s="2">
        <v>3.35</v>
      </c>
      <c r="D37" s="2">
        <v>3.4</v>
      </c>
      <c r="E37" s="2">
        <v>3.76</v>
      </c>
      <c r="F37" s="2">
        <v>3.85</v>
      </c>
      <c r="G37" s="2">
        <v>3.81</v>
      </c>
      <c r="H37" s="13">
        <v>4.2708177000000003</v>
      </c>
      <c r="I37" s="13">
        <v>3.6588851</v>
      </c>
      <c r="J37" s="13">
        <v>3.3958086999999999</v>
      </c>
      <c r="K37" s="13">
        <v>3.2369316000000001</v>
      </c>
      <c r="L37" s="13">
        <v>3.1268804000000001</v>
      </c>
      <c r="M37" s="13">
        <v>3.0712714999999999</v>
      </c>
    </row>
    <row r="38" spans="1:13" x14ac:dyDescent="0.25">
      <c r="A38" t="s">
        <v>43</v>
      </c>
      <c r="B38" s="2">
        <v>3.81</v>
      </c>
      <c r="C38" s="2">
        <v>3.51</v>
      </c>
      <c r="D38" s="2">
        <v>3.53</v>
      </c>
      <c r="E38" s="2">
        <v>3.86</v>
      </c>
      <c r="F38" s="2">
        <v>3.94</v>
      </c>
      <c r="G38" s="2">
        <v>3.9</v>
      </c>
      <c r="H38" s="13">
        <v>4.4664415000000002</v>
      </c>
      <c r="I38" s="13">
        <v>3.8739927999999999</v>
      </c>
      <c r="J38" s="13">
        <v>3.5266236000000002</v>
      </c>
      <c r="K38" s="13">
        <v>3.3216654999999999</v>
      </c>
      <c r="L38" s="13">
        <v>3.2003984999999999</v>
      </c>
      <c r="M38" s="13">
        <v>3.1447853000000001</v>
      </c>
    </row>
    <row r="39" spans="1:13" x14ac:dyDescent="0.25">
      <c r="A39" t="s">
        <v>44</v>
      </c>
      <c r="B39" s="2">
        <v>3.77</v>
      </c>
      <c r="C39" s="2">
        <v>3.42</v>
      </c>
      <c r="D39" s="2">
        <v>3.48</v>
      </c>
      <c r="E39" s="2">
        <v>3.83</v>
      </c>
      <c r="F39" s="2">
        <v>3.91</v>
      </c>
      <c r="G39" s="2">
        <v>3.87</v>
      </c>
      <c r="H39" s="13">
        <v>4.2940383000000004</v>
      </c>
      <c r="I39" s="13">
        <v>3.7579399000000002</v>
      </c>
      <c r="J39" s="13">
        <v>3.447514</v>
      </c>
      <c r="K39" s="13">
        <v>3.2912059</v>
      </c>
      <c r="L39" s="13">
        <v>3.1983560999999998</v>
      </c>
      <c r="M39" s="13">
        <v>3.1542579000000002</v>
      </c>
    </row>
    <row r="40" spans="1:13" x14ac:dyDescent="0.25">
      <c r="A40" t="s">
        <v>45</v>
      </c>
      <c r="B40" s="2">
        <v>3.79</v>
      </c>
      <c r="C40" s="2">
        <v>3.41</v>
      </c>
      <c r="D40" s="2">
        <v>3.5</v>
      </c>
      <c r="E40" s="2">
        <v>3.85</v>
      </c>
      <c r="F40" s="2">
        <v>3.93</v>
      </c>
      <c r="G40" s="2">
        <v>3.89</v>
      </c>
      <c r="H40" s="13">
        <v>4.2509537999999996</v>
      </c>
      <c r="I40" s="13">
        <v>3.7297177000000001</v>
      </c>
      <c r="J40" s="13">
        <v>3.4680314999999999</v>
      </c>
      <c r="K40" s="13">
        <v>3.3216730000000001</v>
      </c>
      <c r="L40" s="13">
        <v>3.2221481999999999</v>
      </c>
      <c r="M40" s="13">
        <v>3.1721575</v>
      </c>
    </row>
    <row r="41" spans="1:13" x14ac:dyDescent="0.25">
      <c r="A41" t="s">
        <v>46</v>
      </c>
      <c r="B41" s="2">
        <v>3.79</v>
      </c>
      <c r="C41" s="2">
        <v>3.42</v>
      </c>
      <c r="D41" s="2">
        <v>3.51</v>
      </c>
      <c r="E41" s="2">
        <v>3.88</v>
      </c>
      <c r="F41" s="2">
        <v>3.96</v>
      </c>
      <c r="G41" s="2">
        <v>3.93</v>
      </c>
      <c r="H41" s="13">
        <v>4.2754490000000001</v>
      </c>
      <c r="I41" s="13">
        <v>3.7225801999999999</v>
      </c>
      <c r="J41" s="13">
        <v>3.4616631</v>
      </c>
      <c r="K41" s="13">
        <v>3.3185446000000001</v>
      </c>
      <c r="L41" s="13">
        <v>3.2205143000000001</v>
      </c>
      <c r="M41" s="13">
        <v>3.1719300000000001</v>
      </c>
    </row>
    <row r="42" spans="1:13" x14ac:dyDescent="0.25">
      <c r="A42" t="s">
        <v>47</v>
      </c>
      <c r="B42" s="2">
        <v>3.75</v>
      </c>
      <c r="C42" s="2">
        <v>3.39</v>
      </c>
      <c r="D42" s="2">
        <v>3.48</v>
      </c>
      <c r="E42" s="2">
        <v>3.85</v>
      </c>
      <c r="F42" s="2">
        <v>3.92</v>
      </c>
      <c r="G42" s="2">
        <v>3.9</v>
      </c>
      <c r="H42" s="13">
        <v>4.2136309000000001</v>
      </c>
      <c r="I42" s="13">
        <v>3.6861139999999999</v>
      </c>
      <c r="J42" s="13">
        <v>3.4230754999999999</v>
      </c>
      <c r="K42" s="13">
        <v>3.2525553999999999</v>
      </c>
      <c r="L42" s="13">
        <v>3.1428988000000002</v>
      </c>
      <c r="M42" s="13">
        <v>3.1038408999999998</v>
      </c>
    </row>
    <row r="43" spans="1:13" x14ac:dyDescent="0.25">
      <c r="A43" t="s">
        <v>48</v>
      </c>
      <c r="B43" s="2">
        <v>3.93</v>
      </c>
      <c r="C43" s="2">
        <v>3.57</v>
      </c>
      <c r="D43" s="2">
        <v>3.63</v>
      </c>
      <c r="E43" s="2">
        <v>3.98</v>
      </c>
      <c r="F43" s="2">
        <v>4.05</v>
      </c>
      <c r="G43" s="2">
        <v>4.0199999999999996</v>
      </c>
      <c r="H43" s="13">
        <v>4.4353154999999997</v>
      </c>
      <c r="I43" s="13">
        <v>3.9045033</v>
      </c>
      <c r="J43" s="13">
        <v>3.5826961000000002</v>
      </c>
      <c r="K43" s="13">
        <v>3.3918382</v>
      </c>
      <c r="L43" s="13">
        <v>3.2914756999999999</v>
      </c>
      <c r="M43" s="13">
        <v>3.2638992</v>
      </c>
    </row>
    <row r="44" spans="1:13" x14ac:dyDescent="0.25">
      <c r="A44" t="s">
        <v>49</v>
      </c>
      <c r="B44" s="2">
        <v>3.92</v>
      </c>
      <c r="C44" s="2">
        <v>3.57</v>
      </c>
      <c r="D44" s="2">
        <v>3.61</v>
      </c>
      <c r="E44" s="2">
        <v>3.95</v>
      </c>
      <c r="F44" s="2">
        <v>4.0199999999999996</v>
      </c>
      <c r="G44" s="2">
        <v>4</v>
      </c>
      <c r="H44" s="13">
        <v>4.4209446999999997</v>
      </c>
      <c r="I44" s="13">
        <v>3.8701346999999999</v>
      </c>
      <c r="J44" s="13">
        <v>3.5939000000000001</v>
      </c>
      <c r="K44" s="13">
        <v>3.4335939999999998</v>
      </c>
      <c r="L44" s="13">
        <v>3.3240281</v>
      </c>
      <c r="M44" s="13">
        <v>3.2708381000000002</v>
      </c>
    </row>
    <row r="45" spans="1:13" x14ac:dyDescent="0.25">
      <c r="A45" t="s">
        <v>50</v>
      </c>
      <c r="B45" s="2">
        <v>3.9</v>
      </c>
      <c r="C45" s="2">
        <v>3.56</v>
      </c>
      <c r="D45" s="2">
        <v>3.58</v>
      </c>
      <c r="E45" s="2">
        <v>3.94</v>
      </c>
      <c r="F45" s="2">
        <v>4.01</v>
      </c>
      <c r="G45" s="2">
        <v>3.98</v>
      </c>
      <c r="H45" s="13">
        <v>4.4606338000000001</v>
      </c>
      <c r="I45" s="13">
        <v>3.8873525999999998</v>
      </c>
      <c r="J45" s="13">
        <v>3.5864658</v>
      </c>
      <c r="K45" s="13">
        <v>3.4097032</v>
      </c>
      <c r="L45" s="13">
        <v>3.2963018000000002</v>
      </c>
      <c r="M45" s="13">
        <v>3.2415053999999999</v>
      </c>
    </row>
    <row r="46" spans="1:13" x14ac:dyDescent="0.25">
      <c r="A46" t="s">
        <v>51</v>
      </c>
      <c r="B46" s="2">
        <v>3.62</v>
      </c>
      <c r="C46" s="2">
        <v>3.64</v>
      </c>
      <c r="D46" s="2">
        <v>3.75</v>
      </c>
      <c r="E46" s="2">
        <v>4.0599999999999996</v>
      </c>
      <c r="F46" s="2">
        <v>4.18</v>
      </c>
      <c r="G46" s="2">
        <v>4.21</v>
      </c>
      <c r="H46" s="13">
        <v>4.6697154999999997</v>
      </c>
      <c r="I46" s="13">
        <v>4.0498830999999997</v>
      </c>
      <c r="J46" s="13">
        <v>3.6647851999999999</v>
      </c>
      <c r="K46" s="13">
        <v>3.4467577</v>
      </c>
      <c r="L46" s="13">
        <v>3.3191109000000001</v>
      </c>
      <c r="M46" s="13">
        <v>3.2581763000000001</v>
      </c>
    </row>
    <row r="47" spans="1:13" x14ac:dyDescent="0.25">
      <c r="A47" t="s">
        <v>52</v>
      </c>
      <c r="B47" s="2">
        <v>3.68</v>
      </c>
      <c r="C47" s="2">
        <v>3.7</v>
      </c>
      <c r="D47" s="2">
        <v>3.8</v>
      </c>
      <c r="E47" s="2">
        <v>4.12</v>
      </c>
      <c r="F47" s="2">
        <v>4.16</v>
      </c>
      <c r="G47" s="2">
        <v>4.1399999999999997</v>
      </c>
      <c r="H47" s="13">
        <v>4.6798807</v>
      </c>
      <c r="I47" s="13">
        <v>4.1166081999999999</v>
      </c>
      <c r="J47" s="13">
        <v>3.7334276000000002</v>
      </c>
      <c r="K47" s="13">
        <v>3.5020701999999999</v>
      </c>
      <c r="L47" s="13">
        <v>3.3653352999999999</v>
      </c>
      <c r="M47" s="13">
        <v>3.30905</v>
      </c>
    </row>
    <row r="48" spans="1:13" x14ac:dyDescent="0.25">
      <c r="A48" t="s">
        <v>53</v>
      </c>
      <c r="B48" s="2">
        <v>3.66</v>
      </c>
      <c r="C48" s="2">
        <v>3.68</v>
      </c>
      <c r="D48" s="2">
        <v>3.84</v>
      </c>
      <c r="E48" s="2">
        <v>4.09</v>
      </c>
      <c r="F48" s="2">
        <v>4.16</v>
      </c>
      <c r="G48" s="2">
        <v>4.1100000000000003</v>
      </c>
      <c r="H48" s="13">
        <v>4.7669841999999996</v>
      </c>
      <c r="I48" s="13">
        <v>4.1740630999999997</v>
      </c>
      <c r="J48" s="13">
        <v>3.6879368000000001</v>
      </c>
      <c r="K48" s="13">
        <v>3.4473258000000002</v>
      </c>
      <c r="L48" s="13">
        <v>3.3197681999999999</v>
      </c>
      <c r="M48" s="13">
        <v>3.2635036999999998</v>
      </c>
    </row>
    <row r="49" spans="1:13" x14ac:dyDescent="0.25">
      <c r="A49" t="s">
        <v>54</v>
      </c>
      <c r="B49" s="2">
        <v>3.68</v>
      </c>
      <c r="C49" s="2">
        <v>3.68</v>
      </c>
      <c r="D49" s="2">
        <v>3.83</v>
      </c>
      <c r="E49" s="2">
        <v>4.1500000000000004</v>
      </c>
      <c r="F49" s="2">
        <v>4.08</v>
      </c>
      <c r="G49" s="2">
        <v>4.22</v>
      </c>
      <c r="H49" s="13">
        <v>4.6863276999999997</v>
      </c>
      <c r="I49" s="13">
        <v>4.1246600999999998</v>
      </c>
      <c r="J49" s="13">
        <v>3.6793745000000002</v>
      </c>
      <c r="K49" s="13">
        <v>3.4858634999999998</v>
      </c>
      <c r="L49" s="13">
        <v>3.4032684999999998</v>
      </c>
      <c r="M49" s="13">
        <v>3.3767580000000001</v>
      </c>
    </row>
    <row r="50" spans="1:13" x14ac:dyDescent="0.25">
      <c r="A50" t="s">
        <v>55</v>
      </c>
      <c r="B50" s="2">
        <v>3.69</v>
      </c>
      <c r="C50" s="2">
        <v>3.69</v>
      </c>
      <c r="D50" s="2">
        <v>3.91</v>
      </c>
      <c r="E50" s="2">
        <v>4.18</v>
      </c>
      <c r="F50" s="2">
        <v>4.28</v>
      </c>
      <c r="G50" s="2">
        <v>4.25</v>
      </c>
      <c r="H50" s="13">
        <v>4.6910743000000004</v>
      </c>
      <c r="I50" s="13">
        <v>4.1805251999999999</v>
      </c>
      <c r="J50" s="13">
        <v>3.7736364999999998</v>
      </c>
      <c r="K50" s="13">
        <v>3.5428044000000001</v>
      </c>
      <c r="L50" s="13">
        <v>3.4218296000000001</v>
      </c>
      <c r="M50" s="13">
        <v>3.3830355000000001</v>
      </c>
    </row>
    <row r="51" spans="1:13" x14ac:dyDescent="0.25">
      <c r="A51" t="s">
        <v>56</v>
      </c>
      <c r="B51" s="2">
        <v>3.69</v>
      </c>
      <c r="C51" s="2">
        <v>3.65</v>
      </c>
      <c r="D51" s="2">
        <v>3.8</v>
      </c>
      <c r="E51" s="2">
        <v>4.1500000000000004</v>
      </c>
      <c r="F51" s="2">
        <v>4.18</v>
      </c>
      <c r="G51" s="2">
        <v>4.21</v>
      </c>
      <c r="H51" s="13">
        <v>4.6958317000000003</v>
      </c>
      <c r="I51" s="13">
        <v>4.1541942000000001</v>
      </c>
      <c r="J51" s="13">
        <v>3.7513043000000001</v>
      </c>
      <c r="K51" s="13">
        <v>3.5189998999999998</v>
      </c>
      <c r="L51" s="13">
        <v>3.3817111999999998</v>
      </c>
      <c r="M51" s="13">
        <v>3.3260890000000001</v>
      </c>
    </row>
    <row r="52" spans="1:13" x14ac:dyDescent="0.25">
      <c r="A52" t="s">
        <v>57</v>
      </c>
      <c r="B52" s="2">
        <v>3.76</v>
      </c>
      <c r="C52" s="2">
        <v>3.7</v>
      </c>
      <c r="D52" s="2">
        <v>3.88</v>
      </c>
      <c r="E52" s="2">
        <v>4.1500000000000004</v>
      </c>
      <c r="F52" s="2">
        <v>4.21</v>
      </c>
      <c r="G52" s="2">
        <v>4.21</v>
      </c>
      <c r="H52" s="13">
        <v>4.7462105000000001</v>
      </c>
      <c r="I52" s="13">
        <v>4.2219103000000002</v>
      </c>
      <c r="J52" s="13">
        <v>3.761946</v>
      </c>
      <c r="K52" s="13">
        <v>3.4906239999999999</v>
      </c>
      <c r="L52" s="13">
        <v>3.3574088999999998</v>
      </c>
      <c r="M52" s="13">
        <v>3.3207776</v>
      </c>
    </row>
    <row r="53" spans="1:13" x14ac:dyDescent="0.25">
      <c r="A53" t="s">
        <v>58</v>
      </c>
      <c r="B53" s="2">
        <v>3.79</v>
      </c>
      <c r="C53" s="2">
        <v>3.69</v>
      </c>
      <c r="D53" s="2">
        <v>3.85</v>
      </c>
      <c r="E53" s="2">
        <v>4.0999999999999996</v>
      </c>
      <c r="F53" s="2">
        <v>4.1399999999999997</v>
      </c>
      <c r="G53" s="2">
        <v>4.13</v>
      </c>
      <c r="H53" s="13">
        <v>4.8349627000000002</v>
      </c>
      <c r="I53" s="13">
        <v>4.2094202000000003</v>
      </c>
      <c r="J53" s="13">
        <v>3.7261481999999999</v>
      </c>
      <c r="K53" s="13">
        <v>3.4618867</v>
      </c>
      <c r="L53" s="13">
        <v>3.3124714000000002</v>
      </c>
      <c r="M53" s="13">
        <v>3.2446068000000001</v>
      </c>
    </row>
    <row r="54" spans="1:13" x14ac:dyDescent="0.25">
      <c r="A54" t="s">
        <v>59</v>
      </c>
      <c r="B54" s="2">
        <v>3.79</v>
      </c>
      <c r="C54" s="2">
        <v>3.67</v>
      </c>
      <c r="D54" s="2">
        <v>3.79</v>
      </c>
      <c r="E54" s="2">
        <v>4.05</v>
      </c>
      <c r="F54" s="2">
        <v>4.1500000000000004</v>
      </c>
      <c r="G54" s="2">
        <v>4.08</v>
      </c>
      <c r="H54" s="13">
        <v>4.8102381999999997</v>
      </c>
      <c r="I54" s="13">
        <v>4.1823765000000002</v>
      </c>
      <c r="J54" s="13">
        <v>3.7062979999999999</v>
      </c>
      <c r="K54" s="13">
        <v>3.4390187999999999</v>
      </c>
      <c r="L54" s="13">
        <v>3.2758422</v>
      </c>
      <c r="M54" s="13">
        <v>3.1937999000000001</v>
      </c>
    </row>
    <row r="55" spans="1:13" x14ac:dyDescent="0.25">
      <c r="A55" t="s">
        <v>60</v>
      </c>
      <c r="B55" s="2">
        <v>3.8</v>
      </c>
      <c r="C55" s="2">
        <v>3.67</v>
      </c>
      <c r="D55" s="2">
        <v>3.83</v>
      </c>
      <c r="E55" s="2">
        <v>4.0599999999999996</v>
      </c>
      <c r="F55" s="2">
        <v>4.12</v>
      </c>
      <c r="G55" s="2">
        <v>4.0999999999999996</v>
      </c>
      <c r="H55" s="13">
        <v>4.7815310000000002</v>
      </c>
      <c r="I55" s="13">
        <v>4.1818369999999998</v>
      </c>
      <c r="J55" s="13">
        <v>3.7500509000000002</v>
      </c>
      <c r="K55" s="13">
        <v>3.4729209999999999</v>
      </c>
      <c r="L55" s="13">
        <v>3.2926402000000001</v>
      </c>
      <c r="M55" s="13">
        <v>3.2083113999999999</v>
      </c>
    </row>
    <row r="56" spans="1:13" x14ac:dyDescent="0.25">
      <c r="A56" t="s">
        <v>61</v>
      </c>
      <c r="B56" s="2">
        <v>3.61</v>
      </c>
      <c r="C56" s="2">
        <v>3.49</v>
      </c>
      <c r="D56" s="2">
        <v>3.62</v>
      </c>
      <c r="E56" s="2">
        <v>3.91</v>
      </c>
      <c r="F56" s="2">
        <v>4.01</v>
      </c>
      <c r="G56" s="2">
        <v>3.98</v>
      </c>
      <c r="H56" s="13">
        <v>4.5646414000000002</v>
      </c>
      <c r="I56" s="13">
        <v>4.0391048999999999</v>
      </c>
      <c r="J56" s="13">
        <v>3.5990294999999999</v>
      </c>
      <c r="K56" s="13">
        <v>3.3218226</v>
      </c>
      <c r="L56" s="13">
        <v>3.1633225999999999</v>
      </c>
      <c r="M56" s="13">
        <v>3.0968849999999999</v>
      </c>
    </row>
    <row r="57" spans="1:13" x14ac:dyDescent="0.25">
      <c r="A57" t="s">
        <v>62</v>
      </c>
      <c r="B57" s="2">
        <v>3.36</v>
      </c>
      <c r="C57" s="2">
        <v>3.27</v>
      </c>
      <c r="D57" s="2">
        <v>3.38</v>
      </c>
      <c r="E57" s="2">
        <v>3.7</v>
      </c>
      <c r="F57" s="2">
        <v>3.67</v>
      </c>
      <c r="G57" s="2">
        <v>3.83</v>
      </c>
      <c r="H57" s="13">
        <v>4.1852448000000004</v>
      </c>
      <c r="I57" s="13">
        <v>3.9171496000000001</v>
      </c>
      <c r="J57" s="13">
        <v>3.4921673000000002</v>
      </c>
      <c r="K57" s="13">
        <v>3.1717401000000001</v>
      </c>
      <c r="L57" s="13">
        <v>2.9963038000000002</v>
      </c>
      <c r="M57" s="13">
        <v>2.9309945000000002</v>
      </c>
    </row>
    <row r="58" spans="1:13" x14ac:dyDescent="0.25">
      <c r="A58" t="s">
        <v>63</v>
      </c>
      <c r="B58" s="2">
        <v>3.47</v>
      </c>
      <c r="C58" s="2">
        <v>3.39</v>
      </c>
      <c r="D58" s="2">
        <v>3.5</v>
      </c>
      <c r="E58" s="2">
        <v>3.78</v>
      </c>
      <c r="F58" s="2">
        <v>3.77</v>
      </c>
      <c r="G58" s="2">
        <v>3.89</v>
      </c>
      <c r="H58" s="13">
        <v>4.2771669000000001</v>
      </c>
      <c r="I58" s="13">
        <v>3.9986628</v>
      </c>
      <c r="J58" s="13">
        <v>3.6183333000000002</v>
      </c>
      <c r="K58" s="13">
        <v>3.3201624000000001</v>
      </c>
      <c r="L58" s="13">
        <v>3.1301785</v>
      </c>
      <c r="M58" s="13">
        <v>3.0374314999999998</v>
      </c>
    </row>
    <row r="59" spans="1:13" x14ac:dyDescent="0.25">
      <c r="A59" t="s">
        <v>64</v>
      </c>
      <c r="B59" s="2">
        <v>3.31</v>
      </c>
      <c r="C59" s="2">
        <v>3.24</v>
      </c>
      <c r="D59" s="2">
        <v>3.33</v>
      </c>
      <c r="E59" s="2">
        <v>3.66</v>
      </c>
      <c r="F59" s="2">
        <v>3.75</v>
      </c>
      <c r="G59" s="2">
        <v>3.78</v>
      </c>
      <c r="H59" s="13">
        <v>4.0083925000000002</v>
      </c>
      <c r="I59" s="13">
        <v>3.8365016000000001</v>
      </c>
      <c r="J59" s="13">
        <v>3.5541889000000002</v>
      </c>
      <c r="K59" s="13">
        <v>3.2744922999999999</v>
      </c>
      <c r="L59" s="13">
        <v>3.0728654999999998</v>
      </c>
      <c r="M59" s="13">
        <v>2.9634149999999999</v>
      </c>
    </row>
    <row r="60" spans="1:13" x14ac:dyDescent="0.25">
      <c r="A60" t="s">
        <v>65</v>
      </c>
      <c r="B60" s="2">
        <v>3.42</v>
      </c>
      <c r="C60" s="2">
        <v>3.33</v>
      </c>
      <c r="D60" s="2">
        <v>3.41</v>
      </c>
      <c r="E60" s="2">
        <v>3.74</v>
      </c>
      <c r="F60" s="2">
        <v>3.75</v>
      </c>
      <c r="G60" s="2">
        <v>3.85</v>
      </c>
      <c r="H60" s="13">
        <v>4.1441407000000003</v>
      </c>
      <c r="I60" s="13">
        <v>3.8796157999999998</v>
      </c>
      <c r="J60" s="13">
        <v>3.5792079999999999</v>
      </c>
      <c r="K60" s="13">
        <v>3.3021389999999999</v>
      </c>
      <c r="L60" s="13">
        <v>3.120063</v>
      </c>
      <c r="M60" s="13">
        <v>3.0140834000000001</v>
      </c>
    </row>
    <row r="61" spans="1:13" x14ac:dyDescent="0.25">
      <c r="A61" t="s">
        <v>66</v>
      </c>
      <c r="B61" s="2">
        <v>3.24</v>
      </c>
      <c r="C61" s="2">
        <v>3.17</v>
      </c>
      <c r="D61" s="2">
        <v>3.28</v>
      </c>
      <c r="E61" s="2">
        <v>3.62</v>
      </c>
      <c r="F61" s="2">
        <v>3.75</v>
      </c>
      <c r="G61" s="2">
        <v>3.76</v>
      </c>
      <c r="H61" s="13">
        <v>3.9788190999999999</v>
      </c>
      <c r="I61" s="13">
        <v>3.6671041</v>
      </c>
      <c r="J61" s="13">
        <v>3.3872195</v>
      </c>
      <c r="K61" s="13">
        <v>3.1321750000000002</v>
      </c>
      <c r="L61" s="13">
        <v>2.9520952</v>
      </c>
      <c r="M61" s="13">
        <v>2.8618548000000001</v>
      </c>
    </row>
    <row r="62" spans="1:13" x14ac:dyDescent="0.25">
      <c r="A62" t="s">
        <v>67</v>
      </c>
      <c r="B62" s="2">
        <v>3.23</v>
      </c>
      <c r="C62" s="2">
        <v>3.17</v>
      </c>
      <c r="D62" s="2">
        <v>3.31</v>
      </c>
      <c r="E62" s="2">
        <v>3.68</v>
      </c>
      <c r="F62" s="2">
        <v>3.8</v>
      </c>
      <c r="G62" s="2">
        <v>3.83</v>
      </c>
      <c r="H62" s="13">
        <v>3.9070372</v>
      </c>
      <c r="I62" s="13">
        <v>3.6164193999999998</v>
      </c>
      <c r="J62" s="13">
        <v>3.3562691</v>
      </c>
      <c r="K62" s="13">
        <v>3.1267181000000002</v>
      </c>
      <c r="L62" s="13">
        <v>2.9790662000000001</v>
      </c>
      <c r="M62" s="13">
        <v>2.9150095999999999</v>
      </c>
    </row>
    <row r="63" spans="1:13" x14ac:dyDescent="0.25">
      <c r="A63" t="s">
        <v>68</v>
      </c>
      <c r="B63" s="2">
        <v>3.29</v>
      </c>
      <c r="C63" s="2">
        <v>3.22</v>
      </c>
      <c r="D63" s="2">
        <v>3.36</v>
      </c>
      <c r="E63" s="2">
        <v>3.71</v>
      </c>
      <c r="F63" s="2">
        <v>3.83</v>
      </c>
      <c r="G63" s="2">
        <v>3.84</v>
      </c>
      <c r="H63" s="13">
        <v>4.0315178999999999</v>
      </c>
      <c r="I63" s="13">
        <v>3.6236320000000002</v>
      </c>
      <c r="J63" s="13">
        <v>3.3581188000000002</v>
      </c>
      <c r="K63" s="13">
        <v>3.1507459</v>
      </c>
      <c r="L63" s="13">
        <v>3.0116269999999998</v>
      </c>
      <c r="M63" s="13">
        <v>2.9458500000000001</v>
      </c>
    </row>
    <row r="64" spans="1:13" x14ac:dyDescent="0.25">
      <c r="A64" t="s">
        <v>69</v>
      </c>
      <c r="B64" s="2">
        <v>3.48</v>
      </c>
      <c r="C64" s="2">
        <v>3.36</v>
      </c>
      <c r="D64" s="2">
        <v>3.44</v>
      </c>
      <c r="E64" s="2">
        <v>3.75</v>
      </c>
      <c r="F64" s="2">
        <v>3.8</v>
      </c>
      <c r="G64" s="2">
        <v>3.87</v>
      </c>
      <c r="H64" s="13">
        <v>4.3780559999999999</v>
      </c>
      <c r="I64" s="13">
        <v>3.8390800999999999</v>
      </c>
      <c r="J64" s="13">
        <v>3.4610683999999998</v>
      </c>
      <c r="K64" s="13">
        <v>3.1861608000000001</v>
      </c>
      <c r="L64" s="13">
        <v>3.0063567999999998</v>
      </c>
      <c r="M64" s="13">
        <v>2.9184871999999999</v>
      </c>
    </row>
    <row r="65" spans="1:13" x14ac:dyDescent="0.25">
      <c r="A65" t="s">
        <v>70</v>
      </c>
      <c r="B65" s="2">
        <v>3.28</v>
      </c>
      <c r="C65" s="2">
        <v>3.2</v>
      </c>
      <c r="D65" s="2">
        <v>3.36</v>
      </c>
      <c r="E65" s="2">
        <v>3.68</v>
      </c>
      <c r="F65" s="2">
        <v>3.76</v>
      </c>
      <c r="G65" s="2">
        <v>3.82</v>
      </c>
      <c r="H65" s="13">
        <v>4.1037030000000003</v>
      </c>
      <c r="I65" s="13">
        <v>3.5313691999999999</v>
      </c>
      <c r="J65" s="13">
        <v>3.3194059</v>
      </c>
      <c r="K65" s="13">
        <v>3.1341535999999999</v>
      </c>
      <c r="L65" s="13">
        <v>2.9768903999999998</v>
      </c>
      <c r="M65" s="13">
        <v>2.8910019999999998</v>
      </c>
    </row>
    <row r="66" spans="1:13" x14ac:dyDescent="0.25">
      <c r="A66" t="s">
        <v>71</v>
      </c>
      <c r="B66" s="2">
        <v>3.21</v>
      </c>
      <c r="C66" s="2">
        <v>3.12</v>
      </c>
      <c r="D66" s="2">
        <v>3.28</v>
      </c>
      <c r="E66" s="2">
        <v>3.62</v>
      </c>
      <c r="F66" s="2">
        <v>3.73</v>
      </c>
      <c r="G66" s="2">
        <v>3.76</v>
      </c>
      <c r="H66" s="13">
        <v>4.0108097999999996</v>
      </c>
      <c r="I66" s="13">
        <v>3.4677891000000001</v>
      </c>
      <c r="J66" s="13">
        <v>3.2404362</v>
      </c>
      <c r="K66" s="13">
        <v>3.0584582999999999</v>
      </c>
      <c r="L66" s="13">
        <v>2.9180659000000002</v>
      </c>
      <c r="M66" s="13">
        <v>2.8482489000000002</v>
      </c>
    </row>
    <row r="67" spans="1:13" x14ac:dyDescent="0.25">
      <c r="A67" t="s">
        <v>72</v>
      </c>
      <c r="B67" s="2">
        <v>3.34</v>
      </c>
      <c r="C67" s="2">
        <v>3.23</v>
      </c>
      <c r="D67" s="2">
        <v>3.38</v>
      </c>
      <c r="E67" s="2">
        <v>3.71</v>
      </c>
      <c r="F67" s="2">
        <v>3.65</v>
      </c>
      <c r="G67" s="2">
        <v>3.83</v>
      </c>
      <c r="H67" s="13">
        <v>4.1882336999999996</v>
      </c>
      <c r="I67" s="13">
        <v>3.6427990000000001</v>
      </c>
      <c r="J67" s="13">
        <v>3.3467386000000001</v>
      </c>
      <c r="K67" s="13">
        <v>3.1359137000000001</v>
      </c>
      <c r="L67" s="13">
        <v>2.9941963999999999</v>
      </c>
      <c r="M67" s="13">
        <v>2.9274132000000002</v>
      </c>
    </row>
    <row r="68" spans="1:13" x14ac:dyDescent="0.25">
      <c r="A68" t="s">
        <v>73</v>
      </c>
      <c r="B68" s="2">
        <v>3.38</v>
      </c>
      <c r="C68" s="2">
        <v>3.29</v>
      </c>
      <c r="D68" s="2">
        <v>3.46</v>
      </c>
      <c r="E68" s="2">
        <v>3.78</v>
      </c>
      <c r="F68" s="2">
        <v>3.84</v>
      </c>
      <c r="G68" s="2">
        <v>3.87</v>
      </c>
      <c r="H68" s="13">
        <v>4.2411579000000001</v>
      </c>
      <c r="I68" s="13">
        <v>3.6759674000000002</v>
      </c>
      <c r="J68" s="13">
        <v>3.3983411000000001</v>
      </c>
      <c r="K68" s="13">
        <v>3.2186197000000001</v>
      </c>
      <c r="L68" s="13">
        <v>3.0872511999999999</v>
      </c>
      <c r="M68" s="13">
        <v>3.0175169999999998</v>
      </c>
    </row>
    <row r="69" spans="1:13" x14ac:dyDescent="0.25">
      <c r="A69" t="s">
        <v>74</v>
      </c>
      <c r="B69" s="2">
        <v>3.4</v>
      </c>
      <c r="C69" s="2">
        <v>3.31</v>
      </c>
      <c r="D69" s="2">
        <v>3.46</v>
      </c>
      <c r="E69" s="2">
        <v>3.76</v>
      </c>
      <c r="F69" s="2">
        <v>3.81</v>
      </c>
      <c r="G69" s="2">
        <v>3.82</v>
      </c>
      <c r="H69" s="13">
        <v>4.3004432000000001</v>
      </c>
      <c r="I69" s="13">
        <v>3.7218548</v>
      </c>
      <c r="J69" s="13">
        <v>3.4424608999999999</v>
      </c>
      <c r="K69" s="13">
        <v>3.2411856999999999</v>
      </c>
      <c r="L69" s="13">
        <v>3.088965</v>
      </c>
      <c r="M69" s="13">
        <v>3.0039267000000001</v>
      </c>
    </row>
    <row r="70" spans="1:13" x14ac:dyDescent="0.25">
      <c r="A70" t="s">
        <v>75</v>
      </c>
      <c r="B70" s="2">
        <v>3.45</v>
      </c>
      <c r="C70" s="2">
        <v>3.35</v>
      </c>
      <c r="D70" s="2">
        <v>3.5</v>
      </c>
      <c r="E70" s="2">
        <v>3.8</v>
      </c>
      <c r="F70" s="2">
        <v>3.83</v>
      </c>
      <c r="G70" s="2">
        <v>3.84</v>
      </c>
      <c r="H70" s="13">
        <v>4.3500435</v>
      </c>
      <c r="I70" s="13">
        <v>3.7960663000000001</v>
      </c>
      <c r="J70" s="13">
        <v>3.5095413999999998</v>
      </c>
      <c r="K70" s="13">
        <v>3.2765635</v>
      </c>
      <c r="L70" s="13">
        <v>3.0986489000000002</v>
      </c>
      <c r="M70" s="13">
        <v>2.9999416000000001</v>
      </c>
    </row>
    <row r="71" spans="1:13" x14ac:dyDescent="0.25">
      <c r="A71" t="s">
        <v>76</v>
      </c>
      <c r="B71" s="2">
        <v>3.42</v>
      </c>
      <c r="C71" s="2">
        <v>3.33</v>
      </c>
      <c r="D71" s="2">
        <v>3.47</v>
      </c>
      <c r="E71" s="2">
        <v>3.76</v>
      </c>
      <c r="F71" s="2">
        <v>3.8</v>
      </c>
      <c r="G71" s="2">
        <v>3.82</v>
      </c>
      <c r="H71" s="13">
        <v>4.3208979999999997</v>
      </c>
      <c r="I71" s="13">
        <v>3.7376738</v>
      </c>
      <c r="J71" s="13">
        <v>3.4732064</v>
      </c>
      <c r="K71" s="13">
        <v>3.2380645000000001</v>
      </c>
      <c r="L71" s="13">
        <v>3.0533755</v>
      </c>
      <c r="M71" s="13">
        <v>2.9506646999999999</v>
      </c>
    </row>
    <row r="72" spans="1:13" x14ac:dyDescent="0.25">
      <c r="A72" t="s">
        <v>77</v>
      </c>
      <c r="B72" s="2">
        <v>3.39</v>
      </c>
      <c r="C72" s="2">
        <v>3.3</v>
      </c>
      <c r="D72" s="2">
        <v>3.43</v>
      </c>
      <c r="E72" s="2">
        <v>3.71</v>
      </c>
      <c r="F72" s="2">
        <v>3.75</v>
      </c>
      <c r="G72" s="2">
        <v>3.75</v>
      </c>
      <c r="H72" s="13">
        <v>4.2285463999999999</v>
      </c>
      <c r="I72" s="13">
        <v>3.6398259999999998</v>
      </c>
      <c r="J72" s="13">
        <v>3.3562908</v>
      </c>
      <c r="K72" s="13">
        <v>3.1542583</v>
      </c>
      <c r="L72" s="13">
        <v>3.0131049000000001</v>
      </c>
      <c r="M72" s="13">
        <v>2.9391957999999998</v>
      </c>
    </row>
    <row r="73" spans="1:13" x14ac:dyDescent="0.25">
      <c r="A73" t="s">
        <v>78</v>
      </c>
      <c r="B73" s="2">
        <v>3.34</v>
      </c>
      <c r="C73" s="2">
        <v>3.26</v>
      </c>
      <c r="D73" s="2">
        <v>3.42</v>
      </c>
      <c r="E73" s="2">
        <v>3.71</v>
      </c>
      <c r="F73" s="2">
        <v>3.75</v>
      </c>
      <c r="G73" s="2">
        <v>3.74</v>
      </c>
      <c r="H73" s="13">
        <v>4.1347871999999999</v>
      </c>
      <c r="I73" s="13">
        <v>3.5639834000000001</v>
      </c>
      <c r="J73" s="13">
        <v>3.3407684</v>
      </c>
      <c r="K73" s="13">
        <v>3.1727213000000001</v>
      </c>
      <c r="L73" s="13">
        <v>3.0433631999999999</v>
      </c>
      <c r="M73" s="13">
        <v>2.9711321000000002</v>
      </c>
    </row>
    <row r="74" spans="1:13" x14ac:dyDescent="0.25">
      <c r="A74" t="s">
        <v>79</v>
      </c>
      <c r="B74" s="2">
        <v>3.32</v>
      </c>
      <c r="C74" s="2">
        <v>3.25</v>
      </c>
      <c r="D74" s="2">
        <v>3.42</v>
      </c>
      <c r="E74" s="2">
        <v>3.7</v>
      </c>
      <c r="F74" s="2">
        <v>3.76</v>
      </c>
      <c r="G74" s="2">
        <v>3.76</v>
      </c>
      <c r="H74" s="13">
        <v>4.1306269999999996</v>
      </c>
      <c r="I74" s="13">
        <v>3.5184342000000002</v>
      </c>
      <c r="J74" s="13">
        <v>3.3188675999999999</v>
      </c>
      <c r="K74" s="13">
        <v>3.1837705999999999</v>
      </c>
      <c r="L74" s="13">
        <v>3.0586878</v>
      </c>
      <c r="M74" s="13">
        <v>2.9766507999999998</v>
      </c>
    </row>
    <row r="75" spans="1:13" x14ac:dyDescent="0.25">
      <c r="A75" t="s">
        <v>80</v>
      </c>
      <c r="B75" s="2">
        <v>3.33</v>
      </c>
      <c r="C75" s="2">
        <v>3.24</v>
      </c>
      <c r="D75" s="2">
        <v>3.41</v>
      </c>
      <c r="E75" s="2">
        <v>3.69</v>
      </c>
      <c r="F75" s="2">
        <v>3.74</v>
      </c>
      <c r="G75" s="2">
        <v>3.75</v>
      </c>
      <c r="H75" s="13">
        <v>4.1583189999999997</v>
      </c>
      <c r="I75" s="13">
        <v>3.5211394999999999</v>
      </c>
      <c r="J75" s="13">
        <v>3.3365395000000002</v>
      </c>
      <c r="K75" s="13">
        <v>3.1897340999999999</v>
      </c>
      <c r="L75" s="13">
        <v>3.0491198000000002</v>
      </c>
      <c r="M75" s="13">
        <v>2.9571299999999998</v>
      </c>
    </row>
    <row r="76" spans="1:13" x14ac:dyDescent="0.25">
      <c r="A76" t="s">
        <v>81</v>
      </c>
      <c r="B76" s="2" t="e">
        <v>#N/A</v>
      </c>
      <c r="C76" s="2" t="e">
        <v>#N/A</v>
      </c>
      <c r="D76" s="2" t="e">
        <v>#N/A</v>
      </c>
      <c r="E76" s="2" t="e">
        <v>#N/A</v>
      </c>
      <c r="F76" s="2" t="e">
        <v>#N/A</v>
      </c>
      <c r="G76" s="2" t="e">
        <v>#N/A</v>
      </c>
      <c r="H76" s="13" t="e">
        <v>#N/A</v>
      </c>
      <c r="I76" s="13" t="e">
        <v>#N/A</v>
      </c>
      <c r="J76" s="13" t="e">
        <v>#N/A</v>
      </c>
      <c r="K76" s="13" t="e">
        <v>#N/A</v>
      </c>
      <c r="L76" s="13" t="e">
        <v>#N/A</v>
      </c>
      <c r="M76" s="13" t="e">
        <v>#N/A</v>
      </c>
    </row>
    <row r="77" spans="1:13" x14ac:dyDescent="0.25">
      <c r="A77" t="s">
        <v>82</v>
      </c>
      <c r="B77" s="2">
        <v>3.36</v>
      </c>
      <c r="C77" s="2">
        <v>3.26</v>
      </c>
      <c r="D77" s="2" t="e">
        <v>#N/A</v>
      </c>
      <c r="E77" s="2">
        <v>3.72</v>
      </c>
      <c r="F77" s="2" t="e">
        <v>#N/A</v>
      </c>
      <c r="G77" s="2">
        <v>3.77</v>
      </c>
      <c r="H77" s="13" t="e">
        <v>#N/A</v>
      </c>
      <c r="I77" s="13" t="e">
        <v>#N/A</v>
      </c>
      <c r="J77" s="13" t="e">
        <v>#N/A</v>
      </c>
      <c r="K77" s="13" t="e">
        <v>#N/A</v>
      </c>
      <c r="L77" s="13" t="e">
        <v>#N/A</v>
      </c>
      <c r="M77" s="13" t="e">
        <v>#N/A</v>
      </c>
    </row>
    <row r="78" spans="1:13" x14ac:dyDescent="0.25">
      <c r="A78" t="s">
        <v>83</v>
      </c>
      <c r="B78" s="2">
        <v>3.48</v>
      </c>
      <c r="C78" s="2">
        <v>3.38</v>
      </c>
      <c r="D78" s="2">
        <v>3.54</v>
      </c>
      <c r="E78" s="2">
        <v>3.82</v>
      </c>
      <c r="F78" s="2">
        <v>3.86</v>
      </c>
      <c r="G78" s="2">
        <v>3.85</v>
      </c>
      <c r="H78" s="13">
        <v>4.3065134</v>
      </c>
      <c r="I78" s="13">
        <v>3.6673912</v>
      </c>
      <c r="J78" s="13">
        <v>3.4384934</v>
      </c>
      <c r="K78" s="13">
        <v>3.2872515999999998</v>
      </c>
      <c r="L78" s="13">
        <v>3.1669497999999998</v>
      </c>
      <c r="M78" s="13">
        <v>3.0930363999999999</v>
      </c>
    </row>
    <row r="79" spans="1:13" x14ac:dyDescent="0.25">
      <c r="A79" t="s">
        <v>84</v>
      </c>
      <c r="B79" s="2">
        <v>3.52</v>
      </c>
      <c r="C79" s="2">
        <v>3.41</v>
      </c>
      <c r="D79" s="2">
        <v>3.57</v>
      </c>
      <c r="E79" s="2">
        <v>3.85</v>
      </c>
      <c r="F79" s="2">
        <v>3.9</v>
      </c>
      <c r="G79" s="2">
        <v>3.89</v>
      </c>
      <c r="H79" s="13">
        <v>4.3314896000000003</v>
      </c>
      <c r="I79" s="13">
        <v>3.6943975999999998</v>
      </c>
      <c r="J79" s="13">
        <v>3.4697311000000002</v>
      </c>
      <c r="K79" s="13">
        <v>3.3318164000000001</v>
      </c>
      <c r="L79" s="13">
        <v>3.2106007999999999</v>
      </c>
      <c r="M79" s="13">
        <v>3.1320329999999998</v>
      </c>
    </row>
    <row r="80" spans="1:13" x14ac:dyDescent="0.25">
      <c r="A80" t="s">
        <v>85</v>
      </c>
      <c r="B80" s="2">
        <v>3.5</v>
      </c>
      <c r="C80" s="2">
        <v>3.39</v>
      </c>
      <c r="D80" s="2">
        <v>3.56</v>
      </c>
      <c r="E80" s="2">
        <v>3.85</v>
      </c>
      <c r="F80" s="2">
        <v>3.92</v>
      </c>
      <c r="G80" s="2">
        <v>3.93</v>
      </c>
      <c r="H80" s="13">
        <v>4.3058687999999998</v>
      </c>
      <c r="I80" s="13">
        <v>3.6497701999999999</v>
      </c>
      <c r="J80" s="13">
        <v>3.4739347999999999</v>
      </c>
      <c r="K80" s="13">
        <v>3.3542760999999999</v>
      </c>
      <c r="L80" s="13">
        <v>3.2218246000000001</v>
      </c>
      <c r="M80" s="13">
        <v>3.1336309999999998</v>
      </c>
    </row>
    <row r="81" spans="1:13" x14ac:dyDescent="0.25">
      <c r="A81" t="s">
        <v>86</v>
      </c>
      <c r="B81" s="2">
        <v>3.6</v>
      </c>
      <c r="C81" s="2">
        <v>3.49</v>
      </c>
      <c r="D81" s="2">
        <v>3.65</v>
      </c>
      <c r="E81" s="2">
        <v>3.93</v>
      </c>
      <c r="F81" s="2">
        <v>4</v>
      </c>
      <c r="G81" s="2">
        <v>4.01</v>
      </c>
      <c r="H81" s="13">
        <v>4.3803025</v>
      </c>
      <c r="I81" s="13">
        <v>3.7827095000000002</v>
      </c>
      <c r="J81" s="13">
        <v>3.5514809999999999</v>
      </c>
      <c r="K81" s="13">
        <v>3.3722344999999998</v>
      </c>
      <c r="L81" s="13">
        <v>3.2280544999999998</v>
      </c>
      <c r="M81" s="13">
        <v>3.1483612000000001</v>
      </c>
    </row>
    <row r="82" spans="1:13" x14ac:dyDescent="0.25">
      <c r="A82" t="s">
        <v>87</v>
      </c>
      <c r="B82" s="2">
        <v>3.62</v>
      </c>
      <c r="C82" s="2">
        <v>3.51</v>
      </c>
      <c r="D82" s="2">
        <v>3.7</v>
      </c>
      <c r="E82" s="2">
        <v>3.97</v>
      </c>
      <c r="F82" s="2">
        <v>4.04</v>
      </c>
      <c r="G82" s="2">
        <v>4.05</v>
      </c>
      <c r="H82" s="13">
        <v>4.4128214999999997</v>
      </c>
      <c r="I82" s="13">
        <v>3.7984260999999999</v>
      </c>
      <c r="J82" s="13">
        <v>3.5516660999999998</v>
      </c>
      <c r="K82" s="13">
        <v>3.3793774000000001</v>
      </c>
      <c r="L82" s="13">
        <v>3.2660483999999999</v>
      </c>
      <c r="M82" s="13">
        <v>3.2154802999999998</v>
      </c>
    </row>
    <row r="83" spans="1:13" x14ac:dyDescent="0.25">
      <c r="A83" t="s">
        <v>88</v>
      </c>
      <c r="B83" s="2">
        <v>3.69</v>
      </c>
      <c r="C83" s="2">
        <v>3.58</v>
      </c>
      <c r="D83" s="2">
        <v>3.75</v>
      </c>
      <c r="E83" s="2">
        <v>4.0199999999999996</v>
      </c>
      <c r="F83" s="2">
        <v>4.08</v>
      </c>
      <c r="G83" s="2">
        <v>4.0999999999999996</v>
      </c>
      <c r="H83" s="13">
        <v>4.5153119000000004</v>
      </c>
      <c r="I83" s="13">
        <v>3.8540431000000002</v>
      </c>
      <c r="J83" s="13">
        <v>3.5681877000000002</v>
      </c>
      <c r="K83" s="13">
        <v>3.4200533000000002</v>
      </c>
      <c r="L83" s="13">
        <v>3.3183639</v>
      </c>
      <c r="M83" s="13">
        <v>3.2650511</v>
      </c>
    </row>
    <row r="84" spans="1:13" x14ac:dyDescent="0.25">
      <c r="A84" t="s">
        <v>89</v>
      </c>
      <c r="B84" s="2">
        <v>3.82</v>
      </c>
      <c r="C84" s="2">
        <v>3.71</v>
      </c>
      <c r="D84" s="2">
        <v>3.85</v>
      </c>
      <c r="E84" s="2">
        <v>4.12</v>
      </c>
      <c r="F84" s="2">
        <v>4.17</v>
      </c>
      <c r="G84" s="2">
        <v>4.18</v>
      </c>
      <c r="H84" s="13">
        <v>4.7060497999999997</v>
      </c>
      <c r="I84" s="13">
        <v>4.0208501999999999</v>
      </c>
      <c r="J84" s="13">
        <v>3.6986267000000002</v>
      </c>
      <c r="K84" s="13">
        <v>3.5281427000000001</v>
      </c>
      <c r="L84" s="13">
        <v>3.4031273</v>
      </c>
      <c r="M84" s="13">
        <v>3.3287483999999998</v>
      </c>
    </row>
    <row r="85" spans="1:13" x14ac:dyDescent="0.25">
      <c r="A85" t="s">
        <v>90</v>
      </c>
      <c r="B85" s="2">
        <v>3.71</v>
      </c>
      <c r="C85" s="2">
        <v>3.61</v>
      </c>
      <c r="D85" s="2">
        <v>3.75</v>
      </c>
      <c r="E85" s="2">
        <v>4.0199999999999996</v>
      </c>
      <c r="F85" s="2">
        <v>4.07</v>
      </c>
      <c r="G85" s="2">
        <v>4.09</v>
      </c>
      <c r="H85" s="13">
        <v>4.6234792999999996</v>
      </c>
      <c r="I85" s="13">
        <v>3.9015580000000001</v>
      </c>
      <c r="J85" s="13">
        <v>3.6169639</v>
      </c>
      <c r="K85" s="13">
        <v>3.433208</v>
      </c>
      <c r="L85" s="13">
        <v>3.2895766000000002</v>
      </c>
      <c r="M85" s="13">
        <v>3.2097178</v>
      </c>
    </row>
    <row r="86" spans="1:13" x14ac:dyDescent="0.25">
      <c r="A86" t="s">
        <v>91</v>
      </c>
      <c r="B86" s="2">
        <v>3.74</v>
      </c>
      <c r="C86" s="2">
        <v>3.61</v>
      </c>
      <c r="D86" s="2">
        <v>3.75</v>
      </c>
      <c r="E86" s="2">
        <v>4.0199999999999996</v>
      </c>
      <c r="F86" s="2">
        <v>4.07</v>
      </c>
      <c r="G86" s="2">
        <v>4.09</v>
      </c>
      <c r="H86" s="13">
        <v>4.5902956000000001</v>
      </c>
      <c r="I86" s="13">
        <v>3.9119530999999998</v>
      </c>
      <c r="J86" s="13">
        <v>3.6309767000000002</v>
      </c>
      <c r="K86" s="13">
        <v>3.4424543000000001</v>
      </c>
      <c r="L86" s="13">
        <v>3.3030200000000001</v>
      </c>
      <c r="M86" s="13">
        <v>3.2276620999999999</v>
      </c>
    </row>
    <row r="87" spans="1:13" x14ac:dyDescent="0.25">
      <c r="A87" t="s">
        <v>92</v>
      </c>
      <c r="B87" s="2">
        <v>3.81</v>
      </c>
      <c r="C87" s="2">
        <v>3.66</v>
      </c>
      <c r="D87" s="2">
        <v>3.78</v>
      </c>
      <c r="E87" s="2">
        <v>4.0599999999999996</v>
      </c>
      <c r="F87" s="2">
        <v>4.1100000000000003</v>
      </c>
      <c r="G87" s="2">
        <v>4.12</v>
      </c>
      <c r="H87" s="13">
        <v>4.6552072999999998</v>
      </c>
      <c r="I87" s="13">
        <v>3.9766732</v>
      </c>
      <c r="J87" s="13">
        <v>3.6810599000000002</v>
      </c>
      <c r="K87" s="13">
        <v>3.4826581999999999</v>
      </c>
      <c r="L87" s="13">
        <v>3.3436555000000001</v>
      </c>
      <c r="M87" s="13">
        <v>3.2782026000000002</v>
      </c>
    </row>
    <row r="88" spans="1:13" x14ac:dyDescent="0.25">
      <c r="A88" t="s">
        <v>93</v>
      </c>
      <c r="B88" s="2">
        <v>3.73</v>
      </c>
      <c r="C88" s="2">
        <v>3.55</v>
      </c>
      <c r="D88" s="2">
        <v>3.69</v>
      </c>
      <c r="E88" s="2">
        <v>3.96</v>
      </c>
      <c r="F88" s="2">
        <v>4.01</v>
      </c>
      <c r="G88" s="2">
        <v>4.04</v>
      </c>
      <c r="H88" s="13">
        <v>4.5693726999999997</v>
      </c>
      <c r="I88" s="13">
        <v>3.8898784000000002</v>
      </c>
      <c r="J88" s="13">
        <v>3.5795324000000002</v>
      </c>
      <c r="K88" s="13">
        <v>3.3871226000000001</v>
      </c>
      <c r="L88" s="13">
        <v>3.2624867000000002</v>
      </c>
      <c r="M88" s="13">
        <v>3.2031146000000001</v>
      </c>
    </row>
    <row r="89" spans="1:13" x14ac:dyDescent="0.25">
      <c r="A89" t="s">
        <v>94</v>
      </c>
      <c r="B89" s="2">
        <v>3.77</v>
      </c>
      <c r="C89" s="2">
        <v>3.61</v>
      </c>
      <c r="D89" s="2">
        <v>3.74</v>
      </c>
      <c r="E89" s="2">
        <v>4.0199999999999996</v>
      </c>
      <c r="F89" s="2">
        <v>4.08</v>
      </c>
      <c r="G89" s="2">
        <v>4.0999999999999996</v>
      </c>
      <c r="H89" s="13">
        <v>4.5760281000000003</v>
      </c>
      <c r="I89" s="13">
        <v>3.8704626000000002</v>
      </c>
      <c r="J89" s="13">
        <v>3.5882627999999999</v>
      </c>
      <c r="K89" s="13">
        <v>3.4396677000000002</v>
      </c>
      <c r="L89" s="13">
        <v>3.3302423999999999</v>
      </c>
      <c r="M89" s="13">
        <v>3.2688646000000001</v>
      </c>
    </row>
    <row r="90" spans="1:13" x14ac:dyDescent="0.25">
      <c r="A90" t="s">
        <v>95</v>
      </c>
      <c r="B90" s="2">
        <v>3.81</v>
      </c>
      <c r="C90" s="2">
        <v>3.66</v>
      </c>
      <c r="D90" s="2">
        <v>3.8</v>
      </c>
      <c r="E90" s="2">
        <v>4.07</v>
      </c>
      <c r="F90" s="2">
        <v>4.13</v>
      </c>
      <c r="G90" s="2">
        <v>4.1500000000000004</v>
      </c>
      <c r="H90" s="13">
        <v>4.6164668000000004</v>
      </c>
      <c r="I90" s="13">
        <v>3.923616</v>
      </c>
      <c r="J90" s="13">
        <v>3.6697688999999998</v>
      </c>
      <c r="K90" s="13">
        <v>3.5123397999999999</v>
      </c>
      <c r="L90" s="13">
        <v>3.3869729999999998</v>
      </c>
      <c r="M90" s="13">
        <v>3.3157380999999999</v>
      </c>
    </row>
    <row r="91" spans="1:13" x14ac:dyDescent="0.25">
      <c r="A91" t="s">
        <v>96</v>
      </c>
      <c r="B91" s="2">
        <v>3.78</v>
      </c>
      <c r="C91" s="2">
        <v>3.61</v>
      </c>
      <c r="D91" s="2">
        <v>3.72</v>
      </c>
      <c r="E91" s="2">
        <v>4</v>
      </c>
      <c r="F91" s="2">
        <v>4.07</v>
      </c>
      <c r="G91" s="2">
        <v>4.09</v>
      </c>
      <c r="H91" s="13">
        <v>4.5760379000000002</v>
      </c>
      <c r="I91" s="13">
        <v>3.9026073000000001</v>
      </c>
      <c r="J91" s="13">
        <v>3.6412626000000001</v>
      </c>
      <c r="K91" s="13">
        <v>3.4556032000000001</v>
      </c>
      <c r="L91" s="13">
        <v>3.3150556999999998</v>
      </c>
      <c r="M91" s="13">
        <v>3.2404901000000002</v>
      </c>
    </row>
    <row r="92" spans="1:13" x14ac:dyDescent="0.25">
      <c r="A92" t="s">
        <v>97</v>
      </c>
      <c r="B92" s="2">
        <v>3.78</v>
      </c>
      <c r="C92" s="2">
        <v>3.61</v>
      </c>
      <c r="D92" s="2" t="e">
        <v>#N/A</v>
      </c>
      <c r="E92" s="2">
        <v>4</v>
      </c>
      <c r="F92" s="2">
        <v>4.07</v>
      </c>
      <c r="G92" s="2">
        <v>4.09</v>
      </c>
      <c r="H92" s="13" t="e">
        <v>#N/A</v>
      </c>
      <c r="I92" s="13" t="e">
        <v>#N/A</v>
      </c>
      <c r="J92" s="13" t="e">
        <v>#N/A</v>
      </c>
      <c r="K92" s="13" t="e">
        <v>#N/A</v>
      </c>
      <c r="L92" s="13" t="e">
        <v>#N/A</v>
      </c>
      <c r="M92" s="13" t="e">
        <v>#N/A</v>
      </c>
    </row>
    <row r="93" spans="1:13" x14ac:dyDescent="0.25">
      <c r="A93" t="s">
        <v>98</v>
      </c>
      <c r="B93" s="2">
        <v>3.73</v>
      </c>
      <c r="C93" s="2">
        <v>3.54</v>
      </c>
      <c r="D93" s="2">
        <v>3.66</v>
      </c>
      <c r="E93" s="2">
        <v>3.94</v>
      </c>
      <c r="F93" s="2">
        <v>4.0199999999999996</v>
      </c>
      <c r="G93" s="2">
        <v>4.05</v>
      </c>
      <c r="H93" s="13">
        <v>4.5135791999999997</v>
      </c>
      <c r="I93" s="13">
        <v>3.8599019999999999</v>
      </c>
      <c r="J93" s="13">
        <v>3.5429317</v>
      </c>
      <c r="K93" s="13">
        <v>3.3629254</v>
      </c>
      <c r="L93" s="13">
        <v>3.2533834000000001</v>
      </c>
      <c r="M93" s="13">
        <v>3.2035776999999999</v>
      </c>
    </row>
    <row r="94" spans="1:13" x14ac:dyDescent="0.25">
      <c r="A94" t="s">
        <v>99</v>
      </c>
      <c r="B94" s="2">
        <v>3.76</v>
      </c>
      <c r="C94" s="2">
        <v>3.57</v>
      </c>
      <c r="D94" s="2">
        <v>3.69</v>
      </c>
      <c r="E94" s="2">
        <v>3.97</v>
      </c>
      <c r="F94" s="2">
        <v>4.05</v>
      </c>
      <c r="G94" s="2">
        <v>4.09</v>
      </c>
      <c r="H94" s="13">
        <v>4.5638912999999999</v>
      </c>
      <c r="I94" s="13">
        <v>3.8852997</v>
      </c>
      <c r="J94" s="13">
        <v>3.5623418999999998</v>
      </c>
      <c r="K94" s="13">
        <v>3.3931168999999999</v>
      </c>
      <c r="L94" s="13">
        <v>3.2826789999999999</v>
      </c>
      <c r="M94" s="13">
        <v>3.2256626000000002</v>
      </c>
    </row>
    <row r="95" spans="1:13" x14ac:dyDescent="0.25">
      <c r="A95" t="s">
        <v>100</v>
      </c>
      <c r="B95" s="2">
        <v>3.68</v>
      </c>
      <c r="C95" s="2">
        <v>3.48</v>
      </c>
      <c r="D95" s="2">
        <v>3.66</v>
      </c>
      <c r="E95" s="2">
        <v>3.93</v>
      </c>
      <c r="F95" s="2">
        <v>4.03</v>
      </c>
      <c r="G95" s="2">
        <v>4.08</v>
      </c>
      <c r="H95" s="13">
        <v>4.3394884999999999</v>
      </c>
      <c r="I95" s="13">
        <v>3.7166109000000001</v>
      </c>
      <c r="J95" s="13">
        <v>3.5325495999999998</v>
      </c>
      <c r="K95" s="13">
        <v>3.399807</v>
      </c>
      <c r="L95" s="13">
        <v>3.2973940000000002</v>
      </c>
      <c r="M95" s="13">
        <v>3.2467831</v>
      </c>
    </row>
    <row r="96" spans="1:13" x14ac:dyDescent="0.25">
      <c r="A96" t="s">
        <v>101</v>
      </c>
      <c r="B96" s="2">
        <v>3.77</v>
      </c>
      <c r="C96" s="2">
        <v>3.58</v>
      </c>
      <c r="D96" s="2">
        <v>3.77</v>
      </c>
      <c r="E96" s="2">
        <v>4.04</v>
      </c>
      <c r="F96" s="2">
        <v>4.13</v>
      </c>
      <c r="G96" s="2">
        <v>4.17</v>
      </c>
      <c r="H96" s="13">
        <v>4.5183825000000004</v>
      </c>
      <c r="I96" s="13">
        <v>3.8892196000000001</v>
      </c>
      <c r="J96" s="13">
        <v>3.6410288</v>
      </c>
      <c r="K96" s="13">
        <v>3.4875020999999999</v>
      </c>
      <c r="L96" s="13">
        <v>3.3792268999999999</v>
      </c>
      <c r="M96" s="13">
        <v>3.3266600999999998</v>
      </c>
    </row>
    <row r="97" spans="1:13" x14ac:dyDescent="0.25">
      <c r="A97" t="s">
        <v>102</v>
      </c>
      <c r="B97" s="2">
        <v>3.78</v>
      </c>
      <c r="C97" s="2">
        <v>3.59</v>
      </c>
      <c r="D97" s="2" t="e">
        <v>#N/A</v>
      </c>
      <c r="E97" s="2">
        <v>4.05</v>
      </c>
      <c r="F97" s="2">
        <v>4.13</v>
      </c>
      <c r="G97" s="2">
        <v>4.18</v>
      </c>
      <c r="H97" s="13" t="e">
        <v>#N/A</v>
      </c>
      <c r="I97" s="13" t="e">
        <v>#N/A</v>
      </c>
      <c r="J97" s="13" t="e">
        <v>#N/A</v>
      </c>
      <c r="K97" s="13" t="e">
        <v>#N/A</v>
      </c>
      <c r="L97" s="13" t="e">
        <v>#N/A</v>
      </c>
      <c r="M97" s="13" t="e">
        <v>#N/A</v>
      </c>
    </row>
    <row r="98" spans="1:13" x14ac:dyDescent="0.25">
      <c r="A98" t="s">
        <v>103</v>
      </c>
      <c r="B98" s="2">
        <v>3.87</v>
      </c>
      <c r="C98" s="2">
        <v>3.68</v>
      </c>
      <c r="D98" s="2">
        <v>3.86</v>
      </c>
      <c r="E98" s="2">
        <v>4.12</v>
      </c>
      <c r="F98" s="2">
        <v>4.2</v>
      </c>
      <c r="G98" s="2">
        <v>4.24</v>
      </c>
      <c r="H98" s="13">
        <v>4.5946064</v>
      </c>
      <c r="I98" s="13">
        <v>3.9952234</v>
      </c>
      <c r="J98" s="13">
        <v>3.6955483999999998</v>
      </c>
      <c r="K98" s="13">
        <v>3.5394296999999999</v>
      </c>
      <c r="L98" s="13">
        <v>3.4530753999999999</v>
      </c>
      <c r="M98" s="13">
        <v>3.4208425</v>
      </c>
    </row>
    <row r="99" spans="1:13" x14ac:dyDescent="0.25">
      <c r="A99" t="s">
        <v>104</v>
      </c>
      <c r="B99" s="2">
        <v>3.83</v>
      </c>
      <c r="C99" s="2">
        <v>3.63</v>
      </c>
      <c r="D99" s="2">
        <v>3.8</v>
      </c>
      <c r="E99" s="2">
        <v>4.07</v>
      </c>
      <c r="F99" s="2">
        <v>4.1500000000000004</v>
      </c>
      <c r="G99" s="2">
        <v>4.1900000000000004</v>
      </c>
      <c r="H99" s="13">
        <v>4.5229109999999997</v>
      </c>
      <c r="I99" s="13">
        <v>3.9083299</v>
      </c>
      <c r="J99" s="13">
        <v>3.6306262</v>
      </c>
      <c r="K99" s="13">
        <v>3.4949506000000001</v>
      </c>
      <c r="L99" s="13">
        <v>3.4084392999999999</v>
      </c>
      <c r="M99" s="13">
        <v>3.3692975999999999</v>
      </c>
    </row>
    <row r="100" spans="1:13" x14ac:dyDescent="0.25">
      <c r="A100" t="s">
        <v>105</v>
      </c>
      <c r="B100" s="2">
        <v>3.73</v>
      </c>
      <c r="C100" s="2">
        <v>3.54</v>
      </c>
      <c r="D100" s="2">
        <v>3.71</v>
      </c>
      <c r="E100" s="2">
        <v>4</v>
      </c>
      <c r="F100" s="2">
        <v>4.09</v>
      </c>
      <c r="G100" s="2">
        <v>4.1399999999999997</v>
      </c>
      <c r="H100" s="13">
        <v>4.4338141000000002</v>
      </c>
      <c r="I100" s="13">
        <v>3.7703180000000001</v>
      </c>
      <c r="J100" s="13">
        <v>3.5397911</v>
      </c>
      <c r="K100" s="13">
        <v>3.4121446999999998</v>
      </c>
      <c r="L100" s="13">
        <v>3.3229286</v>
      </c>
      <c r="M100" s="13">
        <v>3.2851298</v>
      </c>
    </row>
    <row r="101" spans="1:13" x14ac:dyDescent="0.25">
      <c r="A101" t="s">
        <v>106</v>
      </c>
      <c r="B101" s="2">
        <v>3.8</v>
      </c>
      <c r="C101" s="2">
        <v>3.6</v>
      </c>
      <c r="D101" s="2">
        <v>3.78</v>
      </c>
      <c r="E101" s="2">
        <v>4.08</v>
      </c>
      <c r="F101" s="2">
        <v>4.17</v>
      </c>
      <c r="G101" s="2">
        <v>4.21</v>
      </c>
      <c r="H101" s="13">
        <v>4.5270185999999999</v>
      </c>
      <c r="I101" s="13">
        <v>3.8812399000000002</v>
      </c>
      <c r="J101" s="13">
        <v>3.6114849000000002</v>
      </c>
      <c r="K101" s="13">
        <v>3.4586385000000002</v>
      </c>
      <c r="L101" s="13">
        <v>3.3624505999999998</v>
      </c>
      <c r="M101" s="13">
        <v>3.326638</v>
      </c>
    </row>
    <row r="102" spans="1:13" x14ac:dyDescent="0.25">
      <c r="A102" t="s">
        <v>107</v>
      </c>
      <c r="B102" s="2">
        <v>3.83</v>
      </c>
      <c r="C102" s="2">
        <v>3.63</v>
      </c>
      <c r="D102" s="2">
        <v>3.82</v>
      </c>
      <c r="E102" s="2">
        <v>4.12</v>
      </c>
      <c r="F102" s="2">
        <v>4.2</v>
      </c>
      <c r="G102" s="2">
        <v>4.25</v>
      </c>
      <c r="H102" s="13">
        <v>4.5353364000000003</v>
      </c>
      <c r="I102" s="13">
        <v>3.9048074000000002</v>
      </c>
      <c r="J102" s="13">
        <v>3.6110427999999999</v>
      </c>
      <c r="K102" s="13">
        <v>3.4642354000000002</v>
      </c>
      <c r="L102" s="13">
        <v>3.3918382999999999</v>
      </c>
      <c r="M102" s="13">
        <v>3.3734823</v>
      </c>
    </row>
    <row r="103" spans="1:13" x14ac:dyDescent="0.25">
      <c r="A103" t="s">
        <v>108</v>
      </c>
      <c r="B103" s="2">
        <v>3.8</v>
      </c>
      <c r="C103" s="2">
        <v>3.6</v>
      </c>
      <c r="D103" s="2">
        <v>3.8</v>
      </c>
      <c r="E103" s="2">
        <v>4.1100000000000003</v>
      </c>
      <c r="F103" s="2">
        <v>4.2</v>
      </c>
      <c r="G103" s="2">
        <v>4.25</v>
      </c>
      <c r="H103" s="13">
        <v>4.5174840999999999</v>
      </c>
      <c r="I103" s="13">
        <v>3.9128926000000002</v>
      </c>
      <c r="J103" s="13">
        <v>3.626163</v>
      </c>
      <c r="K103" s="13">
        <v>3.4685627999999999</v>
      </c>
      <c r="L103" s="13">
        <v>3.3739270000000001</v>
      </c>
      <c r="M103" s="13">
        <v>3.3432491</v>
      </c>
    </row>
    <row r="104" spans="1:13" x14ac:dyDescent="0.25">
      <c r="A104" t="s">
        <v>109</v>
      </c>
      <c r="B104" s="2">
        <v>3.87</v>
      </c>
      <c r="C104" s="2">
        <v>3.68</v>
      </c>
      <c r="D104" s="2">
        <v>3.84</v>
      </c>
      <c r="E104" s="2">
        <v>4.1399999999999997</v>
      </c>
      <c r="F104" s="2">
        <v>4.22</v>
      </c>
      <c r="G104" s="2">
        <v>4.2699999999999996</v>
      </c>
      <c r="H104" s="13">
        <v>4.5673363</v>
      </c>
      <c r="I104" s="13">
        <v>3.9473767999999998</v>
      </c>
      <c r="J104" s="13">
        <v>3.6443283000000002</v>
      </c>
      <c r="K104" s="13">
        <v>3.5106299000000001</v>
      </c>
      <c r="L104" s="13">
        <v>3.4332676000000002</v>
      </c>
      <c r="M104" s="13">
        <v>3.3955166999999999</v>
      </c>
    </row>
    <row r="105" spans="1:13" x14ac:dyDescent="0.25">
      <c r="A105" t="s">
        <v>110</v>
      </c>
      <c r="B105" s="2">
        <v>3.97</v>
      </c>
      <c r="C105" s="2">
        <v>3.8</v>
      </c>
      <c r="D105" s="2">
        <v>3.97</v>
      </c>
      <c r="E105" s="2">
        <v>4.2699999999999996</v>
      </c>
      <c r="F105" s="2">
        <v>4.34</v>
      </c>
      <c r="G105" s="2">
        <v>4.3899999999999997</v>
      </c>
      <c r="H105" s="13">
        <v>4.6497411</v>
      </c>
      <c r="I105" s="13">
        <v>4.0487713999999997</v>
      </c>
      <c r="J105" s="13">
        <v>3.7636571999999999</v>
      </c>
      <c r="K105" s="13">
        <v>3.6119387000000001</v>
      </c>
      <c r="L105" s="13">
        <v>3.5221426</v>
      </c>
      <c r="M105" s="13">
        <v>3.4901165000000001</v>
      </c>
    </row>
    <row r="106" spans="1:13" x14ac:dyDescent="0.25">
      <c r="A106" t="s">
        <v>111</v>
      </c>
      <c r="B106" s="2">
        <v>3.96</v>
      </c>
      <c r="C106" s="2">
        <v>3.83</v>
      </c>
      <c r="D106" s="2">
        <v>4.01</v>
      </c>
      <c r="E106" s="2">
        <v>4.3</v>
      </c>
      <c r="F106" s="2">
        <v>4.37</v>
      </c>
      <c r="G106" s="2">
        <v>4.42</v>
      </c>
      <c r="H106" s="13">
        <v>4.6826153000000001</v>
      </c>
      <c r="I106" s="13">
        <v>4.1248969999999998</v>
      </c>
      <c r="J106" s="13">
        <v>3.8251438000000002</v>
      </c>
      <c r="K106" s="13">
        <v>3.6561314</v>
      </c>
      <c r="L106" s="13">
        <v>3.5560651000000001</v>
      </c>
      <c r="M106" s="13">
        <v>3.5200303000000002</v>
      </c>
    </row>
    <row r="107" spans="1:13" x14ac:dyDescent="0.25">
      <c r="A107" t="s">
        <v>112</v>
      </c>
      <c r="B107" s="2">
        <v>4.04</v>
      </c>
      <c r="C107" s="2">
        <v>3.89</v>
      </c>
      <c r="D107" s="2">
        <v>4.05</v>
      </c>
      <c r="E107" s="2">
        <v>4.33</v>
      </c>
      <c r="F107" s="2">
        <v>4.3899999999999997</v>
      </c>
      <c r="G107" s="2">
        <v>4.4400000000000004</v>
      </c>
      <c r="H107" s="13">
        <v>4.7735364000000002</v>
      </c>
      <c r="I107" s="13">
        <v>4.2331399000000003</v>
      </c>
      <c r="J107" s="13">
        <v>3.8755177000000001</v>
      </c>
      <c r="K107" s="13">
        <v>3.6706257999999998</v>
      </c>
      <c r="L107" s="13">
        <v>3.5662862</v>
      </c>
      <c r="M107" s="13">
        <v>3.5370018999999999</v>
      </c>
    </row>
    <row r="108" spans="1:13" x14ac:dyDescent="0.25">
      <c r="A108" t="s">
        <v>113</v>
      </c>
      <c r="B108" s="2">
        <v>4.13</v>
      </c>
      <c r="C108" s="2">
        <v>3.99</v>
      </c>
      <c r="D108" s="2">
        <v>4.16</v>
      </c>
      <c r="E108" s="2">
        <v>4.4400000000000004</v>
      </c>
      <c r="F108" s="2">
        <v>4.49</v>
      </c>
      <c r="G108" s="2">
        <v>4.53</v>
      </c>
      <c r="H108" s="13">
        <v>4.8562105000000004</v>
      </c>
      <c r="I108" s="13">
        <v>4.3127449999999996</v>
      </c>
      <c r="J108" s="13">
        <v>3.9574775999999998</v>
      </c>
      <c r="K108" s="13">
        <v>3.7741902000000001</v>
      </c>
      <c r="L108" s="13">
        <v>3.681057</v>
      </c>
      <c r="M108" s="13">
        <v>3.6482820999999999</v>
      </c>
    </row>
    <row r="109" spans="1:13" x14ac:dyDescent="0.25">
      <c r="A109" t="s">
        <v>114</v>
      </c>
      <c r="B109" s="2">
        <v>4.38</v>
      </c>
      <c r="C109" s="2">
        <v>4.1399999999999997</v>
      </c>
      <c r="D109" s="2">
        <v>4.22</v>
      </c>
      <c r="E109" s="2">
        <v>4.4800000000000004</v>
      </c>
      <c r="F109" s="2">
        <v>4.5199999999999996</v>
      </c>
      <c r="G109" s="2">
        <v>4.54</v>
      </c>
      <c r="H109" s="13">
        <v>5.2414671999999998</v>
      </c>
      <c r="I109" s="13">
        <v>4.5354891000000004</v>
      </c>
      <c r="J109" s="13">
        <v>4.0321081000000003</v>
      </c>
      <c r="K109" s="13">
        <v>3.7892328000000002</v>
      </c>
      <c r="L109" s="13">
        <v>3.6667592</v>
      </c>
      <c r="M109" s="13">
        <v>3.6159159999999999</v>
      </c>
    </row>
    <row r="110" spans="1:13" x14ac:dyDescent="0.25">
      <c r="A110" t="s">
        <v>115</v>
      </c>
      <c r="B110" s="2">
        <v>4.55</v>
      </c>
      <c r="C110" s="2">
        <v>4.33</v>
      </c>
      <c r="D110" s="2">
        <v>4.38</v>
      </c>
      <c r="E110" s="2">
        <v>4.63</v>
      </c>
      <c r="F110" s="2">
        <v>4.6399999999999997</v>
      </c>
      <c r="G110" s="2">
        <v>4.6500000000000004</v>
      </c>
      <c r="H110" s="13">
        <v>5.4517829999999998</v>
      </c>
      <c r="I110" s="13">
        <v>4.7479874999999998</v>
      </c>
      <c r="J110" s="13">
        <v>4.2694175000000003</v>
      </c>
      <c r="K110" s="13">
        <v>3.9921853999999999</v>
      </c>
      <c r="L110" s="13">
        <v>3.8305104999999999</v>
      </c>
      <c r="M110" s="13">
        <v>3.7548130999999998</v>
      </c>
    </row>
    <row r="111" spans="1:13" x14ac:dyDescent="0.25">
      <c r="A111" t="s">
        <v>116</v>
      </c>
      <c r="B111" s="2">
        <v>4.4800000000000004</v>
      </c>
      <c r="C111" s="2">
        <v>4.2699999999999996</v>
      </c>
      <c r="D111" s="2">
        <v>4.33</v>
      </c>
      <c r="E111" s="2">
        <v>4.58</v>
      </c>
      <c r="F111" s="2">
        <v>4.62</v>
      </c>
      <c r="G111" s="2">
        <v>4.6399999999999997</v>
      </c>
      <c r="H111" s="13">
        <v>5.4063841999999998</v>
      </c>
      <c r="I111" s="13">
        <v>4.7099696</v>
      </c>
      <c r="J111" s="13">
        <v>4.2365225999999998</v>
      </c>
      <c r="K111" s="13">
        <v>3.9606423999999998</v>
      </c>
      <c r="L111" s="13">
        <v>3.7931963</v>
      </c>
      <c r="M111" s="13">
        <v>3.711878</v>
      </c>
    </row>
    <row r="112" spans="1:13" x14ac:dyDescent="0.25">
      <c r="A112" t="s">
        <v>117</v>
      </c>
      <c r="B112" s="2">
        <v>4.51</v>
      </c>
      <c r="C112" s="2">
        <v>4.3</v>
      </c>
      <c r="D112" s="2" t="e">
        <v>#N/A</v>
      </c>
      <c r="E112" s="2">
        <v>4.6100000000000003</v>
      </c>
      <c r="F112" s="2">
        <v>4.6500000000000004</v>
      </c>
      <c r="G112" s="2" t="e">
        <v>#N/A</v>
      </c>
      <c r="H112" s="13" t="e">
        <v>#N/A</v>
      </c>
      <c r="I112" s="13" t="e">
        <v>#N/A</v>
      </c>
      <c r="J112" s="13" t="e">
        <v>#N/A</v>
      </c>
      <c r="K112" s="13" t="e">
        <v>#N/A</v>
      </c>
      <c r="L112" s="13" t="e">
        <v>#N/A</v>
      </c>
      <c r="M112" s="13" t="e">
        <v>#N/A</v>
      </c>
    </row>
    <row r="113" spans="1:13" x14ac:dyDescent="0.25">
      <c r="A113" t="s">
        <v>118</v>
      </c>
      <c r="B113" s="2">
        <v>4.4400000000000004</v>
      </c>
      <c r="C113" s="2">
        <v>4.21</v>
      </c>
      <c r="D113" s="2">
        <v>4.24</v>
      </c>
      <c r="E113" s="2">
        <v>4.5</v>
      </c>
      <c r="F113" s="2">
        <v>4.5599999999999996</v>
      </c>
      <c r="G113" s="2">
        <v>4.58</v>
      </c>
      <c r="H113" s="13">
        <v>5.3864830000000001</v>
      </c>
      <c r="I113" s="13">
        <v>4.6259905000000003</v>
      </c>
      <c r="J113" s="13">
        <v>4.1694718999999996</v>
      </c>
      <c r="K113" s="13">
        <v>3.9210042000000001</v>
      </c>
      <c r="L113" s="13">
        <v>3.7500349000000002</v>
      </c>
      <c r="M113" s="13">
        <v>3.6494754</v>
      </c>
    </row>
    <row r="114" spans="1:13" x14ac:dyDescent="0.25">
      <c r="A114" t="s">
        <v>119</v>
      </c>
      <c r="B114" s="2">
        <v>4.32</v>
      </c>
      <c r="C114" s="2">
        <v>4.0999999999999996</v>
      </c>
      <c r="D114" s="2">
        <v>4.18</v>
      </c>
      <c r="E114" s="2">
        <v>4.4400000000000004</v>
      </c>
      <c r="F114" s="2">
        <v>4.4800000000000004</v>
      </c>
      <c r="G114" s="2">
        <v>4.51</v>
      </c>
      <c r="H114" s="13">
        <v>5.2091129</v>
      </c>
      <c r="I114" s="13">
        <v>4.4849553999999996</v>
      </c>
      <c r="J114" s="13">
        <v>4.0309973000000001</v>
      </c>
      <c r="K114" s="13">
        <v>3.7974953</v>
      </c>
      <c r="L114" s="13">
        <v>3.6610336999999999</v>
      </c>
      <c r="M114" s="13">
        <v>3.5942775999999999</v>
      </c>
    </row>
    <row r="115" spans="1:13" x14ac:dyDescent="0.25">
      <c r="A115" t="s">
        <v>120</v>
      </c>
      <c r="B115" s="2">
        <v>4.29</v>
      </c>
      <c r="C115" s="2">
        <v>4.0599999999999996</v>
      </c>
      <c r="D115" s="2">
        <v>4.13</v>
      </c>
      <c r="E115" s="2">
        <v>4.38</v>
      </c>
      <c r="F115" s="2">
        <v>4.43</v>
      </c>
      <c r="G115" s="2">
        <v>4.47</v>
      </c>
      <c r="H115" s="13">
        <v>5.1909581999999999</v>
      </c>
      <c r="I115" s="13">
        <v>4.4676735000000001</v>
      </c>
      <c r="J115" s="13">
        <v>4.0246924000000002</v>
      </c>
      <c r="K115" s="13">
        <v>3.7582531000000001</v>
      </c>
      <c r="L115" s="13">
        <v>3.5904924999999999</v>
      </c>
      <c r="M115" s="13">
        <v>3.5079275000000001</v>
      </c>
    </row>
    <row r="116" spans="1:13" x14ac:dyDescent="0.25">
      <c r="A116" t="s">
        <v>121</v>
      </c>
      <c r="B116" s="2">
        <v>4.3600000000000003</v>
      </c>
      <c r="C116" s="2">
        <v>4.0999999999999996</v>
      </c>
      <c r="D116" s="2">
        <v>4.1500000000000004</v>
      </c>
      <c r="E116" s="2">
        <v>4.4000000000000004</v>
      </c>
      <c r="F116" s="2">
        <v>4.4400000000000004</v>
      </c>
      <c r="G116" s="2">
        <v>4.47</v>
      </c>
      <c r="H116" s="13">
        <v>5.2337043999999997</v>
      </c>
      <c r="I116" s="13">
        <v>4.5496112000000002</v>
      </c>
      <c r="J116" s="13">
        <v>4.1029780000000002</v>
      </c>
      <c r="K116" s="13">
        <v>3.7975028000000002</v>
      </c>
      <c r="L116" s="13">
        <v>3.5939947000000001</v>
      </c>
      <c r="M116" s="13">
        <v>3.4984058999999998</v>
      </c>
    </row>
    <row r="117" spans="1:13" x14ac:dyDescent="0.25">
      <c r="A117" t="s">
        <v>122</v>
      </c>
      <c r="B117" s="2">
        <v>4.46</v>
      </c>
      <c r="C117" s="2">
        <v>4.18</v>
      </c>
      <c r="D117" s="2">
        <v>4.22</v>
      </c>
      <c r="E117" s="2">
        <v>4.46</v>
      </c>
      <c r="F117" s="2">
        <v>4.49</v>
      </c>
      <c r="G117" s="2">
        <v>4.5199999999999996</v>
      </c>
      <c r="H117" s="13">
        <v>5.3102871</v>
      </c>
      <c r="I117" s="13">
        <v>4.6923402999999997</v>
      </c>
      <c r="J117" s="13">
        <v>4.1769056000000004</v>
      </c>
      <c r="K117" s="13">
        <v>3.8429261000000001</v>
      </c>
      <c r="L117" s="13">
        <v>3.6559775000000001</v>
      </c>
      <c r="M117" s="13">
        <v>3.5796025</v>
      </c>
    </row>
    <row r="118" spans="1:13" x14ac:dyDescent="0.25">
      <c r="A118" t="s">
        <v>123</v>
      </c>
      <c r="B118" s="2">
        <v>4.46</v>
      </c>
      <c r="C118" s="2">
        <v>4.17</v>
      </c>
      <c r="D118" s="2">
        <v>4.1900000000000004</v>
      </c>
      <c r="E118" s="2">
        <v>4.42</v>
      </c>
      <c r="F118" s="2">
        <v>4.4400000000000004</v>
      </c>
      <c r="G118" s="2">
        <v>4.46</v>
      </c>
      <c r="H118" s="13">
        <v>5.3074165999999998</v>
      </c>
      <c r="I118" s="13">
        <v>4.6596846999999997</v>
      </c>
      <c r="J118" s="13">
        <v>4.1289911999999998</v>
      </c>
      <c r="K118" s="13">
        <v>3.8090042</v>
      </c>
      <c r="L118" s="13">
        <v>3.6327208</v>
      </c>
      <c r="M118" s="13">
        <v>3.5528236999999998</v>
      </c>
    </row>
    <row r="119" spans="1:13" x14ac:dyDescent="0.25">
      <c r="A119" t="s">
        <v>124</v>
      </c>
      <c r="B119" s="2">
        <v>4.58</v>
      </c>
      <c r="C119" s="2">
        <v>4.26</v>
      </c>
      <c r="D119" s="2">
        <v>4.26</v>
      </c>
      <c r="E119" s="2">
        <v>4.49</v>
      </c>
      <c r="F119" s="2">
        <v>4.5</v>
      </c>
      <c r="G119" s="2">
        <v>4.5</v>
      </c>
      <c r="H119" s="13">
        <v>5.4151055000000001</v>
      </c>
      <c r="I119" s="13">
        <v>4.7245384000000001</v>
      </c>
      <c r="J119" s="13">
        <v>4.1830673000000003</v>
      </c>
      <c r="K119" s="13">
        <v>3.8865175999999999</v>
      </c>
      <c r="L119" s="13">
        <v>3.7136600999999998</v>
      </c>
      <c r="M119" s="13">
        <v>3.6254428000000001</v>
      </c>
    </row>
    <row r="120" spans="1:13" x14ac:dyDescent="0.25">
      <c r="A120" t="s">
        <v>125</v>
      </c>
      <c r="B120" s="2">
        <v>4.51</v>
      </c>
      <c r="C120" s="2">
        <v>4.22</v>
      </c>
      <c r="D120" s="2">
        <v>4.25</v>
      </c>
      <c r="E120" s="2">
        <v>4.4800000000000004</v>
      </c>
      <c r="F120" s="2">
        <v>4.49</v>
      </c>
      <c r="G120" s="2">
        <v>4.5</v>
      </c>
      <c r="H120" s="13">
        <v>5.3251165</v>
      </c>
      <c r="I120" s="13">
        <v>4.6479397000000002</v>
      </c>
      <c r="J120" s="13">
        <v>4.1920966000000002</v>
      </c>
      <c r="K120" s="13">
        <v>3.9131029000000002</v>
      </c>
      <c r="L120" s="13">
        <v>3.7269789000000002</v>
      </c>
      <c r="M120" s="13">
        <v>3.6262308000000001</v>
      </c>
    </row>
    <row r="121" spans="1:13" x14ac:dyDescent="0.25">
      <c r="A121" t="s">
        <v>126</v>
      </c>
      <c r="B121" s="2">
        <v>4.5199999999999996</v>
      </c>
      <c r="C121" s="2">
        <v>4.25</v>
      </c>
      <c r="D121" s="2">
        <v>4.24</v>
      </c>
      <c r="E121" s="2">
        <v>4.47</v>
      </c>
      <c r="F121" s="2">
        <v>4.49</v>
      </c>
      <c r="G121" s="2">
        <v>4.4800000000000004</v>
      </c>
      <c r="H121" s="13">
        <v>5.3744136999999998</v>
      </c>
      <c r="I121" s="13">
        <v>4.7061926999999999</v>
      </c>
      <c r="J121" s="13">
        <v>4.2026966999999997</v>
      </c>
      <c r="K121" s="13">
        <v>3.8886843999999998</v>
      </c>
      <c r="L121" s="13">
        <v>3.6900835999999999</v>
      </c>
      <c r="M121" s="13">
        <v>3.5866481000000001</v>
      </c>
    </row>
    <row r="122" spans="1:13" x14ac:dyDescent="0.25">
      <c r="A122" t="s">
        <v>127</v>
      </c>
      <c r="B122" s="2">
        <v>4.6399999999999997</v>
      </c>
      <c r="C122" s="2">
        <v>4.34</v>
      </c>
      <c r="D122" s="2">
        <v>4.34</v>
      </c>
      <c r="E122" s="2">
        <v>4.5599999999999996</v>
      </c>
      <c r="F122" s="2">
        <v>4.58</v>
      </c>
      <c r="G122" s="2">
        <v>4.57</v>
      </c>
      <c r="H122" s="13">
        <v>5.4651259999999997</v>
      </c>
      <c r="I122" s="13">
        <v>4.8411834999999996</v>
      </c>
      <c r="J122" s="13">
        <v>4.2912996000000003</v>
      </c>
      <c r="K122" s="13">
        <v>3.9517400999999999</v>
      </c>
      <c r="L122" s="13">
        <v>3.7602025000000001</v>
      </c>
      <c r="M122" s="13">
        <v>3.6758565000000001</v>
      </c>
    </row>
    <row r="123" spans="1:13" x14ac:dyDescent="0.25">
      <c r="A123" t="s">
        <v>128</v>
      </c>
      <c r="B123" s="2">
        <v>4.88</v>
      </c>
      <c r="C123" s="2">
        <v>4.5199999999999996</v>
      </c>
      <c r="D123" s="2">
        <v>4.43</v>
      </c>
      <c r="E123" s="2">
        <v>4.63</v>
      </c>
      <c r="F123" s="2">
        <v>4.63</v>
      </c>
      <c r="G123" s="2">
        <v>4.6100000000000003</v>
      </c>
      <c r="H123" s="13">
        <v>5.8054702999999996</v>
      </c>
      <c r="I123" s="13">
        <v>5.1618599999999999</v>
      </c>
      <c r="J123" s="13">
        <v>4.456664</v>
      </c>
      <c r="K123" s="13">
        <v>4.0174300000000001</v>
      </c>
      <c r="L123" s="13">
        <v>3.7845463000000001</v>
      </c>
      <c r="M123" s="13">
        <v>3.6721841</v>
      </c>
    </row>
    <row r="124" spans="1:13" x14ac:dyDescent="0.25">
      <c r="A124" t="s">
        <v>129</v>
      </c>
      <c r="B124" s="2">
        <v>4.8</v>
      </c>
      <c r="C124" s="2">
        <v>4.45</v>
      </c>
      <c r="D124" s="2">
        <v>4.37</v>
      </c>
      <c r="E124" s="2">
        <v>4.57</v>
      </c>
      <c r="F124" s="2">
        <v>4.57</v>
      </c>
      <c r="G124" s="2">
        <v>4.54</v>
      </c>
      <c r="H124" s="13">
        <v>5.690747</v>
      </c>
      <c r="I124" s="13">
        <v>5.0011995000000002</v>
      </c>
      <c r="J124" s="13">
        <v>4.3708992999999996</v>
      </c>
      <c r="K124" s="13">
        <v>4.0101449999999996</v>
      </c>
      <c r="L124" s="13">
        <v>3.7864244999999999</v>
      </c>
      <c r="M124" s="13">
        <v>3.6553173000000001</v>
      </c>
    </row>
    <row r="125" spans="1:13" x14ac:dyDescent="0.25">
      <c r="A125" t="s">
        <v>130</v>
      </c>
      <c r="B125" s="2">
        <v>4.8899999999999997</v>
      </c>
      <c r="C125" s="2">
        <v>4.51</v>
      </c>
      <c r="D125" s="2">
        <v>4.37</v>
      </c>
      <c r="E125" s="2">
        <v>4.55</v>
      </c>
      <c r="F125" s="2">
        <v>4.53</v>
      </c>
      <c r="G125" s="2">
        <v>4.49</v>
      </c>
      <c r="H125" s="13">
        <v>5.7559858000000004</v>
      </c>
      <c r="I125" s="13">
        <v>5.0657861999999998</v>
      </c>
      <c r="J125" s="13">
        <v>4.4425121000000001</v>
      </c>
      <c r="K125" s="13">
        <v>4.0356337</v>
      </c>
      <c r="L125" s="13">
        <v>3.7603844</v>
      </c>
      <c r="M125" s="13">
        <v>3.5928772000000002</v>
      </c>
    </row>
    <row r="126" spans="1:13" x14ac:dyDescent="0.25">
      <c r="A126" t="s">
        <v>131</v>
      </c>
      <c r="B126" s="2">
        <v>4.92</v>
      </c>
      <c r="C126" s="2">
        <v>4.5599999999999996</v>
      </c>
      <c r="D126" s="2">
        <v>4.4000000000000004</v>
      </c>
      <c r="E126" s="2">
        <v>4.57</v>
      </c>
      <c r="F126" s="2">
        <v>4.55</v>
      </c>
      <c r="G126" s="2">
        <v>4.51</v>
      </c>
      <c r="H126" s="13">
        <v>5.7882603000000001</v>
      </c>
      <c r="I126" s="13">
        <v>5.1586436000000004</v>
      </c>
      <c r="J126" s="13">
        <v>4.5238183999999997</v>
      </c>
      <c r="K126" s="13">
        <v>4.0864396000000003</v>
      </c>
      <c r="L126" s="13">
        <v>3.7902480000000001</v>
      </c>
      <c r="M126" s="13">
        <v>3.6121455999999998</v>
      </c>
    </row>
    <row r="127" spans="1:13" x14ac:dyDescent="0.25">
      <c r="A127" t="s">
        <v>132</v>
      </c>
      <c r="B127" s="2">
        <v>5.08</v>
      </c>
      <c r="C127" s="2">
        <v>4.68</v>
      </c>
      <c r="D127" s="2">
        <v>4.49</v>
      </c>
      <c r="E127" s="2">
        <v>4.6399999999999997</v>
      </c>
      <c r="F127" s="2">
        <v>4.6100000000000003</v>
      </c>
      <c r="G127" s="2">
        <v>4.55</v>
      </c>
      <c r="H127" s="13">
        <v>5.9309282999999997</v>
      </c>
      <c r="I127" s="13">
        <v>5.3328777000000001</v>
      </c>
      <c r="J127" s="13">
        <v>4.6222744999999996</v>
      </c>
      <c r="K127" s="13">
        <v>4.1434265999999997</v>
      </c>
      <c r="L127" s="13">
        <v>3.8440702</v>
      </c>
      <c r="M127" s="13">
        <v>3.6774344999999999</v>
      </c>
    </row>
    <row r="128" spans="1:13" x14ac:dyDescent="0.25">
      <c r="A128" t="s">
        <v>133</v>
      </c>
      <c r="B128" s="2">
        <v>4.9400000000000004</v>
      </c>
      <c r="C128" s="2">
        <v>4.5</v>
      </c>
      <c r="D128" s="2">
        <v>4.33</v>
      </c>
      <c r="E128" s="2">
        <v>4.49</v>
      </c>
      <c r="F128" s="2">
        <v>4.49</v>
      </c>
      <c r="G128" s="2">
        <v>4.4400000000000004</v>
      </c>
      <c r="H128" s="13">
        <v>5.8194007000000001</v>
      </c>
      <c r="I128" s="13">
        <v>5.1136191000000002</v>
      </c>
      <c r="J128" s="13">
        <v>4.3983746999999997</v>
      </c>
      <c r="K128" s="13">
        <v>3.9663572</v>
      </c>
      <c r="L128" s="13">
        <v>3.7117897000000002</v>
      </c>
      <c r="M128" s="13">
        <v>3.5663507999999999</v>
      </c>
    </row>
    <row r="129" spans="1:13" x14ac:dyDescent="0.25">
      <c r="A129" t="s">
        <v>134</v>
      </c>
      <c r="B129" s="2">
        <v>5.05</v>
      </c>
      <c r="C129" s="2">
        <v>4.58</v>
      </c>
      <c r="D129" s="2">
        <v>4.4000000000000004</v>
      </c>
      <c r="E129" s="2">
        <v>4.57</v>
      </c>
      <c r="F129" s="2">
        <v>4.5599999999999996</v>
      </c>
      <c r="G129" s="2">
        <v>4.51</v>
      </c>
      <c r="H129" s="13">
        <v>5.9746489</v>
      </c>
      <c r="I129" s="13">
        <v>5.1791304</v>
      </c>
      <c r="J129" s="13">
        <v>4.4608822999999997</v>
      </c>
      <c r="K129" s="13">
        <v>4.0389159000000001</v>
      </c>
      <c r="L129" s="13">
        <v>3.7678151</v>
      </c>
      <c r="M129" s="13">
        <v>3.6013760000000001</v>
      </c>
    </row>
    <row r="130" spans="1:13" x14ac:dyDescent="0.25">
      <c r="A130" t="s">
        <v>135</v>
      </c>
      <c r="B130" s="2">
        <v>5.07</v>
      </c>
      <c r="C130" s="2">
        <v>4.55</v>
      </c>
      <c r="D130" s="2">
        <v>4.3600000000000003</v>
      </c>
      <c r="E130" s="2">
        <v>4.53</v>
      </c>
      <c r="F130" s="2">
        <v>4.53</v>
      </c>
      <c r="G130" s="2">
        <v>4.4800000000000004</v>
      </c>
      <c r="H130" s="13">
        <v>5.9995367000000002</v>
      </c>
      <c r="I130" s="13">
        <v>5.0904805</v>
      </c>
      <c r="J130" s="13">
        <v>4.3905842000000002</v>
      </c>
      <c r="K130" s="13">
        <v>3.9787552000000002</v>
      </c>
      <c r="L130" s="13">
        <v>3.7125178000000001</v>
      </c>
      <c r="M130" s="13">
        <v>3.5543814999999999</v>
      </c>
    </row>
    <row r="131" spans="1:13" x14ac:dyDescent="0.25">
      <c r="A131" t="s">
        <v>136</v>
      </c>
      <c r="B131" s="2">
        <v>5.18</v>
      </c>
      <c r="C131" s="2">
        <v>4.58</v>
      </c>
      <c r="D131" s="2">
        <v>4.33</v>
      </c>
      <c r="E131" s="2">
        <v>4.5</v>
      </c>
      <c r="F131" s="2">
        <v>4.5</v>
      </c>
      <c r="G131" s="2">
        <v>4.46</v>
      </c>
      <c r="H131" s="13">
        <v>6.0535540000000001</v>
      </c>
      <c r="I131" s="13">
        <v>5.1889381999999999</v>
      </c>
      <c r="J131" s="13">
        <v>4.4389628999999999</v>
      </c>
      <c r="K131" s="13">
        <v>3.9466481</v>
      </c>
      <c r="L131" s="13">
        <v>3.639926</v>
      </c>
      <c r="M131" s="13">
        <v>3.4718553999999999</v>
      </c>
    </row>
    <row r="132" spans="1:13" x14ac:dyDescent="0.25">
      <c r="A132" t="s">
        <v>137</v>
      </c>
      <c r="B132" s="2">
        <v>5.14</v>
      </c>
      <c r="C132" s="2">
        <v>4.54</v>
      </c>
      <c r="D132" s="2">
        <v>4.29</v>
      </c>
      <c r="E132" s="2">
        <v>4.45</v>
      </c>
      <c r="F132" s="2">
        <v>4.4400000000000004</v>
      </c>
      <c r="G132" s="2">
        <v>4.37</v>
      </c>
      <c r="H132" s="13">
        <v>6.0863386999999998</v>
      </c>
      <c r="I132" s="13">
        <v>5.1987366000000002</v>
      </c>
      <c r="J132" s="13">
        <v>4.3638979999999998</v>
      </c>
      <c r="K132" s="13">
        <v>3.8473666</v>
      </c>
      <c r="L132" s="13">
        <v>3.5453636999999998</v>
      </c>
      <c r="M132" s="13">
        <v>3.3866594000000001</v>
      </c>
    </row>
    <row r="133" spans="1:13" x14ac:dyDescent="0.25">
      <c r="A133" t="s">
        <v>138</v>
      </c>
      <c r="B133" s="2">
        <v>5.26</v>
      </c>
      <c r="C133" s="2">
        <v>4.67</v>
      </c>
      <c r="D133" s="2">
        <v>4.37</v>
      </c>
      <c r="E133" s="2">
        <v>4.5</v>
      </c>
      <c r="F133" s="2">
        <v>4.47</v>
      </c>
      <c r="G133" s="2">
        <v>4.37</v>
      </c>
      <c r="H133" s="13">
        <v>6.2034694000000004</v>
      </c>
      <c r="I133" s="13">
        <v>5.3945366000000003</v>
      </c>
      <c r="J133" s="13">
        <v>4.5186335</v>
      </c>
      <c r="K133" s="13">
        <v>3.9566473000000002</v>
      </c>
      <c r="L133" s="13">
        <v>3.6208585000000002</v>
      </c>
      <c r="M133" s="13">
        <v>3.4321416999999999</v>
      </c>
    </row>
    <row r="134" spans="1:13" x14ac:dyDescent="0.25">
      <c r="A134" t="s">
        <v>139</v>
      </c>
      <c r="B134" s="2">
        <v>5.13</v>
      </c>
      <c r="C134" s="2">
        <v>4.5599999999999996</v>
      </c>
      <c r="D134" s="2">
        <v>4.3099999999999996</v>
      </c>
      <c r="E134" s="2">
        <v>4.45</v>
      </c>
      <c r="F134" s="2">
        <v>4.4400000000000004</v>
      </c>
      <c r="G134" s="2">
        <v>4.37</v>
      </c>
      <c r="H134" s="13">
        <v>6.0657265000000002</v>
      </c>
      <c r="I134" s="13">
        <v>5.1630726999999998</v>
      </c>
      <c r="J134" s="13">
        <v>4.3854718999999998</v>
      </c>
      <c r="K134" s="13">
        <v>3.9446492000000002</v>
      </c>
      <c r="L134" s="13">
        <v>3.6506886000000001</v>
      </c>
      <c r="M134" s="13">
        <v>3.4635560999999999</v>
      </c>
    </row>
    <row r="135" spans="1:13" x14ac:dyDescent="0.25">
      <c r="A135" t="s">
        <v>140</v>
      </c>
      <c r="B135" s="2">
        <v>5.22</v>
      </c>
      <c r="C135" s="2">
        <v>4.63</v>
      </c>
      <c r="D135" s="2">
        <v>4.3899999999999997</v>
      </c>
      <c r="E135" s="2">
        <v>4.53</v>
      </c>
      <c r="F135" s="2">
        <v>4.5199999999999996</v>
      </c>
      <c r="G135" s="2">
        <v>4.4400000000000004</v>
      </c>
      <c r="H135" s="13">
        <v>6.1683577999999999</v>
      </c>
      <c r="I135" s="13">
        <v>5.3011939999999997</v>
      </c>
      <c r="J135" s="13">
        <v>4.5123788999999999</v>
      </c>
      <c r="K135" s="13">
        <v>4.0260847000000002</v>
      </c>
      <c r="L135" s="13">
        <v>3.7105467999999999</v>
      </c>
      <c r="M135" s="13">
        <v>3.519936</v>
      </c>
    </row>
    <row r="136" spans="1:13" x14ac:dyDescent="0.25">
      <c r="A136" t="s">
        <v>141</v>
      </c>
      <c r="B136" s="2">
        <v>5.27</v>
      </c>
      <c r="C136" s="2">
        <v>4.66</v>
      </c>
      <c r="D136" s="2">
        <v>4.3899999999999997</v>
      </c>
      <c r="E136" s="2">
        <v>4.53</v>
      </c>
      <c r="F136" s="2">
        <v>4.51</v>
      </c>
      <c r="G136" s="2">
        <v>4.42</v>
      </c>
      <c r="H136" s="13">
        <v>6.1652158000000004</v>
      </c>
      <c r="I136" s="13">
        <v>5.3759193999999999</v>
      </c>
      <c r="J136" s="13">
        <v>4.5832689999999996</v>
      </c>
      <c r="K136" s="13">
        <v>4.057328</v>
      </c>
      <c r="L136" s="13">
        <v>3.7060431</v>
      </c>
      <c r="M136" s="13">
        <v>3.4939065</v>
      </c>
    </row>
    <row r="137" spans="1:13" x14ac:dyDescent="0.25">
      <c r="A137" t="s">
        <v>142</v>
      </c>
      <c r="B137" s="2">
        <v>5.35</v>
      </c>
      <c r="C137" s="2">
        <v>4.7300000000000004</v>
      </c>
      <c r="D137" s="2">
        <v>4.45</v>
      </c>
      <c r="E137" s="2">
        <v>4.58</v>
      </c>
      <c r="F137" s="2">
        <v>4.5599999999999996</v>
      </c>
      <c r="G137" s="2">
        <v>4.45</v>
      </c>
      <c r="H137" s="13">
        <v>6.2526181999999997</v>
      </c>
      <c r="I137" s="13">
        <v>5.5040256999999997</v>
      </c>
      <c r="J137" s="13">
        <v>4.6405827000000004</v>
      </c>
      <c r="K137" s="13">
        <v>4.0867703000000004</v>
      </c>
      <c r="L137" s="13">
        <v>3.7474289000000001</v>
      </c>
      <c r="M137" s="13">
        <v>3.5525829</v>
      </c>
    </row>
    <row r="138" spans="1:13" x14ac:dyDescent="0.25">
      <c r="A138" t="s">
        <v>143</v>
      </c>
      <c r="B138" s="2">
        <v>5.31</v>
      </c>
      <c r="C138" s="2">
        <v>4.6900000000000004</v>
      </c>
      <c r="D138" s="2">
        <v>4.42</v>
      </c>
      <c r="E138" s="2">
        <v>4.63</v>
      </c>
      <c r="F138" s="2">
        <v>4.53</v>
      </c>
      <c r="G138" s="2">
        <v>4.42</v>
      </c>
      <c r="H138" s="13">
        <v>6.2551136999999999</v>
      </c>
      <c r="I138" s="13">
        <v>5.4782931000000001</v>
      </c>
      <c r="J138" s="13">
        <v>4.6143565999999998</v>
      </c>
      <c r="K138" s="13">
        <v>4.0726985000000004</v>
      </c>
      <c r="L138" s="13">
        <v>3.7340306000000001</v>
      </c>
      <c r="M138" s="13">
        <v>3.5287723</v>
      </c>
    </row>
    <row r="139" spans="1:13" x14ac:dyDescent="0.25">
      <c r="A139" t="s">
        <v>144</v>
      </c>
      <c r="B139" s="2">
        <v>5.38</v>
      </c>
      <c r="C139" s="2">
        <v>4.79</v>
      </c>
      <c r="D139" s="2">
        <v>4.51</v>
      </c>
      <c r="E139" s="2">
        <v>4.6399999999999997</v>
      </c>
      <c r="F139" s="2">
        <v>4.6100000000000003</v>
      </c>
      <c r="G139" s="2">
        <v>4.5</v>
      </c>
      <c r="H139" s="13">
        <v>6.4028561000000002</v>
      </c>
      <c r="I139" s="13">
        <v>5.6215697000000002</v>
      </c>
      <c r="J139" s="13">
        <v>4.7226108</v>
      </c>
      <c r="K139" s="13">
        <v>4.1595918000000003</v>
      </c>
      <c r="L139" s="13">
        <v>3.8067410000000002</v>
      </c>
      <c r="M139" s="13">
        <v>3.5946136000000002</v>
      </c>
    </row>
    <row r="140" spans="1:13" x14ac:dyDescent="0.25">
      <c r="A140" t="s">
        <v>145</v>
      </c>
      <c r="B140" s="2">
        <v>5.49</v>
      </c>
      <c r="C140" s="2">
        <v>4.9000000000000004</v>
      </c>
      <c r="D140" s="2">
        <v>4.6500000000000004</v>
      </c>
      <c r="E140" s="2">
        <v>4.79</v>
      </c>
      <c r="F140" s="2">
        <v>4.7699999999999996</v>
      </c>
      <c r="G140" s="2">
        <v>4.6500000000000004</v>
      </c>
      <c r="H140" s="13">
        <v>6.5123705000000003</v>
      </c>
      <c r="I140" s="13">
        <v>5.674811</v>
      </c>
      <c r="J140" s="13">
        <v>4.8446290999999997</v>
      </c>
      <c r="K140" s="13">
        <v>4.3104386000000003</v>
      </c>
      <c r="L140" s="13">
        <v>3.9618004</v>
      </c>
      <c r="M140" s="13">
        <v>3.7518286999999999</v>
      </c>
    </row>
    <row r="141" spans="1:13" x14ac:dyDescent="0.25">
      <c r="A141" t="s">
        <v>146</v>
      </c>
      <c r="B141" s="2">
        <v>5.38</v>
      </c>
      <c r="C141" s="2">
        <v>4.84</v>
      </c>
      <c r="D141" s="2">
        <v>4.6399999999999997</v>
      </c>
      <c r="E141" s="2">
        <v>4.8</v>
      </c>
      <c r="F141" s="2">
        <v>4.78</v>
      </c>
      <c r="G141" s="2">
        <v>4.68</v>
      </c>
      <c r="H141" s="13">
        <v>6.3755696999999998</v>
      </c>
      <c r="I141" s="13">
        <v>5.5842175000000003</v>
      </c>
      <c r="J141" s="13">
        <v>4.7946232999999996</v>
      </c>
      <c r="K141" s="13">
        <v>4.2867807999999998</v>
      </c>
      <c r="L141" s="13">
        <v>3.9558184000000001</v>
      </c>
      <c r="M141" s="13">
        <v>3.7581264000000001</v>
      </c>
    </row>
    <row r="142" spans="1:13" x14ac:dyDescent="0.25">
      <c r="A142" t="s">
        <v>147</v>
      </c>
      <c r="B142" s="2">
        <v>5.38</v>
      </c>
      <c r="C142" s="2">
        <v>4.8499999999999996</v>
      </c>
      <c r="D142" s="2">
        <v>4.6399999999999997</v>
      </c>
      <c r="E142" s="2">
        <v>4.8099999999999996</v>
      </c>
      <c r="F142" s="2">
        <v>4.78</v>
      </c>
      <c r="G142" s="2">
        <v>4.68</v>
      </c>
      <c r="H142" s="13">
        <v>6.4018185000000001</v>
      </c>
      <c r="I142" s="13">
        <v>5.6271509000000002</v>
      </c>
      <c r="J142" s="13">
        <v>4.8070658999999996</v>
      </c>
      <c r="K142" s="13">
        <v>4.2865755999999999</v>
      </c>
      <c r="L142" s="13">
        <v>3.9602065</v>
      </c>
      <c r="M142" s="13">
        <v>3.7687952</v>
      </c>
    </row>
    <row r="143" spans="1:13" x14ac:dyDescent="0.25">
      <c r="A143" t="s">
        <v>148</v>
      </c>
      <c r="B143" s="2">
        <v>5.41</v>
      </c>
      <c r="C143" s="2">
        <v>4.87</v>
      </c>
      <c r="D143" s="2">
        <v>4.6500000000000004</v>
      </c>
      <c r="E143" s="2">
        <v>4.8099999999999996</v>
      </c>
      <c r="F143" s="2">
        <v>4.78</v>
      </c>
      <c r="G143" s="2">
        <v>4.68</v>
      </c>
      <c r="H143" s="13">
        <v>6.4628185</v>
      </c>
      <c r="I143" s="13">
        <v>5.6607213999999999</v>
      </c>
      <c r="J143" s="13">
        <v>4.7878160000000003</v>
      </c>
      <c r="K143" s="13">
        <v>4.2770802000000003</v>
      </c>
      <c r="L143" s="13">
        <v>3.9681896000000001</v>
      </c>
      <c r="M143" s="13">
        <v>3.7841222000000001</v>
      </c>
    </row>
    <row r="144" spans="1:13" x14ac:dyDescent="0.25">
      <c r="A144" t="s">
        <v>149</v>
      </c>
      <c r="B144" s="2">
        <v>5.22</v>
      </c>
      <c r="C144" s="2">
        <v>4.6900000000000004</v>
      </c>
      <c r="D144" s="2">
        <v>4.51</v>
      </c>
      <c r="E144" s="2">
        <v>4.6900000000000004</v>
      </c>
      <c r="F144" s="2">
        <v>4.68</v>
      </c>
      <c r="G144" s="2">
        <v>4.5999999999999996</v>
      </c>
      <c r="H144" s="13">
        <v>6.1904250000000003</v>
      </c>
      <c r="I144" s="13">
        <v>5.3508760999999998</v>
      </c>
      <c r="J144" s="13">
        <v>4.5866327</v>
      </c>
      <c r="K144" s="13">
        <v>4.1700201999999997</v>
      </c>
      <c r="L144" s="13">
        <v>3.8950049</v>
      </c>
      <c r="M144" s="13">
        <v>3.7204470999999999</v>
      </c>
    </row>
    <row r="145" spans="1:13" x14ac:dyDescent="0.25">
      <c r="A145" t="s">
        <v>150</v>
      </c>
      <c r="B145" s="2">
        <v>5.1100000000000003</v>
      </c>
      <c r="C145" s="2">
        <v>4.54</v>
      </c>
      <c r="D145" s="2">
        <v>4.41</v>
      </c>
      <c r="E145" s="2">
        <v>4.58</v>
      </c>
      <c r="F145" s="2">
        <v>4.58</v>
      </c>
      <c r="G145" s="2">
        <v>4.5199999999999996</v>
      </c>
      <c r="H145" s="13">
        <v>6.0425877000000003</v>
      </c>
      <c r="I145" s="13">
        <v>5.1655414999999998</v>
      </c>
      <c r="J145" s="13">
        <v>4.4558457000000002</v>
      </c>
      <c r="K145" s="13">
        <v>4.0502538000000001</v>
      </c>
      <c r="L145" s="13">
        <v>3.7884384</v>
      </c>
      <c r="M145" s="13">
        <v>3.6311271999999999</v>
      </c>
    </row>
    <row r="146" spans="1:13" x14ac:dyDescent="0.25">
      <c r="A146" t="s">
        <v>151</v>
      </c>
      <c r="B146" s="2">
        <v>5.19</v>
      </c>
      <c r="C146" s="2">
        <v>4.59</v>
      </c>
      <c r="D146" s="2">
        <v>4.4400000000000004</v>
      </c>
      <c r="E146" s="2">
        <v>4.62</v>
      </c>
      <c r="F146" s="2">
        <v>4.6100000000000003</v>
      </c>
      <c r="G146" s="2">
        <v>4.55</v>
      </c>
      <c r="H146" s="13">
        <v>6.1758743000000003</v>
      </c>
      <c r="I146" s="13">
        <v>5.2900955999999999</v>
      </c>
      <c r="J146" s="13">
        <v>4.5430052999999999</v>
      </c>
      <c r="K146" s="13">
        <v>4.1010396</v>
      </c>
      <c r="L146" s="13">
        <v>3.8110403000000002</v>
      </c>
      <c r="M146" s="13">
        <v>3.6361956000000002</v>
      </c>
    </row>
    <row r="147" spans="1:13" x14ac:dyDescent="0.25">
      <c r="A147" t="s">
        <v>152</v>
      </c>
      <c r="B147" s="2">
        <v>5.15</v>
      </c>
      <c r="C147" s="2">
        <v>4.55</v>
      </c>
      <c r="D147" s="2">
        <v>4.43</v>
      </c>
      <c r="E147" s="2">
        <v>4.6100000000000003</v>
      </c>
      <c r="F147" s="2">
        <v>4.5999999999999996</v>
      </c>
      <c r="G147" s="2">
        <v>4.55</v>
      </c>
      <c r="H147" s="13">
        <v>6.0784741999999996</v>
      </c>
      <c r="I147" s="13">
        <v>5.2087098000000003</v>
      </c>
      <c r="J147" s="13">
        <v>4.4606621000000004</v>
      </c>
      <c r="K147" s="13">
        <v>4.0330895</v>
      </c>
      <c r="L147" s="13">
        <v>3.7794151999999999</v>
      </c>
      <c r="M147" s="13">
        <v>3.6383128999999998</v>
      </c>
    </row>
    <row r="148" spans="1:13" x14ac:dyDescent="0.25">
      <c r="A148" t="s">
        <v>153</v>
      </c>
      <c r="B148" s="2">
        <v>5.09</v>
      </c>
      <c r="C148" s="2">
        <v>4.4800000000000004</v>
      </c>
      <c r="D148" s="2">
        <v>4.3499999999999996</v>
      </c>
      <c r="E148" s="2">
        <v>4.54</v>
      </c>
      <c r="F148" s="2">
        <v>4.54</v>
      </c>
      <c r="G148" s="2">
        <v>4.49</v>
      </c>
      <c r="H148" s="13">
        <v>5.9826554999999999</v>
      </c>
      <c r="I148" s="13">
        <v>5.1123637000000004</v>
      </c>
      <c r="J148" s="13">
        <v>4.3857122999999998</v>
      </c>
      <c r="K148" s="13">
        <v>3.9813806999999999</v>
      </c>
      <c r="L148" s="13">
        <v>3.7346517000000001</v>
      </c>
      <c r="M148" s="13">
        <v>3.5884619999999998</v>
      </c>
    </row>
    <row r="149" spans="1:13" x14ac:dyDescent="0.25">
      <c r="A149" t="s">
        <v>154</v>
      </c>
      <c r="B149" s="2">
        <v>4.8499999999999996</v>
      </c>
      <c r="C149" s="2">
        <v>4.2699999999999996</v>
      </c>
      <c r="D149" s="2">
        <v>4.18</v>
      </c>
      <c r="E149" s="2">
        <v>4.38</v>
      </c>
      <c r="F149" s="2">
        <v>4.38</v>
      </c>
      <c r="G149" s="2">
        <v>4.34</v>
      </c>
      <c r="H149" s="13">
        <v>5.6908557999999996</v>
      </c>
      <c r="I149" s="13">
        <v>4.7934479999999997</v>
      </c>
      <c r="J149" s="13">
        <v>4.1451288000000002</v>
      </c>
      <c r="K149" s="13">
        <v>3.8172394000000001</v>
      </c>
      <c r="L149" s="13">
        <v>3.6007981999999998</v>
      </c>
      <c r="M149" s="13">
        <v>3.4630546</v>
      </c>
    </row>
    <row r="150" spans="1:13" x14ac:dyDescent="0.25">
      <c r="A150" t="s">
        <v>155</v>
      </c>
      <c r="B150" s="2">
        <v>4.9800000000000004</v>
      </c>
      <c r="C150" s="2">
        <v>4.3899999999999997</v>
      </c>
      <c r="D150" s="2">
        <v>4.28</v>
      </c>
      <c r="E150" s="2">
        <v>4.47</v>
      </c>
      <c r="F150" s="2">
        <v>4.47</v>
      </c>
      <c r="G150" s="2">
        <v>4.42</v>
      </c>
      <c r="H150" s="13">
        <v>5.7702</v>
      </c>
      <c r="I150" s="13">
        <v>4.9341302000000002</v>
      </c>
      <c r="J150" s="13">
        <v>4.2822031000000003</v>
      </c>
      <c r="K150" s="13">
        <v>3.9070860999999999</v>
      </c>
      <c r="L150" s="13">
        <v>3.6708216</v>
      </c>
      <c r="M150" s="13">
        <v>3.5318773000000001</v>
      </c>
    </row>
    <row r="151" spans="1:13" x14ac:dyDescent="0.25">
      <c r="A151" t="s">
        <v>156</v>
      </c>
      <c r="B151" s="2">
        <v>4.93</v>
      </c>
      <c r="C151" s="2">
        <v>4.3600000000000003</v>
      </c>
      <c r="D151" s="2">
        <v>4.2699999999999996</v>
      </c>
      <c r="E151" s="2">
        <v>4.46</v>
      </c>
      <c r="F151" s="2">
        <v>4.46</v>
      </c>
      <c r="G151" s="2">
        <v>4.42</v>
      </c>
      <c r="H151" s="13">
        <v>5.7543407999999996</v>
      </c>
      <c r="I151" s="13">
        <v>4.9232687000000004</v>
      </c>
      <c r="J151" s="13">
        <v>4.2723674999999997</v>
      </c>
      <c r="K151" s="13">
        <v>3.9085865000000002</v>
      </c>
      <c r="L151" s="13">
        <v>3.6708270000000001</v>
      </c>
      <c r="M151" s="13">
        <v>3.5252631000000001</v>
      </c>
    </row>
    <row r="152" spans="1:13" x14ac:dyDescent="0.25">
      <c r="A152" t="s">
        <v>157</v>
      </c>
      <c r="B152" s="2">
        <v>4.9400000000000004</v>
      </c>
      <c r="C152" s="2">
        <v>4.34</v>
      </c>
      <c r="D152" s="2">
        <v>4.26</v>
      </c>
      <c r="E152" s="2">
        <v>4.45</v>
      </c>
      <c r="F152" s="2">
        <v>4.46</v>
      </c>
      <c r="G152" s="2">
        <v>4.43</v>
      </c>
      <c r="H152" s="13">
        <v>5.7232051000000004</v>
      </c>
      <c r="I152" s="13">
        <v>4.9206567000000003</v>
      </c>
      <c r="J152" s="13">
        <v>4.2296754999999999</v>
      </c>
      <c r="K152" s="13">
        <v>3.8461889999999999</v>
      </c>
      <c r="L152" s="13">
        <v>3.6313944</v>
      </c>
      <c r="M152" s="13">
        <v>3.5198100000000001</v>
      </c>
    </row>
    <row r="153" spans="1:13" x14ac:dyDescent="0.25">
      <c r="A153" t="s">
        <v>158</v>
      </c>
      <c r="B153" s="2">
        <v>4.97</v>
      </c>
      <c r="C153" s="2">
        <v>4.3600000000000003</v>
      </c>
      <c r="D153" s="2">
        <v>4.2699999999999996</v>
      </c>
      <c r="E153" s="2">
        <v>4.46</v>
      </c>
      <c r="F153" s="2">
        <v>4.4800000000000004</v>
      </c>
      <c r="G153" s="2">
        <v>4.4400000000000004</v>
      </c>
      <c r="H153" s="13">
        <v>5.7649575999999998</v>
      </c>
      <c r="I153" s="13">
        <v>4.9287124000000002</v>
      </c>
      <c r="J153" s="13">
        <v>4.2243637999999999</v>
      </c>
      <c r="K153" s="13">
        <v>3.8562476999999999</v>
      </c>
      <c r="L153" s="13">
        <v>3.6403292</v>
      </c>
      <c r="M153" s="13">
        <v>3.5194698999999998</v>
      </c>
    </row>
    <row r="154" spans="1:13" x14ac:dyDescent="0.25">
      <c r="A154" t="s">
        <v>159</v>
      </c>
      <c r="B154" s="2">
        <v>5.03</v>
      </c>
      <c r="C154" s="2">
        <v>4.4400000000000004</v>
      </c>
      <c r="D154" s="2">
        <v>4.29</v>
      </c>
      <c r="E154" s="2">
        <v>4.46</v>
      </c>
      <c r="F154" s="2">
        <v>4.46</v>
      </c>
      <c r="G154" s="2">
        <v>4.42</v>
      </c>
      <c r="H154" s="13">
        <v>5.8657557999999996</v>
      </c>
      <c r="I154" s="13">
        <v>5.0748585999999998</v>
      </c>
      <c r="J154" s="13">
        <v>4.3202638000000002</v>
      </c>
      <c r="K154" s="13">
        <v>3.8897319000000001</v>
      </c>
      <c r="L154" s="13">
        <v>3.6426973</v>
      </c>
      <c r="M154" s="13">
        <v>3.5048954000000001</v>
      </c>
    </row>
    <row r="155" spans="1:13" x14ac:dyDescent="0.25">
      <c r="A155" t="s">
        <v>160</v>
      </c>
      <c r="B155" s="2">
        <v>5.0199999999999996</v>
      </c>
      <c r="C155" s="2">
        <v>4.42</v>
      </c>
      <c r="D155" s="2">
        <v>4.3099999999999996</v>
      </c>
      <c r="E155" s="2">
        <v>4.49</v>
      </c>
      <c r="F155" s="2">
        <v>4.5</v>
      </c>
      <c r="G155" s="2">
        <v>4.45</v>
      </c>
      <c r="H155" s="13">
        <v>5.7688950999999999</v>
      </c>
      <c r="I155" s="13">
        <v>4.9932685000000001</v>
      </c>
      <c r="J155" s="13">
        <v>4.3373457999999996</v>
      </c>
      <c r="K155" s="13">
        <v>3.9480477</v>
      </c>
      <c r="L155" s="13">
        <v>3.7037949000000001</v>
      </c>
      <c r="M155" s="13">
        <v>3.5625224000000002</v>
      </c>
    </row>
    <row r="156" spans="1:13" x14ac:dyDescent="0.25">
      <c r="A156" t="s">
        <v>161</v>
      </c>
      <c r="B156" s="2">
        <v>4.9800000000000004</v>
      </c>
      <c r="C156" s="2">
        <v>4.41</v>
      </c>
      <c r="D156" s="2">
        <v>4.33</v>
      </c>
      <c r="E156" s="2">
        <v>4.5199999999999996</v>
      </c>
      <c r="F156" s="2">
        <v>4.5199999999999996</v>
      </c>
      <c r="G156" s="2">
        <v>4.49</v>
      </c>
      <c r="H156" s="13">
        <v>5.7262063000000003</v>
      </c>
      <c r="I156" s="13">
        <v>4.9776541999999999</v>
      </c>
      <c r="J156" s="13">
        <v>4.3367294000000003</v>
      </c>
      <c r="K156" s="13">
        <v>3.9673894000000001</v>
      </c>
      <c r="L156" s="13">
        <v>3.7418879</v>
      </c>
      <c r="M156" s="13">
        <v>3.6128361</v>
      </c>
    </row>
    <row r="157" spans="1:13" x14ac:dyDescent="0.25">
      <c r="A157" t="s">
        <v>162</v>
      </c>
      <c r="B157" s="2">
        <v>4.97</v>
      </c>
      <c r="C157" s="2">
        <v>4.37</v>
      </c>
      <c r="D157" s="2">
        <v>4.3</v>
      </c>
      <c r="E157" s="2">
        <v>4.49</v>
      </c>
      <c r="F157" s="2">
        <v>4.49</v>
      </c>
      <c r="G157" s="2">
        <v>4.45</v>
      </c>
      <c r="H157" s="13">
        <v>5.7410024000000002</v>
      </c>
      <c r="I157" s="13">
        <v>4.9655737999999996</v>
      </c>
      <c r="J157" s="13">
        <v>4.2707541000000004</v>
      </c>
      <c r="K157" s="13">
        <v>3.8878111999999998</v>
      </c>
      <c r="L157" s="13">
        <v>3.6682744</v>
      </c>
      <c r="M157" s="13">
        <v>3.5511659999999998</v>
      </c>
    </row>
    <row r="158" spans="1:13" x14ac:dyDescent="0.25">
      <c r="A158" t="s">
        <v>163</v>
      </c>
      <c r="B158" s="2">
        <v>5.0599999999999996</v>
      </c>
      <c r="C158" s="2">
        <v>4.49</v>
      </c>
      <c r="D158" s="2">
        <v>4.41</v>
      </c>
      <c r="E158" s="2">
        <v>4.5999999999999996</v>
      </c>
      <c r="F158" s="2">
        <v>4.59</v>
      </c>
      <c r="G158" s="2">
        <v>4.54</v>
      </c>
      <c r="H158" s="13">
        <v>5.8073503999999998</v>
      </c>
      <c r="I158" s="13">
        <v>5.0868612000000004</v>
      </c>
      <c r="J158" s="13">
        <v>4.3915996000000002</v>
      </c>
      <c r="K158" s="13">
        <v>4.0125795999999996</v>
      </c>
      <c r="L158" s="13">
        <v>3.7964604</v>
      </c>
      <c r="M158" s="13">
        <v>3.6756597000000002</v>
      </c>
    </row>
    <row r="159" spans="1:13" x14ac:dyDescent="0.25">
      <c r="A159" t="s">
        <v>164</v>
      </c>
      <c r="B159" s="2">
        <v>4.99</v>
      </c>
      <c r="C159" s="2">
        <v>4.4400000000000004</v>
      </c>
      <c r="D159" s="2">
        <v>4.4000000000000004</v>
      </c>
      <c r="E159" s="2">
        <v>4.5999999999999996</v>
      </c>
      <c r="F159" s="2">
        <v>4.5999999999999996</v>
      </c>
      <c r="G159" s="2">
        <v>4.54</v>
      </c>
      <c r="H159" s="13">
        <v>5.6994856</v>
      </c>
      <c r="I159" s="13">
        <v>4.9632021999999996</v>
      </c>
      <c r="J159" s="13">
        <v>4.3362506999999999</v>
      </c>
      <c r="K159" s="13">
        <v>4.0136592000000002</v>
      </c>
      <c r="L159" s="13">
        <v>3.8149316999999998</v>
      </c>
      <c r="M159" s="13">
        <v>3.6969197</v>
      </c>
    </row>
    <row r="160" spans="1:13" x14ac:dyDescent="0.25">
      <c r="A160" t="s">
        <v>165</v>
      </c>
      <c r="B160" s="2">
        <v>4.95</v>
      </c>
      <c r="C160" s="2">
        <v>4.45</v>
      </c>
      <c r="D160" s="2">
        <v>4.46</v>
      </c>
      <c r="E160" s="2">
        <v>4.68</v>
      </c>
      <c r="F160" s="2">
        <v>4.6900000000000004</v>
      </c>
      <c r="G160" s="2">
        <v>4.6399999999999997</v>
      </c>
      <c r="H160" s="13">
        <v>5.6398124000000003</v>
      </c>
      <c r="I160" s="13">
        <v>4.9312239</v>
      </c>
      <c r="J160" s="13">
        <v>4.3867105999999998</v>
      </c>
      <c r="K160" s="13">
        <v>4.0877958000000003</v>
      </c>
      <c r="L160" s="13">
        <v>3.8988385999999999</v>
      </c>
      <c r="M160" s="13">
        <v>3.7915184000000002</v>
      </c>
    </row>
    <row r="161" spans="1:13" x14ac:dyDescent="0.25">
      <c r="A161" t="s">
        <v>166</v>
      </c>
      <c r="B161" s="2">
        <v>4.8899999999999997</v>
      </c>
      <c r="C161" s="2">
        <v>4.4000000000000004</v>
      </c>
      <c r="D161" s="2">
        <v>4.38</v>
      </c>
      <c r="E161" s="2">
        <v>4.6100000000000003</v>
      </c>
      <c r="F161" s="2">
        <v>4.6100000000000003</v>
      </c>
      <c r="G161" s="2">
        <v>4.57</v>
      </c>
      <c r="H161" s="13">
        <v>5.6756713999999997</v>
      </c>
      <c r="I161" s="13">
        <v>4.9447035000000001</v>
      </c>
      <c r="J161" s="13">
        <v>4.3403821999999996</v>
      </c>
      <c r="K161" s="13">
        <v>3.9994542000000002</v>
      </c>
      <c r="L161" s="13">
        <v>3.7890063999999999</v>
      </c>
      <c r="M161" s="13">
        <v>3.6724543000000001</v>
      </c>
    </row>
    <row r="162" spans="1:13" x14ac:dyDescent="0.25">
      <c r="A162" t="s">
        <v>167</v>
      </c>
      <c r="B162" s="2">
        <v>4.9400000000000004</v>
      </c>
      <c r="C162" s="2">
        <v>4.45</v>
      </c>
      <c r="D162" s="2">
        <v>4.45</v>
      </c>
      <c r="E162" s="2">
        <v>4.68</v>
      </c>
      <c r="F162" s="2">
        <v>4.6900000000000004</v>
      </c>
      <c r="G162" s="2">
        <v>4.6500000000000004</v>
      </c>
      <c r="H162" s="13">
        <v>5.6860815000000002</v>
      </c>
      <c r="I162" s="13">
        <v>4.9915102999999998</v>
      </c>
      <c r="J162" s="13">
        <v>4.3970387000000004</v>
      </c>
      <c r="K162" s="13">
        <v>4.0675651999999998</v>
      </c>
      <c r="L162" s="13">
        <v>3.8757302999999999</v>
      </c>
      <c r="M162" s="13">
        <v>3.7743253999999999</v>
      </c>
    </row>
    <row r="163" spans="1:13" x14ac:dyDescent="0.25">
      <c r="A163" t="s">
        <v>168</v>
      </c>
      <c r="B163" s="2">
        <v>4.8499999999999996</v>
      </c>
      <c r="C163" s="2">
        <v>4.42</v>
      </c>
      <c r="D163" s="2">
        <v>4.3899999999999997</v>
      </c>
      <c r="E163" s="2">
        <v>4.6100000000000003</v>
      </c>
      <c r="F163" s="2">
        <v>4.6100000000000003</v>
      </c>
      <c r="G163" s="2">
        <v>4.57</v>
      </c>
      <c r="H163" s="13">
        <v>5.6595975999999997</v>
      </c>
      <c r="I163" s="13">
        <v>4.9665875000000002</v>
      </c>
      <c r="J163" s="13">
        <v>4.3581772000000001</v>
      </c>
      <c r="K163" s="13">
        <v>4.0213074999999998</v>
      </c>
      <c r="L163" s="13">
        <v>3.8194897999999999</v>
      </c>
      <c r="M163" s="13">
        <v>3.7050923999999998</v>
      </c>
    </row>
    <row r="164" spans="1:13" x14ac:dyDescent="0.25">
      <c r="A164" t="s">
        <v>169</v>
      </c>
      <c r="B164" s="2">
        <v>4.92</v>
      </c>
      <c r="C164" s="2">
        <v>4.41</v>
      </c>
      <c r="D164" s="2">
        <v>4.37</v>
      </c>
      <c r="E164" s="2">
        <v>4.58</v>
      </c>
      <c r="F164" s="2">
        <v>4.5999999999999996</v>
      </c>
      <c r="G164" s="2">
        <v>4.57</v>
      </c>
      <c r="H164" s="13">
        <v>5.6200855000000001</v>
      </c>
      <c r="I164" s="13">
        <v>4.9138649000000001</v>
      </c>
      <c r="J164" s="13">
        <v>4.3428266999999998</v>
      </c>
      <c r="K164" s="13">
        <v>4.0239434000000003</v>
      </c>
      <c r="L164" s="13">
        <v>3.8157469000000002</v>
      </c>
      <c r="M164" s="13">
        <v>3.6925699000000001</v>
      </c>
    </row>
    <row r="165" spans="1:13" x14ac:dyDescent="0.25">
      <c r="A165" t="s">
        <v>170</v>
      </c>
      <c r="B165" s="2">
        <v>4.9000000000000004</v>
      </c>
      <c r="C165" s="2">
        <v>4.4000000000000004</v>
      </c>
      <c r="D165" s="2">
        <v>4.37</v>
      </c>
      <c r="E165" s="2">
        <v>4.59</v>
      </c>
      <c r="F165" s="2">
        <v>4.62</v>
      </c>
      <c r="G165" s="2">
        <v>4.58</v>
      </c>
      <c r="H165" s="13">
        <v>5.5575432999999999</v>
      </c>
      <c r="I165" s="13">
        <v>4.8613375000000003</v>
      </c>
      <c r="J165" s="13">
        <v>4.3383618999999998</v>
      </c>
      <c r="K165" s="13">
        <v>4.0221431000000001</v>
      </c>
      <c r="L165" s="13">
        <v>3.8150236999999998</v>
      </c>
      <c r="M165" s="13">
        <v>3.6961876</v>
      </c>
    </row>
    <row r="166" spans="1:13" x14ac:dyDescent="0.25">
      <c r="A166" t="s">
        <v>171</v>
      </c>
      <c r="B166" s="2">
        <v>5.03</v>
      </c>
      <c r="C166" s="2">
        <v>4.53</v>
      </c>
      <c r="D166" s="2">
        <v>4.53</v>
      </c>
      <c r="E166" s="2">
        <v>4.75</v>
      </c>
      <c r="F166" s="2">
        <v>4.7699999999999996</v>
      </c>
      <c r="G166" s="2">
        <v>4.7300000000000004</v>
      </c>
      <c r="H166" s="13">
        <v>5.7159215999999997</v>
      </c>
      <c r="I166" s="13">
        <v>5.0628055999999999</v>
      </c>
      <c r="J166" s="13">
        <v>4.4973767999999996</v>
      </c>
      <c r="K166" s="13">
        <v>4.1672412000000003</v>
      </c>
      <c r="L166" s="13">
        <v>3.9615909</v>
      </c>
      <c r="M166" s="13">
        <v>3.8470043999999999</v>
      </c>
    </row>
    <row r="167" spans="1:13" x14ac:dyDescent="0.25">
      <c r="A167" t="s">
        <v>172</v>
      </c>
      <c r="B167" s="2">
        <v>5.0599999999999996</v>
      </c>
      <c r="C167" s="2">
        <v>4.5599999999999996</v>
      </c>
      <c r="D167" s="2">
        <v>4.5599999999999996</v>
      </c>
      <c r="E167" s="2">
        <v>4.7699999999999996</v>
      </c>
      <c r="F167" s="2">
        <v>4.79</v>
      </c>
      <c r="G167" s="2">
        <v>4.75</v>
      </c>
      <c r="H167" s="13">
        <v>5.8098438000000003</v>
      </c>
      <c r="I167" s="13">
        <v>5.1294940000000002</v>
      </c>
      <c r="J167" s="13">
        <v>4.5042866999999998</v>
      </c>
      <c r="K167" s="13">
        <v>4.1579151999999997</v>
      </c>
      <c r="L167" s="13">
        <v>3.9589625000000002</v>
      </c>
      <c r="M167" s="13">
        <v>3.8546249000000001</v>
      </c>
    </row>
    <row r="168" spans="1:13" x14ac:dyDescent="0.25">
      <c r="A168" t="s">
        <v>173</v>
      </c>
      <c r="B168" s="2">
        <v>5.12</v>
      </c>
      <c r="C168" s="2">
        <v>4.6100000000000003</v>
      </c>
      <c r="D168" s="2">
        <v>4.5999999999999996</v>
      </c>
      <c r="E168" s="2">
        <v>4.82</v>
      </c>
      <c r="F168" s="2">
        <v>4.84</v>
      </c>
      <c r="G168" s="2">
        <v>4.79</v>
      </c>
      <c r="H168" s="13">
        <v>5.8841152000000001</v>
      </c>
      <c r="I168" s="13">
        <v>5.1495009999999999</v>
      </c>
      <c r="J168" s="13">
        <v>4.5053035000000001</v>
      </c>
      <c r="K168" s="13">
        <v>4.1738530999999996</v>
      </c>
      <c r="L168" s="13">
        <v>3.9859615000000002</v>
      </c>
      <c r="M168" s="13">
        <v>3.8822869999999998</v>
      </c>
    </row>
    <row r="169" spans="1:13" x14ac:dyDescent="0.25">
      <c r="A169" t="s">
        <v>174</v>
      </c>
      <c r="B169" s="2">
        <v>5.17</v>
      </c>
      <c r="C169" s="2">
        <v>4.6500000000000004</v>
      </c>
      <c r="D169" s="2">
        <v>4.6399999999999997</v>
      </c>
      <c r="E169" s="2">
        <v>4.8499999999999996</v>
      </c>
      <c r="F169" s="2">
        <v>4.88</v>
      </c>
      <c r="G169" s="2">
        <v>4.83</v>
      </c>
      <c r="H169" s="13">
        <v>5.9337514999999996</v>
      </c>
      <c r="I169" s="13">
        <v>5.1984323999999997</v>
      </c>
      <c r="J169" s="13">
        <v>4.5636964000000004</v>
      </c>
      <c r="K169" s="13">
        <v>4.2370045999999997</v>
      </c>
      <c r="L169" s="13">
        <v>4.0429487999999996</v>
      </c>
      <c r="M169" s="13">
        <v>3.9294500000000001</v>
      </c>
    </row>
    <row r="170" spans="1:13" x14ac:dyDescent="0.25">
      <c r="A170" t="s">
        <v>175</v>
      </c>
      <c r="B170" s="2">
        <v>5.27</v>
      </c>
      <c r="C170" s="2">
        <v>4.75</v>
      </c>
      <c r="D170" s="2">
        <v>4.75</v>
      </c>
      <c r="E170" s="2">
        <v>4.96</v>
      </c>
      <c r="F170" s="2">
        <v>4.9800000000000004</v>
      </c>
      <c r="G170" s="2">
        <v>4.93</v>
      </c>
      <c r="H170" s="13">
        <v>6.0219005000000001</v>
      </c>
      <c r="I170" s="13">
        <v>5.3206065999999996</v>
      </c>
      <c r="J170" s="13">
        <v>4.7246369000000001</v>
      </c>
      <c r="K170" s="13">
        <v>4.3715273000000003</v>
      </c>
      <c r="L170" s="13">
        <v>4.1453964000000001</v>
      </c>
      <c r="M170" s="13">
        <v>4.0139015000000002</v>
      </c>
    </row>
    <row r="171" spans="1:13" x14ac:dyDescent="0.25">
      <c r="A171" t="s">
        <v>176</v>
      </c>
      <c r="B171" s="2">
        <v>5.19</v>
      </c>
      <c r="C171" s="2">
        <v>4.6900000000000004</v>
      </c>
      <c r="D171" s="2">
        <v>4.67</v>
      </c>
      <c r="E171" s="2">
        <v>4.8899999999999997</v>
      </c>
      <c r="F171" s="2">
        <v>4.91</v>
      </c>
      <c r="G171" s="2">
        <v>4.8600000000000003</v>
      </c>
      <c r="H171" s="13">
        <v>5.9122396999999998</v>
      </c>
      <c r="I171" s="13">
        <v>5.2354816</v>
      </c>
      <c r="J171" s="13">
        <v>4.6580690999999996</v>
      </c>
      <c r="K171" s="13">
        <v>4.3148137000000002</v>
      </c>
      <c r="L171" s="13">
        <v>4.0913095999999998</v>
      </c>
      <c r="M171" s="13">
        <v>3.9620902</v>
      </c>
    </row>
    <row r="172" spans="1:13" x14ac:dyDescent="0.25">
      <c r="A172" t="s">
        <v>177</v>
      </c>
      <c r="B172" s="2">
        <v>5.23</v>
      </c>
      <c r="C172" s="2">
        <v>4.74</v>
      </c>
      <c r="D172" s="2">
        <v>4.7300000000000004</v>
      </c>
      <c r="E172" s="2">
        <v>4.95</v>
      </c>
      <c r="F172" s="2">
        <v>4.96</v>
      </c>
      <c r="G172" s="2">
        <v>4.92</v>
      </c>
      <c r="H172" s="13">
        <v>5.9930870000000001</v>
      </c>
      <c r="I172" s="13">
        <v>5.3348868999999999</v>
      </c>
      <c r="J172" s="13">
        <v>4.7033484000000003</v>
      </c>
      <c r="K172" s="13">
        <v>4.3367481000000003</v>
      </c>
      <c r="L172" s="13">
        <v>4.1215419000000004</v>
      </c>
      <c r="M172" s="13">
        <v>4.0055817999999999</v>
      </c>
    </row>
    <row r="173" spans="1:13" x14ac:dyDescent="0.25">
      <c r="A173" t="s">
        <v>178</v>
      </c>
      <c r="B173" s="2">
        <v>5.14</v>
      </c>
      <c r="C173" s="2">
        <v>4.68</v>
      </c>
      <c r="D173" s="2">
        <v>4.6500000000000004</v>
      </c>
      <c r="E173" s="2">
        <v>4.8600000000000003</v>
      </c>
      <c r="F173" s="2">
        <v>4.87</v>
      </c>
      <c r="G173" s="2">
        <v>4.84</v>
      </c>
      <c r="H173" s="13">
        <v>5.9197837</v>
      </c>
      <c r="I173" s="13">
        <v>5.2579728000000001</v>
      </c>
      <c r="J173" s="13">
        <v>4.6307038</v>
      </c>
      <c r="K173" s="13">
        <v>4.2708301000000004</v>
      </c>
      <c r="L173" s="13">
        <v>4.0572089</v>
      </c>
      <c r="M173" s="13">
        <v>3.9373613999999999</v>
      </c>
    </row>
    <row r="174" spans="1:13" x14ac:dyDescent="0.25">
      <c r="A174" t="s">
        <v>179</v>
      </c>
      <c r="B174" s="2">
        <v>4.95</v>
      </c>
      <c r="C174" s="2">
        <v>4.4800000000000004</v>
      </c>
      <c r="D174" s="2">
        <v>4.46</v>
      </c>
      <c r="E174" s="2">
        <v>4.6900000000000004</v>
      </c>
      <c r="F174" s="2">
        <v>4.71</v>
      </c>
      <c r="G174" s="2">
        <v>4.68</v>
      </c>
      <c r="H174" s="13">
        <v>5.7126738000000001</v>
      </c>
      <c r="I174" s="13">
        <v>4.9678490999999996</v>
      </c>
      <c r="J174" s="13">
        <v>4.4029467000000002</v>
      </c>
      <c r="K174" s="13">
        <v>4.0986719999999996</v>
      </c>
      <c r="L174" s="13">
        <v>3.9010066999999999</v>
      </c>
      <c r="M174" s="13">
        <v>3.7814958999999999</v>
      </c>
    </row>
    <row r="175" spans="1:13" x14ac:dyDescent="0.25">
      <c r="A175" t="s">
        <v>180</v>
      </c>
      <c r="B175" s="2">
        <v>4.97</v>
      </c>
      <c r="C175" s="2">
        <v>4.4800000000000004</v>
      </c>
      <c r="D175" s="2">
        <v>4.4400000000000004</v>
      </c>
      <c r="E175" s="2">
        <v>4.66</v>
      </c>
      <c r="F175" s="2">
        <v>4.68</v>
      </c>
      <c r="G175" s="2">
        <v>4.6500000000000004</v>
      </c>
      <c r="H175" s="13">
        <v>5.6714181999999997</v>
      </c>
      <c r="I175" s="13">
        <v>4.9250594000000003</v>
      </c>
      <c r="J175" s="13">
        <v>4.4097572999999999</v>
      </c>
      <c r="K175" s="13">
        <v>4.0974364000000003</v>
      </c>
      <c r="L175" s="13">
        <v>3.8783639000000001</v>
      </c>
      <c r="M175" s="13">
        <v>3.7446632000000002</v>
      </c>
    </row>
    <row r="176" spans="1:13" x14ac:dyDescent="0.25">
      <c r="A176" t="s">
        <v>181</v>
      </c>
      <c r="B176" s="2">
        <v>5.01</v>
      </c>
      <c r="C176" s="2">
        <v>4.78</v>
      </c>
      <c r="D176" s="2">
        <v>4.4400000000000004</v>
      </c>
      <c r="E176" s="2">
        <v>4.6500000000000004</v>
      </c>
      <c r="F176" s="2">
        <v>4.66</v>
      </c>
      <c r="G176" s="2">
        <v>4.63</v>
      </c>
      <c r="H176" s="13">
        <v>5.7424679000000003</v>
      </c>
      <c r="I176" s="13">
        <v>4.9701605000000004</v>
      </c>
      <c r="J176" s="13">
        <v>4.4045610000000002</v>
      </c>
      <c r="K176" s="13">
        <v>4.1007230000000003</v>
      </c>
      <c r="L176" s="13">
        <v>3.8850771000000002</v>
      </c>
      <c r="M176" s="13">
        <v>3.7451473000000002</v>
      </c>
    </row>
    <row r="177" spans="1:13" x14ac:dyDescent="0.25">
      <c r="A177" t="s">
        <v>182</v>
      </c>
      <c r="B177" s="2">
        <v>5.27</v>
      </c>
      <c r="C177" s="2" t="e">
        <v>#N/A</v>
      </c>
      <c r="D177" s="2">
        <v>4.4400000000000004</v>
      </c>
      <c r="E177" s="2">
        <v>4.66</v>
      </c>
      <c r="F177" s="2">
        <v>4.67</v>
      </c>
      <c r="G177" s="2" t="e">
        <v>#N/A</v>
      </c>
      <c r="H177" s="13" t="e">
        <v>#N/A</v>
      </c>
      <c r="I177" s="13" t="e">
        <v>#N/A</v>
      </c>
      <c r="J177" s="13" t="e">
        <v>#N/A</v>
      </c>
      <c r="K177" s="13" t="e">
        <v>#N/A</v>
      </c>
      <c r="L177" s="13" t="e">
        <v>#N/A</v>
      </c>
      <c r="M177" s="13" t="e">
        <v>#N/A</v>
      </c>
    </row>
    <row r="178" spans="1:13" x14ac:dyDescent="0.25">
      <c r="A178" t="s">
        <v>183</v>
      </c>
      <c r="B178" s="2">
        <v>5.22</v>
      </c>
      <c r="C178" s="2">
        <v>4.75</v>
      </c>
      <c r="D178" s="2">
        <v>4.42</v>
      </c>
      <c r="E178" s="2">
        <v>4.6399999999999997</v>
      </c>
      <c r="F178" s="2">
        <v>4.66</v>
      </c>
      <c r="G178" s="2">
        <v>4.63</v>
      </c>
      <c r="H178" s="13">
        <v>5.6076630999999999</v>
      </c>
      <c r="I178" s="13">
        <v>4.8876676999999997</v>
      </c>
      <c r="J178" s="13">
        <v>4.3556799000000002</v>
      </c>
      <c r="K178" s="13">
        <v>4.0488356999999997</v>
      </c>
      <c r="L178" s="13">
        <v>3.8639215999999998</v>
      </c>
      <c r="M178" s="13">
        <v>3.7611810000000001</v>
      </c>
    </row>
    <row r="179" spans="1:13" x14ac:dyDescent="0.25">
      <c r="A179" t="s">
        <v>184</v>
      </c>
      <c r="B179" s="2">
        <v>5.22</v>
      </c>
      <c r="C179" s="2">
        <v>4.74</v>
      </c>
      <c r="D179" s="2">
        <v>4.43</v>
      </c>
      <c r="E179" s="2">
        <v>4.6500000000000004</v>
      </c>
      <c r="F179" s="2">
        <v>4.68</v>
      </c>
      <c r="G179" s="2">
        <v>4.66</v>
      </c>
      <c r="H179" s="13">
        <v>5.6971778999999998</v>
      </c>
      <c r="I179" s="13">
        <v>4.8856830999999996</v>
      </c>
      <c r="J179" s="13">
        <v>4.3353606999999998</v>
      </c>
      <c r="K179" s="13">
        <v>4.0457583000000001</v>
      </c>
      <c r="L179" s="13">
        <v>3.8633533</v>
      </c>
      <c r="M179" s="13">
        <v>3.7587484</v>
      </c>
    </row>
    <row r="180" spans="1:13" x14ac:dyDescent="0.25">
      <c r="A180" t="s">
        <v>185</v>
      </c>
      <c r="B180" s="2">
        <v>5.14</v>
      </c>
      <c r="C180" s="2">
        <v>4.67</v>
      </c>
      <c r="D180" s="2">
        <v>4.3600000000000003</v>
      </c>
      <c r="E180" s="2">
        <v>4.58</v>
      </c>
      <c r="F180" s="2">
        <v>4.62</v>
      </c>
      <c r="G180" s="2">
        <v>4.6100000000000003</v>
      </c>
      <c r="H180" s="13">
        <v>5.5942670999999997</v>
      </c>
      <c r="I180" s="13">
        <v>4.8119056999999996</v>
      </c>
      <c r="J180" s="13">
        <v>4.2734098999999999</v>
      </c>
      <c r="K180" s="13">
        <v>3.9754311000000002</v>
      </c>
      <c r="L180" s="13">
        <v>3.7970394999999999</v>
      </c>
      <c r="M180" s="13">
        <v>3.7003180000000002</v>
      </c>
    </row>
    <row r="181" spans="1:13" x14ac:dyDescent="0.25">
      <c r="A181" t="s">
        <v>186</v>
      </c>
      <c r="B181" s="2">
        <v>5.14</v>
      </c>
      <c r="C181" s="2">
        <v>4.68</v>
      </c>
      <c r="D181" s="2">
        <v>4.4000000000000004</v>
      </c>
      <c r="E181" s="2">
        <v>4.63</v>
      </c>
      <c r="F181" s="2">
        <v>4.68</v>
      </c>
      <c r="G181" s="2">
        <v>4.67</v>
      </c>
      <c r="H181" s="13">
        <v>5.5274239999999999</v>
      </c>
      <c r="I181" s="13">
        <v>4.8202685000000001</v>
      </c>
      <c r="J181" s="13">
        <v>4.3437855000000001</v>
      </c>
      <c r="K181" s="13">
        <v>4.0493259999999998</v>
      </c>
      <c r="L181" s="13">
        <v>3.8608804000000001</v>
      </c>
      <c r="M181" s="13">
        <v>3.7588716</v>
      </c>
    </row>
    <row r="182" spans="1:13" x14ac:dyDescent="0.25">
      <c r="A182" t="s">
        <v>187</v>
      </c>
      <c r="B182" s="2">
        <v>5.2</v>
      </c>
      <c r="C182" s="2">
        <v>4.74</v>
      </c>
      <c r="D182" s="2">
        <v>4.47</v>
      </c>
      <c r="E182" s="2">
        <v>4.71</v>
      </c>
      <c r="F182" s="2">
        <v>4.76</v>
      </c>
      <c r="G182" s="2">
        <v>4.76</v>
      </c>
      <c r="H182" s="13">
        <v>5.5848461</v>
      </c>
      <c r="I182" s="13">
        <v>4.8827135000000004</v>
      </c>
      <c r="J182" s="13">
        <v>4.3783592000000002</v>
      </c>
      <c r="K182" s="13">
        <v>4.0830780999999998</v>
      </c>
      <c r="L182" s="13">
        <v>3.9015316000000002</v>
      </c>
      <c r="M182" s="13">
        <v>3.8130837</v>
      </c>
    </row>
    <row r="183" spans="1:13" x14ac:dyDescent="0.25">
      <c r="A183" t="s">
        <v>188</v>
      </c>
      <c r="B183" s="2">
        <v>5.26</v>
      </c>
      <c r="C183" s="2">
        <v>4.8</v>
      </c>
      <c r="D183" s="2">
        <v>4.5199999999999996</v>
      </c>
      <c r="E183" s="2">
        <v>4.76</v>
      </c>
      <c r="F183" s="2">
        <v>4.8</v>
      </c>
      <c r="G183" s="2">
        <v>4.79</v>
      </c>
      <c r="H183" s="13">
        <v>5.6458062</v>
      </c>
      <c r="I183" s="13">
        <v>4.9633351000000001</v>
      </c>
      <c r="J183" s="13">
        <v>4.4281698</v>
      </c>
      <c r="K183" s="13">
        <v>4.1204571000000003</v>
      </c>
      <c r="L183" s="13">
        <v>3.9409171999999999</v>
      </c>
      <c r="M183" s="13">
        <v>3.8517665999999999</v>
      </c>
    </row>
    <row r="184" spans="1:13" x14ac:dyDescent="0.25">
      <c r="A184" t="s">
        <v>189</v>
      </c>
      <c r="B184" s="2">
        <v>5.22</v>
      </c>
      <c r="C184" s="2">
        <v>4.8</v>
      </c>
      <c r="D184" s="2">
        <v>4.53</v>
      </c>
      <c r="E184" s="2">
        <v>4.75</v>
      </c>
      <c r="F184" s="2">
        <v>4.79</v>
      </c>
      <c r="G184" s="2">
        <v>4.78</v>
      </c>
      <c r="H184" s="13">
        <v>5.6324828</v>
      </c>
      <c r="I184" s="13">
        <v>4.9591339999999997</v>
      </c>
      <c r="J184" s="13">
        <v>4.4414787000000002</v>
      </c>
      <c r="K184" s="13">
        <v>4.1452426999999998</v>
      </c>
      <c r="L184" s="13">
        <v>3.9633419999999999</v>
      </c>
      <c r="M184" s="13">
        <v>3.8672819999999999</v>
      </c>
    </row>
    <row r="185" spans="1:13" x14ac:dyDescent="0.25">
      <c r="A185" t="s">
        <v>190</v>
      </c>
      <c r="B185" s="2">
        <v>5.14</v>
      </c>
      <c r="C185" s="2">
        <v>4.72</v>
      </c>
      <c r="D185" s="2">
        <v>4.46</v>
      </c>
      <c r="E185" s="2">
        <v>4.6900000000000004</v>
      </c>
      <c r="F185" s="2">
        <v>4.7300000000000004</v>
      </c>
      <c r="G185" s="2">
        <v>4.71</v>
      </c>
      <c r="H185" s="13">
        <v>5.5037675999999998</v>
      </c>
      <c r="I185" s="13">
        <v>4.7982363000000001</v>
      </c>
      <c r="J185" s="13">
        <v>4.3436627999999997</v>
      </c>
      <c r="K185" s="13">
        <v>4.0855893999999999</v>
      </c>
      <c r="L185" s="13">
        <v>3.9198601000000002</v>
      </c>
      <c r="M185" s="13">
        <v>3.8307259</v>
      </c>
    </row>
    <row r="186" spans="1:13" x14ac:dyDescent="0.25">
      <c r="A186" t="s">
        <v>191</v>
      </c>
      <c r="B186" s="2">
        <v>5.08</v>
      </c>
      <c r="C186" s="2">
        <v>4.66</v>
      </c>
      <c r="D186" s="2">
        <v>4.42</v>
      </c>
      <c r="E186" s="2">
        <v>4.66</v>
      </c>
      <c r="F186" s="2">
        <v>4.71</v>
      </c>
      <c r="G186" s="2">
        <v>4.7</v>
      </c>
      <c r="H186" s="13">
        <v>5.4251103000000001</v>
      </c>
      <c r="I186" s="13">
        <v>4.7470501000000001</v>
      </c>
      <c r="J186" s="13">
        <v>4.3092744999999999</v>
      </c>
      <c r="K186" s="13">
        <v>4.0524678999999999</v>
      </c>
      <c r="L186" s="13">
        <v>3.8801825000000001</v>
      </c>
      <c r="M186" s="13">
        <v>3.7849308000000002</v>
      </c>
    </row>
    <row r="187" spans="1:13" x14ac:dyDescent="0.25">
      <c r="A187" t="s">
        <v>192</v>
      </c>
      <c r="B187" s="2">
        <v>5.08</v>
      </c>
      <c r="C187" s="2">
        <v>4.7</v>
      </c>
      <c r="D187" s="2">
        <v>4.47</v>
      </c>
      <c r="E187" s="2">
        <v>4.7</v>
      </c>
      <c r="F187" s="2">
        <v>4.7699999999999996</v>
      </c>
      <c r="G187" s="2">
        <v>4.7699999999999996</v>
      </c>
      <c r="H187" s="13">
        <v>5.4492228999999996</v>
      </c>
      <c r="I187" s="13">
        <v>4.7580713000000001</v>
      </c>
      <c r="J187" s="13">
        <v>4.3209378999999997</v>
      </c>
      <c r="K187" s="13">
        <v>4.0749048999999999</v>
      </c>
      <c r="L187" s="13">
        <v>3.9126530000000002</v>
      </c>
      <c r="M187" s="13">
        <v>3.8304524</v>
      </c>
    </row>
    <row r="188" spans="1:13" x14ac:dyDescent="0.25">
      <c r="A188" t="s">
        <v>193</v>
      </c>
      <c r="B188" s="2">
        <v>5.04</v>
      </c>
      <c r="C188" s="2">
        <v>4.6500000000000004</v>
      </c>
      <c r="D188" s="2">
        <v>4.42</v>
      </c>
      <c r="E188" s="2">
        <v>4.66</v>
      </c>
      <c r="F188" s="2">
        <v>4.7300000000000004</v>
      </c>
      <c r="G188" s="2">
        <v>4.74</v>
      </c>
      <c r="H188" s="13">
        <v>5.4300347000000002</v>
      </c>
      <c r="I188" s="13">
        <v>4.7073600999999998</v>
      </c>
      <c r="J188" s="13">
        <v>4.2642483000000002</v>
      </c>
      <c r="K188" s="13">
        <v>4.0263970000000002</v>
      </c>
      <c r="L188" s="13">
        <v>3.8734196999999999</v>
      </c>
      <c r="M188" s="13">
        <v>3.7934619000000001</v>
      </c>
    </row>
    <row r="189" spans="1:13" x14ac:dyDescent="0.25">
      <c r="A189" t="s">
        <v>194</v>
      </c>
      <c r="B189" s="2">
        <v>4.97</v>
      </c>
      <c r="C189" s="2">
        <v>4.55</v>
      </c>
      <c r="D189" s="2">
        <v>4.34</v>
      </c>
      <c r="E189" s="2">
        <v>4.58</v>
      </c>
      <c r="F189" s="2">
        <v>4.6399999999999997</v>
      </c>
      <c r="G189" s="2">
        <v>4.6500000000000004</v>
      </c>
      <c r="H189" s="13">
        <v>5.3638699000000001</v>
      </c>
      <c r="I189" s="13">
        <v>4.5642858999999998</v>
      </c>
      <c r="J189" s="13">
        <v>4.1354953999999999</v>
      </c>
      <c r="K189" s="13">
        <v>3.9296327</v>
      </c>
      <c r="L189" s="13">
        <v>3.7966204000000001</v>
      </c>
      <c r="M189" s="13">
        <v>3.7245694</v>
      </c>
    </row>
    <row r="190" spans="1:13" x14ac:dyDescent="0.25">
      <c r="A190" t="s">
        <v>195</v>
      </c>
      <c r="B190" s="2">
        <v>4.95</v>
      </c>
      <c r="C190" s="2">
        <v>4.5</v>
      </c>
      <c r="D190" s="2">
        <v>4.3</v>
      </c>
      <c r="E190" s="2">
        <v>4.54</v>
      </c>
      <c r="F190" s="2">
        <v>4.6100000000000003</v>
      </c>
      <c r="G190" s="2">
        <v>4.62</v>
      </c>
      <c r="H190" s="13">
        <v>5.3271138999999996</v>
      </c>
      <c r="I190" s="13">
        <v>4.4912631000000003</v>
      </c>
      <c r="J190" s="13">
        <v>4.0630332999999998</v>
      </c>
      <c r="K190" s="13">
        <v>3.8612918000000001</v>
      </c>
      <c r="L190" s="13">
        <v>3.7401206999999999</v>
      </c>
      <c r="M190" s="13">
        <v>3.6800356000000001</v>
      </c>
    </row>
    <row r="191" spans="1:13" x14ac:dyDescent="0.25">
      <c r="A191" t="s">
        <v>196</v>
      </c>
      <c r="B191" s="2">
        <v>5.03</v>
      </c>
      <c r="C191" s="2">
        <v>4.54</v>
      </c>
      <c r="D191" s="2">
        <v>4.37</v>
      </c>
      <c r="E191" s="2">
        <v>4.62</v>
      </c>
      <c r="F191" s="2">
        <v>4.6900000000000004</v>
      </c>
      <c r="G191" s="2">
        <v>4.7</v>
      </c>
      <c r="H191" s="13">
        <v>5.3634392999999996</v>
      </c>
      <c r="I191" s="13">
        <v>4.5171830000000002</v>
      </c>
      <c r="J191" s="13">
        <v>4.0987333000000001</v>
      </c>
      <c r="K191" s="13">
        <v>3.9245926</v>
      </c>
      <c r="L191" s="13">
        <v>3.8196728000000002</v>
      </c>
      <c r="M191" s="13">
        <v>3.7683599000000001</v>
      </c>
    </row>
    <row r="192" spans="1:13" x14ac:dyDescent="0.25">
      <c r="A192" t="s">
        <v>197</v>
      </c>
      <c r="B192" s="2">
        <v>5.0199999999999996</v>
      </c>
      <c r="C192" s="2">
        <v>4.5599999999999996</v>
      </c>
      <c r="D192" s="2">
        <v>4.38</v>
      </c>
      <c r="E192" s="2">
        <v>4.63</v>
      </c>
      <c r="F192" s="2">
        <v>4.71</v>
      </c>
      <c r="G192" s="2">
        <v>4.72</v>
      </c>
      <c r="H192" s="13">
        <v>5.3841041000000001</v>
      </c>
      <c r="I192" s="13">
        <v>4.6183969999999999</v>
      </c>
      <c r="J192" s="13">
        <v>4.1806497</v>
      </c>
      <c r="K192" s="13">
        <v>3.9548904999999999</v>
      </c>
      <c r="L192" s="13">
        <v>3.8196146999999998</v>
      </c>
      <c r="M192" s="13">
        <v>3.7594110000000001</v>
      </c>
    </row>
    <row r="193" spans="1:13" x14ac:dyDescent="0.25">
      <c r="A193" t="s">
        <v>198</v>
      </c>
      <c r="B193" s="2">
        <v>5.01</v>
      </c>
      <c r="C193" s="2">
        <v>4.55</v>
      </c>
      <c r="D193" s="2">
        <v>4.3600000000000003</v>
      </c>
      <c r="E193" s="2">
        <v>4.62</v>
      </c>
      <c r="F193" s="2">
        <v>4.71</v>
      </c>
      <c r="G193" s="2">
        <v>4.7300000000000004</v>
      </c>
      <c r="H193" s="13">
        <v>5.3507309999999997</v>
      </c>
      <c r="I193" s="13">
        <v>4.5846836</v>
      </c>
      <c r="J193" s="13">
        <v>4.146185</v>
      </c>
      <c r="K193" s="13">
        <v>3.9342831999999999</v>
      </c>
      <c r="L193" s="13">
        <v>3.8138312000000001</v>
      </c>
      <c r="M193" s="13">
        <v>3.7614087999999999</v>
      </c>
    </row>
    <row r="194" spans="1:13" x14ac:dyDescent="0.25">
      <c r="A194" t="s">
        <v>199</v>
      </c>
      <c r="B194" s="2">
        <v>4.84</v>
      </c>
      <c r="C194" s="2">
        <v>4.38</v>
      </c>
      <c r="D194" s="2">
        <v>4.21</v>
      </c>
      <c r="E194" s="2">
        <v>4.5</v>
      </c>
      <c r="F194" s="2">
        <v>4.59</v>
      </c>
      <c r="G194" s="2">
        <v>4.63</v>
      </c>
      <c r="H194" s="13">
        <v>5.1851466000000004</v>
      </c>
      <c r="I194" s="13">
        <v>4.383432</v>
      </c>
      <c r="J194" s="13">
        <v>3.9488523</v>
      </c>
      <c r="K194" s="13">
        <v>3.7642506</v>
      </c>
      <c r="L194" s="13">
        <v>3.67238</v>
      </c>
      <c r="M194" s="13">
        <v>3.6411074999999999</v>
      </c>
    </row>
    <row r="195" spans="1:13" x14ac:dyDescent="0.25">
      <c r="A195" t="s">
        <v>200</v>
      </c>
      <c r="B195" s="2">
        <v>4.8499999999999996</v>
      </c>
      <c r="C195" s="2">
        <v>4.42</v>
      </c>
      <c r="D195" s="2">
        <v>4.3</v>
      </c>
      <c r="E195" s="2">
        <v>4.59</v>
      </c>
      <c r="F195" s="2">
        <v>4.67</v>
      </c>
      <c r="G195" s="2">
        <v>4.7</v>
      </c>
      <c r="H195" s="13">
        <v>5.2004261999999999</v>
      </c>
      <c r="I195" s="13">
        <v>4.4077121999999997</v>
      </c>
      <c r="J195" s="13">
        <v>4.0097047000000003</v>
      </c>
      <c r="K195" s="13">
        <v>3.8368321999999999</v>
      </c>
      <c r="L195" s="13">
        <v>3.7509899999999998</v>
      </c>
      <c r="M195" s="13">
        <v>3.7250219000000002</v>
      </c>
    </row>
    <row r="196" spans="1:13" x14ac:dyDescent="0.25">
      <c r="A196" t="s">
        <v>201</v>
      </c>
      <c r="B196" s="2">
        <v>4.79</v>
      </c>
      <c r="C196" s="2">
        <v>4.3600000000000003</v>
      </c>
      <c r="D196" s="2">
        <v>4.25</v>
      </c>
      <c r="E196" s="2">
        <v>4.54</v>
      </c>
      <c r="F196" s="2">
        <v>4.6399999999999997</v>
      </c>
      <c r="G196" s="2">
        <v>4.68</v>
      </c>
      <c r="H196" s="13">
        <v>5.1267164999999997</v>
      </c>
      <c r="I196" s="13">
        <v>4.3202182000000002</v>
      </c>
      <c r="J196" s="13">
        <v>3.9496671000000001</v>
      </c>
      <c r="K196" s="13">
        <v>3.8174047999999998</v>
      </c>
      <c r="L196" s="13">
        <v>3.7447092</v>
      </c>
      <c r="M196" s="13">
        <v>3.7166921999999998</v>
      </c>
    </row>
    <row r="197" spans="1:13" x14ac:dyDescent="0.25">
      <c r="A197" t="s">
        <v>202</v>
      </c>
      <c r="B197" s="2">
        <v>4.8099999999999996</v>
      </c>
      <c r="C197" s="2">
        <v>4.4000000000000004</v>
      </c>
      <c r="D197" s="2">
        <v>4.33</v>
      </c>
      <c r="E197" s="2">
        <v>4.6399999999999997</v>
      </c>
      <c r="F197" s="2">
        <v>4.75</v>
      </c>
      <c r="G197" s="2">
        <v>4.8</v>
      </c>
      <c r="H197" s="13">
        <v>5.0987552999999997</v>
      </c>
      <c r="I197" s="13">
        <v>4.4001975</v>
      </c>
      <c r="J197" s="13">
        <v>4.0444348000000003</v>
      </c>
      <c r="K197" s="13">
        <v>3.8786881000000002</v>
      </c>
      <c r="L197" s="13">
        <v>3.8044554000000002</v>
      </c>
      <c r="M197" s="13">
        <v>3.7975210000000001</v>
      </c>
    </row>
    <row r="198" spans="1:13" x14ac:dyDescent="0.25">
      <c r="A198" t="s">
        <v>203</v>
      </c>
      <c r="B198" s="2">
        <v>4.8099999999999996</v>
      </c>
      <c r="C198" s="2">
        <v>4.41</v>
      </c>
      <c r="D198" s="2">
        <v>4.33</v>
      </c>
      <c r="E198" s="2">
        <v>4.6500000000000004</v>
      </c>
      <c r="F198" s="2">
        <v>4.75</v>
      </c>
      <c r="G198" s="2">
        <v>4.8099999999999996</v>
      </c>
      <c r="H198" s="13">
        <v>5.1629825</v>
      </c>
      <c r="I198" s="13">
        <v>4.4193337000000001</v>
      </c>
      <c r="J198" s="13">
        <v>4.0154813999999996</v>
      </c>
      <c r="K198" s="13">
        <v>3.8484140999999998</v>
      </c>
      <c r="L198" s="13">
        <v>3.7898635000000001</v>
      </c>
      <c r="M198" s="13">
        <v>3.8014009999999998</v>
      </c>
    </row>
    <row r="199" spans="1:13" x14ac:dyDescent="0.25">
      <c r="A199" t="s">
        <v>204</v>
      </c>
      <c r="B199" s="2">
        <v>4.88</v>
      </c>
      <c r="C199" s="2">
        <v>4.4800000000000004</v>
      </c>
      <c r="D199" s="2">
        <v>4.38</v>
      </c>
      <c r="E199" s="2">
        <v>4.68</v>
      </c>
      <c r="F199" s="2">
        <v>4.76</v>
      </c>
      <c r="G199" s="2">
        <v>4.8099999999999996</v>
      </c>
      <c r="H199" s="13">
        <v>5.2276809999999996</v>
      </c>
      <c r="I199" s="13">
        <v>4.5124157</v>
      </c>
      <c r="J199" s="13">
        <v>4.1024944000000003</v>
      </c>
      <c r="K199" s="13">
        <v>3.9253643999999999</v>
      </c>
      <c r="L199" s="13">
        <v>3.8503664</v>
      </c>
      <c r="M199" s="13">
        <v>3.8398694</v>
      </c>
    </row>
    <row r="200" spans="1:13" x14ac:dyDescent="0.25">
      <c r="A200" t="s">
        <v>205</v>
      </c>
      <c r="B200" s="2">
        <v>4.93</v>
      </c>
      <c r="C200" s="2">
        <v>4.58</v>
      </c>
      <c r="D200" s="2">
        <v>4.49</v>
      </c>
      <c r="E200" s="2">
        <v>4.78</v>
      </c>
      <c r="F200" s="2">
        <v>4.8600000000000003</v>
      </c>
      <c r="G200" s="2">
        <v>4.9000000000000004</v>
      </c>
      <c r="H200" s="13">
        <v>5.2496622000000004</v>
      </c>
      <c r="I200" s="13">
        <v>4.6400002999999996</v>
      </c>
      <c r="J200" s="13">
        <v>4.2529687000000003</v>
      </c>
      <c r="K200" s="13">
        <v>4.0495308000000003</v>
      </c>
      <c r="L200" s="13">
        <v>3.9471314999999998</v>
      </c>
      <c r="M200" s="13">
        <v>3.9169651000000001</v>
      </c>
    </row>
    <row r="201" spans="1:13" x14ac:dyDescent="0.25">
      <c r="A201" t="s">
        <v>206</v>
      </c>
      <c r="B201" s="2">
        <v>4.91</v>
      </c>
      <c r="C201" s="2">
        <v>4.53</v>
      </c>
      <c r="D201" s="2">
        <v>4.46</v>
      </c>
      <c r="E201" s="2">
        <v>4.76</v>
      </c>
      <c r="F201" s="2">
        <v>4.8600000000000003</v>
      </c>
      <c r="G201" s="2">
        <v>4.92</v>
      </c>
      <c r="H201" s="13">
        <v>5.1569861000000001</v>
      </c>
      <c r="I201" s="13">
        <v>4.5061014999999998</v>
      </c>
      <c r="J201" s="13">
        <v>4.1760261999999999</v>
      </c>
      <c r="K201" s="13">
        <v>4.0272492</v>
      </c>
      <c r="L201" s="13">
        <v>3.9513503000000001</v>
      </c>
      <c r="M201" s="13">
        <v>3.9318871999999998</v>
      </c>
    </row>
    <row r="202" spans="1:13" x14ac:dyDescent="0.25">
      <c r="A202" t="s">
        <v>207</v>
      </c>
      <c r="B202" s="2">
        <v>4.97</v>
      </c>
      <c r="C202" s="2">
        <v>4.6100000000000003</v>
      </c>
      <c r="D202" s="2">
        <v>4.5599999999999996</v>
      </c>
      <c r="E202" s="2">
        <v>4.87</v>
      </c>
      <c r="F202" s="2">
        <v>4.95</v>
      </c>
      <c r="G202" s="2">
        <v>5.01</v>
      </c>
      <c r="H202" s="13">
        <v>5.2300027</v>
      </c>
      <c r="I202" s="13">
        <v>4.6270876000000003</v>
      </c>
      <c r="J202" s="13">
        <v>4.2707563000000004</v>
      </c>
      <c r="K202" s="13">
        <v>4.1136511000000002</v>
      </c>
      <c r="L202" s="13">
        <v>4.0390480999999996</v>
      </c>
      <c r="M202" s="13">
        <v>4.0262795000000002</v>
      </c>
    </row>
    <row r="203" spans="1:13" x14ac:dyDescent="0.25">
      <c r="A203" t="s">
        <v>208</v>
      </c>
      <c r="B203" s="2">
        <v>4.99</v>
      </c>
      <c r="C203" s="2">
        <v>4.6399999999999997</v>
      </c>
      <c r="D203" s="2">
        <v>4.5999999999999996</v>
      </c>
      <c r="E203" s="2">
        <v>4.92</v>
      </c>
      <c r="F203" s="2">
        <v>5</v>
      </c>
      <c r="G203" s="2">
        <v>5.05</v>
      </c>
      <c r="H203" s="13">
        <v>5.2494854999999996</v>
      </c>
      <c r="I203" s="13">
        <v>4.6893028000000001</v>
      </c>
      <c r="J203" s="13">
        <v>4.2908279</v>
      </c>
      <c r="K203" s="13">
        <v>4.1202934999999998</v>
      </c>
      <c r="L203" s="13">
        <v>4.0743236999999999</v>
      </c>
      <c r="M203" s="13">
        <v>4.0926045000000002</v>
      </c>
    </row>
    <row r="204" spans="1:13" x14ac:dyDescent="0.25">
      <c r="A204" t="s">
        <v>209</v>
      </c>
      <c r="B204" s="2">
        <v>4.92</v>
      </c>
      <c r="C204" s="2">
        <v>4.6100000000000003</v>
      </c>
      <c r="D204" s="2">
        <v>4.58</v>
      </c>
      <c r="E204" s="2">
        <v>4.88</v>
      </c>
      <c r="F204" s="2">
        <v>4.96</v>
      </c>
      <c r="G204" s="2">
        <v>5</v>
      </c>
      <c r="H204" s="13">
        <v>5.2112803000000003</v>
      </c>
      <c r="I204" s="13">
        <v>4.6228819000000003</v>
      </c>
      <c r="J204" s="13">
        <v>4.2778684</v>
      </c>
      <c r="K204" s="13">
        <v>4.1377952000000002</v>
      </c>
      <c r="L204" s="13">
        <v>4.0789209</v>
      </c>
      <c r="M204" s="13">
        <v>4.0742158999999996</v>
      </c>
    </row>
    <row r="205" spans="1:13" x14ac:dyDescent="0.25">
      <c r="A205" t="s">
        <v>210</v>
      </c>
      <c r="B205" s="2">
        <v>4.8600000000000003</v>
      </c>
      <c r="C205" s="2">
        <v>4.54</v>
      </c>
      <c r="D205" s="2">
        <v>4.53</v>
      </c>
      <c r="E205" s="2">
        <v>4.84</v>
      </c>
      <c r="F205" s="2">
        <v>4.93</v>
      </c>
      <c r="G205" s="2">
        <v>4.9800000000000004</v>
      </c>
      <c r="H205" s="13">
        <v>5.1558656000000003</v>
      </c>
      <c r="I205" s="13">
        <v>4.5359211000000004</v>
      </c>
      <c r="J205" s="13">
        <v>4.2166607000000003</v>
      </c>
      <c r="K205" s="13">
        <v>4.0913462999999997</v>
      </c>
      <c r="L205" s="13">
        <v>4.0374401999999998</v>
      </c>
      <c r="M205" s="13">
        <v>4.0334484000000002</v>
      </c>
    </row>
    <row r="206" spans="1:13" x14ac:dyDescent="0.25">
      <c r="A206" t="s">
        <v>211</v>
      </c>
      <c r="B206" s="2">
        <v>4.8899999999999997</v>
      </c>
      <c r="C206" s="2">
        <v>4.58</v>
      </c>
      <c r="D206" s="2">
        <v>4.59</v>
      </c>
      <c r="E206" s="2">
        <v>4.9000000000000004</v>
      </c>
      <c r="F206" s="2">
        <v>5.01</v>
      </c>
      <c r="G206" s="2">
        <v>5.05</v>
      </c>
      <c r="H206" s="13">
        <v>5.1672247000000002</v>
      </c>
      <c r="I206" s="13">
        <v>4.6082216000000003</v>
      </c>
      <c r="J206" s="13">
        <v>4.2943702000000004</v>
      </c>
      <c r="K206" s="13">
        <v>4.1529341999999998</v>
      </c>
      <c r="L206" s="13">
        <v>4.0935604999999997</v>
      </c>
      <c r="M206" s="13">
        <v>4.0925294000000001</v>
      </c>
    </row>
    <row r="207" spans="1:13" x14ac:dyDescent="0.25">
      <c r="A207" t="s">
        <v>212</v>
      </c>
      <c r="B207" s="2">
        <v>4.83</v>
      </c>
      <c r="C207" s="2">
        <v>4.47</v>
      </c>
      <c r="D207" s="2">
        <v>4.4800000000000004</v>
      </c>
      <c r="E207" s="2">
        <v>4.8099999999999996</v>
      </c>
      <c r="F207" s="2">
        <v>4.92</v>
      </c>
      <c r="G207" s="2">
        <v>4.97</v>
      </c>
      <c r="H207" s="13">
        <v>5.1144448999999996</v>
      </c>
      <c r="I207" s="13">
        <v>4.5044044000000003</v>
      </c>
      <c r="J207" s="13">
        <v>4.1753363999999999</v>
      </c>
      <c r="K207" s="13">
        <v>4.035666</v>
      </c>
      <c r="L207" s="13">
        <v>3.9836075000000002</v>
      </c>
      <c r="M207" s="13">
        <v>3.9949808999999998</v>
      </c>
    </row>
    <row r="208" spans="1:13" x14ac:dyDescent="0.25">
      <c r="A208" t="s">
        <v>213</v>
      </c>
      <c r="B208" s="2">
        <v>4.79</v>
      </c>
      <c r="C208" s="2">
        <v>4.42</v>
      </c>
      <c r="D208" s="2">
        <v>4.42</v>
      </c>
      <c r="E208" s="2">
        <v>4.75</v>
      </c>
      <c r="F208" s="2">
        <v>4.8600000000000003</v>
      </c>
      <c r="G208" s="2">
        <v>4.91</v>
      </c>
      <c r="H208" s="13">
        <v>5.0951348000000003</v>
      </c>
      <c r="I208" s="13">
        <v>4.4605651999999996</v>
      </c>
      <c r="J208" s="13">
        <v>4.1036755999999999</v>
      </c>
      <c r="K208" s="13">
        <v>3.9508502000000001</v>
      </c>
      <c r="L208" s="13">
        <v>3.9049076</v>
      </c>
      <c r="M208" s="13">
        <v>3.9260910999999998</v>
      </c>
    </row>
    <row r="209" spans="1:13" x14ac:dyDescent="0.25">
      <c r="A209" t="s">
        <v>214</v>
      </c>
      <c r="B209" s="2">
        <v>4.78</v>
      </c>
      <c r="C209" s="2">
        <v>4.38</v>
      </c>
      <c r="D209" s="2">
        <v>4.33</v>
      </c>
      <c r="E209" s="2">
        <v>4.6399999999999997</v>
      </c>
      <c r="F209" s="2">
        <v>4.7300000000000004</v>
      </c>
      <c r="G209" s="2">
        <v>4.76</v>
      </c>
      <c r="H209" s="13">
        <v>5.0942322999999998</v>
      </c>
      <c r="I209" s="13">
        <v>4.4439149000000002</v>
      </c>
      <c r="J209" s="13">
        <v>4.0447994999999999</v>
      </c>
      <c r="K209" s="13">
        <v>3.8728446999999999</v>
      </c>
      <c r="L209" s="13">
        <v>3.8024955</v>
      </c>
      <c r="M209" s="13">
        <v>3.793774</v>
      </c>
    </row>
    <row r="210" spans="1:13" x14ac:dyDescent="0.25">
      <c r="A210" t="s">
        <v>215</v>
      </c>
      <c r="B210" s="2">
        <v>4.8499999999999996</v>
      </c>
      <c r="C210" s="2">
        <v>4.47</v>
      </c>
      <c r="D210" s="2">
        <v>4.43</v>
      </c>
      <c r="E210" s="2">
        <v>4.7300000000000004</v>
      </c>
      <c r="F210" s="2">
        <v>4.83</v>
      </c>
      <c r="G210" s="2">
        <v>4.87</v>
      </c>
      <c r="H210" s="13">
        <v>5.1331102</v>
      </c>
      <c r="I210" s="13">
        <v>4.4731788999999997</v>
      </c>
      <c r="J210" s="13">
        <v>4.1355902999999996</v>
      </c>
      <c r="K210" s="13">
        <v>4.0027194000000001</v>
      </c>
      <c r="L210" s="13">
        <v>3.9332262999999998</v>
      </c>
      <c r="M210" s="13">
        <v>3.9184961</v>
      </c>
    </row>
    <row r="211" spans="1:13" x14ac:dyDescent="0.25">
      <c r="A211" t="s">
        <v>216</v>
      </c>
      <c r="B211" s="2">
        <v>4.84</v>
      </c>
      <c r="C211" s="2">
        <v>4.45</v>
      </c>
      <c r="D211" s="2">
        <v>4.38</v>
      </c>
      <c r="E211" s="2">
        <v>4.6900000000000004</v>
      </c>
      <c r="F211" s="2">
        <v>4.78</v>
      </c>
      <c r="G211" s="2">
        <v>4.82</v>
      </c>
      <c r="H211" s="13">
        <v>5.0925162000000004</v>
      </c>
      <c r="I211" s="13">
        <v>4.4627904000000003</v>
      </c>
      <c r="J211" s="13">
        <v>4.1082463999999996</v>
      </c>
      <c r="K211" s="13">
        <v>3.9416820000000001</v>
      </c>
      <c r="L211" s="13">
        <v>3.86137</v>
      </c>
      <c r="M211" s="13">
        <v>3.8457322999999999</v>
      </c>
    </row>
    <row r="212" spans="1:13" x14ac:dyDescent="0.25">
      <c r="A212" t="s">
        <v>217</v>
      </c>
      <c r="B212" s="2">
        <v>4.91</v>
      </c>
      <c r="C212" s="2">
        <v>4.54</v>
      </c>
      <c r="D212" s="2">
        <v>4.49</v>
      </c>
      <c r="E212" s="2">
        <v>4.8</v>
      </c>
      <c r="F212" s="2">
        <v>4.9000000000000004</v>
      </c>
      <c r="G212" s="2">
        <v>4.93</v>
      </c>
      <c r="H212" s="13">
        <v>5.1731192000000004</v>
      </c>
      <c r="I212" s="13">
        <v>4.5807117999999996</v>
      </c>
      <c r="J212" s="13">
        <v>4.1929409</v>
      </c>
      <c r="K212" s="13">
        <v>4.0088404000000004</v>
      </c>
      <c r="L212" s="13">
        <v>3.9376470000000001</v>
      </c>
      <c r="M212" s="13">
        <v>3.9440892999999999</v>
      </c>
    </row>
    <row r="213" spans="1:13" x14ac:dyDescent="0.25">
      <c r="A213" t="s">
        <v>218</v>
      </c>
      <c r="B213" s="2">
        <v>4.87</v>
      </c>
      <c r="C213" s="2">
        <v>4.55</v>
      </c>
      <c r="D213" s="2">
        <v>4.5199999999999996</v>
      </c>
      <c r="E213" s="2">
        <v>4.83</v>
      </c>
      <c r="F213" s="2">
        <v>4.91</v>
      </c>
      <c r="G213" s="2">
        <v>4.9400000000000004</v>
      </c>
      <c r="H213" s="13">
        <v>5.1588867</v>
      </c>
      <c r="I213" s="13">
        <v>4.6125303000000004</v>
      </c>
      <c r="J213" s="13">
        <v>4.2206663000000004</v>
      </c>
      <c r="K213" s="13">
        <v>4.0276719999999999</v>
      </c>
      <c r="L213" s="13">
        <v>3.9559619000000001</v>
      </c>
      <c r="M213" s="13">
        <v>3.9634024000000001</v>
      </c>
    </row>
    <row r="214" spans="1:13" x14ac:dyDescent="0.25">
      <c r="A214" t="s">
        <v>219</v>
      </c>
      <c r="B214" s="2">
        <v>5.01</v>
      </c>
      <c r="C214" s="2">
        <v>4.7</v>
      </c>
      <c r="D214" s="2">
        <v>4.66</v>
      </c>
      <c r="E214" s="2">
        <v>4.95</v>
      </c>
      <c r="F214" s="2">
        <v>5.03</v>
      </c>
      <c r="G214" s="2">
        <v>5.04</v>
      </c>
      <c r="H214" s="13">
        <v>5.2574888</v>
      </c>
      <c r="I214" s="13">
        <v>4.7276607999999998</v>
      </c>
      <c r="J214" s="13">
        <v>4.3491480999999999</v>
      </c>
      <c r="K214" s="13">
        <v>4.1936970999999996</v>
      </c>
      <c r="L214" s="13">
        <v>4.1275801000000003</v>
      </c>
      <c r="M214" s="13">
        <v>4.1164543</v>
      </c>
    </row>
    <row r="215" spans="1:13" x14ac:dyDescent="0.25">
      <c r="A215" t="s">
        <v>220</v>
      </c>
      <c r="B215" s="2">
        <v>4.99</v>
      </c>
      <c r="C215" s="2">
        <v>4.7300000000000004</v>
      </c>
      <c r="D215" s="2">
        <v>4.7</v>
      </c>
      <c r="E215" s="2">
        <v>5</v>
      </c>
      <c r="F215" s="2">
        <v>5.08</v>
      </c>
      <c r="G215" s="2">
        <v>5.0999999999999996</v>
      </c>
      <c r="H215" s="13">
        <v>5.2475610000000001</v>
      </c>
      <c r="I215" s="13">
        <v>4.7693180999999996</v>
      </c>
      <c r="J215" s="13">
        <v>4.4475724000000003</v>
      </c>
      <c r="K215" s="13">
        <v>4.2962452999999998</v>
      </c>
      <c r="L215" s="13">
        <v>4.2103910999999998</v>
      </c>
      <c r="M215" s="13">
        <v>4.1767702</v>
      </c>
    </row>
    <row r="216" spans="1:13" x14ac:dyDescent="0.25">
      <c r="A216" t="s">
        <v>221</v>
      </c>
      <c r="B216" s="2">
        <v>4.87</v>
      </c>
      <c r="C216" s="2">
        <v>4.63</v>
      </c>
      <c r="D216" s="2">
        <v>4.6500000000000004</v>
      </c>
      <c r="E216" s="2">
        <v>4.97</v>
      </c>
      <c r="F216" s="2">
        <v>5.08</v>
      </c>
      <c r="G216" s="2">
        <v>5.1100000000000003</v>
      </c>
      <c r="H216" s="13">
        <v>5.1022854000000004</v>
      </c>
      <c r="I216" s="13">
        <v>4.6547025</v>
      </c>
      <c r="J216" s="13">
        <v>4.3844253999999996</v>
      </c>
      <c r="K216" s="13">
        <v>4.2311173000000002</v>
      </c>
      <c r="L216" s="13">
        <v>4.1479986999999996</v>
      </c>
      <c r="M216" s="13">
        <v>4.1262487999999999</v>
      </c>
    </row>
    <row r="217" spans="1:13" x14ac:dyDescent="0.25">
      <c r="A217" t="s">
        <v>222</v>
      </c>
      <c r="B217" s="2">
        <v>4.8099999999999996</v>
      </c>
      <c r="C217" s="2">
        <v>4.5599999999999996</v>
      </c>
      <c r="D217" s="2">
        <v>4.58</v>
      </c>
      <c r="E217" s="2">
        <v>4.91</v>
      </c>
      <c r="F217" s="2">
        <v>5.01</v>
      </c>
      <c r="G217" s="2">
        <v>5.03</v>
      </c>
      <c r="H217" s="13">
        <v>5.0796473000000004</v>
      </c>
      <c r="I217" s="13">
        <v>4.5941121000000003</v>
      </c>
      <c r="J217" s="13">
        <v>4.3145582999999998</v>
      </c>
      <c r="K217" s="13">
        <v>4.1759674999999996</v>
      </c>
      <c r="L217" s="13">
        <v>4.1103117999999998</v>
      </c>
      <c r="M217" s="13">
        <v>4.1051333999999997</v>
      </c>
    </row>
    <row r="218" spans="1:13" x14ac:dyDescent="0.25">
      <c r="A218" t="s">
        <v>223</v>
      </c>
      <c r="B218" s="2">
        <v>4.78</v>
      </c>
      <c r="C218" s="2">
        <v>4.51</v>
      </c>
      <c r="D218" s="2">
        <v>4.54</v>
      </c>
      <c r="E218" s="2">
        <v>4.8600000000000003</v>
      </c>
      <c r="F218" s="2">
        <v>4.97</v>
      </c>
      <c r="G218" s="2">
        <v>4.99</v>
      </c>
      <c r="H218" s="13">
        <v>5.0230458999999996</v>
      </c>
      <c r="I218" s="13">
        <v>4.4869563000000001</v>
      </c>
      <c r="J218" s="13">
        <v>4.1968603</v>
      </c>
      <c r="K218" s="13">
        <v>4.0775430000000004</v>
      </c>
      <c r="L218" s="13">
        <v>4.0400257999999996</v>
      </c>
      <c r="M218" s="13">
        <v>4.0591577000000001</v>
      </c>
    </row>
    <row r="219" spans="1:13" x14ac:dyDescent="0.25">
      <c r="A219" t="s">
        <v>224</v>
      </c>
      <c r="B219" s="2">
        <v>4.8600000000000003</v>
      </c>
      <c r="C219" s="2">
        <v>4.59</v>
      </c>
      <c r="D219" s="2">
        <v>4.63</v>
      </c>
      <c r="E219" s="2">
        <v>4.95</v>
      </c>
      <c r="F219" s="2">
        <v>5.05</v>
      </c>
      <c r="G219" s="2">
        <v>5.07</v>
      </c>
      <c r="H219" s="13">
        <v>5.0546315999999996</v>
      </c>
      <c r="I219" s="13">
        <v>4.5413093</v>
      </c>
      <c r="J219" s="13">
        <v>4.2543394000000001</v>
      </c>
      <c r="K219" s="13">
        <v>4.1595694999999999</v>
      </c>
      <c r="L219" s="13">
        <v>4.1313620999999996</v>
      </c>
      <c r="M219" s="13">
        <v>4.1462342000000003</v>
      </c>
    </row>
    <row r="220" spans="1:13" x14ac:dyDescent="0.25">
      <c r="A220" t="s">
        <v>225</v>
      </c>
      <c r="B220" s="2">
        <v>4.8</v>
      </c>
      <c r="C220" s="2">
        <v>4.53</v>
      </c>
      <c r="D220" s="2">
        <v>4.58</v>
      </c>
      <c r="E220" s="2">
        <v>4.91</v>
      </c>
      <c r="F220" s="2">
        <v>5.0199999999999996</v>
      </c>
      <c r="G220" s="2">
        <v>5.05</v>
      </c>
      <c r="H220" s="13">
        <v>4.9832638999999999</v>
      </c>
      <c r="I220" s="13">
        <v>4.4461906000000004</v>
      </c>
      <c r="J220" s="13">
        <v>4.2096606999999997</v>
      </c>
      <c r="K220" s="13">
        <v>4.1268780999999999</v>
      </c>
      <c r="L220" s="13">
        <v>4.1013104</v>
      </c>
      <c r="M220" s="13">
        <v>4.1189726999999996</v>
      </c>
    </row>
    <row r="221" spans="1:13" x14ac:dyDescent="0.25">
      <c r="A221" t="s">
        <v>226</v>
      </c>
      <c r="B221" s="2">
        <v>4.7699999999999996</v>
      </c>
      <c r="C221" s="2">
        <v>4.49</v>
      </c>
      <c r="D221" s="2">
        <v>4.5599999999999996</v>
      </c>
      <c r="E221" s="2">
        <v>4.8899999999999997</v>
      </c>
      <c r="F221" s="2">
        <v>5.01</v>
      </c>
      <c r="G221" s="2">
        <v>5.04</v>
      </c>
      <c r="H221" s="13">
        <v>4.9415838000000001</v>
      </c>
      <c r="I221" s="13">
        <v>4.4116790000000004</v>
      </c>
      <c r="J221" s="13">
        <v>4.1762239000000001</v>
      </c>
      <c r="K221" s="13">
        <v>4.0927752999999996</v>
      </c>
      <c r="L221" s="13">
        <v>4.0765427000000001</v>
      </c>
      <c r="M221" s="13">
        <v>4.1047682999999999</v>
      </c>
    </row>
    <row r="222" spans="1:13" x14ac:dyDescent="0.25">
      <c r="A222" t="s">
        <v>227</v>
      </c>
      <c r="B222" s="2">
        <v>4.7699999999999996</v>
      </c>
      <c r="C222" s="2">
        <v>4.5</v>
      </c>
      <c r="D222" s="2">
        <v>4.5599999999999996</v>
      </c>
      <c r="E222" s="2">
        <v>4.88</v>
      </c>
      <c r="F222" s="2">
        <v>4.99</v>
      </c>
      <c r="G222" s="2">
        <v>5.03</v>
      </c>
      <c r="H222" s="13">
        <v>4.9375363999999999</v>
      </c>
      <c r="I222" s="13">
        <v>4.4188802999999997</v>
      </c>
      <c r="J222" s="13">
        <v>4.1646932000000003</v>
      </c>
      <c r="K222" s="13">
        <v>4.0722984000000002</v>
      </c>
      <c r="L222" s="13">
        <v>4.0566009000000003</v>
      </c>
      <c r="M222" s="13">
        <v>4.0926558000000002</v>
      </c>
    </row>
    <row r="223" spans="1:13" x14ac:dyDescent="0.25">
      <c r="A223" t="s">
        <v>228</v>
      </c>
      <c r="B223" s="2">
        <v>4.78</v>
      </c>
      <c r="C223" s="2">
        <v>4.47</v>
      </c>
      <c r="D223" s="2">
        <v>4.5199999999999996</v>
      </c>
      <c r="E223" s="2">
        <v>4.84</v>
      </c>
      <c r="F223" s="2">
        <v>4.95</v>
      </c>
      <c r="G223" s="2">
        <v>4.9800000000000004</v>
      </c>
      <c r="H223" s="13">
        <v>4.9410102</v>
      </c>
      <c r="I223" s="13">
        <v>4.3831959999999999</v>
      </c>
      <c r="J223" s="13">
        <v>4.1247875000000001</v>
      </c>
      <c r="K223" s="13">
        <v>4.0278232999999997</v>
      </c>
      <c r="L223" s="13">
        <v>4.0099891999999997</v>
      </c>
      <c r="M223" s="13">
        <v>4.0454752999999997</v>
      </c>
    </row>
    <row r="224" spans="1:13" x14ac:dyDescent="0.25">
      <c r="A224" t="s">
        <v>229</v>
      </c>
      <c r="B224" s="2">
        <v>4.78</v>
      </c>
      <c r="C224" s="2">
        <v>4.45</v>
      </c>
      <c r="D224" s="2">
        <v>4.49</v>
      </c>
      <c r="E224" s="2">
        <v>4.8099999999999996</v>
      </c>
      <c r="F224" s="2">
        <v>4.92</v>
      </c>
      <c r="G224" s="2">
        <v>4.96</v>
      </c>
      <c r="H224" s="13">
        <v>4.9344292999999997</v>
      </c>
      <c r="I224" s="13">
        <v>4.3294997000000004</v>
      </c>
      <c r="J224" s="13">
        <v>4.0746471</v>
      </c>
      <c r="K224" s="13">
        <v>3.9933386999999998</v>
      </c>
      <c r="L224" s="13">
        <v>3.9836714999999998</v>
      </c>
      <c r="M224" s="13">
        <v>4.0209821000000003</v>
      </c>
    </row>
    <row r="225" spans="1:13" x14ac:dyDescent="0.25">
      <c r="A225" t="s">
        <v>230</v>
      </c>
      <c r="B225" s="2">
        <v>4.72</v>
      </c>
      <c r="C225" s="2">
        <v>4.33</v>
      </c>
      <c r="D225" s="2">
        <v>4.37</v>
      </c>
      <c r="E225" s="2">
        <v>4.7</v>
      </c>
      <c r="F225" s="2">
        <v>4.82</v>
      </c>
      <c r="G225" s="2">
        <v>4.8600000000000003</v>
      </c>
      <c r="H225" s="13">
        <v>4.8787165000000003</v>
      </c>
      <c r="I225" s="13">
        <v>4.1962647000000004</v>
      </c>
      <c r="J225" s="13">
        <v>3.9373700999999999</v>
      </c>
      <c r="K225" s="13">
        <v>3.8629856</v>
      </c>
      <c r="L225" s="13">
        <v>3.8621259999999999</v>
      </c>
      <c r="M225" s="13">
        <v>3.9048604999999998</v>
      </c>
    </row>
    <row r="226" spans="1:13" x14ac:dyDescent="0.25">
      <c r="A226" t="s">
        <v>231</v>
      </c>
      <c r="B226" s="2">
        <v>4.67</v>
      </c>
      <c r="C226" s="2">
        <v>4.26</v>
      </c>
      <c r="D226" s="2">
        <v>4.29</v>
      </c>
      <c r="E226" s="2">
        <v>4.6100000000000003</v>
      </c>
      <c r="F226" s="2">
        <v>4.74</v>
      </c>
      <c r="G226" s="2">
        <v>4.7699999999999996</v>
      </c>
      <c r="H226" s="13">
        <v>4.8134598000000004</v>
      </c>
      <c r="I226" s="13">
        <v>4.0608447999999999</v>
      </c>
      <c r="J226" s="13">
        <v>3.8129778999999999</v>
      </c>
      <c r="K226" s="13">
        <v>3.7736255999999999</v>
      </c>
      <c r="L226" s="13">
        <v>3.7865742</v>
      </c>
      <c r="M226" s="13">
        <v>3.8301786</v>
      </c>
    </row>
    <row r="227" spans="1:13" x14ac:dyDescent="0.25">
      <c r="A227" t="s">
        <v>232</v>
      </c>
      <c r="B227" s="2">
        <v>4.7300000000000004</v>
      </c>
      <c r="C227" s="2">
        <v>4.33</v>
      </c>
      <c r="D227" s="2">
        <v>4.38</v>
      </c>
      <c r="E227" s="2">
        <v>4.7</v>
      </c>
      <c r="F227" s="2">
        <v>4.82</v>
      </c>
      <c r="G227" s="2">
        <v>4.8499999999999996</v>
      </c>
      <c r="H227" s="13">
        <v>4.7904558000000002</v>
      </c>
      <c r="I227" s="13">
        <v>4.1494149</v>
      </c>
      <c r="J227" s="13">
        <v>3.9143384000000001</v>
      </c>
      <c r="K227" s="13">
        <v>3.8549243</v>
      </c>
      <c r="L227" s="13">
        <v>3.8532666999999998</v>
      </c>
      <c r="M227" s="13">
        <v>3.8965340999999998</v>
      </c>
    </row>
    <row r="228" spans="1:13" x14ac:dyDescent="0.25">
      <c r="A228" t="s">
        <v>233</v>
      </c>
      <c r="B228" s="2">
        <v>4.6399999999999997</v>
      </c>
      <c r="C228" s="2">
        <v>4.25</v>
      </c>
      <c r="D228" s="2">
        <v>4.28</v>
      </c>
      <c r="E228" s="2">
        <v>4.5999999999999996</v>
      </c>
      <c r="F228" s="2">
        <v>4.71</v>
      </c>
      <c r="G228" s="2">
        <v>4.75</v>
      </c>
      <c r="H228" s="13">
        <v>4.7382198000000004</v>
      </c>
      <c r="I228" s="13">
        <v>4.0975029000000003</v>
      </c>
      <c r="J228" s="13">
        <v>3.8430393</v>
      </c>
      <c r="K228" s="13">
        <v>3.7562769</v>
      </c>
      <c r="L228" s="13">
        <v>3.7421747999999999</v>
      </c>
      <c r="M228" s="13">
        <v>3.7778075000000002</v>
      </c>
    </row>
    <row r="229" spans="1:13" x14ac:dyDescent="0.25">
      <c r="A229" t="s">
        <v>234</v>
      </c>
      <c r="B229" s="2">
        <v>4.63</v>
      </c>
      <c r="C229" s="2">
        <v>4.24</v>
      </c>
      <c r="D229" s="2">
        <v>4.24</v>
      </c>
      <c r="E229" s="2">
        <v>4.55</v>
      </c>
      <c r="F229" s="2">
        <v>4.6500000000000004</v>
      </c>
      <c r="G229" s="2">
        <v>4.68</v>
      </c>
      <c r="H229" s="13">
        <v>4.7627680999999997</v>
      </c>
      <c r="I229" s="13">
        <v>4.0809734999999998</v>
      </c>
      <c r="J229" s="13">
        <v>3.8125855999999998</v>
      </c>
      <c r="K229" s="13">
        <v>3.7237458000000001</v>
      </c>
      <c r="L229" s="13">
        <v>3.6947823999999998</v>
      </c>
      <c r="M229" s="13">
        <v>3.7113906000000001</v>
      </c>
    </row>
    <row r="230" spans="1:13" x14ac:dyDescent="0.25">
      <c r="A230" t="s">
        <v>235</v>
      </c>
      <c r="B230" s="2">
        <v>4.62</v>
      </c>
      <c r="C230" s="2">
        <v>4.26</v>
      </c>
      <c r="D230" s="2">
        <v>4.28</v>
      </c>
      <c r="E230" s="2">
        <v>4.5999999999999996</v>
      </c>
      <c r="F230" s="2">
        <v>4.71</v>
      </c>
      <c r="G230" s="2">
        <v>4.74</v>
      </c>
      <c r="H230" s="13">
        <v>4.7606278</v>
      </c>
      <c r="I230" s="13">
        <v>4.0750082000000001</v>
      </c>
      <c r="J230" s="13">
        <v>3.8239483999999999</v>
      </c>
      <c r="K230" s="13">
        <v>3.7554694999999998</v>
      </c>
      <c r="L230" s="13">
        <v>3.7489151000000001</v>
      </c>
      <c r="M230" s="13">
        <v>3.7811281999999999</v>
      </c>
    </row>
    <row r="231" spans="1:13" x14ac:dyDescent="0.25">
      <c r="A231" t="s">
        <v>236</v>
      </c>
      <c r="B231" s="2">
        <v>4.66</v>
      </c>
      <c r="C231" s="2">
        <v>4.33</v>
      </c>
      <c r="D231" s="2">
        <v>4.33</v>
      </c>
      <c r="E231" s="2">
        <v>4.6399999999999997</v>
      </c>
      <c r="F231" s="2">
        <v>4.74</v>
      </c>
      <c r="G231" s="2">
        <v>4.7699999999999996</v>
      </c>
      <c r="H231" s="13">
        <v>4.8030727000000004</v>
      </c>
      <c r="I231" s="13">
        <v>4.1813482000000004</v>
      </c>
      <c r="J231" s="13">
        <v>3.9254484999999999</v>
      </c>
      <c r="K231" s="13">
        <v>3.8330999000000001</v>
      </c>
      <c r="L231" s="13">
        <v>3.7987331000000002</v>
      </c>
      <c r="M231" s="13">
        <v>3.8106768999999998</v>
      </c>
    </row>
    <row r="232" spans="1:13" x14ac:dyDescent="0.25">
      <c r="A232" t="s">
        <v>237</v>
      </c>
      <c r="B232" s="2">
        <v>4.66</v>
      </c>
      <c r="C232" s="2">
        <v>4.32</v>
      </c>
      <c r="D232" s="2">
        <v>4.32</v>
      </c>
      <c r="E232" s="2">
        <v>4.63</v>
      </c>
      <c r="F232" s="2">
        <v>4.71</v>
      </c>
      <c r="G232" s="2">
        <v>4.74</v>
      </c>
      <c r="H232" s="13">
        <v>4.7892900999999997</v>
      </c>
      <c r="I232" s="13">
        <v>4.2150401000000004</v>
      </c>
      <c r="J232" s="13">
        <v>3.9392681000000001</v>
      </c>
      <c r="K232" s="13">
        <v>3.8075736</v>
      </c>
      <c r="L232" s="13">
        <v>3.7554026</v>
      </c>
      <c r="M232" s="13">
        <v>3.7679421</v>
      </c>
    </row>
    <row r="233" spans="1:13" x14ac:dyDescent="0.25">
      <c r="A233" t="s">
        <v>238</v>
      </c>
      <c r="B233" s="2">
        <v>4.5599999999999996</v>
      </c>
      <c r="C233" s="2">
        <v>4.18</v>
      </c>
      <c r="D233" s="2">
        <v>4.16</v>
      </c>
      <c r="E233" s="2">
        <v>4.46</v>
      </c>
      <c r="F233" s="2">
        <v>4.55</v>
      </c>
      <c r="G233" s="2">
        <v>4.58</v>
      </c>
      <c r="H233" s="13">
        <v>4.6610367999999998</v>
      </c>
      <c r="I233" s="13">
        <v>4.0232047</v>
      </c>
      <c r="J233" s="13">
        <v>3.7622477999999999</v>
      </c>
      <c r="K233" s="13">
        <v>3.6493191999999999</v>
      </c>
      <c r="L233" s="13">
        <v>3.607351</v>
      </c>
      <c r="M233" s="13">
        <v>3.6236288999999999</v>
      </c>
    </row>
    <row r="234" spans="1:13" x14ac:dyDescent="0.25">
      <c r="A234" t="s">
        <v>239</v>
      </c>
      <c r="B234" s="2">
        <v>4.6100000000000003</v>
      </c>
      <c r="C234" s="2">
        <v>4.2300000000000004</v>
      </c>
      <c r="D234" s="2">
        <v>4.2300000000000004</v>
      </c>
      <c r="E234" s="2">
        <v>4.54</v>
      </c>
      <c r="F234" s="2">
        <v>4.62</v>
      </c>
      <c r="G234" s="2">
        <v>4.6500000000000004</v>
      </c>
      <c r="H234" s="13">
        <v>4.6868653</v>
      </c>
      <c r="I234" s="13">
        <v>4.0777538</v>
      </c>
      <c r="J234" s="13">
        <v>3.8153915999999999</v>
      </c>
      <c r="K234" s="13">
        <v>3.7238687000000001</v>
      </c>
      <c r="L234" s="13">
        <v>3.6966511</v>
      </c>
      <c r="M234" s="13">
        <v>3.7154303999999998</v>
      </c>
    </row>
    <row r="235" spans="1:13" x14ac:dyDescent="0.25">
      <c r="A235" t="s">
        <v>240</v>
      </c>
      <c r="B235" s="2">
        <v>4.5199999999999996</v>
      </c>
      <c r="C235" s="2">
        <v>4.13</v>
      </c>
      <c r="D235" s="2">
        <v>4.13</v>
      </c>
      <c r="E235" s="2">
        <v>4.45</v>
      </c>
      <c r="F235" s="2">
        <v>4.55</v>
      </c>
      <c r="G235" s="2">
        <v>4.57</v>
      </c>
      <c r="H235" s="13">
        <v>4.6295425999999997</v>
      </c>
      <c r="I235" s="13">
        <v>3.9434524</v>
      </c>
      <c r="J235" s="13">
        <v>3.7024298</v>
      </c>
      <c r="K235" s="13">
        <v>3.6204767000000002</v>
      </c>
      <c r="L235" s="13">
        <v>3.5960169999999998</v>
      </c>
      <c r="M235" s="13">
        <v>3.6170553999999999</v>
      </c>
    </row>
    <row r="236" spans="1:13" x14ac:dyDescent="0.25">
      <c r="A236" t="s">
        <v>241</v>
      </c>
      <c r="B236" s="2">
        <v>4.5199999999999996</v>
      </c>
      <c r="C236" s="2">
        <v>4.1100000000000003</v>
      </c>
      <c r="D236" s="2">
        <v>4.0999999999999996</v>
      </c>
      <c r="E236" s="2">
        <v>4.42</v>
      </c>
      <c r="F236" s="2">
        <v>4.51</v>
      </c>
      <c r="G236" s="2">
        <v>4.53</v>
      </c>
      <c r="H236" s="13">
        <v>4.6214515</v>
      </c>
      <c r="I236" s="13">
        <v>3.9487133000000001</v>
      </c>
      <c r="J236" s="13">
        <v>3.6692567999999999</v>
      </c>
      <c r="K236" s="13">
        <v>3.5596858999999998</v>
      </c>
      <c r="L236" s="13">
        <v>3.5308948999999998</v>
      </c>
      <c r="M236" s="13">
        <v>3.5569823999999999</v>
      </c>
    </row>
    <row r="237" spans="1:13" x14ac:dyDescent="0.25">
      <c r="A237" t="s">
        <v>242</v>
      </c>
      <c r="B237" s="2">
        <v>4.53</v>
      </c>
      <c r="C237" s="2">
        <v>4.13</v>
      </c>
      <c r="D237" s="2">
        <v>4.13</v>
      </c>
      <c r="E237" s="2">
        <v>4.45</v>
      </c>
      <c r="F237" s="2">
        <v>4.54</v>
      </c>
      <c r="G237" s="2">
        <v>4.5599999999999996</v>
      </c>
      <c r="H237" s="13">
        <v>4.6355421000000003</v>
      </c>
      <c r="I237" s="13">
        <v>4.0055396999999999</v>
      </c>
      <c r="J237" s="13">
        <v>3.7201553999999999</v>
      </c>
      <c r="K237" s="13">
        <v>3.5958087999999999</v>
      </c>
      <c r="L237" s="13">
        <v>3.5574207000000002</v>
      </c>
      <c r="M237" s="13">
        <v>3.5863499999999999</v>
      </c>
    </row>
    <row r="238" spans="1:13" x14ac:dyDescent="0.25">
      <c r="A238" t="s">
        <v>243</v>
      </c>
      <c r="B238" s="2">
        <v>4.58</v>
      </c>
      <c r="C238" s="2">
        <v>4.16</v>
      </c>
      <c r="D238" s="2">
        <v>4.1399999999999997</v>
      </c>
      <c r="E238" s="2">
        <v>4.45</v>
      </c>
      <c r="F238" s="2">
        <v>4.55</v>
      </c>
      <c r="G238" s="2">
        <v>4.57</v>
      </c>
      <c r="H238" s="13">
        <v>4.6635507</v>
      </c>
      <c r="I238" s="13">
        <v>4.0347502000000004</v>
      </c>
      <c r="J238" s="13">
        <v>3.7422851000000001</v>
      </c>
      <c r="K238" s="13">
        <v>3.5989591999999999</v>
      </c>
      <c r="L238" s="13">
        <v>3.5508209000000002</v>
      </c>
      <c r="M238" s="13">
        <v>3.5737681000000001</v>
      </c>
    </row>
    <row r="239" spans="1:13" x14ac:dyDescent="0.25">
      <c r="A239" t="s">
        <v>244</v>
      </c>
      <c r="B239" s="2">
        <v>4.6100000000000003</v>
      </c>
      <c r="C239" s="2">
        <v>4.21</v>
      </c>
      <c r="D239" s="2">
        <v>4.17</v>
      </c>
      <c r="E239" s="2">
        <v>4.49</v>
      </c>
      <c r="F239" s="2">
        <v>4.6100000000000003</v>
      </c>
      <c r="G239" s="2">
        <v>4.6399999999999997</v>
      </c>
      <c r="H239" s="13">
        <v>4.7581251</v>
      </c>
      <c r="I239" s="13">
        <v>4.0863763000000004</v>
      </c>
      <c r="J239" s="13">
        <v>3.7753852999999999</v>
      </c>
      <c r="K239" s="13">
        <v>3.6482522999999998</v>
      </c>
      <c r="L239" s="13">
        <v>3.5991572000000001</v>
      </c>
      <c r="M239" s="13">
        <v>3.6097462</v>
      </c>
    </row>
    <row r="240" spans="1:13" x14ac:dyDescent="0.25">
      <c r="A240" t="s">
        <v>245</v>
      </c>
      <c r="B240" s="2">
        <v>4.7</v>
      </c>
      <c r="C240" s="2">
        <v>4.3</v>
      </c>
      <c r="D240" s="2">
        <v>4.25</v>
      </c>
      <c r="E240" s="2">
        <v>4.5599999999999996</v>
      </c>
      <c r="F240" s="2">
        <v>4.6900000000000004</v>
      </c>
      <c r="G240" s="2">
        <v>4.71</v>
      </c>
      <c r="H240" s="13">
        <v>4.8256671000000004</v>
      </c>
      <c r="I240" s="13">
        <v>4.1764032000000002</v>
      </c>
      <c r="J240" s="13">
        <v>3.8702478999999999</v>
      </c>
      <c r="K240" s="13">
        <v>3.7275372999999998</v>
      </c>
      <c r="L240" s="13">
        <v>3.6706406999999999</v>
      </c>
      <c r="M240" s="13">
        <v>3.6754522999999999</v>
      </c>
    </row>
    <row r="241" spans="1:13" x14ac:dyDescent="0.25">
      <c r="A241" t="s">
        <v>246</v>
      </c>
      <c r="B241" s="2">
        <v>4.7</v>
      </c>
      <c r="C241" s="2">
        <v>4.32</v>
      </c>
      <c r="D241" s="2">
        <v>4.28</v>
      </c>
      <c r="E241" s="2">
        <v>4.59</v>
      </c>
      <c r="F241" s="2">
        <v>4.71</v>
      </c>
      <c r="G241" s="2">
        <v>4.74</v>
      </c>
      <c r="H241" s="13">
        <v>4.8564534000000004</v>
      </c>
      <c r="I241" s="13">
        <v>4.2047670000000004</v>
      </c>
      <c r="J241" s="13">
        <v>3.8877359</v>
      </c>
      <c r="K241" s="13">
        <v>3.7503625999999999</v>
      </c>
      <c r="L241" s="13">
        <v>3.6936553000000001</v>
      </c>
      <c r="M241" s="13">
        <v>3.6944007999999999</v>
      </c>
    </row>
    <row r="242" spans="1:13" x14ac:dyDescent="0.25">
      <c r="A242" t="s">
        <v>247</v>
      </c>
      <c r="B242" s="2">
        <v>4.63</v>
      </c>
      <c r="C242" s="2">
        <v>4.24</v>
      </c>
      <c r="D242" s="2">
        <v>4.21</v>
      </c>
      <c r="E242" s="2">
        <v>4.5199999999999996</v>
      </c>
      <c r="F242" s="2">
        <v>4.63</v>
      </c>
      <c r="G242" s="2">
        <v>4.66</v>
      </c>
      <c r="H242" s="13">
        <v>4.7574465999999997</v>
      </c>
      <c r="I242" s="13">
        <v>4.1151628000000002</v>
      </c>
      <c r="J242" s="13">
        <v>3.8145193000000002</v>
      </c>
      <c r="K242" s="13">
        <v>3.6668333</v>
      </c>
      <c r="L242" s="13">
        <v>3.6063963000000001</v>
      </c>
      <c r="M242" s="13">
        <v>3.6173223000000001</v>
      </c>
    </row>
    <row r="243" spans="1:13" x14ac:dyDescent="0.25">
      <c r="A243" t="s">
        <v>248</v>
      </c>
      <c r="B243" s="2">
        <v>4.62</v>
      </c>
      <c r="C243" s="2">
        <v>4.22</v>
      </c>
      <c r="D243" s="2">
        <v>4.18</v>
      </c>
      <c r="E243" s="2">
        <v>4.5</v>
      </c>
      <c r="F243" s="2">
        <v>4.62</v>
      </c>
      <c r="G243" s="2">
        <v>4.6500000000000004</v>
      </c>
      <c r="H243" s="13">
        <v>4.6965782000000003</v>
      </c>
      <c r="I243" s="13">
        <v>4.0415866999999999</v>
      </c>
      <c r="J243" s="13">
        <v>3.7591389999999998</v>
      </c>
      <c r="K243" s="13">
        <v>3.6305347000000001</v>
      </c>
      <c r="L243" s="13">
        <v>3.5875398999999999</v>
      </c>
      <c r="M243" s="13">
        <v>3.6101101999999998</v>
      </c>
    </row>
    <row r="244" spans="1:13" x14ac:dyDescent="0.25">
      <c r="A244" t="s">
        <v>249</v>
      </c>
      <c r="B244" s="2">
        <v>4.54</v>
      </c>
      <c r="C244" s="2">
        <v>4.0999999999999996</v>
      </c>
      <c r="D244" s="2">
        <v>4.09</v>
      </c>
      <c r="E244" s="2">
        <v>4.42</v>
      </c>
      <c r="F244" s="2">
        <v>4.55</v>
      </c>
      <c r="G244" s="2">
        <v>4.59</v>
      </c>
      <c r="H244" s="13">
        <v>4.6234111000000002</v>
      </c>
      <c r="I244" s="13">
        <v>3.9132506</v>
      </c>
      <c r="J244" s="13">
        <v>3.6200722999999999</v>
      </c>
      <c r="K244" s="13">
        <v>3.5074822999999999</v>
      </c>
      <c r="L244" s="13">
        <v>3.4810922999999998</v>
      </c>
      <c r="M244" s="13">
        <v>3.5150087000000001</v>
      </c>
    </row>
    <row r="245" spans="1:13" x14ac:dyDescent="0.25">
      <c r="A245" t="s">
        <v>250</v>
      </c>
      <c r="B245" s="2">
        <v>4.63</v>
      </c>
      <c r="C245" s="2">
        <v>4.22</v>
      </c>
      <c r="D245" s="2">
        <v>4.22</v>
      </c>
      <c r="E245" s="2">
        <v>4.55</v>
      </c>
      <c r="F245" s="2">
        <v>4.68</v>
      </c>
      <c r="G245" s="2">
        <v>4.74</v>
      </c>
      <c r="H245" s="13">
        <v>4.7052079999999998</v>
      </c>
      <c r="I245" s="13">
        <v>3.9961864999999999</v>
      </c>
      <c r="J245" s="13">
        <v>3.7336412000000001</v>
      </c>
      <c r="K245" s="13">
        <v>3.6603845000000002</v>
      </c>
      <c r="L245" s="13">
        <v>3.6469657</v>
      </c>
      <c r="M245" s="13">
        <v>3.6797137000000002</v>
      </c>
    </row>
    <row r="246" spans="1:13" x14ac:dyDescent="0.25">
      <c r="A246" t="s">
        <v>251</v>
      </c>
      <c r="B246" s="2">
        <v>4.51</v>
      </c>
      <c r="C246" s="2">
        <v>4.0999999999999996</v>
      </c>
      <c r="D246" s="2">
        <v>4.1399999999999997</v>
      </c>
      <c r="E246" s="2">
        <v>4.47</v>
      </c>
      <c r="F246" s="2">
        <v>4.6100000000000003</v>
      </c>
      <c r="G246" s="2">
        <v>4.67</v>
      </c>
      <c r="H246" s="13">
        <v>4.5714784999999996</v>
      </c>
      <c r="I246" s="13">
        <v>3.8942019999999999</v>
      </c>
      <c r="J246" s="13">
        <v>3.651322</v>
      </c>
      <c r="K246" s="13">
        <v>3.5729663</v>
      </c>
      <c r="L246" s="13">
        <v>3.5576428</v>
      </c>
      <c r="M246" s="13">
        <v>3.5918022999999999</v>
      </c>
    </row>
    <row r="247" spans="1:13" x14ac:dyDescent="0.25">
      <c r="A247" t="s">
        <v>252</v>
      </c>
      <c r="B247" s="2">
        <v>4.59</v>
      </c>
      <c r="C247" s="2">
        <v>4.18</v>
      </c>
      <c r="D247" s="2">
        <v>4.1900000000000004</v>
      </c>
      <c r="E247" s="2">
        <v>4.53</v>
      </c>
      <c r="F247" s="2">
        <v>4.66</v>
      </c>
      <c r="G247" s="2">
        <v>4.72</v>
      </c>
      <c r="H247" s="13">
        <v>4.6486014000000004</v>
      </c>
      <c r="I247" s="13">
        <v>4.0336210000000001</v>
      </c>
      <c r="J247" s="13">
        <v>3.7391600999999999</v>
      </c>
      <c r="K247" s="13">
        <v>3.6194731999999998</v>
      </c>
      <c r="L247" s="13">
        <v>3.5979844000000001</v>
      </c>
      <c r="M247" s="13">
        <v>3.6424946999999999</v>
      </c>
    </row>
    <row r="248" spans="1:13" x14ac:dyDescent="0.25">
      <c r="A248" t="s">
        <v>253</v>
      </c>
      <c r="B248" s="2">
        <v>4.49</v>
      </c>
      <c r="C248" s="2">
        <v>4.0599999999999996</v>
      </c>
      <c r="D248" s="2">
        <v>4.03</v>
      </c>
      <c r="E248" s="2">
        <v>4.37</v>
      </c>
      <c r="F248" s="2">
        <v>4.51</v>
      </c>
      <c r="G248" s="2">
        <v>4.57</v>
      </c>
      <c r="H248" s="13">
        <v>4.5273738000000003</v>
      </c>
      <c r="I248" s="13">
        <v>3.8903816999999998</v>
      </c>
      <c r="J248" s="13">
        <v>3.5870894999999998</v>
      </c>
      <c r="K248" s="13">
        <v>3.4609627999999999</v>
      </c>
      <c r="L248" s="13">
        <v>3.432194</v>
      </c>
      <c r="M248" s="13">
        <v>3.4684045999999999</v>
      </c>
    </row>
    <row r="249" spans="1:13" x14ac:dyDescent="0.25">
      <c r="A249" t="s">
        <v>254</v>
      </c>
      <c r="B249" s="2">
        <v>4.47</v>
      </c>
      <c r="C249" s="2">
        <v>4.01</v>
      </c>
      <c r="D249" s="2">
        <v>3.95</v>
      </c>
      <c r="E249" s="2">
        <v>4.28</v>
      </c>
      <c r="F249" s="2">
        <v>4.41</v>
      </c>
      <c r="G249" s="2">
        <v>4.45</v>
      </c>
      <c r="H249" s="13">
        <v>4.5070661999999997</v>
      </c>
      <c r="I249" s="13">
        <v>3.8066428999999999</v>
      </c>
      <c r="J249" s="13">
        <v>3.5150605000000001</v>
      </c>
      <c r="K249" s="13">
        <v>3.4001136000000001</v>
      </c>
      <c r="L249" s="13">
        <v>3.3640780000000001</v>
      </c>
      <c r="M249" s="13">
        <v>3.3840705999999998</v>
      </c>
    </row>
    <row r="250" spans="1:13" x14ac:dyDescent="0.25">
      <c r="A250" t="s">
        <v>293</v>
      </c>
      <c r="B250" s="2">
        <v>4.5</v>
      </c>
      <c r="C250" s="2">
        <v>4.0199999999999996</v>
      </c>
      <c r="D250" s="2">
        <v>3.97</v>
      </c>
      <c r="E250" s="2">
        <v>4.29</v>
      </c>
      <c r="F250" s="2">
        <v>4.41</v>
      </c>
      <c r="G250" s="2">
        <v>4.46</v>
      </c>
      <c r="H250" s="13">
        <v>4.5123917999999996</v>
      </c>
      <c r="I250" s="13">
        <v>3.7815759</v>
      </c>
      <c r="J250" s="13">
        <v>3.5194177999999998</v>
      </c>
      <c r="K250" s="13">
        <v>3.4251737000000002</v>
      </c>
      <c r="L250" s="13">
        <v>3.3862136999999999</v>
      </c>
      <c r="M250" s="13">
        <v>3.3976259</v>
      </c>
    </row>
    <row r="251" spans="1:13" x14ac:dyDescent="0.25">
      <c r="A251" t="s">
        <v>294</v>
      </c>
      <c r="B251" s="2">
        <v>4.57</v>
      </c>
      <c r="C251" s="2">
        <v>4.09</v>
      </c>
      <c r="D251" s="2">
        <v>4.0199999999999996</v>
      </c>
      <c r="E251" s="2">
        <v>4.3600000000000003</v>
      </c>
      <c r="F251" s="2">
        <v>4.47</v>
      </c>
      <c r="G251" s="2">
        <v>4.5199999999999996</v>
      </c>
      <c r="H251" s="13">
        <v>4.5281437999999996</v>
      </c>
      <c r="I251" s="13">
        <v>3.8656437000000001</v>
      </c>
      <c r="J251" s="13">
        <v>3.5981367</v>
      </c>
      <c r="K251" s="13">
        <v>3.4776530999999999</v>
      </c>
      <c r="L251" s="13">
        <v>3.4315427000000001</v>
      </c>
      <c r="M251" s="13">
        <v>3.4466462</v>
      </c>
    </row>
    <row r="252" spans="1:13" x14ac:dyDescent="0.25">
      <c r="A252" t="s">
        <v>295</v>
      </c>
      <c r="B252" s="2">
        <v>4.5999999999999996</v>
      </c>
      <c r="C252" s="2">
        <v>4.1399999999999997</v>
      </c>
      <c r="D252" s="2">
        <v>4.08</v>
      </c>
      <c r="E252" s="2">
        <v>4.4000000000000004</v>
      </c>
      <c r="F252" s="2">
        <v>4.5199999999999996</v>
      </c>
      <c r="G252" s="2">
        <v>4.55</v>
      </c>
      <c r="H252" s="13">
        <v>4.5877283999999996</v>
      </c>
      <c r="I252" s="13">
        <v>3.938177</v>
      </c>
      <c r="J252" s="13">
        <v>3.6488117999999998</v>
      </c>
      <c r="K252" s="13">
        <v>3.5227552000000002</v>
      </c>
      <c r="L252" s="13">
        <v>3.4820023999999998</v>
      </c>
      <c r="M252" s="13">
        <v>3.5073484000000001</v>
      </c>
    </row>
    <row r="253" spans="1:13" x14ac:dyDescent="0.25">
      <c r="A253" t="s">
        <v>296</v>
      </c>
      <c r="B253" s="2">
        <v>4.51</v>
      </c>
      <c r="C253" s="2">
        <v>4.07</v>
      </c>
      <c r="D253" s="2">
        <v>3.99</v>
      </c>
      <c r="E253" s="2">
        <v>4.3099999999999996</v>
      </c>
      <c r="F253" s="2">
        <v>4.45</v>
      </c>
      <c r="G253" s="2">
        <v>4.49</v>
      </c>
      <c r="H253" s="13">
        <v>4.4446076000000003</v>
      </c>
      <c r="I253" s="13">
        <v>3.7875467</v>
      </c>
      <c r="J253" s="13">
        <v>3.5385738</v>
      </c>
      <c r="K253" s="13">
        <v>3.4360852</v>
      </c>
      <c r="L253" s="13">
        <v>3.4066283999999998</v>
      </c>
      <c r="M253" s="13">
        <v>3.4346599000000002</v>
      </c>
    </row>
    <row r="254" spans="1:13" x14ac:dyDescent="0.25">
      <c r="A254" t="s">
        <v>297</v>
      </c>
      <c r="B254" s="2">
        <v>4.3600000000000003</v>
      </c>
      <c r="C254" s="2">
        <v>3.88</v>
      </c>
      <c r="D254" s="2">
        <v>3.83</v>
      </c>
      <c r="E254" s="2">
        <v>4.1500000000000004</v>
      </c>
      <c r="F254" s="2">
        <v>4.28</v>
      </c>
      <c r="G254" s="2">
        <v>4.33</v>
      </c>
      <c r="H254" s="13">
        <v>4.3120943</v>
      </c>
      <c r="I254" s="13">
        <v>3.6098903999999998</v>
      </c>
      <c r="J254" s="13">
        <v>3.3397242</v>
      </c>
      <c r="K254" s="13">
        <v>3.2442962</v>
      </c>
      <c r="L254" s="13">
        <v>3.2263104999999999</v>
      </c>
      <c r="M254" s="13">
        <v>3.2601711999999998</v>
      </c>
    </row>
    <row r="255" spans="1:13" x14ac:dyDescent="0.25">
      <c r="A255" t="s">
        <v>298</v>
      </c>
      <c r="B255" s="2">
        <v>4.34</v>
      </c>
      <c r="C255" s="2">
        <v>3.81</v>
      </c>
      <c r="D255" s="2">
        <v>3.79</v>
      </c>
      <c r="E255" s="2">
        <v>4.12</v>
      </c>
      <c r="F255" s="2">
        <v>4.25</v>
      </c>
      <c r="G255" s="2">
        <v>4.29</v>
      </c>
      <c r="H255" s="13">
        <v>4.2421042</v>
      </c>
      <c r="I255" s="13">
        <v>3.4801103000000002</v>
      </c>
      <c r="J255" s="13">
        <v>3.2544976000000001</v>
      </c>
      <c r="K255" s="13">
        <v>3.1941248</v>
      </c>
      <c r="L255" s="13">
        <v>3.1952923000000002</v>
      </c>
      <c r="M255" s="13">
        <v>3.2438356000000002</v>
      </c>
    </row>
    <row r="256" spans="1:13" x14ac:dyDescent="0.25">
      <c r="A256" t="s">
        <v>299</v>
      </c>
      <c r="B256" s="2">
        <v>4.29</v>
      </c>
      <c r="C256" s="2">
        <v>3.74</v>
      </c>
      <c r="D256" s="2">
        <v>3.7</v>
      </c>
      <c r="E256" s="2">
        <v>4.0199999999999996</v>
      </c>
      <c r="F256" s="2">
        <v>4.13</v>
      </c>
      <c r="G256" s="2">
        <v>4.17</v>
      </c>
      <c r="H256" s="13">
        <v>4.1672197000000004</v>
      </c>
      <c r="I256" s="13">
        <v>3.4072117999999998</v>
      </c>
      <c r="J256" s="13">
        <v>3.1745977999999999</v>
      </c>
      <c r="K256" s="13">
        <v>3.0847715</v>
      </c>
      <c r="L256" s="13">
        <v>3.0729931000000001</v>
      </c>
      <c r="M256" s="13">
        <v>3.1170843000000001</v>
      </c>
    </row>
    <row r="257" spans="1:13" x14ac:dyDescent="0.25">
      <c r="A257" t="s">
        <v>300</v>
      </c>
      <c r="B257" s="2">
        <v>4.33</v>
      </c>
      <c r="C257" s="2">
        <v>3.76</v>
      </c>
      <c r="D257" s="2">
        <v>3.71</v>
      </c>
      <c r="E257" s="2">
        <v>4.03</v>
      </c>
      <c r="F257" s="2">
        <v>4.16</v>
      </c>
      <c r="G257" s="2">
        <v>4.18</v>
      </c>
      <c r="H257" s="13">
        <v>4.1843611000000003</v>
      </c>
      <c r="I257" s="13">
        <v>3.3946979000000002</v>
      </c>
      <c r="J257" s="13">
        <v>3.1467887000000001</v>
      </c>
      <c r="K257" s="13">
        <v>3.0714947000000001</v>
      </c>
      <c r="L257" s="13">
        <v>3.0630828000000001</v>
      </c>
      <c r="M257" s="13">
        <v>3.1081718999999999</v>
      </c>
    </row>
    <row r="258" spans="1:13" x14ac:dyDescent="0.25">
      <c r="A258" t="s">
        <v>301</v>
      </c>
      <c r="B258" s="2">
        <v>4.3099999999999996</v>
      </c>
      <c r="C258" s="2">
        <v>3.7</v>
      </c>
      <c r="D258" s="2">
        <v>3.68</v>
      </c>
      <c r="E258" s="2">
        <v>4</v>
      </c>
      <c r="F258" s="2">
        <v>4.1399999999999997</v>
      </c>
      <c r="G258" s="2">
        <v>4.17</v>
      </c>
      <c r="H258" s="13">
        <v>4.1088529999999999</v>
      </c>
      <c r="I258" s="13">
        <v>3.3259281999999999</v>
      </c>
      <c r="J258" s="13">
        <v>3.0741554</v>
      </c>
      <c r="K258" s="13">
        <v>2.9896851</v>
      </c>
      <c r="L258" s="13">
        <v>2.9967706999999999</v>
      </c>
      <c r="M258" s="13">
        <v>3.0597460999999999</v>
      </c>
    </row>
    <row r="259" spans="1:13" x14ac:dyDescent="0.25">
      <c r="A259" t="s">
        <v>302</v>
      </c>
      <c r="B259" s="2">
        <v>4.09</v>
      </c>
      <c r="C259" s="2">
        <v>3.5</v>
      </c>
      <c r="D259" s="2">
        <v>3.52</v>
      </c>
      <c r="E259" s="2">
        <v>3.86</v>
      </c>
      <c r="F259" s="2">
        <v>4.01</v>
      </c>
      <c r="G259" s="2">
        <v>4.0599999999999996</v>
      </c>
      <c r="H259" s="13">
        <v>3.9085143000000002</v>
      </c>
      <c r="I259" s="13">
        <v>3.1292886000000002</v>
      </c>
      <c r="J259" s="13">
        <v>2.9030300000000002</v>
      </c>
      <c r="K259" s="13">
        <v>2.8575900999999999</v>
      </c>
      <c r="L259" s="13">
        <v>2.8805073000000001</v>
      </c>
      <c r="M259" s="13">
        <v>2.9484119999999998</v>
      </c>
    </row>
    <row r="260" spans="1:13" x14ac:dyDescent="0.25">
      <c r="A260" t="s">
        <v>303</v>
      </c>
      <c r="B260" s="2">
        <v>4.07</v>
      </c>
      <c r="C260" s="2">
        <v>3.5</v>
      </c>
      <c r="D260" s="2">
        <v>3.54</v>
      </c>
      <c r="E260" s="2">
        <v>3.88</v>
      </c>
      <c r="F260" s="2">
        <v>4.05</v>
      </c>
      <c r="G260" s="2">
        <v>4.0999999999999996</v>
      </c>
      <c r="H260" s="13">
        <v>3.9011111000000001</v>
      </c>
      <c r="I260" s="13">
        <v>3.0500425</v>
      </c>
      <c r="J260" s="13">
        <v>2.8929071999999998</v>
      </c>
      <c r="K260" s="13">
        <v>2.8807214000000001</v>
      </c>
      <c r="L260" s="13">
        <v>2.9047201999999999</v>
      </c>
      <c r="M260" s="13">
        <v>2.9699466999999999</v>
      </c>
    </row>
    <row r="261" spans="1:13" x14ac:dyDescent="0.25">
      <c r="A261" t="s">
        <v>304</v>
      </c>
      <c r="B261" s="2">
        <v>4.03</v>
      </c>
      <c r="C261" s="2">
        <v>3.46</v>
      </c>
      <c r="D261" s="2">
        <v>3.51</v>
      </c>
      <c r="E261" s="2">
        <v>3.86</v>
      </c>
      <c r="F261" s="2">
        <v>4.0199999999999996</v>
      </c>
      <c r="G261" s="2">
        <v>4.07</v>
      </c>
      <c r="H261" s="13">
        <v>3.8305880000000001</v>
      </c>
      <c r="I261" s="13">
        <v>3.0408284000000001</v>
      </c>
      <c r="J261" s="13">
        <v>2.8657268</v>
      </c>
      <c r="K261" s="13">
        <v>2.8184912</v>
      </c>
      <c r="L261" s="13">
        <v>2.8310146</v>
      </c>
      <c r="M261" s="13">
        <v>2.9072496000000001</v>
      </c>
    </row>
    <row r="262" spans="1:13" x14ac:dyDescent="0.25">
      <c r="A262" t="s">
        <v>305</v>
      </c>
      <c r="B262" s="2" t="e">
        <v>#N/A</v>
      </c>
      <c r="C262" s="2" t="e">
        <v>#N/A</v>
      </c>
      <c r="D262" s="2">
        <v>3.5</v>
      </c>
      <c r="E262" s="2">
        <v>3.85</v>
      </c>
      <c r="F262" s="2">
        <v>4.01</v>
      </c>
      <c r="G262" s="2">
        <v>4.07</v>
      </c>
      <c r="H262" s="13" t="e">
        <v>#N/A</v>
      </c>
      <c r="I262" s="13" t="e">
        <v>#N/A</v>
      </c>
      <c r="J262" s="13" t="e">
        <v>#N/A</v>
      </c>
      <c r="K262" s="13" t="e">
        <v>#N/A</v>
      </c>
      <c r="L262" s="13" t="e">
        <v>#N/A</v>
      </c>
      <c r="M262" s="13" t="e">
        <v>#N/A</v>
      </c>
    </row>
    <row r="263" spans="1:13" x14ac:dyDescent="0.25">
      <c r="A263" t="s">
        <v>306</v>
      </c>
      <c r="B263" s="2" t="e">
        <v>#N/A</v>
      </c>
      <c r="C263" s="2" t="e">
        <v>#N/A</v>
      </c>
      <c r="D263" s="2" t="e">
        <v>#N/A</v>
      </c>
      <c r="E263" s="2" t="e">
        <v>#N/A</v>
      </c>
      <c r="F263" s="2" t="e">
        <v>#N/A</v>
      </c>
      <c r="G263" s="2" t="e">
        <v>#N/A</v>
      </c>
      <c r="H263" s="13" t="e">
        <v>#N/A</v>
      </c>
      <c r="I263" s="13" t="e">
        <v>#N/A</v>
      </c>
      <c r="J263" s="13" t="e">
        <v>#N/A</v>
      </c>
      <c r="K263" s="13" t="e">
        <v>#N/A</v>
      </c>
      <c r="L263" s="13" t="e">
        <v>#N/A</v>
      </c>
      <c r="M263" s="13" t="e">
        <v>#N/A</v>
      </c>
    </row>
    <row r="264" spans="1:13" x14ac:dyDescent="0.25">
      <c r="A264" t="s">
        <v>307</v>
      </c>
      <c r="B264" s="2">
        <v>3.98</v>
      </c>
      <c r="C264" s="2">
        <v>3.4</v>
      </c>
      <c r="D264" s="2">
        <v>3.45</v>
      </c>
      <c r="E264" s="2">
        <v>3.78</v>
      </c>
      <c r="F264" s="2">
        <v>3.97</v>
      </c>
      <c r="G264" s="2">
        <v>4.03</v>
      </c>
      <c r="H264" s="13">
        <v>3.7896519999999998</v>
      </c>
      <c r="I264" s="13">
        <v>2.9998963999999999</v>
      </c>
      <c r="J264" s="13">
        <v>2.7642487</v>
      </c>
      <c r="K264" s="13">
        <v>2.7172193</v>
      </c>
      <c r="L264" s="13">
        <v>2.7553030000000001</v>
      </c>
      <c r="M264" s="13">
        <v>2.8427077999999999</v>
      </c>
    </row>
    <row r="265" spans="1:13" x14ac:dyDescent="0.25">
      <c r="A265" t="s">
        <v>308</v>
      </c>
      <c r="B265" s="2">
        <v>4</v>
      </c>
      <c r="C265" s="2">
        <v>3.45</v>
      </c>
      <c r="D265" s="2">
        <v>3.5</v>
      </c>
      <c r="E265" s="2">
        <v>3.87</v>
      </c>
      <c r="F265" s="2">
        <v>4.05</v>
      </c>
      <c r="G265" s="2">
        <v>4.13</v>
      </c>
      <c r="H265" s="13">
        <v>3.7600844000000002</v>
      </c>
      <c r="I265" s="13">
        <v>3.0043413000000001</v>
      </c>
      <c r="J265" s="13">
        <v>2.8192727</v>
      </c>
      <c r="K265" s="13">
        <v>2.7968103000000002</v>
      </c>
      <c r="L265" s="13">
        <v>2.8361326</v>
      </c>
      <c r="M265" s="13">
        <v>2.9188304999999999</v>
      </c>
    </row>
    <row r="266" spans="1:13" x14ac:dyDescent="0.25">
      <c r="A266" t="s">
        <v>309</v>
      </c>
      <c r="B266" s="2">
        <v>3.98</v>
      </c>
      <c r="C266" s="2">
        <v>3.46</v>
      </c>
      <c r="D266" s="2">
        <v>3.54</v>
      </c>
      <c r="E266" s="2">
        <v>3.92</v>
      </c>
      <c r="F266" s="2">
        <v>4.09</v>
      </c>
      <c r="G266" s="2">
        <v>4.1399999999999997</v>
      </c>
      <c r="H266" s="13">
        <v>3.7439483</v>
      </c>
      <c r="I266" s="13">
        <v>3.0335242999999998</v>
      </c>
      <c r="J266" s="13">
        <v>2.8890318000000001</v>
      </c>
      <c r="K266" s="13">
        <v>2.8459767999999999</v>
      </c>
      <c r="L266" s="13">
        <v>2.8717766999999998</v>
      </c>
      <c r="M266" s="13">
        <v>2.9648184</v>
      </c>
    </row>
    <row r="267" spans="1:13" x14ac:dyDescent="0.25">
      <c r="A267" t="s">
        <v>310</v>
      </c>
      <c r="B267" s="2" t="e">
        <v>#N/A</v>
      </c>
      <c r="C267" s="2">
        <v>3.46</v>
      </c>
      <c r="D267" s="2" t="e">
        <v>#N/A</v>
      </c>
      <c r="E267" s="2">
        <v>3.92</v>
      </c>
      <c r="F267" s="2">
        <v>4.09</v>
      </c>
      <c r="G267" s="2" t="e">
        <v>#N/A</v>
      </c>
      <c r="H267" s="13" t="e">
        <v>#N/A</v>
      </c>
      <c r="I267" s="13" t="e">
        <v>#N/A</v>
      </c>
      <c r="J267" s="13" t="e">
        <v>#N/A</v>
      </c>
      <c r="K267" s="13" t="e">
        <v>#N/A</v>
      </c>
      <c r="L267" s="13" t="e">
        <v>#N/A</v>
      </c>
      <c r="M267" s="13" t="e">
        <v>#N/A</v>
      </c>
    </row>
    <row r="268" spans="1:13" x14ac:dyDescent="0.25">
      <c r="A268" t="s">
        <v>311</v>
      </c>
      <c r="B268" s="2">
        <v>4.0599999999999996</v>
      </c>
      <c r="C268" s="2">
        <v>3.55</v>
      </c>
      <c r="D268" s="2">
        <v>3.65</v>
      </c>
      <c r="E268" s="2">
        <v>4.04</v>
      </c>
      <c r="F268" s="2">
        <v>4.22</v>
      </c>
      <c r="G268" s="2">
        <v>4.28</v>
      </c>
      <c r="H268" s="13">
        <v>3.8133507</v>
      </c>
      <c r="I268" s="13">
        <v>3.1224959999999999</v>
      </c>
      <c r="J268" s="13">
        <v>2.9397964999999999</v>
      </c>
      <c r="K268" s="13">
        <v>2.9139373000000002</v>
      </c>
      <c r="L268" s="13">
        <v>2.9766149999999998</v>
      </c>
      <c r="M268" s="13">
        <v>3.0953135999999999</v>
      </c>
    </row>
    <row r="269" spans="1:13" x14ac:dyDescent="0.25">
      <c r="A269" t="s">
        <v>312</v>
      </c>
      <c r="B269" s="2">
        <v>4.07</v>
      </c>
      <c r="C269" s="2">
        <v>3.55</v>
      </c>
      <c r="D269" s="2">
        <v>3.61</v>
      </c>
      <c r="E269" s="2">
        <v>3.99</v>
      </c>
      <c r="F269" s="2">
        <v>4.1900000000000004</v>
      </c>
      <c r="G269" s="2">
        <v>4.26</v>
      </c>
      <c r="H269" s="13">
        <v>3.8103908999999998</v>
      </c>
      <c r="I269" s="13">
        <v>3.0582151</v>
      </c>
      <c r="J269" s="13">
        <v>2.9010166000000002</v>
      </c>
      <c r="K269" s="13">
        <v>2.8980372000000001</v>
      </c>
      <c r="L269" s="13">
        <v>2.9573434999999999</v>
      </c>
      <c r="M269" s="13">
        <v>3.0660859999999999</v>
      </c>
    </row>
    <row r="270" spans="1:13" x14ac:dyDescent="0.25">
      <c r="A270" t="s">
        <v>313</v>
      </c>
      <c r="B270" s="2">
        <v>4.22</v>
      </c>
      <c r="C270" s="2">
        <v>3.7</v>
      </c>
      <c r="D270" s="2">
        <v>3.74</v>
      </c>
      <c r="E270" s="2">
        <v>4.12</v>
      </c>
      <c r="F270" s="2">
        <v>4.3</v>
      </c>
      <c r="G270" s="2">
        <v>4.38</v>
      </c>
      <c r="H270" s="13">
        <v>3.9458215999999999</v>
      </c>
      <c r="I270" s="13">
        <v>3.2268181999999999</v>
      </c>
      <c r="J270" s="13">
        <v>3.0787962000000002</v>
      </c>
      <c r="K270" s="13">
        <v>3.0719349999999999</v>
      </c>
      <c r="L270" s="13">
        <v>3.1227581999999998</v>
      </c>
      <c r="M270" s="13">
        <v>3.2155847999999998</v>
      </c>
    </row>
    <row r="271" spans="1:13" x14ac:dyDescent="0.25">
      <c r="A271" t="s">
        <v>314</v>
      </c>
      <c r="B271" s="2">
        <v>4.24</v>
      </c>
      <c r="C271" s="2">
        <v>3.78</v>
      </c>
      <c r="D271" s="2">
        <v>3.81</v>
      </c>
      <c r="E271" s="2">
        <v>4.17</v>
      </c>
      <c r="F271" s="2">
        <v>4.3499999999999996</v>
      </c>
      <c r="G271" s="2">
        <v>4.42</v>
      </c>
      <c r="H271" s="13">
        <v>4.0318582999999997</v>
      </c>
      <c r="I271" s="13">
        <v>3.3301962999999999</v>
      </c>
      <c r="J271" s="13">
        <v>3.1663868000000002</v>
      </c>
      <c r="K271" s="13">
        <v>3.1551931999999998</v>
      </c>
      <c r="L271" s="13">
        <v>3.1965007000000001</v>
      </c>
      <c r="M271" s="13">
        <v>3.2772655999999998</v>
      </c>
    </row>
    <row r="272" spans="1:13" x14ac:dyDescent="0.25">
      <c r="A272" t="s">
        <v>315</v>
      </c>
      <c r="B272" s="2">
        <v>4.1900000000000004</v>
      </c>
      <c r="C272" s="2">
        <v>3.72</v>
      </c>
      <c r="D272" s="2">
        <v>3.77</v>
      </c>
      <c r="E272" s="2">
        <v>4.12</v>
      </c>
      <c r="F272" s="2">
        <v>4.3099999999999996</v>
      </c>
      <c r="G272" s="2">
        <v>4.38</v>
      </c>
      <c r="H272" s="13">
        <v>3.9915984999999998</v>
      </c>
      <c r="I272" s="13">
        <v>3.3028127999999999</v>
      </c>
      <c r="J272" s="13">
        <v>3.1397409000000001</v>
      </c>
      <c r="K272" s="13">
        <v>3.1224812000000002</v>
      </c>
      <c r="L272" s="13">
        <v>3.1630677999999999</v>
      </c>
      <c r="M272" s="13">
        <v>3.2511538999999998</v>
      </c>
    </row>
    <row r="273" spans="1:13" x14ac:dyDescent="0.25">
      <c r="A273" t="s">
        <v>316</v>
      </c>
      <c r="B273" s="2">
        <v>4.21</v>
      </c>
      <c r="C273" s="2">
        <v>3.73</v>
      </c>
      <c r="D273" s="2">
        <v>3.79</v>
      </c>
      <c r="E273" s="2">
        <v>4.1500000000000004</v>
      </c>
      <c r="F273" s="2">
        <v>4.32</v>
      </c>
      <c r="G273" s="2">
        <v>4.4000000000000004</v>
      </c>
      <c r="H273" s="13">
        <v>4.0132621999999998</v>
      </c>
      <c r="I273" s="13">
        <v>3.3161052999999998</v>
      </c>
      <c r="J273" s="13">
        <v>3.1342281999999999</v>
      </c>
      <c r="K273" s="13">
        <v>3.1158538999999998</v>
      </c>
      <c r="L273" s="13">
        <v>3.1673711999999998</v>
      </c>
      <c r="M273" s="13">
        <v>3.2636286999999999</v>
      </c>
    </row>
    <row r="274" spans="1:13" x14ac:dyDescent="0.25">
      <c r="A274" t="s">
        <v>317</v>
      </c>
      <c r="B274" s="2">
        <v>4.22</v>
      </c>
      <c r="C274" s="2">
        <v>3.75</v>
      </c>
      <c r="D274" s="2">
        <v>3.82</v>
      </c>
      <c r="E274" s="2">
        <v>4.18</v>
      </c>
      <c r="F274" s="2">
        <v>4.34</v>
      </c>
      <c r="G274" s="2">
        <v>4.42</v>
      </c>
      <c r="H274" s="13">
        <v>4.0516975999999998</v>
      </c>
      <c r="I274" s="13">
        <v>3.367845</v>
      </c>
      <c r="J274" s="13">
        <v>3.1564854000000002</v>
      </c>
      <c r="K274" s="13">
        <v>3.1247780999999999</v>
      </c>
      <c r="L274" s="13">
        <v>3.1751377000000001</v>
      </c>
      <c r="M274" s="13">
        <v>3.2731349000000001</v>
      </c>
    </row>
    <row r="275" spans="1:13" x14ac:dyDescent="0.25">
      <c r="A275" t="s">
        <v>318</v>
      </c>
      <c r="B275" s="2">
        <v>4.25</v>
      </c>
      <c r="C275" s="2">
        <v>3.76</v>
      </c>
      <c r="D275" s="2">
        <v>3.85</v>
      </c>
      <c r="E275" s="2">
        <v>4.2</v>
      </c>
      <c r="F275" s="2">
        <v>4.3600000000000003</v>
      </c>
      <c r="G275" s="2">
        <v>4.4400000000000004</v>
      </c>
      <c r="H275" s="13">
        <v>4.0309255999999998</v>
      </c>
      <c r="I275" s="13">
        <v>3.3363711</v>
      </c>
      <c r="J275" s="13">
        <v>3.180615</v>
      </c>
      <c r="K275" s="13">
        <v>3.1794606999999999</v>
      </c>
      <c r="L275" s="13">
        <v>3.2379589000000002</v>
      </c>
      <c r="M275" s="13">
        <v>3.3335096000000002</v>
      </c>
    </row>
    <row r="276" spans="1:13" x14ac:dyDescent="0.25">
      <c r="A276" t="s">
        <v>319</v>
      </c>
      <c r="B276" s="2">
        <v>4.18</v>
      </c>
      <c r="C276" s="2">
        <v>3.67</v>
      </c>
      <c r="D276" s="2">
        <v>3.8</v>
      </c>
      <c r="E276" s="2">
        <v>4.16</v>
      </c>
      <c r="F276" s="2">
        <v>4.34</v>
      </c>
      <c r="G276" s="2">
        <v>4.43</v>
      </c>
      <c r="H276" s="13">
        <v>3.9063379999999999</v>
      </c>
      <c r="I276" s="13">
        <v>3.2413816</v>
      </c>
      <c r="J276" s="13">
        <v>3.0985542000000001</v>
      </c>
      <c r="K276" s="13">
        <v>3.1066479</v>
      </c>
      <c r="L276" s="13">
        <v>3.1735852000000002</v>
      </c>
      <c r="M276" s="13">
        <v>3.2788018999999999</v>
      </c>
    </row>
    <row r="277" spans="1:13" x14ac:dyDescent="0.25">
      <c r="A277" t="s">
        <v>320</v>
      </c>
      <c r="B277" s="2">
        <v>4.16</v>
      </c>
      <c r="C277" s="2">
        <v>3.68</v>
      </c>
      <c r="D277" s="2">
        <v>3.8</v>
      </c>
      <c r="E277" s="2">
        <v>4.18</v>
      </c>
      <c r="F277" s="2">
        <v>4.3600000000000003</v>
      </c>
      <c r="G277" s="2">
        <v>4.46</v>
      </c>
      <c r="H277" s="13">
        <v>3.8821870000000001</v>
      </c>
      <c r="I277" s="13">
        <v>3.2212367999999998</v>
      </c>
      <c r="J277" s="13">
        <v>3.0832033000000001</v>
      </c>
      <c r="K277" s="13">
        <v>3.0955377999999998</v>
      </c>
      <c r="L277" s="13">
        <v>3.1690068</v>
      </c>
      <c r="M277" s="13">
        <v>3.2852853999999998</v>
      </c>
    </row>
    <row r="278" spans="1:13" x14ac:dyDescent="0.25">
      <c r="A278" t="s">
        <v>321</v>
      </c>
      <c r="B278" s="2">
        <v>4.1900000000000004</v>
      </c>
      <c r="C278" s="2">
        <v>3.7</v>
      </c>
      <c r="D278" s="2">
        <v>3.83</v>
      </c>
      <c r="E278" s="2">
        <v>4.22</v>
      </c>
      <c r="F278" s="2">
        <v>4.41</v>
      </c>
      <c r="G278" s="2">
        <v>4.51</v>
      </c>
      <c r="H278" s="13">
        <v>3.8892679000000001</v>
      </c>
      <c r="I278" s="13">
        <v>3.2276975000000001</v>
      </c>
      <c r="J278" s="13">
        <v>3.1136786000000001</v>
      </c>
      <c r="K278" s="13">
        <v>3.1338846</v>
      </c>
      <c r="L278" s="13">
        <v>3.2156826000000001</v>
      </c>
      <c r="M278" s="13">
        <v>3.3398984999999999</v>
      </c>
    </row>
    <row r="279" spans="1:13" x14ac:dyDescent="0.25">
      <c r="A279" t="s">
        <v>322</v>
      </c>
      <c r="B279" s="2">
        <v>4.38</v>
      </c>
      <c r="C279" s="2">
        <v>3.91</v>
      </c>
      <c r="D279" s="2">
        <v>3.98</v>
      </c>
      <c r="E279" s="2">
        <v>4.37</v>
      </c>
      <c r="F279" s="2">
        <v>4.54</v>
      </c>
      <c r="G279" s="2">
        <v>4.6399999999999997</v>
      </c>
      <c r="H279" s="13">
        <v>4.1724997000000004</v>
      </c>
      <c r="I279" s="13">
        <v>3.5121131999999999</v>
      </c>
      <c r="J279" s="13">
        <v>3.3242843999999998</v>
      </c>
      <c r="K279" s="13">
        <v>3.3045952999999999</v>
      </c>
      <c r="L279" s="13">
        <v>3.3656448000000001</v>
      </c>
      <c r="M279" s="13">
        <v>3.4747675</v>
      </c>
    </row>
    <row r="280" spans="1:13" x14ac:dyDescent="0.25">
      <c r="A280" t="s">
        <v>323</v>
      </c>
      <c r="B280" s="2">
        <v>4.3099999999999996</v>
      </c>
      <c r="C280" s="2">
        <v>3.84</v>
      </c>
      <c r="D280" s="2">
        <v>3.94</v>
      </c>
      <c r="E280" s="2">
        <v>4.33</v>
      </c>
      <c r="F280" s="2">
        <v>4.51</v>
      </c>
      <c r="G280" s="2">
        <v>4.6100000000000003</v>
      </c>
      <c r="H280" s="13">
        <v>4.1179306000000002</v>
      </c>
      <c r="I280" s="13">
        <v>3.4239054000000002</v>
      </c>
      <c r="J280" s="13">
        <v>3.2622235000000002</v>
      </c>
      <c r="K280" s="13">
        <v>3.2576651999999999</v>
      </c>
      <c r="L280" s="13">
        <v>3.3228304</v>
      </c>
      <c r="M280" s="13">
        <v>3.4345602</v>
      </c>
    </row>
    <row r="281" spans="1:13" x14ac:dyDescent="0.25">
      <c r="A281" t="s">
        <v>324</v>
      </c>
      <c r="B281" s="2">
        <v>4.29</v>
      </c>
      <c r="C281" s="2">
        <v>3.84</v>
      </c>
      <c r="D281" s="2">
        <v>3.92</v>
      </c>
      <c r="E281" s="2">
        <v>4.29</v>
      </c>
      <c r="F281" s="2">
        <v>4.46</v>
      </c>
      <c r="G281" s="2">
        <v>4.5599999999999996</v>
      </c>
      <c r="H281" s="13">
        <v>4.1495841000000002</v>
      </c>
      <c r="I281" s="13">
        <v>3.4724444000000001</v>
      </c>
      <c r="J281" s="13">
        <v>3.2869698000000001</v>
      </c>
      <c r="K281" s="13">
        <v>3.2554135999999998</v>
      </c>
      <c r="L281" s="13">
        <v>3.2984133999999998</v>
      </c>
      <c r="M281" s="13">
        <v>3.3935567</v>
      </c>
    </row>
    <row r="282" spans="1:13" x14ac:dyDescent="0.25">
      <c r="A282" t="s">
        <v>325</v>
      </c>
      <c r="B282" s="2">
        <v>4.3099999999999996</v>
      </c>
      <c r="C282" s="2">
        <v>3.85</v>
      </c>
      <c r="D282" s="2">
        <v>3.91</v>
      </c>
      <c r="E282" s="2">
        <v>4.2699999999999996</v>
      </c>
      <c r="F282" s="2">
        <v>4.4400000000000004</v>
      </c>
      <c r="G282" s="2">
        <v>4.54</v>
      </c>
      <c r="H282" s="13">
        <v>4.1228926000000001</v>
      </c>
      <c r="I282" s="13">
        <v>3.4913457999999999</v>
      </c>
      <c r="J282" s="13">
        <v>3.2940466000000002</v>
      </c>
      <c r="K282" s="13">
        <v>3.2473597000000001</v>
      </c>
      <c r="L282" s="13">
        <v>3.2848663999999999</v>
      </c>
      <c r="M282" s="13">
        <v>3.3810345000000002</v>
      </c>
    </row>
    <row r="283" spans="1:13" x14ac:dyDescent="0.25">
      <c r="A283" t="s">
        <v>326</v>
      </c>
      <c r="B283" s="2">
        <v>4.38</v>
      </c>
      <c r="C283" s="2">
        <v>3.94</v>
      </c>
      <c r="D283" s="2">
        <v>4</v>
      </c>
      <c r="E283" s="2">
        <v>4.34</v>
      </c>
      <c r="F283" s="2">
        <v>4.51</v>
      </c>
      <c r="G283" s="2">
        <v>4.59</v>
      </c>
      <c r="H283" s="13">
        <v>4.2025816999999996</v>
      </c>
      <c r="I283" s="13">
        <v>3.5704832</v>
      </c>
      <c r="J283" s="13">
        <v>3.3760902000000002</v>
      </c>
      <c r="K283" s="13">
        <v>3.3337292999999999</v>
      </c>
      <c r="L283" s="13">
        <v>3.3717084000000002</v>
      </c>
      <c r="M283" s="13">
        <v>3.4630551999999999</v>
      </c>
    </row>
    <row r="284" spans="1:13" x14ac:dyDescent="0.25">
      <c r="A284" t="s">
        <v>327</v>
      </c>
      <c r="B284" s="2">
        <v>4.38</v>
      </c>
      <c r="C284" s="2">
        <v>3.95</v>
      </c>
      <c r="D284" s="2">
        <v>4</v>
      </c>
      <c r="E284" s="2">
        <v>4.34</v>
      </c>
      <c r="F284" s="2">
        <v>4.51</v>
      </c>
      <c r="G284" s="2">
        <v>4.59</v>
      </c>
      <c r="H284" s="13">
        <v>4.2413793999999996</v>
      </c>
      <c r="I284" s="13">
        <v>3.5977218</v>
      </c>
      <c r="J284" s="13">
        <v>3.3956214</v>
      </c>
      <c r="K284" s="13">
        <v>3.3450975000000001</v>
      </c>
      <c r="L284" s="13">
        <v>3.3736587999999998</v>
      </c>
      <c r="M284" s="13">
        <v>3.4577190999999998</v>
      </c>
    </row>
    <row r="285" spans="1:13" x14ac:dyDescent="0.25">
      <c r="A285" t="s">
        <v>328</v>
      </c>
      <c r="B285" s="2">
        <v>4.37</v>
      </c>
      <c r="C285" s="2">
        <v>3.92</v>
      </c>
      <c r="D285" s="2">
        <v>3.99</v>
      </c>
      <c r="E285" s="2">
        <v>4.34</v>
      </c>
      <c r="F285" s="2">
        <v>4.51</v>
      </c>
      <c r="G285" s="2">
        <v>4.5999999999999996</v>
      </c>
      <c r="H285" s="13">
        <v>4.1762113999999997</v>
      </c>
      <c r="I285" s="13">
        <v>3.5261338000000002</v>
      </c>
      <c r="J285" s="13">
        <v>3.3725459999999998</v>
      </c>
      <c r="K285" s="13">
        <v>3.3486961000000002</v>
      </c>
      <c r="L285" s="13">
        <v>3.3895436999999999</v>
      </c>
      <c r="M285" s="13">
        <v>3.4778424999999999</v>
      </c>
    </row>
    <row r="286" spans="1:13" x14ac:dyDescent="0.25">
      <c r="A286" t="s">
        <v>329</v>
      </c>
      <c r="B286" s="2">
        <v>4.34</v>
      </c>
      <c r="C286" s="2">
        <v>3.89</v>
      </c>
      <c r="D286" s="2">
        <v>3.97</v>
      </c>
      <c r="E286" s="2">
        <v>4.33</v>
      </c>
      <c r="F286" s="2">
        <v>4.5</v>
      </c>
      <c r="G286" s="2">
        <v>4.59</v>
      </c>
      <c r="H286" s="13">
        <v>4.1361011000000003</v>
      </c>
      <c r="I286" s="13">
        <v>3.4827398999999999</v>
      </c>
      <c r="J286" s="13">
        <v>3.3349198000000002</v>
      </c>
      <c r="K286" s="13">
        <v>3.3284473999999999</v>
      </c>
      <c r="L286" s="13">
        <v>3.3763003</v>
      </c>
      <c r="M286" s="13">
        <v>3.4670204999999998</v>
      </c>
    </row>
    <row r="287" spans="1:13" x14ac:dyDescent="0.25">
      <c r="A287" t="s">
        <v>330</v>
      </c>
      <c r="B287" s="2">
        <v>4.2699999999999996</v>
      </c>
      <c r="C287" s="2">
        <v>3.81</v>
      </c>
      <c r="D287" s="2">
        <v>3.88</v>
      </c>
      <c r="E287" s="2">
        <v>4.25</v>
      </c>
      <c r="F287" s="2">
        <v>4.43</v>
      </c>
      <c r="G287" s="2">
        <v>4.51</v>
      </c>
      <c r="H287" s="13">
        <v>4.0609840999999998</v>
      </c>
      <c r="I287" s="13">
        <v>3.4125505</v>
      </c>
      <c r="J287" s="13">
        <v>3.2642552</v>
      </c>
      <c r="K287" s="13">
        <v>3.2506235000000001</v>
      </c>
      <c r="L287" s="13">
        <v>3.2913975999999998</v>
      </c>
      <c r="M287" s="13">
        <v>3.3833080999999998</v>
      </c>
    </row>
    <row r="288" spans="1:13" x14ac:dyDescent="0.25">
      <c r="A288" t="s">
        <v>331</v>
      </c>
      <c r="B288" s="2">
        <v>4.33</v>
      </c>
      <c r="C288" s="2">
        <v>3.86</v>
      </c>
      <c r="D288" s="2">
        <v>3.9</v>
      </c>
      <c r="E288" s="2">
        <v>4.2699999999999996</v>
      </c>
      <c r="F288" s="2">
        <v>4.45</v>
      </c>
      <c r="G288" s="2">
        <v>4.53</v>
      </c>
      <c r="H288" s="13">
        <v>4.1444714999999999</v>
      </c>
      <c r="I288" s="13">
        <v>3.4983825</v>
      </c>
      <c r="J288" s="13">
        <v>3.2994998999999998</v>
      </c>
      <c r="K288" s="13">
        <v>3.2551629000000002</v>
      </c>
      <c r="L288" s="13">
        <v>3.2980624000000001</v>
      </c>
      <c r="M288" s="13">
        <v>3.3986548000000001</v>
      </c>
    </row>
    <row r="289" spans="1:13" x14ac:dyDescent="0.25">
      <c r="A289" t="s">
        <v>332</v>
      </c>
      <c r="B289" s="2">
        <v>4.22</v>
      </c>
      <c r="C289" s="2">
        <v>3.74</v>
      </c>
      <c r="D289" s="2">
        <v>3.79</v>
      </c>
      <c r="E289" s="2">
        <v>4.16</v>
      </c>
      <c r="F289" s="2">
        <v>4.3499999999999996</v>
      </c>
      <c r="G289" s="2">
        <v>4.45</v>
      </c>
      <c r="H289" s="13">
        <v>4.0272195000000002</v>
      </c>
      <c r="I289" s="13">
        <v>3.3484123000000001</v>
      </c>
      <c r="J289" s="13">
        <v>3.1736841999999998</v>
      </c>
      <c r="K289" s="13">
        <v>3.1499939000000001</v>
      </c>
      <c r="L289" s="13">
        <v>3.1941967</v>
      </c>
      <c r="M289" s="13">
        <v>3.2908241999999999</v>
      </c>
    </row>
    <row r="290" spans="1:13" x14ac:dyDescent="0.25">
      <c r="A290" t="s">
        <v>333</v>
      </c>
      <c r="B290" s="2">
        <v>4.24</v>
      </c>
      <c r="C290" s="2">
        <v>3.71</v>
      </c>
      <c r="D290" s="2">
        <v>3.76</v>
      </c>
      <c r="E290" s="2">
        <v>4.1399999999999997</v>
      </c>
      <c r="F290" s="2">
        <v>4.33</v>
      </c>
      <c r="G290" s="2">
        <v>4.43</v>
      </c>
      <c r="H290" s="13">
        <v>4.0357456999999997</v>
      </c>
      <c r="I290" s="13">
        <v>3.2908330000000001</v>
      </c>
      <c r="J290" s="13">
        <v>3.1267147999999998</v>
      </c>
      <c r="K290" s="13">
        <v>3.1156765000000002</v>
      </c>
      <c r="L290" s="13">
        <v>3.1671779</v>
      </c>
      <c r="M290" s="13">
        <v>3.2647526</v>
      </c>
    </row>
    <row r="291" spans="1:13" x14ac:dyDescent="0.25">
      <c r="A291" t="s">
        <v>334</v>
      </c>
      <c r="B291" s="2">
        <v>4.43</v>
      </c>
      <c r="C291" s="2">
        <v>3.91</v>
      </c>
      <c r="D291" s="2">
        <v>3.92</v>
      </c>
      <c r="E291" s="2">
        <v>4.28</v>
      </c>
      <c r="F291" s="2">
        <v>4.46</v>
      </c>
      <c r="G291" s="2">
        <v>4.55</v>
      </c>
      <c r="H291" s="13">
        <v>4.2314125000000002</v>
      </c>
      <c r="I291" s="13">
        <v>3.5046886000000002</v>
      </c>
      <c r="J291" s="13">
        <v>3.3004235999999998</v>
      </c>
      <c r="K291" s="13">
        <v>3.2740174999999998</v>
      </c>
      <c r="L291" s="13">
        <v>3.3153328000000002</v>
      </c>
      <c r="M291" s="13">
        <v>3.4043849000000002</v>
      </c>
    </row>
    <row r="292" spans="1:13" x14ac:dyDescent="0.25">
      <c r="A292" t="s">
        <v>335</v>
      </c>
      <c r="B292" s="2">
        <v>4.49</v>
      </c>
      <c r="C292" s="2">
        <v>3.98</v>
      </c>
      <c r="D292" s="2">
        <v>4</v>
      </c>
      <c r="E292" s="2">
        <v>4.3499999999999996</v>
      </c>
      <c r="F292" s="2">
        <v>4.5199999999999996</v>
      </c>
      <c r="G292" s="2">
        <v>4.6100000000000003</v>
      </c>
      <c r="H292" s="13">
        <v>4.2995466000000002</v>
      </c>
      <c r="I292" s="13">
        <v>3.6350742</v>
      </c>
      <c r="J292" s="13">
        <v>3.4230266999999999</v>
      </c>
      <c r="K292" s="13">
        <v>3.3576258999999999</v>
      </c>
      <c r="L292" s="13">
        <v>3.3761608000000001</v>
      </c>
      <c r="M292" s="13">
        <v>3.4611282999999999</v>
      </c>
    </row>
    <row r="293" spans="1:13" x14ac:dyDescent="0.25">
      <c r="A293" t="s">
        <v>336</v>
      </c>
      <c r="B293" s="2">
        <v>4.43</v>
      </c>
      <c r="C293" s="2">
        <v>3.94</v>
      </c>
      <c r="D293" s="2">
        <v>3.94</v>
      </c>
      <c r="E293" s="2">
        <v>4.29</v>
      </c>
      <c r="F293" s="2">
        <v>4.45</v>
      </c>
      <c r="G293" s="2">
        <v>4.54</v>
      </c>
      <c r="H293" s="13">
        <v>4.2673702000000002</v>
      </c>
      <c r="I293" s="13">
        <v>3.5957925999999998</v>
      </c>
      <c r="J293" s="13">
        <v>3.3766193000000002</v>
      </c>
      <c r="K293" s="13">
        <v>3.3052161</v>
      </c>
      <c r="L293" s="13">
        <v>3.3236645999999999</v>
      </c>
      <c r="M293" s="13">
        <v>3.4014300999999998</v>
      </c>
    </row>
    <row r="294" spans="1:13" x14ac:dyDescent="0.25">
      <c r="A294" t="s">
        <v>337</v>
      </c>
      <c r="B294" s="2">
        <v>4.4800000000000004</v>
      </c>
      <c r="C294" s="2">
        <v>3.98</v>
      </c>
      <c r="D294" s="2">
        <v>4</v>
      </c>
      <c r="E294" s="2">
        <v>4.33</v>
      </c>
      <c r="F294" s="2">
        <v>4.49</v>
      </c>
      <c r="G294" s="2">
        <v>4.58</v>
      </c>
      <c r="H294" s="13">
        <v>4.2922424000000001</v>
      </c>
      <c r="I294" s="13">
        <v>3.6234413000000001</v>
      </c>
      <c r="J294" s="13">
        <v>3.3971393000000001</v>
      </c>
      <c r="K294" s="13">
        <v>3.3400918000000002</v>
      </c>
      <c r="L294" s="13">
        <v>3.3722968999999998</v>
      </c>
      <c r="M294" s="13">
        <v>3.4597630000000001</v>
      </c>
    </row>
    <row r="295" spans="1:13" x14ac:dyDescent="0.25">
      <c r="A295" t="s">
        <v>338</v>
      </c>
      <c r="B295" s="2">
        <v>4.55</v>
      </c>
      <c r="C295" s="2">
        <v>4.0599999999999996</v>
      </c>
      <c r="D295" s="2">
        <v>4.0599999999999996</v>
      </c>
      <c r="E295" s="2">
        <v>4.38</v>
      </c>
      <c r="F295" s="2">
        <v>4.54</v>
      </c>
      <c r="G295" s="2">
        <v>4.62</v>
      </c>
      <c r="H295" s="13">
        <v>4.3165857000000001</v>
      </c>
      <c r="I295" s="13">
        <v>3.7049528999999999</v>
      </c>
      <c r="J295" s="13">
        <v>3.492197</v>
      </c>
      <c r="K295" s="13">
        <v>3.4251138999999999</v>
      </c>
      <c r="L295" s="13">
        <v>3.4407334000000001</v>
      </c>
      <c r="M295" s="13">
        <v>3.5096235</v>
      </c>
    </row>
    <row r="296" spans="1:13" x14ac:dyDescent="0.25">
      <c r="A296" t="s">
        <v>339</v>
      </c>
      <c r="B296" s="2">
        <v>4.57</v>
      </c>
      <c r="C296" s="2">
        <v>4.08</v>
      </c>
      <c r="D296" s="2">
        <v>4.0599999999999996</v>
      </c>
      <c r="E296" s="2">
        <v>4.38</v>
      </c>
      <c r="F296" s="2">
        <v>4.5199999999999996</v>
      </c>
      <c r="G296" s="2">
        <v>4.59</v>
      </c>
      <c r="H296" s="13">
        <v>4.4001298000000002</v>
      </c>
      <c r="I296" s="13">
        <v>3.7510338999999999</v>
      </c>
      <c r="J296" s="13">
        <v>3.5239403</v>
      </c>
      <c r="K296" s="13">
        <v>3.4549601000000001</v>
      </c>
      <c r="L296" s="13">
        <v>3.4555104999999999</v>
      </c>
      <c r="M296" s="13">
        <v>3.5079091999999998</v>
      </c>
    </row>
    <row r="297" spans="1:13" x14ac:dyDescent="0.25">
      <c r="A297" t="s">
        <v>340</v>
      </c>
      <c r="B297" s="2">
        <v>4.55</v>
      </c>
      <c r="C297" s="2">
        <v>4.0599999999999996</v>
      </c>
      <c r="D297" s="2">
        <v>4.0599999999999996</v>
      </c>
      <c r="E297" s="2">
        <v>4.37</v>
      </c>
      <c r="F297" s="2">
        <v>4.5199999999999996</v>
      </c>
      <c r="G297" s="2">
        <v>4.59</v>
      </c>
      <c r="H297" s="13">
        <v>4.3545467000000002</v>
      </c>
      <c r="I297" s="13">
        <v>3.7385228000000001</v>
      </c>
      <c r="J297" s="13">
        <v>3.5187691000000001</v>
      </c>
      <c r="K297" s="13">
        <v>3.4426787000000001</v>
      </c>
      <c r="L297" s="13">
        <v>3.4487836999999999</v>
      </c>
      <c r="M297" s="13">
        <v>3.5164127000000001</v>
      </c>
    </row>
    <row r="298" spans="1:13" x14ac:dyDescent="0.25">
      <c r="A298" t="s">
        <v>341</v>
      </c>
      <c r="B298" s="2">
        <v>4.68</v>
      </c>
      <c r="C298" s="2">
        <v>4.2</v>
      </c>
      <c r="D298" s="2">
        <v>4.16</v>
      </c>
      <c r="E298" s="2">
        <v>4.47</v>
      </c>
      <c r="F298" s="2">
        <v>4.5999999999999996</v>
      </c>
      <c r="G298" s="2">
        <v>4.67</v>
      </c>
      <c r="H298" s="13">
        <v>4.5397856000000001</v>
      </c>
      <c r="I298" s="13">
        <v>3.912166</v>
      </c>
      <c r="J298" s="13">
        <v>3.6341961999999999</v>
      </c>
      <c r="K298" s="13">
        <v>3.5295793999999998</v>
      </c>
      <c r="L298" s="13">
        <v>3.5237191999999999</v>
      </c>
      <c r="M298" s="13">
        <v>3.5806898</v>
      </c>
    </row>
    <row r="299" spans="1:13" x14ac:dyDescent="0.25">
      <c r="A299" t="s">
        <v>342</v>
      </c>
      <c r="B299" s="2">
        <v>4.54</v>
      </c>
      <c r="C299" s="2">
        <v>4.04</v>
      </c>
      <c r="D299" s="2">
        <v>4.03</v>
      </c>
      <c r="E299" s="2">
        <v>4.34</v>
      </c>
      <c r="F299" s="2">
        <v>4.49</v>
      </c>
      <c r="G299" s="2">
        <v>4.5599999999999996</v>
      </c>
      <c r="H299" s="13">
        <v>4.3721217000000001</v>
      </c>
      <c r="I299" s="13">
        <v>3.6981709999999999</v>
      </c>
      <c r="J299" s="13">
        <v>3.4520179999999998</v>
      </c>
      <c r="K299" s="13">
        <v>3.3878629</v>
      </c>
      <c r="L299" s="13">
        <v>3.4121462999999999</v>
      </c>
      <c r="M299" s="13">
        <v>3.4918809999999998</v>
      </c>
    </row>
    <row r="300" spans="1:13" x14ac:dyDescent="0.25">
      <c r="A300" t="s">
        <v>343</v>
      </c>
      <c r="B300" s="2">
        <v>4.57</v>
      </c>
      <c r="C300" s="2">
        <v>4.0599999999999996</v>
      </c>
      <c r="D300" s="2">
        <v>4.05</v>
      </c>
      <c r="E300" s="2">
        <v>4.37</v>
      </c>
      <c r="F300" s="2">
        <v>4.5199999999999996</v>
      </c>
      <c r="G300" s="2">
        <v>4.59</v>
      </c>
      <c r="H300" s="13">
        <v>4.3508426</v>
      </c>
      <c r="I300" s="13">
        <v>3.7116723</v>
      </c>
      <c r="J300" s="13">
        <v>3.4753775</v>
      </c>
      <c r="K300" s="13">
        <v>3.4045353</v>
      </c>
      <c r="L300" s="13">
        <v>3.4305374</v>
      </c>
      <c r="M300" s="13">
        <v>3.5101486999999998</v>
      </c>
    </row>
    <row r="301" spans="1:13" x14ac:dyDescent="0.25">
      <c r="A301" t="s">
        <v>344</v>
      </c>
      <c r="B301" s="2">
        <v>4.63</v>
      </c>
      <c r="C301" s="2">
        <v>4.13</v>
      </c>
      <c r="D301" s="2">
        <v>4.1100000000000003</v>
      </c>
      <c r="E301" s="2">
        <v>4.43</v>
      </c>
      <c r="F301" s="2">
        <v>4.58</v>
      </c>
      <c r="G301" s="2">
        <v>4.6500000000000004</v>
      </c>
      <c r="H301" s="13">
        <v>4.4997816999999998</v>
      </c>
      <c r="I301" s="13">
        <v>3.8341097999999998</v>
      </c>
      <c r="J301" s="13">
        <v>3.5549935000000001</v>
      </c>
      <c r="K301" s="13">
        <v>3.4750358000000001</v>
      </c>
      <c r="L301" s="13">
        <v>3.4889630999999999</v>
      </c>
      <c r="M301" s="13">
        <v>3.5572596000000001</v>
      </c>
    </row>
    <row r="302" spans="1:13" x14ac:dyDescent="0.25">
      <c r="A302" t="s">
        <v>345</v>
      </c>
      <c r="B302" s="2">
        <v>4.63</v>
      </c>
      <c r="C302" s="2">
        <v>4.1500000000000004</v>
      </c>
      <c r="D302" s="2">
        <v>4.12</v>
      </c>
      <c r="E302" s="2">
        <v>4.4400000000000004</v>
      </c>
      <c r="F302" s="2">
        <v>4.59</v>
      </c>
      <c r="G302" s="2">
        <v>4.66</v>
      </c>
      <c r="H302" s="13">
        <v>4.4448220999999997</v>
      </c>
      <c r="I302" s="13">
        <v>3.8216572000000002</v>
      </c>
      <c r="J302" s="13">
        <v>3.5799148000000001</v>
      </c>
      <c r="K302" s="13">
        <v>3.4777494999999998</v>
      </c>
      <c r="L302" s="13">
        <v>3.4772801000000002</v>
      </c>
      <c r="M302" s="13">
        <v>3.5581922000000001</v>
      </c>
    </row>
    <row r="303" spans="1:13" x14ac:dyDescent="0.25">
      <c r="A303" t="s">
        <v>366</v>
      </c>
      <c r="B303" s="2">
        <v>4.55</v>
      </c>
      <c r="C303" s="2">
        <v>4.07</v>
      </c>
      <c r="D303" s="2">
        <v>4.05</v>
      </c>
      <c r="E303" s="2">
        <v>4.37</v>
      </c>
      <c r="F303" s="2">
        <v>4.53</v>
      </c>
      <c r="G303" s="2">
        <v>4.5999999999999996</v>
      </c>
      <c r="H303" s="13">
        <v>4.3330006000000001</v>
      </c>
      <c r="I303" s="13">
        <v>3.7488513000000001</v>
      </c>
      <c r="J303" s="13">
        <v>3.5051998000000002</v>
      </c>
      <c r="K303" s="13">
        <v>3.4277603999999999</v>
      </c>
      <c r="L303" s="13">
        <v>3.4364615000000001</v>
      </c>
      <c r="M303" s="13">
        <v>3.5029268</v>
      </c>
    </row>
    <row r="304" spans="1:13" x14ac:dyDescent="0.25">
      <c r="A304" t="s">
        <v>367</v>
      </c>
      <c r="B304" s="2">
        <v>4.6100000000000003</v>
      </c>
      <c r="C304" s="2">
        <v>4.1399999999999997</v>
      </c>
      <c r="D304" s="2">
        <v>4.0999999999999996</v>
      </c>
      <c r="E304" s="2">
        <v>4.42</v>
      </c>
      <c r="F304" s="2">
        <v>4.57</v>
      </c>
      <c r="G304" s="2">
        <v>4.63</v>
      </c>
      <c r="H304" s="13">
        <v>4.4481289000000004</v>
      </c>
      <c r="I304" s="13">
        <v>3.8564750000000001</v>
      </c>
      <c r="J304" s="13">
        <v>3.5894548999999998</v>
      </c>
      <c r="K304" s="13">
        <v>3.4903111999999998</v>
      </c>
      <c r="L304" s="13">
        <v>3.4828828000000001</v>
      </c>
      <c r="M304" s="13">
        <v>3.5351891000000002</v>
      </c>
    </row>
    <row r="305" spans="1:13" x14ac:dyDescent="0.25">
      <c r="A305" t="s">
        <v>368</v>
      </c>
      <c r="B305" s="2">
        <v>4.6100000000000003</v>
      </c>
      <c r="C305" s="2">
        <v>4.16</v>
      </c>
      <c r="D305" s="2">
        <v>4.1100000000000003</v>
      </c>
      <c r="E305" s="2">
        <v>4.43</v>
      </c>
      <c r="F305" s="2">
        <v>4.58</v>
      </c>
      <c r="G305" s="2">
        <v>4.6399999999999997</v>
      </c>
      <c r="H305" s="13">
        <v>4.4865227000000001</v>
      </c>
      <c r="I305" s="13">
        <v>3.9099208000000001</v>
      </c>
      <c r="J305" s="13">
        <v>3.6383454</v>
      </c>
      <c r="K305" s="13">
        <v>3.5170995999999999</v>
      </c>
      <c r="L305" s="13">
        <v>3.4939846000000001</v>
      </c>
      <c r="M305" s="13">
        <v>3.5372710999999999</v>
      </c>
    </row>
    <row r="306" spans="1:13" x14ac:dyDescent="0.25">
      <c r="A306" t="s">
        <v>369</v>
      </c>
      <c r="B306" s="2">
        <v>4.25</v>
      </c>
      <c r="C306" s="2">
        <v>3.99</v>
      </c>
      <c r="D306" s="2">
        <v>4.1100000000000003</v>
      </c>
      <c r="E306" s="2">
        <v>4.41</v>
      </c>
      <c r="F306" s="2">
        <v>4.57</v>
      </c>
      <c r="G306" s="2">
        <v>4.62</v>
      </c>
      <c r="H306" s="13">
        <v>4.4239810999999998</v>
      </c>
      <c r="I306" s="13">
        <v>3.8130500999999999</v>
      </c>
      <c r="J306" s="13">
        <v>3.5576300999999999</v>
      </c>
      <c r="K306" s="13">
        <v>3.4571179000000001</v>
      </c>
      <c r="L306" s="13">
        <v>3.4340229</v>
      </c>
      <c r="M306" s="13">
        <v>3.4690291000000002</v>
      </c>
    </row>
    <row r="307" spans="1:13" x14ac:dyDescent="0.25">
      <c r="A307" t="s">
        <v>370</v>
      </c>
      <c r="B307" s="2">
        <v>4.3</v>
      </c>
      <c r="C307" s="2">
        <v>4.04</v>
      </c>
      <c r="D307" s="2">
        <v>4.1500000000000004</v>
      </c>
      <c r="E307" s="2">
        <v>4.46</v>
      </c>
      <c r="F307" s="2">
        <v>4.62</v>
      </c>
      <c r="G307" s="2">
        <v>4.63</v>
      </c>
      <c r="H307" s="13">
        <v>4.4559274000000002</v>
      </c>
      <c r="I307" s="13">
        <v>3.9090227999999998</v>
      </c>
      <c r="J307" s="13">
        <v>3.6443957</v>
      </c>
      <c r="K307" s="13">
        <v>3.5121666</v>
      </c>
      <c r="L307" s="13">
        <v>3.4776123000000001</v>
      </c>
      <c r="M307" s="13">
        <v>3.5223420000000001</v>
      </c>
    </row>
    <row r="308" spans="1:13" x14ac:dyDescent="0.25">
      <c r="A308" t="s">
        <v>371</v>
      </c>
      <c r="B308" s="2">
        <v>4.3499999999999996</v>
      </c>
      <c r="C308" s="2">
        <v>4.09</v>
      </c>
      <c r="D308" s="2">
        <v>4.1900000000000004</v>
      </c>
      <c r="E308" s="2">
        <v>4.49</v>
      </c>
      <c r="F308" s="2">
        <v>4.63</v>
      </c>
      <c r="G308" s="2">
        <v>4.66</v>
      </c>
      <c r="H308" s="13">
        <v>4.5037868999999997</v>
      </c>
      <c r="I308" s="13">
        <v>3.9527733999999999</v>
      </c>
      <c r="J308" s="13">
        <v>3.6714601999999998</v>
      </c>
      <c r="K308" s="13">
        <v>3.5417122999999999</v>
      </c>
      <c r="L308" s="13">
        <v>3.5102112999999999</v>
      </c>
      <c r="M308" s="13">
        <v>3.5494533000000001</v>
      </c>
    </row>
    <row r="309" spans="1:13" x14ac:dyDescent="0.25">
      <c r="A309" t="s">
        <v>372</v>
      </c>
      <c r="B309" s="2">
        <v>4.3499999999999996</v>
      </c>
      <c r="C309" s="2">
        <v>4.09</v>
      </c>
      <c r="D309" s="2">
        <v>4.18</v>
      </c>
      <c r="E309" s="2">
        <v>4.47</v>
      </c>
      <c r="F309" s="2">
        <v>4.62</v>
      </c>
      <c r="G309" s="2">
        <v>4.6500000000000004</v>
      </c>
      <c r="H309" s="13">
        <v>4.5059494000000004</v>
      </c>
      <c r="I309" s="13">
        <v>3.9338182000000002</v>
      </c>
      <c r="J309" s="13">
        <v>3.6442803000000001</v>
      </c>
      <c r="K309" s="13">
        <v>3.5241174000000002</v>
      </c>
      <c r="L309" s="13">
        <v>3.4957625999999999</v>
      </c>
      <c r="M309" s="13">
        <v>3.5308212999999999</v>
      </c>
    </row>
    <row r="310" spans="1:13" x14ac:dyDescent="0.25">
      <c r="A310" t="s">
        <v>373</v>
      </c>
      <c r="B310" s="2">
        <v>4.3</v>
      </c>
      <c r="C310" s="2">
        <v>4.05</v>
      </c>
      <c r="D310" s="2">
        <v>4.12</v>
      </c>
      <c r="E310" s="2">
        <v>4.41</v>
      </c>
      <c r="F310" s="2">
        <v>4.55</v>
      </c>
      <c r="G310" s="2">
        <v>4.58</v>
      </c>
      <c r="H310" s="13">
        <v>4.4344144999999999</v>
      </c>
      <c r="I310" s="13">
        <v>3.9079271000000002</v>
      </c>
      <c r="J310" s="13">
        <v>3.6051999000000001</v>
      </c>
      <c r="K310" s="13">
        <v>3.4731127000000002</v>
      </c>
      <c r="L310" s="13">
        <v>3.4398100999999999</v>
      </c>
      <c r="M310" s="13">
        <v>3.4682754999999998</v>
      </c>
    </row>
    <row r="311" spans="1:13" x14ac:dyDescent="0.25">
      <c r="A311" t="s">
        <v>374</v>
      </c>
      <c r="B311" s="2">
        <v>4.28</v>
      </c>
      <c r="C311" s="2">
        <v>4.04</v>
      </c>
      <c r="D311" s="2">
        <v>4.0999999999999996</v>
      </c>
      <c r="E311" s="2">
        <v>4.38</v>
      </c>
      <c r="F311" s="2">
        <v>4.5199999999999996</v>
      </c>
      <c r="G311" s="2">
        <v>4.54</v>
      </c>
      <c r="H311" s="13">
        <v>4.4272610999999999</v>
      </c>
      <c r="I311" s="13">
        <v>3.855362</v>
      </c>
      <c r="J311" s="13">
        <v>3.5793938999999999</v>
      </c>
      <c r="K311" s="13">
        <v>3.4601096</v>
      </c>
      <c r="L311" s="13">
        <v>3.4210924</v>
      </c>
      <c r="M311" s="13">
        <v>3.4431278000000001</v>
      </c>
    </row>
    <row r="312" spans="1:13" x14ac:dyDescent="0.25">
      <c r="A312" t="s">
        <v>375</v>
      </c>
      <c r="B312" s="2">
        <v>4.3</v>
      </c>
      <c r="C312" s="2">
        <v>4.07</v>
      </c>
      <c r="D312" s="2">
        <v>4.13</v>
      </c>
      <c r="E312" s="2">
        <v>4.4000000000000004</v>
      </c>
      <c r="F312" s="2">
        <v>4.53</v>
      </c>
      <c r="G312" s="2">
        <v>4.5599999999999996</v>
      </c>
      <c r="H312" s="13">
        <v>4.4975999</v>
      </c>
      <c r="I312" s="13">
        <v>3.9305433999999999</v>
      </c>
      <c r="J312" s="13">
        <v>3.6091027000000002</v>
      </c>
      <c r="K312" s="13">
        <v>3.4671590000000001</v>
      </c>
      <c r="L312" s="13">
        <v>3.4261419000000002</v>
      </c>
      <c r="M312" s="13">
        <v>3.4572742000000001</v>
      </c>
    </row>
    <row r="313" spans="1:13" x14ac:dyDescent="0.25">
      <c r="A313" t="s">
        <v>376</v>
      </c>
      <c r="B313" s="2">
        <v>4.2300000000000004</v>
      </c>
      <c r="C313" s="2">
        <v>3.98</v>
      </c>
      <c r="D313" s="2">
        <v>4.01</v>
      </c>
      <c r="E313" s="2">
        <v>4.28</v>
      </c>
      <c r="F313" s="2">
        <v>4.42</v>
      </c>
      <c r="G313" s="2">
        <v>4.45</v>
      </c>
      <c r="H313" s="13">
        <v>4.4289854999999996</v>
      </c>
      <c r="I313" s="13">
        <v>3.8478194000000001</v>
      </c>
      <c r="J313" s="13">
        <v>3.5041245000000001</v>
      </c>
      <c r="K313" s="13">
        <v>3.3467159</v>
      </c>
      <c r="L313" s="13">
        <v>3.3066966999999998</v>
      </c>
      <c r="M313" s="13">
        <v>3.3392197000000001</v>
      </c>
    </row>
    <row r="314" spans="1:13" x14ac:dyDescent="0.25">
      <c r="A314" t="s">
        <v>377</v>
      </c>
      <c r="B314" s="2">
        <v>4.3</v>
      </c>
      <c r="C314" s="2">
        <v>3.94</v>
      </c>
      <c r="D314" s="2">
        <v>4</v>
      </c>
      <c r="E314" s="2">
        <v>4.2699999999999996</v>
      </c>
      <c r="F314" s="2">
        <v>4.4000000000000004</v>
      </c>
      <c r="G314" s="2">
        <v>4.4400000000000004</v>
      </c>
      <c r="H314" s="13">
        <v>4.4302308000000004</v>
      </c>
      <c r="I314" s="13">
        <v>3.8024889000000002</v>
      </c>
      <c r="J314" s="13">
        <v>3.4519408999999999</v>
      </c>
      <c r="K314" s="13">
        <v>3.3185527000000001</v>
      </c>
      <c r="L314" s="13">
        <v>3.2922574999999998</v>
      </c>
      <c r="M314" s="13">
        <v>3.3246405000000001</v>
      </c>
    </row>
    <row r="315" spans="1:13" x14ac:dyDescent="0.25">
      <c r="A315" t="s">
        <v>378</v>
      </c>
      <c r="B315" s="2">
        <v>4.3099999999999996</v>
      </c>
      <c r="C315" s="2">
        <v>3.97</v>
      </c>
      <c r="D315" s="2">
        <v>4.01</v>
      </c>
      <c r="E315" s="2">
        <v>4.2699999999999996</v>
      </c>
      <c r="F315" s="2">
        <v>4.3899999999999997</v>
      </c>
      <c r="G315" s="2">
        <v>4.42</v>
      </c>
      <c r="H315" s="13">
        <v>4.4251874000000004</v>
      </c>
      <c r="I315" s="13">
        <v>3.8048194</v>
      </c>
      <c r="J315" s="13">
        <v>3.4766316000000002</v>
      </c>
      <c r="K315" s="13">
        <v>3.3452777</v>
      </c>
      <c r="L315" s="13">
        <v>3.3088476999999998</v>
      </c>
      <c r="M315" s="13">
        <v>3.3314786999999999</v>
      </c>
    </row>
    <row r="316" spans="1:13" x14ac:dyDescent="0.25">
      <c r="A316" t="s">
        <v>379</v>
      </c>
      <c r="B316" s="2">
        <v>4.25</v>
      </c>
      <c r="C316" s="2">
        <v>3.9</v>
      </c>
      <c r="D316" s="2">
        <v>3.97</v>
      </c>
      <c r="E316" s="2">
        <v>4.24</v>
      </c>
      <c r="F316" s="2">
        <v>4.38</v>
      </c>
      <c r="G316" s="2">
        <v>4.4000000000000004</v>
      </c>
      <c r="H316" s="13">
        <v>4.3894595000000001</v>
      </c>
      <c r="I316" s="13">
        <v>3.7261369000000002</v>
      </c>
      <c r="J316" s="13">
        <v>3.4271709000000001</v>
      </c>
      <c r="K316" s="13">
        <v>3.2995491000000001</v>
      </c>
      <c r="L316" s="13">
        <v>3.2631017</v>
      </c>
      <c r="M316" s="13">
        <v>3.2909263000000002</v>
      </c>
    </row>
    <row r="317" spans="1:13" x14ac:dyDescent="0.25">
      <c r="A317" t="s">
        <v>380</v>
      </c>
      <c r="B317" s="2">
        <v>4.2300000000000004</v>
      </c>
      <c r="C317" s="2">
        <v>3.9</v>
      </c>
      <c r="D317" s="2">
        <v>3.97</v>
      </c>
      <c r="E317" s="2">
        <v>4.24</v>
      </c>
      <c r="F317" s="2">
        <v>4.3899999999999997</v>
      </c>
      <c r="G317" s="2">
        <v>4.4000000000000004</v>
      </c>
      <c r="H317" s="13">
        <v>4.3446594000000003</v>
      </c>
      <c r="I317" s="13">
        <v>3.7161745000000002</v>
      </c>
      <c r="J317" s="13">
        <v>3.4012500999999999</v>
      </c>
      <c r="K317" s="13">
        <v>3.2707266000000002</v>
      </c>
      <c r="L317" s="13">
        <v>3.2501688</v>
      </c>
      <c r="M317" s="13">
        <v>3.3014399999999999</v>
      </c>
    </row>
    <row r="318" spans="1:13" x14ac:dyDescent="0.25">
      <c r="A318" t="s">
        <v>381</v>
      </c>
      <c r="B318" s="2">
        <v>4.22</v>
      </c>
      <c r="C318" s="2">
        <v>3.88</v>
      </c>
      <c r="D318" s="2">
        <v>3.94</v>
      </c>
      <c r="E318" s="2">
        <v>4.24</v>
      </c>
      <c r="F318" s="2">
        <v>4.38</v>
      </c>
      <c r="G318" s="2">
        <v>4.41</v>
      </c>
      <c r="H318" s="13">
        <v>4.3315996999999999</v>
      </c>
      <c r="I318" s="13">
        <v>3.6964646999999999</v>
      </c>
      <c r="J318" s="13">
        <v>3.3679187000000002</v>
      </c>
      <c r="K318" s="13">
        <v>3.2452600999999999</v>
      </c>
      <c r="L318" s="13">
        <v>3.2359247</v>
      </c>
      <c r="M318" s="13">
        <v>3.2897869000000002</v>
      </c>
    </row>
    <row r="319" spans="1:13" x14ac:dyDescent="0.25">
      <c r="A319" t="s">
        <v>382</v>
      </c>
      <c r="B319" s="2">
        <v>4.21</v>
      </c>
      <c r="C319" s="2">
        <v>3.95</v>
      </c>
      <c r="D319" s="2">
        <v>4.0199999999999996</v>
      </c>
      <c r="E319" s="2">
        <v>4.3</v>
      </c>
      <c r="F319" s="2">
        <v>4.4400000000000004</v>
      </c>
      <c r="G319" s="2">
        <v>4.47</v>
      </c>
      <c r="H319" s="13">
        <v>4.3741703999999997</v>
      </c>
      <c r="I319" s="13">
        <v>3.7516512999999998</v>
      </c>
      <c r="J319" s="13">
        <v>3.4327586000000001</v>
      </c>
      <c r="K319" s="13">
        <v>3.3223180999999999</v>
      </c>
      <c r="L319" s="13">
        <v>3.3106045000000002</v>
      </c>
      <c r="M319" s="13">
        <v>3.3528085000000001</v>
      </c>
    </row>
    <row r="320" spans="1:13" x14ac:dyDescent="0.25">
      <c r="A320" t="s">
        <v>383</v>
      </c>
      <c r="B320" s="2">
        <v>4.29</v>
      </c>
      <c r="C320" s="2">
        <v>4</v>
      </c>
      <c r="D320" s="2">
        <v>4.0999999999999996</v>
      </c>
      <c r="E320" s="2">
        <v>4.37</v>
      </c>
      <c r="F320" s="2">
        <v>4.51</v>
      </c>
      <c r="G320" s="2">
        <v>4.54</v>
      </c>
      <c r="H320" s="13">
        <v>4.4028809000000004</v>
      </c>
      <c r="I320" s="13">
        <v>3.8547543000000002</v>
      </c>
      <c r="J320" s="13">
        <v>3.5367014999999999</v>
      </c>
      <c r="K320" s="13">
        <v>3.4036221000000002</v>
      </c>
      <c r="L320" s="13">
        <v>3.3799541</v>
      </c>
      <c r="M320" s="13">
        <v>3.4217702000000001</v>
      </c>
    </row>
    <row r="321" spans="1:13" x14ac:dyDescent="0.25">
      <c r="A321" t="s">
        <v>384</v>
      </c>
      <c r="B321" s="2">
        <v>4.32</v>
      </c>
      <c r="C321" s="2">
        <v>4.0199999999999996</v>
      </c>
      <c r="D321" s="2">
        <v>4.09</v>
      </c>
      <c r="E321" s="2">
        <v>4.37</v>
      </c>
      <c r="F321" s="2">
        <v>4.5</v>
      </c>
      <c r="G321" s="2">
        <v>4.54</v>
      </c>
      <c r="H321" s="13">
        <v>4.4278420000000001</v>
      </c>
      <c r="I321" s="13">
        <v>3.8622013000000002</v>
      </c>
      <c r="J321" s="13">
        <v>3.5623513</v>
      </c>
      <c r="K321" s="13">
        <v>3.4270166</v>
      </c>
      <c r="L321" s="13">
        <v>3.3881389999999998</v>
      </c>
      <c r="M321" s="13">
        <v>3.4172053</v>
      </c>
    </row>
    <row r="322" spans="1:13" x14ac:dyDescent="0.25">
      <c r="A322" t="s">
        <v>385</v>
      </c>
      <c r="B322" s="2">
        <v>4.3099999999999996</v>
      </c>
      <c r="C322" s="2">
        <v>4.01</v>
      </c>
      <c r="D322" s="2">
        <v>4.09</v>
      </c>
      <c r="E322" s="2">
        <v>4.38</v>
      </c>
      <c r="F322" s="2">
        <v>4.51</v>
      </c>
      <c r="G322" s="2">
        <v>4.53</v>
      </c>
      <c r="H322" s="13">
        <v>4.4326102000000001</v>
      </c>
      <c r="I322" s="13">
        <v>3.9018925000000002</v>
      </c>
      <c r="J322" s="13">
        <v>3.5924703</v>
      </c>
      <c r="K322" s="13">
        <v>3.4278884000000001</v>
      </c>
      <c r="L322" s="13">
        <v>3.3799017</v>
      </c>
      <c r="M322" s="13">
        <v>3.4157432000000001</v>
      </c>
    </row>
    <row r="323" spans="1:13" x14ac:dyDescent="0.25">
      <c r="A323" t="s">
        <v>386</v>
      </c>
      <c r="B323" s="2">
        <v>4.26</v>
      </c>
      <c r="C323" s="2">
        <v>3.96</v>
      </c>
      <c r="D323" s="2">
        <v>4.05</v>
      </c>
      <c r="E323" s="2">
        <v>4.34</v>
      </c>
      <c r="F323" s="2">
        <v>4.4800000000000004</v>
      </c>
      <c r="G323" s="2">
        <v>4.5199999999999996</v>
      </c>
      <c r="H323" s="13">
        <v>4.3687421000000004</v>
      </c>
      <c r="I323" s="13">
        <v>3.8169873000000001</v>
      </c>
      <c r="J323" s="13">
        <v>3.5139668999999998</v>
      </c>
      <c r="K323" s="13">
        <v>3.3882987999999998</v>
      </c>
      <c r="L323" s="13">
        <v>3.3712914999999999</v>
      </c>
      <c r="M323" s="13">
        <v>3.4203342000000001</v>
      </c>
    </row>
    <row r="324" spans="1:13" x14ac:dyDescent="0.25">
      <c r="A324" t="s">
        <v>387</v>
      </c>
      <c r="B324" s="2">
        <v>4.2300000000000004</v>
      </c>
      <c r="C324" s="2">
        <v>3.92</v>
      </c>
      <c r="D324" s="2">
        <v>4.01</v>
      </c>
      <c r="E324" s="2">
        <v>4.3099999999999996</v>
      </c>
      <c r="F324" s="2">
        <v>4.45</v>
      </c>
      <c r="G324" s="2">
        <v>4.49</v>
      </c>
      <c r="H324" s="13">
        <v>4.3582745999999997</v>
      </c>
      <c r="I324" s="13">
        <v>3.7976443</v>
      </c>
      <c r="J324" s="13">
        <v>3.4781567</v>
      </c>
      <c r="K324" s="13">
        <v>3.3597098000000001</v>
      </c>
      <c r="L324" s="13">
        <v>3.3447450999999999</v>
      </c>
      <c r="M324" s="13">
        <v>3.3879600000000001</v>
      </c>
    </row>
    <row r="325" spans="1:13" x14ac:dyDescent="0.25">
      <c r="A325" t="s">
        <v>388</v>
      </c>
      <c r="B325" s="2">
        <v>4.18</v>
      </c>
      <c r="C325" s="2">
        <v>3.89</v>
      </c>
      <c r="D325" s="2">
        <v>3.98</v>
      </c>
      <c r="E325" s="2">
        <v>4.3099999999999996</v>
      </c>
      <c r="F325" s="2">
        <v>4.46</v>
      </c>
      <c r="G325" s="2">
        <v>4.49</v>
      </c>
      <c r="H325" s="13">
        <v>4.2349113000000003</v>
      </c>
      <c r="I325" s="13">
        <v>3.69983</v>
      </c>
      <c r="J325" s="13">
        <v>3.4430518999999999</v>
      </c>
      <c r="K325" s="13">
        <v>3.3513472000000002</v>
      </c>
      <c r="L325" s="13">
        <v>3.3438957</v>
      </c>
      <c r="M325" s="13">
        <v>3.3919290000000002</v>
      </c>
    </row>
    <row r="326" spans="1:13" x14ac:dyDescent="0.25">
      <c r="A326" t="s">
        <v>389</v>
      </c>
      <c r="B326" s="2">
        <v>4.13</v>
      </c>
      <c r="C326" s="2">
        <v>3.82</v>
      </c>
      <c r="D326" s="2">
        <v>3.93</v>
      </c>
      <c r="E326" s="2">
        <v>4.25</v>
      </c>
      <c r="F326" s="2">
        <v>4.42</v>
      </c>
      <c r="G326" s="2">
        <v>4.46</v>
      </c>
      <c r="H326" s="13">
        <v>4.1836630000000001</v>
      </c>
      <c r="I326" s="13">
        <v>3.614363</v>
      </c>
      <c r="J326" s="13">
        <v>3.3796501000000001</v>
      </c>
      <c r="K326" s="13">
        <v>3.2881090999999998</v>
      </c>
      <c r="L326" s="13">
        <v>3.2805561999999999</v>
      </c>
      <c r="M326" s="13">
        <v>3.3327081999999999</v>
      </c>
    </row>
    <row r="327" spans="1:13" x14ac:dyDescent="0.25">
      <c r="A327" t="s">
        <v>390</v>
      </c>
      <c r="B327" s="2">
        <v>4.17</v>
      </c>
      <c r="C327" s="2">
        <v>3.88</v>
      </c>
      <c r="D327" s="2">
        <v>3.98</v>
      </c>
      <c r="E327" s="2">
        <v>4.3</v>
      </c>
      <c r="F327" s="2">
        <v>4.46</v>
      </c>
      <c r="G327" s="2">
        <v>4.49</v>
      </c>
      <c r="H327" s="13">
        <v>4.2444287999999997</v>
      </c>
      <c r="I327" s="13">
        <v>3.7041184999999999</v>
      </c>
      <c r="J327" s="13">
        <v>3.4344055</v>
      </c>
      <c r="K327" s="13">
        <v>3.3267992</v>
      </c>
      <c r="L327" s="13">
        <v>3.3143555</v>
      </c>
      <c r="M327" s="13">
        <v>3.3693628000000002</v>
      </c>
    </row>
    <row r="328" spans="1:13" x14ac:dyDescent="0.25">
      <c r="A328" t="s">
        <v>391</v>
      </c>
      <c r="B328" s="2">
        <v>4.16</v>
      </c>
      <c r="C328" s="2">
        <v>3.86</v>
      </c>
      <c r="D328" s="2">
        <v>3.97</v>
      </c>
      <c r="E328" s="2">
        <v>4.26</v>
      </c>
      <c r="F328" s="2">
        <v>4.42</v>
      </c>
      <c r="G328" s="2">
        <v>4.45</v>
      </c>
      <c r="H328" s="13">
        <v>4.2681424000000003</v>
      </c>
      <c r="I328" s="13">
        <v>3.7197160999999999</v>
      </c>
      <c r="J328" s="13">
        <v>3.3934427</v>
      </c>
      <c r="K328" s="13">
        <v>3.2713887000000001</v>
      </c>
      <c r="L328" s="13">
        <v>3.2747652999999999</v>
      </c>
      <c r="M328" s="13">
        <v>3.3377072999999999</v>
      </c>
    </row>
    <row r="329" spans="1:13" x14ac:dyDescent="0.25">
      <c r="A329" t="s">
        <v>392</v>
      </c>
      <c r="B329" s="2">
        <v>4.1500000000000004</v>
      </c>
      <c r="C329" s="2">
        <v>3.83</v>
      </c>
      <c r="D329" s="2">
        <v>3.93</v>
      </c>
      <c r="E329" s="2">
        <v>4.24</v>
      </c>
      <c r="F329" s="2">
        <v>4.4000000000000004</v>
      </c>
      <c r="G329" s="2">
        <v>4.43</v>
      </c>
      <c r="H329" s="13">
        <v>4.2499877000000001</v>
      </c>
      <c r="I329" s="13">
        <v>3.6593347000000001</v>
      </c>
      <c r="J329" s="13">
        <v>3.3534985000000002</v>
      </c>
      <c r="K329" s="13">
        <v>3.2556856999999999</v>
      </c>
      <c r="L329" s="13">
        <v>3.2592238999999998</v>
      </c>
      <c r="M329" s="13">
        <v>3.3145215000000001</v>
      </c>
    </row>
    <row r="330" spans="1:13" x14ac:dyDescent="0.25">
      <c r="A330" t="s">
        <v>393</v>
      </c>
      <c r="B330" s="2">
        <v>4.16</v>
      </c>
      <c r="C330" s="2">
        <v>3.84</v>
      </c>
      <c r="D330" s="2">
        <v>3.95</v>
      </c>
      <c r="E330" s="2">
        <v>4.24</v>
      </c>
      <c r="F330" s="2">
        <v>4.4000000000000004</v>
      </c>
      <c r="G330" s="2">
        <v>4.45</v>
      </c>
      <c r="H330" s="13">
        <v>4.2335020999999999</v>
      </c>
      <c r="I330" s="13">
        <v>3.6363153000000001</v>
      </c>
      <c r="J330" s="13">
        <v>3.3529125</v>
      </c>
      <c r="K330" s="13">
        <v>3.2620467999999998</v>
      </c>
      <c r="L330" s="13">
        <v>3.2621837999999999</v>
      </c>
      <c r="M330" s="13">
        <v>3.3153028999999998</v>
      </c>
    </row>
    <row r="331" spans="1:13" x14ac:dyDescent="0.25">
      <c r="A331" t="s">
        <v>394</v>
      </c>
      <c r="B331" s="2">
        <v>4.17</v>
      </c>
      <c r="C331" s="2">
        <v>3.84</v>
      </c>
      <c r="D331" s="2">
        <v>3.95</v>
      </c>
      <c r="E331" s="2">
        <v>4.25</v>
      </c>
      <c r="F331" s="2">
        <v>4.4000000000000004</v>
      </c>
      <c r="G331" s="2" t="e">
        <v>#N/A</v>
      </c>
      <c r="H331" s="13" t="e">
        <v>#N/A</v>
      </c>
      <c r="I331" s="13" t="e">
        <v>#N/A</v>
      </c>
      <c r="J331" s="13" t="e">
        <v>#N/A</v>
      </c>
      <c r="K331" s="13" t="e">
        <v>#N/A</v>
      </c>
      <c r="L331" s="13" t="e">
        <v>#N/A</v>
      </c>
      <c r="M331" s="13" t="e">
        <v>#N/A</v>
      </c>
    </row>
    <row r="332" spans="1:13" x14ac:dyDescent="0.25">
      <c r="A332" t="s">
        <v>395</v>
      </c>
      <c r="B332" s="2" t="e">
        <v>#N/A</v>
      </c>
      <c r="C332" s="2" t="e">
        <v>#N/A</v>
      </c>
      <c r="D332" s="2" t="e">
        <v>#N/A</v>
      </c>
      <c r="E332" s="2" t="e">
        <v>#N/A</v>
      </c>
      <c r="F332" s="2" t="e">
        <v>#N/A</v>
      </c>
      <c r="G332" s="2" t="e">
        <v>#N/A</v>
      </c>
      <c r="H332" s="13" t="e">
        <v>#N/A</v>
      </c>
      <c r="I332" s="13" t="e">
        <v>#N/A</v>
      </c>
      <c r="J332" s="13" t="e">
        <v>#N/A</v>
      </c>
      <c r="K332" s="13" t="e">
        <v>#N/A</v>
      </c>
      <c r="L332" s="13" t="e">
        <v>#N/A</v>
      </c>
      <c r="M332" s="13" t="e">
        <v>#N/A</v>
      </c>
    </row>
    <row r="333" spans="1:13" x14ac:dyDescent="0.25">
      <c r="A333" t="s">
        <v>396</v>
      </c>
      <c r="B333" s="2">
        <v>4.25</v>
      </c>
      <c r="C333" s="2">
        <v>3.94</v>
      </c>
      <c r="D333" s="2">
        <v>4.08</v>
      </c>
      <c r="E333" s="2">
        <v>4.38</v>
      </c>
      <c r="F333" s="2">
        <v>4.54</v>
      </c>
      <c r="G333" s="2">
        <v>4.57</v>
      </c>
      <c r="H333" s="13">
        <v>4.3040203000000004</v>
      </c>
      <c r="I333" s="13">
        <v>3.751573</v>
      </c>
      <c r="J333" s="13">
        <v>3.4779442</v>
      </c>
      <c r="K333" s="13">
        <v>3.3796572999999999</v>
      </c>
      <c r="L333" s="13">
        <v>3.3832781999999999</v>
      </c>
      <c r="M333" s="13">
        <v>3.4537561000000001</v>
      </c>
    </row>
    <row r="334" spans="1:13" x14ac:dyDescent="0.25">
      <c r="A334" t="s">
        <v>397</v>
      </c>
      <c r="B334" s="2">
        <v>4.2</v>
      </c>
      <c r="C334" s="2">
        <v>3.89</v>
      </c>
      <c r="D334" s="2">
        <v>4.04</v>
      </c>
      <c r="E334" s="2">
        <v>4.3499999999999996</v>
      </c>
      <c r="F334" s="2">
        <v>4.51</v>
      </c>
      <c r="G334" s="2">
        <v>4.55</v>
      </c>
      <c r="H334" s="13">
        <v>4.2873410999999999</v>
      </c>
      <c r="I334" s="13">
        <v>3.7189755999999998</v>
      </c>
      <c r="J334" s="13">
        <v>3.4130603000000002</v>
      </c>
      <c r="K334" s="13">
        <v>3.3268925</v>
      </c>
      <c r="L334" s="13">
        <v>3.3433996000000001</v>
      </c>
      <c r="M334" s="13">
        <v>3.4107634999999998</v>
      </c>
    </row>
    <row r="335" spans="1:13" x14ac:dyDescent="0.25">
      <c r="A335" t="s">
        <v>398</v>
      </c>
      <c r="B335" s="2">
        <v>4.2</v>
      </c>
      <c r="C335" s="2">
        <v>3.89</v>
      </c>
      <c r="D335" s="2">
        <v>4.0199999999999996</v>
      </c>
      <c r="E335" s="2">
        <v>4.34</v>
      </c>
      <c r="F335" s="2">
        <v>4.51</v>
      </c>
      <c r="G335" s="2">
        <v>4.54</v>
      </c>
      <c r="H335" s="13">
        <v>4.2852139999999999</v>
      </c>
      <c r="I335" s="13">
        <v>3.6788126000000001</v>
      </c>
      <c r="J335" s="13">
        <v>3.3991693999999999</v>
      </c>
      <c r="K335" s="13">
        <v>3.3357089000000002</v>
      </c>
      <c r="L335" s="13">
        <v>3.3517351</v>
      </c>
      <c r="M335" s="13">
        <v>3.4153988000000002</v>
      </c>
    </row>
    <row r="336" spans="1:13" x14ac:dyDescent="0.25">
      <c r="A336" t="s">
        <v>399</v>
      </c>
      <c r="B336" s="2">
        <v>4.22</v>
      </c>
      <c r="C336" s="2">
        <v>3.92</v>
      </c>
      <c r="D336" s="2">
        <v>4.0599999999999996</v>
      </c>
      <c r="E336" s="2">
        <v>4.38</v>
      </c>
      <c r="F336" s="2">
        <v>4.53</v>
      </c>
      <c r="G336" s="2">
        <v>4.57</v>
      </c>
      <c r="H336" s="13">
        <v>4.2781786000000004</v>
      </c>
      <c r="I336" s="13">
        <v>3.7136828999999998</v>
      </c>
      <c r="J336" s="13">
        <v>3.4693622</v>
      </c>
      <c r="K336" s="13">
        <v>3.3959459000000001</v>
      </c>
      <c r="L336" s="13">
        <v>3.4017517000000002</v>
      </c>
      <c r="M336" s="13">
        <v>3.4598016999999999</v>
      </c>
    </row>
    <row r="337" spans="1:13" x14ac:dyDescent="0.25">
      <c r="A337" t="s">
        <v>400</v>
      </c>
      <c r="B337" s="2">
        <v>4.2300000000000004</v>
      </c>
      <c r="C337" s="2">
        <v>3.96</v>
      </c>
      <c r="D337" s="2">
        <v>4.09</v>
      </c>
      <c r="E337" s="2">
        <v>4.41</v>
      </c>
      <c r="F337" s="2">
        <v>4.5599999999999996</v>
      </c>
      <c r="G337" s="2">
        <v>4.5999999999999996</v>
      </c>
      <c r="H337" s="13">
        <v>4.3140390999999996</v>
      </c>
      <c r="I337" s="13">
        <v>3.8024810000000002</v>
      </c>
      <c r="J337" s="13">
        <v>3.5296284999999998</v>
      </c>
      <c r="K337" s="13">
        <v>3.417446</v>
      </c>
      <c r="L337" s="13">
        <v>3.4075096</v>
      </c>
      <c r="M337" s="13">
        <v>3.4688325</v>
      </c>
    </row>
    <row r="338" spans="1:13" x14ac:dyDescent="0.25">
      <c r="A338" t="s">
        <v>401</v>
      </c>
      <c r="B338" s="2">
        <v>4.2</v>
      </c>
      <c r="C338" s="2">
        <v>3.92</v>
      </c>
      <c r="D338" s="2">
        <v>4.01</v>
      </c>
      <c r="E338" s="2">
        <v>4.33</v>
      </c>
      <c r="F338" s="2">
        <v>4.4800000000000004</v>
      </c>
      <c r="G338" s="2">
        <v>4.5199999999999996</v>
      </c>
      <c r="H338" s="13">
        <v>4.2831505999999999</v>
      </c>
      <c r="I338" s="13">
        <v>3.7421137</v>
      </c>
      <c r="J338" s="13">
        <v>3.4486140000000001</v>
      </c>
      <c r="K338" s="13">
        <v>3.3356935000000001</v>
      </c>
      <c r="L338" s="13">
        <v>3.3325651999999999</v>
      </c>
      <c r="M338" s="13">
        <v>3.3957660000000001</v>
      </c>
    </row>
    <row r="339" spans="1:13" x14ac:dyDescent="0.25">
      <c r="A339" t="s">
        <v>402</v>
      </c>
      <c r="B339" s="2">
        <v>4.34</v>
      </c>
      <c r="C339" s="2">
        <v>4.07</v>
      </c>
      <c r="D339" s="2">
        <v>4.1500000000000004</v>
      </c>
      <c r="E339" s="2">
        <v>4.45</v>
      </c>
      <c r="F339" s="2">
        <v>4.5999999999999996</v>
      </c>
      <c r="G339" s="2">
        <v>4.63</v>
      </c>
      <c r="H339" s="13">
        <v>4.4683501999999997</v>
      </c>
      <c r="I339" s="13">
        <v>3.9554252000000001</v>
      </c>
      <c r="J339" s="13">
        <v>3.6118630999999999</v>
      </c>
      <c r="K339" s="13">
        <v>3.4744690999999999</v>
      </c>
      <c r="L339" s="13">
        <v>3.4569728999999998</v>
      </c>
      <c r="M339" s="13">
        <v>3.5049891</v>
      </c>
    </row>
    <row r="340" spans="1:13" x14ac:dyDescent="0.25">
      <c r="A340" t="s">
        <v>403</v>
      </c>
      <c r="B340" s="2">
        <v>4.37</v>
      </c>
      <c r="C340" s="2">
        <v>4.0999999999999996</v>
      </c>
      <c r="D340" s="2">
        <v>4.1900000000000004</v>
      </c>
      <c r="E340" s="2">
        <v>4.49</v>
      </c>
      <c r="F340" s="2">
        <v>4.6399999999999997</v>
      </c>
      <c r="G340" s="2">
        <v>4.68</v>
      </c>
      <c r="H340" s="13">
        <v>4.5618677999999999</v>
      </c>
      <c r="I340" s="13">
        <v>4.0126217999999998</v>
      </c>
      <c r="J340" s="13">
        <v>3.6412548</v>
      </c>
      <c r="K340" s="13">
        <v>3.5148063</v>
      </c>
      <c r="L340" s="13">
        <v>3.4988028999999998</v>
      </c>
      <c r="M340" s="13">
        <v>3.5392484</v>
      </c>
    </row>
    <row r="341" spans="1:13" x14ac:dyDescent="0.25">
      <c r="A341" t="s">
        <v>404</v>
      </c>
      <c r="B341" s="2">
        <v>4.3499999999999996</v>
      </c>
      <c r="C341" s="2">
        <v>4.04</v>
      </c>
      <c r="D341" s="2">
        <v>4.13</v>
      </c>
      <c r="E341" s="2">
        <v>4.43</v>
      </c>
      <c r="F341" s="2">
        <v>4.58</v>
      </c>
      <c r="G341" s="2">
        <v>4.62</v>
      </c>
      <c r="H341" s="13">
        <v>4.4687694000000002</v>
      </c>
      <c r="I341" s="13">
        <v>3.9231053999999999</v>
      </c>
      <c r="J341" s="13">
        <v>3.6057768000000001</v>
      </c>
      <c r="K341" s="13">
        <v>3.4718949000000001</v>
      </c>
      <c r="L341" s="13">
        <v>3.4430326999999998</v>
      </c>
      <c r="M341" s="13">
        <v>3.4819572000000001</v>
      </c>
    </row>
    <row r="342" spans="1:13" x14ac:dyDescent="0.25">
      <c r="A342" t="s">
        <v>405</v>
      </c>
      <c r="B342" s="2">
        <v>4.42</v>
      </c>
      <c r="C342" s="2">
        <v>4.1399999999999997</v>
      </c>
      <c r="D342" s="2">
        <v>4.22</v>
      </c>
      <c r="E342" s="2">
        <v>4.51</v>
      </c>
      <c r="F342" s="2">
        <v>4.6900000000000004</v>
      </c>
      <c r="G342" s="2">
        <v>4.72</v>
      </c>
      <c r="H342" s="13">
        <v>4.5418212000000002</v>
      </c>
      <c r="I342" s="13">
        <v>4.0551690999999996</v>
      </c>
      <c r="J342" s="13">
        <v>3.7140922999999999</v>
      </c>
      <c r="K342" s="13">
        <v>3.5656648</v>
      </c>
      <c r="L342" s="13">
        <v>3.5419109999999998</v>
      </c>
      <c r="M342" s="13">
        <v>3.5947629000000001</v>
      </c>
    </row>
    <row r="343" spans="1:13" x14ac:dyDescent="0.25">
      <c r="A343" t="s">
        <v>406</v>
      </c>
      <c r="B343" s="2">
        <v>4.4800000000000004</v>
      </c>
      <c r="C343" s="2">
        <v>4.21</v>
      </c>
      <c r="D343" s="2">
        <v>4.3</v>
      </c>
      <c r="E343" s="2">
        <v>4.58</v>
      </c>
      <c r="F343" s="2">
        <v>4.72</v>
      </c>
      <c r="G343" s="2">
        <v>4.75</v>
      </c>
      <c r="H343" s="13">
        <v>4.6441790999999997</v>
      </c>
      <c r="I343" s="13">
        <v>4.1753594999999999</v>
      </c>
      <c r="J343" s="13">
        <v>3.8044475000000002</v>
      </c>
      <c r="K343" s="13">
        <v>3.6321907000000002</v>
      </c>
      <c r="L343" s="13">
        <v>3.5952757000000002</v>
      </c>
      <c r="M343" s="13">
        <v>3.6383557999999998</v>
      </c>
    </row>
    <row r="344" spans="1:13" x14ac:dyDescent="0.25">
      <c r="A344" t="s">
        <v>407</v>
      </c>
      <c r="B344" s="2">
        <v>4.45</v>
      </c>
      <c r="C344" s="2">
        <v>4.18</v>
      </c>
      <c r="D344" s="2">
        <v>4.25</v>
      </c>
      <c r="E344" s="2">
        <v>4.5199999999999996</v>
      </c>
      <c r="F344" s="2">
        <v>4.6500000000000004</v>
      </c>
      <c r="G344" s="2">
        <v>4.68</v>
      </c>
      <c r="H344" s="13">
        <v>4.5975444999999997</v>
      </c>
      <c r="I344" s="13">
        <v>4.1071989000000002</v>
      </c>
      <c r="J344" s="13">
        <v>3.7244120999999999</v>
      </c>
      <c r="K344" s="13">
        <v>3.5634393000000002</v>
      </c>
      <c r="L344" s="13">
        <v>3.5441470000000002</v>
      </c>
      <c r="M344" s="13">
        <v>3.5959834000000002</v>
      </c>
    </row>
    <row r="345" spans="1:13" x14ac:dyDescent="0.25">
      <c r="A345" t="s">
        <v>408</v>
      </c>
      <c r="B345" s="2">
        <v>4.4800000000000004</v>
      </c>
      <c r="C345" s="2">
        <v>4.2</v>
      </c>
      <c r="D345" s="2">
        <v>4.2699999999999996</v>
      </c>
      <c r="E345" s="2">
        <v>4.5599999999999996</v>
      </c>
      <c r="F345" s="2">
        <v>4.7</v>
      </c>
      <c r="G345" s="2">
        <v>4.7300000000000004</v>
      </c>
      <c r="H345" s="13">
        <v>4.6365604999999999</v>
      </c>
      <c r="I345" s="13">
        <v>4.1014641999999997</v>
      </c>
      <c r="J345" s="13">
        <v>3.7591169</v>
      </c>
      <c r="K345" s="13">
        <v>3.6168007000000002</v>
      </c>
      <c r="L345" s="13">
        <v>3.5888420000000001</v>
      </c>
      <c r="M345" s="13">
        <v>3.6269610000000001</v>
      </c>
    </row>
    <row r="346" spans="1:13" x14ac:dyDescent="0.25">
      <c r="A346" t="s">
        <v>409</v>
      </c>
      <c r="B346" s="2">
        <v>4.3899999999999997</v>
      </c>
      <c r="C346" s="2">
        <v>4.1399999999999997</v>
      </c>
      <c r="D346" s="2">
        <v>4.2300000000000004</v>
      </c>
      <c r="E346" s="2">
        <v>4.5199999999999996</v>
      </c>
      <c r="F346" s="2">
        <v>4.67</v>
      </c>
      <c r="G346" s="2">
        <v>4.71</v>
      </c>
      <c r="H346" s="13">
        <v>4.5149809000000003</v>
      </c>
      <c r="I346" s="13">
        <v>4.0189512000000001</v>
      </c>
      <c r="J346" s="13">
        <v>3.7221196999999999</v>
      </c>
      <c r="K346" s="13">
        <v>3.5930194000000002</v>
      </c>
      <c r="L346" s="13">
        <v>3.5583257000000001</v>
      </c>
      <c r="M346" s="13">
        <v>3.5889700000000002</v>
      </c>
    </row>
    <row r="347" spans="1:13" x14ac:dyDescent="0.25">
      <c r="A347" t="s">
        <v>411</v>
      </c>
      <c r="B347" s="2">
        <v>4.33</v>
      </c>
      <c r="C347" s="2">
        <v>4.09</v>
      </c>
      <c r="D347" s="2">
        <v>4.2</v>
      </c>
      <c r="E347" s="2">
        <v>4.5</v>
      </c>
      <c r="F347" s="2">
        <v>4.6500000000000004</v>
      </c>
      <c r="G347" s="2">
        <v>4.6900000000000004</v>
      </c>
      <c r="H347" s="13">
        <v>4.4631531999999998</v>
      </c>
      <c r="I347" s="13">
        <v>4.024273</v>
      </c>
      <c r="J347" s="13">
        <v>3.7018564999999999</v>
      </c>
      <c r="K347" s="13">
        <v>3.5515560000000002</v>
      </c>
      <c r="L347" s="13">
        <v>3.5225062999999999</v>
      </c>
      <c r="M347" s="13">
        <v>3.5736335000000001</v>
      </c>
    </row>
    <row r="348" spans="1:13" x14ac:dyDescent="0.25">
      <c r="A348" t="s">
        <v>412</v>
      </c>
      <c r="B348" s="2">
        <v>4.3499999999999996</v>
      </c>
      <c r="C348" s="2">
        <v>4.13</v>
      </c>
      <c r="D348" s="2">
        <v>4.2300000000000004</v>
      </c>
      <c r="E348" s="2">
        <v>4.5199999999999996</v>
      </c>
      <c r="F348" s="2">
        <v>4.67</v>
      </c>
      <c r="G348" s="2">
        <v>4.72</v>
      </c>
      <c r="H348" s="13">
        <v>4.5031147999999996</v>
      </c>
      <c r="I348" s="13">
        <v>4.0641847000000002</v>
      </c>
      <c r="J348" s="13">
        <v>3.7295495000000001</v>
      </c>
      <c r="K348" s="13">
        <v>3.5749908000000001</v>
      </c>
      <c r="L348" s="13">
        <v>3.5475002999999998</v>
      </c>
      <c r="M348" s="13">
        <v>3.5985130000000001</v>
      </c>
    </row>
    <row r="349" spans="1:13" x14ac:dyDescent="0.25">
      <c r="A349" t="s">
        <v>413</v>
      </c>
      <c r="B349" s="2">
        <v>4.45</v>
      </c>
      <c r="C349" s="2">
        <v>4.22</v>
      </c>
      <c r="D349" s="2">
        <v>4.33</v>
      </c>
      <c r="E349" s="2">
        <v>4.62</v>
      </c>
      <c r="F349" s="2">
        <v>4.76</v>
      </c>
      <c r="G349" s="2">
        <v>4.8099999999999996</v>
      </c>
      <c r="H349" s="13">
        <v>4.5859139999999998</v>
      </c>
      <c r="I349" s="13">
        <v>4.1608695999999998</v>
      </c>
      <c r="J349" s="13">
        <v>3.8148468000000002</v>
      </c>
      <c r="K349" s="13">
        <v>3.6718085</v>
      </c>
      <c r="L349" s="13">
        <v>3.6623326</v>
      </c>
      <c r="M349" s="13">
        <v>3.7206554999999999</v>
      </c>
    </row>
    <row r="350" spans="1:13" x14ac:dyDescent="0.25">
      <c r="A350" t="s">
        <v>414</v>
      </c>
      <c r="B350" s="2">
        <v>4.5</v>
      </c>
      <c r="C350" s="2">
        <v>4.26</v>
      </c>
      <c r="D350" s="2">
        <v>4.3600000000000003</v>
      </c>
      <c r="E350" s="2">
        <v>4.6399999999999997</v>
      </c>
      <c r="F350" s="2">
        <v>4.79</v>
      </c>
      <c r="G350" s="2">
        <v>4.83</v>
      </c>
      <c r="H350" s="13">
        <v>4.6421697000000002</v>
      </c>
      <c r="I350" s="13">
        <v>4.1840555999999998</v>
      </c>
      <c r="J350" s="13">
        <v>3.8431144000000002</v>
      </c>
      <c r="K350" s="13">
        <v>3.7149131</v>
      </c>
      <c r="L350" s="13">
        <v>3.6988821999999999</v>
      </c>
      <c r="M350" s="13">
        <v>3.7448667000000002</v>
      </c>
    </row>
    <row r="351" spans="1:13" x14ac:dyDescent="0.25">
      <c r="A351" t="s">
        <v>415</v>
      </c>
      <c r="B351" s="2">
        <v>4.4800000000000004</v>
      </c>
      <c r="C351" s="2">
        <v>4.25</v>
      </c>
      <c r="D351" s="2">
        <v>4.33</v>
      </c>
      <c r="E351" s="2">
        <v>4.5999999999999996</v>
      </c>
      <c r="F351" s="2">
        <v>4.74</v>
      </c>
      <c r="G351" s="2">
        <v>4.78</v>
      </c>
      <c r="H351" s="13">
        <v>4.6180652999999996</v>
      </c>
      <c r="I351" s="13">
        <v>4.1455133000000002</v>
      </c>
      <c r="J351" s="13">
        <v>3.8348361</v>
      </c>
      <c r="K351" s="13">
        <v>3.6999130999999998</v>
      </c>
      <c r="L351" s="13">
        <v>3.6647859</v>
      </c>
      <c r="M351" s="13">
        <v>3.6957686000000001</v>
      </c>
    </row>
    <row r="352" spans="1:13" x14ac:dyDescent="0.25">
      <c r="A352" t="s">
        <v>416</v>
      </c>
      <c r="B352" s="2">
        <v>4.45</v>
      </c>
      <c r="C352" s="2">
        <v>4.21</v>
      </c>
      <c r="D352" s="2">
        <v>4.28</v>
      </c>
      <c r="E352" s="2">
        <v>4.5599999999999996</v>
      </c>
      <c r="F352" s="2">
        <v>4.71</v>
      </c>
      <c r="G352" s="2">
        <v>4.75</v>
      </c>
      <c r="H352" s="13">
        <v>4.5901510999999999</v>
      </c>
      <c r="I352" s="13">
        <v>4.1344013999999998</v>
      </c>
      <c r="J352" s="13">
        <v>3.7928362</v>
      </c>
      <c r="K352" s="13">
        <v>3.6357626000000001</v>
      </c>
      <c r="L352" s="13">
        <v>3.6041305000000001</v>
      </c>
      <c r="M352" s="13">
        <v>3.6525416000000002</v>
      </c>
    </row>
    <row r="353" spans="1:13" x14ac:dyDescent="0.25">
      <c r="A353" t="s">
        <v>417</v>
      </c>
      <c r="B353" s="2">
        <v>4.5199999999999996</v>
      </c>
      <c r="C353" s="2">
        <v>4.2699999999999996</v>
      </c>
      <c r="D353" s="2">
        <v>4.3600000000000003</v>
      </c>
      <c r="E353" s="2">
        <v>4.63</v>
      </c>
      <c r="F353" s="2">
        <v>4.76</v>
      </c>
      <c r="G353" s="2">
        <v>4.8</v>
      </c>
      <c r="H353" s="13">
        <v>4.6642637000000002</v>
      </c>
      <c r="I353" s="13">
        <v>4.2393928000000001</v>
      </c>
      <c r="J353" s="13">
        <v>3.8637589999999999</v>
      </c>
      <c r="K353" s="13">
        <v>3.6953247999999999</v>
      </c>
      <c r="L353" s="13">
        <v>3.6622123000000002</v>
      </c>
      <c r="M353" s="13">
        <v>3.707335</v>
      </c>
    </row>
    <row r="354" spans="1:13" x14ac:dyDescent="0.25">
      <c r="A354" t="s">
        <v>418</v>
      </c>
      <c r="B354" s="2">
        <v>4.5199999999999996</v>
      </c>
      <c r="C354" s="2">
        <v>4.2699999999999996</v>
      </c>
      <c r="D354" s="2">
        <v>4.3600000000000003</v>
      </c>
      <c r="E354" s="2">
        <v>4.6399999999999997</v>
      </c>
      <c r="F354" s="2">
        <v>4.7699999999999996</v>
      </c>
      <c r="G354" s="2">
        <v>4.8099999999999996</v>
      </c>
      <c r="H354" s="13">
        <v>4.7086454</v>
      </c>
      <c r="I354" s="13">
        <v>4.2495301000000003</v>
      </c>
      <c r="J354" s="13">
        <v>3.8406074000000001</v>
      </c>
      <c r="K354" s="13">
        <v>3.6932879999999999</v>
      </c>
      <c r="L354" s="13">
        <v>3.6773189999999998</v>
      </c>
      <c r="M354" s="13">
        <v>3.7200886999999998</v>
      </c>
    </row>
    <row r="355" spans="1:13" x14ac:dyDescent="0.25">
      <c r="A355" t="s">
        <v>419</v>
      </c>
      <c r="B355" s="2">
        <v>4.42</v>
      </c>
      <c r="C355" s="2">
        <v>4.18</v>
      </c>
      <c r="D355" s="2">
        <v>4.28</v>
      </c>
      <c r="E355" s="2">
        <v>4.57</v>
      </c>
      <c r="F355" s="2">
        <v>4.72</v>
      </c>
      <c r="G355" s="2">
        <v>4.75</v>
      </c>
      <c r="H355" s="13">
        <v>4.5729799</v>
      </c>
      <c r="I355" s="13">
        <v>4.1046626000000002</v>
      </c>
      <c r="J355" s="13">
        <v>3.7569042000000001</v>
      </c>
      <c r="K355" s="13">
        <v>3.6277461</v>
      </c>
      <c r="L355" s="13">
        <v>3.6101204</v>
      </c>
      <c r="M355" s="13">
        <v>3.6531242000000002</v>
      </c>
    </row>
    <row r="356" spans="1:13" x14ac:dyDescent="0.25">
      <c r="A356" t="s">
        <v>420</v>
      </c>
      <c r="B356" s="2">
        <v>4.3600000000000003</v>
      </c>
      <c r="C356" s="2">
        <v>4.0999999999999996</v>
      </c>
      <c r="D356" s="2">
        <v>4.22</v>
      </c>
      <c r="E356" s="2">
        <v>4.5</v>
      </c>
      <c r="F356" s="2">
        <v>4.66</v>
      </c>
      <c r="G356" s="2">
        <v>4.7</v>
      </c>
      <c r="H356" s="13">
        <v>4.4832177</v>
      </c>
      <c r="I356" s="13">
        <v>3.9802119</v>
      </c>
      <c r="J356" s="13">
        <v>3.6845593999999999</v>
      </c>
      <c r="K356" s="13">
        <v>3.5618538000000002</v>
      </c>
      <c r="L356" s="13">
        <v>3.5384055999999999</v>
      </c>
      <c r="M356" s="13">
        <v>3.5799984999999999</v>
      </c>
    </row>
    <row r="357" spans="1:13" x14ac:dyDescent="0.25">
      <c r="A357" t="s">
        <v>421</v>
      </c>
      <c r="B357" s="2">
        <v>4.37</v>
      </c>
      <c r="C357" s="2" t="e">
        <v>#N/A</v>
      </c>
      <c r="D357" s="2" t="e">
        <v>#N/A</v>
      </c>
      <c r="E357" s="2" t="e">
        <v>#N/A</v>
      </c>
      <c r="F357" s="2">
        <v>4.68</v>
      </c>
      <c r="G357" s="2">
        <v>4.72</v>
      </c>
      <c r="H357" s="13" t="e">
        <v>#N/A</v>
      </c>
      <c r="I357" s="13" t="e">
        <v>#N/A</v>
      </c>
      <c r="J357" s="13" t="e">
        <v>#N/A</v>
      </c>
      <c r="K357" s="13" t="e">
        <v>#N/A</v>
      </c>
      <c r="L357" s="13" t="e">
        <v>#N/A</v>
      </c>
      <c r="M357" s="13" t="e">
        <v>#N/A</v>
      </c>
    </row>
    <row r="358" spans="1:13" x14ac:dyDescent="0.25">
      <c r="A358" t="s">
        <v>422</v>
      </c>
      <c r="B358" s="2">
        <v>4.3</v>
      </c>
      <c r="C358" s="2">
        <v>4.03</v>
      </c>
      <c r="D358" s="2">
        <v>4.13</v>
      </c>
      <c r="E358" s="2">
        <v>4.41</v>
      </c>
      <c r="F358" s="2">
        <v>4.57</v>
      </c>
      <c r="G358" s="2">
        <v>4.6100000000000003</v>
      </c>
      <c r="H358" s="13">
        <v>4.4268951999999997</v>
      </c>
      <c r="I358" s="13">
        <v>3.9496039000000001</v>
      </c>
      <c r="J358" s="13">
        <v>3.5873862999999999</v>
      </c>
      <c r="K358" s="13">
        <v>3.4376647999999999</v>
      </c>
      <c r="L358" s="13">
        <v>3.426485</v>
      </c>
      <c r="M358" s="13">
        <v>3.4898220000000002</v>
      </c>
    </row>
    <row r="359" spans="1:13" x14ac:dyDescent="0.25">
      <c r="A359" t="s">
        <v>423</v>
      </c>
      <c r="B359" s="2">
        <v>4.3099999999999996</v>
      </c>
      <c r="C359" s="2">
        <v>4.0199999999999996</v>
      </c>
      <c r="D359" s="2">
        <v>4.13</v>
      </c>
      <c r="E359" s="2">
        <v>4.43</v>
      </c>
      <c r="F359" s="2">
        <v>4.57</v>
      </c>
      <c r="G359" s="2">
        <v>4.6100000000000003</v>
      </c>
      <c r="H359" s="13">
        <v>4.4436754000000001</v>
      </c>
      <c r="I359" s="13">
        <v>3.9313984999999998</v>
      </c>
      <c r="J359" s="13">
        <v>3.5656393999999998</v>
      </c>
      <c r="K359" s="13">
        <v>3.4373863999999998</v>
      </c>
      <c r="L359" s="13">
        <v>3.4343059</v>
      </c>
      <c r="M359" s="13">
        <v>3.4922789999999999</v>
      </c>
    </row>
    <row r="360" spans="1:13" x14ac:dyDescent="0.25">
      <c r="A360" t="s">
        <v>424</v>
      </c>
      <c r="B360" s="2">
        <v>4.2699999999999996</v>
      </c>
      <c r="C360" s="2">
        <v>4</v>
      </c>
      <c r="D360" s="2">
        <v>4.1399999999999997</v>
      </c>
      <c r="E360" s="2">
        <v>4.42</v>
      </c>
      <c r="F360" s="2">
        <v>4.58</v>
      </c>
      <c r="G360" s="2">
        <v>4.62</v>
      </c>
      <c r="H360" s="13">
        <v>4.3419604999999999</v>
      </c>
      <c r="I360" s="13">
        <v>3.8507729999999998</v>
      </c>
      <c r="J360" s="13">
        <v>3.5379176999999999</v>
      </c>
      <c r="K360" s="13">
        <v>3.4433861000000001</v>
      </c>
      <c r="L360" s="13">
        <v>3.4562358</v>
      </c>
      <c r="M360" s="13">
        <v>3.5220022000000002</v>
      </c>
    </row>
    <row r="361" spans="1:13" x14ac:dyDescent="0.25">
      <c r="A361" t="s">
        <v>425</v>
      </c>
      <c r="B361" s="2">
        <v>4.32</v>
      </c>
      <c r="C361" s="2">
        <v>4.05</v>
      </c>
      <c r="D361" s="2">
        <v>4.17</v>
      </c>
      <c r="E361" s="2">
        <v>4.45</v>
      </c>
      <c r="F361" s="2">
        <v>4.6100000000000003</v>
      </c>
      <c r="G361" s="2">
        <v>4.66</v>
      </c>
      <c r="H361" s="13">
        <v>4.4136820999999999</v>
      </c>
      <c r="I361" s="13">
        <v>3.9114575999999999</v>
      </c>
      <c r="J361" s="13">
        <v>3.5986248999999999</v>
      </c>
      <c r="K361" s="13">
        <v>3.4802124000000001</v>
      </c>
      <c r="L361" s="13">
        <v>3.4721392999999998</v>
      </c>
      <c r="M361" s="13">
        <v>3.5292218000000002</v>
      </c>
    </row>
    <row r="362" spans="1:13" x14ac:dyDescent="0.25">
      <c r="A362" t="s">
        <v>426</v>
      </c>
      <c r="B362" s="2">
        <v>4.32</v>
      </c>
      <c r="C362" s="2">
        <v>4.0599999999999996</v>
      </c>
      <c r="D362" s="2">
        <v>4.17</v>
      </c>
      <c r="E362" s="2">
        <v>4.43</v>
      </c>
      <c r="F362" s="2">
        <v>4.6100000000000003</v>
      </c>
      <c r="G362" s="2">
        <v>4.6500000000000004</v>
      </c>
      <c r="H362" s="13">
        <v>4.4502711000000001</v>
      </c>
      <c r="I362" s="13">
        <v>3.9658205999999998</v>
      </c>
      <c r="J362" s="13">
        <v>3.6098089999999998</v>
      </c>
      <c r="K362" s="13">
        <v>3.4651595999999998</v>
      </c>
      <c r="L362" s="13">
        <v>3.4542918999999999</v>
      </c>
      <c r="M362" s="13">
        <v>3.5200075000000002</v>
      </c>
    </row>
    <row r="363" spans="1:13" x14ac:dyDescent="0.25">
      <c r="A363" t="s">
        <v>427</v>
      </c>
      <c r="B363" s="2">
        <v>4.3099999999999996</v>
      </c>
      <c r="C363" s="2">
        <v>4.05</v>
      </c>
      <c r="D363" s="2">
        <v>4.16</v>
      </c>
      <c r="E363" s="2">
        <v>4.43</v>
      </c>
      <c r="F363" s="2">
        <v>4.59</v>
      </c>
      <c r="G363" s="2">
        <v>4.6399999999999997</v>
      </c>
      <c r="H363" s="13">
        <v>4.4361706999999999</v>
      </c>
      <c r="I363" s="13">
        <v>3.9383013999999998</v>
      </c>
      <c r="J363" s="13">
        <v>3.5878700000000001</v>
      </c>
      <c r="K363" s="13">
        <v>3.4590717</v>
      </c>
      <c r="L363" s="13">
        <v>3.4555720999999999</v>
      </c>
      <c r="M363" s="13">
        <v>3.5176793000000002</v>
      </c>
    </row>
    <row r="364" spans="1:13" x14ac:dyDescent="0.25">
      <c r="A364" t="s">
        <v>428</v>
      </c>
      <c r="B364" s="2">
        <v>4.2300000000000004</v>
      </c>
      <c r="C364" s="2">
        <v>3.94</v>
      </c>
      <c r="D364" s="2">
        <v>4.0599999999999996</v>
      </c>
      <c r="E364" s="2">
        <v>4.32</v>
      </c>
      <c r="F364" s="2">
        <v>4.49</v>
      </c>
      <c r="G364" s="2">
        <v>4.51</v>
      </c>
      <c r="H364" s="13">
        <v>4.3502609000000003</v>
      </c>
      <c r="I364" s="13">
        <v>3.8053352</v>
      </c>
      <c r="J364" s="13">
        <v>3.4672550000000002</v>
      </c>
      <c r="K364" s="13">
        <v>3.3615249999999999</v>
      </c>
      <c r="L364" s="13">
        <v>3.3656233000000002</v>
      </c>
      <c r="M364" s="13">
        <v>3.4229422</v>
      </c>
    </row>
    <row r="365" spans="1:13" x14ac:dyDescent="0.25">
      <c r="A365" t="s">
        <v>429</v>
      </c>
      <c r="B365" s="2">
        <v>4.26</v>
      </c>
      <c r="C365" s="2">
        <v>3.97</v>
      </c>
      <c r="D365" s="2">
        <v>4.07</v>
      </c>
      <c r="E365" s="2">
        <v>4.3600000000000003</v>
      </c>
      <c r="F365" s="2">
        <v>4.5199999999999996</v>
      </c>
      <c r="G365" s="2">
        <v>4.5599999999999996</v>
      </c>
      <c r="H365" s="13">
        <v>4.3538116000000002</v>
      </c>
      <c r="I365" s="13">
        <v>3.8278235999999999</v>
      </c>
      <c r="J365" s="13">
        <v>3.5047163000000001</v>
      </c>
      <c r="K365" s="13">
        <v>3.3950757</v>
      </c>
      <c r="L365" s="13">
        <v>3.3943737999999999</v>
      </c>
      <c r="M365" s="13">
        <v>3.4519508000000001</v>
      </c>
    </row>
    <row r="366" spans="1:13" x14ac:dyDescent="0.25">
      <c r="A366" t="s">
        <v>430</v>
      </c>
      <c r="B366" s="2">
        <v>4.32</v>
      </c>
      <c r="C366" s="2">
        <v>4.0199999999999996</v>
      </c>
      <c r="D366" s="2">
        <v>4.12</v>
      </c>
      <c r="E366" s="2">
        <v>4.41</v>
      </c>
      <c r="F366" s="2">
        <v>4.5599999999999996</v>
      </c>
      <c r="G366" s="2">
        <v>4.6100000000000003</v>
      </c>
      <c r="H366" s="13">
        <v>4.4029029</v>
      </c>
      <c r="I366" s="13">
        <v>3.8871470000000001</v>
      </c>
      <c r="J366" s="13">
        <v>3.5822574</v>
      </c>
      <c r="K366" s="13">
        <v>3.4657414000000002</v>
      </c>
      <c r="L366" s="13">
        <v>3.4518116000000001</v>
      </c>
      <c r="M366" s="13">
        <v>3.5009502000000001</v>
      </c>
    </row>
    <row r="367" spans="1:13" x14ac:dyDescent="0.25">
      <c r="A367" t="s">
        <v>431</v>
      </c>
      <c r="B367" s="2">
        <v>4.3499999999999996</v>
      </c>
      <c r="C367" s="2">
        <v>4.0599999999999996</v>
      </c>
      <c r="D367" s="2">
        <v>4.17</v>
      </c>
      <c r="E367" s="2">
        <v>4.45</v>
      </c>
      <c r="F367" s="2">
        <v>4.6100000000000003</v>
      </c>
      <c r="G367" s="2">
        <v>4.66</v>
      </c>
      <c r="H367" s="13">
        <v>4.4466964000000004</v>
      </c>
      <c r="I367" s="13">
        <v>3.9537192999999999</v>
      </c>
      <c r="J367" s="13">
        <v>3.6200980999999999</v>
      </c>
      <c r="K367" s="13">
        <v>3.4916912999999998</v>
      </c>
      <c r="L367" s="13">
        <v>3.4839397000000001</v>
      </c>
      <c r="M367" s="13">
        <v>3.5474530999999998</v>
      </c>
    </row>
    <row r="368" spans="1:13" x14ac:dyDescent="0.25">
      <c r="A368" t="s">
        <v>432</v>
      </c>
      <c r="B368" s="2">
        <v>4.3</v>
      </c>
      <c r="C368" s="2">
        <v>4.01</v>
      </c>
      <c r="D368" s="2">
        <v>4.13</v>
      </c>
      <c r="E368" s="2">
        <v>4.4000000000000004</v>
      </c>
      <c r="F368" s="2">
        <v>4.5599999999999996</v>
      </c>
      <c r="G368" s="2">
        <v>4.6100000000000003</v>
      </c>
      <c r="H368" s="13">
        <v>4.4113217000000002</v>
      </c>
      <c r="I368" s="13">
        <v>3.8964215000000002</v>
      </c>
      <c r="J368" s="13">
        <v>3.5642754000000001</v>
      </c>
      <c r="K368" s="13">
        <v>3.4488243000000001</v>
      </c>
      <c r="L368" s="13">
        <v>3.4436567999999999</v>
      </c>
      <c r="M368" s="13">
        <v>3.5022427</v>
      </c>
    </row>
    <row r="369" spans="1:13" x14ac:dyDescent="0.25">
      <c r="A369" t="s">
        <v>433</v>
      </c>
      <c r="B369" s="2">
        <v>4.45</v>
      </c>
      <c r="C369" s="2">
        <v>4.1399999999999997</v>
      </c>
      <c r="D369" s="2">
        <v>4.2300000000000004</v>
      </c>
      <c r="E369" s="2">
        <v>4.49</v>
      </c>
      <c r="F369" s="2">
        <v>4.6399999999999997</v>
      </c>
      <c r="G369" s="2">
        <v>4.7</v>
      </c>
      <c r="H369" s="13">
        <v>4.5755412</v>
      </c>
      <c r="I369" s="13">
        <v>4.0943236000000001</v>
      </c>
      <c r="J369" s="13">
        <v>3.6384224000000001</v>
      </c>
      <c r="K369" s="13">
        <v>3.5114404000000001</v>
      </c>
      <c r="L369" s="13">
        <v>3.51755</v>
      </c>
      <c r="M369" s="13">
        <v>3.5754234999999999</v>
      </c>
    </row>
    <row r="370" spans="1:13" x14ac:dyDescent="0.25">
      <c r="A370" t="s">
        <v>434</v>
      </c>
      <c r="B370" s="2">
        <v>4.5</v>
      </c>
      <c r="C370" s="2">
        <v>4.18</v>
      </c>
      <c r="D370" s="2">
        <v>4.26</v>
      </c>
      <c r="E370" s="2">
        <v>4.51</v>
      </c>
      <c r="F370" s="2">
        <v>4.6500000000000004</v>
      </c>
      <c r="G370" s="2">
        <v>4.7</v>
      </c>
      <c r="H370" s="13">
        <v>4.6441420000000004</v>
      </c>
      <c r="I370" s="13">
        <v>4.0730421999999997</v>
      </c>
      <c r="J370" s="13">
        <v>3.6752541000000001</v>
      </c>
      <c r="K370" s="13">
        <v>3.5320195000000001</v>
      </c>
      <c r="L370" s="13">
        <v>3.5136186</v>
      </c>
      <c r="M370" s="13">
        <v>3.561849</v>
      </c>
    </row>
    <row r="371" spans="1:13" x14ac:dyDescent="0.25">
      <c r="A371" t="s">
        <v>435</v>
      </c>
      <c r="B371" s="2">
        <v>4.51</v>
      </c>
      <c r="C371" s="2">
        <v>4.18</v>
      </c>
      <c r="D371" s="2">
        <v>4.26</v>
      </c>
      <c r="E371" s="2">
        <v>4.5199999999999996</v>
      </c>
      <c r="F371" s="2">
        <v>4.67</v>
      </c>
      <c r="G371" s="2">
        <v>4.71</v>
      </c>
      <c r="H371" s="13">
        <v>4.6575196999999999</v>
      </c>
      <c r="I371" s="13">
        <v>4.0769843999999997</v>
      </c>
      <c r="J371" s="13">
        <v>3.6985719000000001</v>
      </c>
      <c r="K371" s="13">
        <v>3.5500655999999999</v>
      </c>
      <c r="L371" s="13">
        <v>3.5227143999999999</v>
      </c>
      <c r="M371" s="13">
        <v>3.5657763</v>
      </c>
    </row>
    <row r="372" spans="1:13" x14ac:dyDescent="0.25">
      <c r="A372" t="s">
        <v>436</v>
      </c>
      <c r="B372" s="2">
        <v>4.5</v>
      </c>
      <c r="C372" s="2">
        <v>4.18</v>
      </c>
      <c r="D372" s="2">
        <v>4.26</v>
      </c>
      <c r="E372" s="2">
        <v>4.5199999999999996</v>
      </c>
      <c r="F372" s="2">
        <v>4.66</v>
      </c>
      <c r="G372" s="2">
        <v>4.71</v>
      </c>
      <c r="H372" s="13" t="e">
        <v>#N/A</v>
      </c>
      <c r="I372" s="13" t="e">
        <v>#N/A</v>
      </c>
      <c r="J372" s="13" t="e">
        <v>#N/A</v>
      </c>
      <c r="K372" s="13" t="e">
        <v>#N/A</v>
      </c>
      <c r="L372" s="13" t="e">
        <v>#N/A</v>
      </c>
      <c r="M372" s="13" t="e">
        <v>#N/A</v>
      </c>
    </row>
    <row r="373" spans="1:13" x14ac:dyDescent="0.25">
      <c r="A373" t="s">
        <v>437</v>
      </c>
      <c r="B373" s="2">
        <v>4.51</v>
      </c>
      <c r="C373" s="2">
        <v>4.1900000000000004</v>
      </c>
      <c r="D373" s="2">
        <v>4.2699999999999996</v>
      </c>
      <c r="E373" s="2">
        <v>4.54</v>
      </c>
      <c r="F373" s="2">
        <v>4.6900000000000004</v>
      </c>
      <c r="G373" s="2">
        <v>4.74</v>
      </c>
      <c r="H373" s="13">
        <v>4.6661868999999996</v>
      </c>
      <c r="I373" s="13">
        <v>4.1380999000000003</v>
      </c>
      <c r="J373" s="13">
        <v>3.7131420999999998</v>
      </c>
      <c r="K373" s="13">
        <v>3.5403989</v>
      </c>
      <c r="L373" s="13">
        <v>3.5198738999999999</v>
      </c>
      <c r="M373" s="13">
        <v>3.5791634999999999</v>
      </c>
    </row>
    <row r="374" spans="1:13" x14ac:dyDescent="0.25">
      <c r="A374" t="s">
        <v>438</v>
      </c>
      <c r="B374" s="2">
        <v>4.58</v>
      </c>
      <c r="C374" s="2">
        <v>4.3099999999999996</v>
      </c>
      <c r="D374" s="2">
        <v>4.41</v>
      </c>
      <c r="E374" s="2">
        <v>4.67</v>
      </c>
      <c r="F374" s="2">
        <v>4.83</v>
      </c>
      <c r="G374" s="2">
        <v>4.87</v>
      </c>
      <c r="H374" s="13">
        <v>4.7297871999999996</v>
      </c>
      <c r="I374" s="13">
        <v>4.2215273</v>
      </c>
      <c r="J374" s="13">
        <v>3.8276560000000002</v>
      </c>
      <c r="K374" s="13">
        <v>3.6795388999999998</v>
      </c>
      <c r="L374" s="13">
        <v>3.6680117999999999</v>
      </c>
      <c r="M374" s="13">
        <v>3.724459</v>
      </c>
    </row>
    <row r="375" spans="1:13" x14ac:dyDescent="0.25">
      <c r="A375" t="s">
        <v>439</v>
      </c>
      <c r="B375" s="2">
        <v>4.37</v>
      </c>
      <c r="C375" s="2">
        <v>4.24</v>
      </c>
      <c r="D375" s="2">
        <v>4.34</v>
      </c>
      <c r="E375" s="2">
        <v>4.6100000000000003</v>
      </c>
      <c r="F375" s="2">
        <v>4.7699999999999996</v>
      </c>
      <c r="G375" s="2">
        <v>4.82</v>
      </c>
      <c r="H375" s="13">
        <v>4.6573225000000003</v>
      </c>
      <c r="I375" s="13">
        <v>4.1379371999999996</v>
      </c>
      <c r="J375" s="13">
        <v>3.8023687000000002</v>
      </c>
      <c r="K375" s="13">
        <v>3.6679027</v>
      </c>
      <c r="L375" s="13">
        <v>3.6370778000000001</v>
      </c>
      <c r="M375" s="13">
        <v>3.6711414000000002</v>
      </c>
    </row>
    <row r="376" spans="1:13" x14ac:dyDescent="0.25">
      <c r="A376" t="s">
        <v>440</v>
      </c>
      <c r="B376" s="2">
        <v>4.43</v>
      </c>
      <c r="C376" s="2">
        <v>4.22</v>
      </c>
      <c r="D376" s="2">
        <v>4.33</v>
      </c>
      <c r="E376" s="2">
        <v>4.57</v>
      </c>
      <c r="F376" s="2">
        <v>4.7300000000000004</v>
      </c>
      <c r="G376" s="2">
        <v>4.7699999999999996</v>
      </c>
      <c r="H376" s="13">
        <v>4.6189746999999999</v>
      </c>
      <c r="I376" s="13">
        <v>4.0923609000000001</v>
      </c>
      <c r="J376" s="13">
        <v>3.7664304</v>
      </c>
      <c r="K376" s="13">
        <v>3.6413826</v>
      </c>
      <c r="L376" s="13">
        <v>3.6169397999999999</v>
      </c>
      <c r="M376" s="13">
        <v>3.6544702</v>
      </c>
    </row>
    <row r="377" spans="1:13" x14ac:dyDescent="0.25">
      <c r="A377" t="s">
        <v>441</v>
      </c>
      <c r="B377" s="2">
        <v>4.3600000000000003</v>
      </c>
      <c r="C377" s="2">
        <v>4.13</v>
      </c>
      <c r="D377" s="2">
        <v>4.22</v>
      </c>
      <c r="E377" s="2">
        <v>4.4800000000000004</v>
      </c>
      <c r="F377" s="2">
        <v>4.63</v>
      </c>
      <c r="G377" s="2">
        <v>4.68</v>
      </c>
      <c r="H377" s="13">
        <v>4.5858413000000002</v>
      </c>
      <c r="I377" s="13">
        <v>4.0576758999999996</v>
      </c>
      <c r="J377" s="13">
        <v>3.6852182</v>
      </c>
      <c r="K377" s="13">
        <v>3.5279560999999999</v>
      </c>
      <c r="L377" s="13">
        <v>3.5026676999999999</v>
      </c>
      <c r="M377" s="13">
        <v>3.5557243000000001</v>
      </c>
    </row>
    <row r="378" spans="1:13" x14ac:dyDescent="0.25">
      <c r="A378" t="s">
        <v>442</v>
      </c>
      <c r="B378" s="2">
        <v>4.3499999999999996</v>
      </c>
      <c r="C378" s="2">
        <v>4.0999999999999996</v>
      </c>
      <c r="D378" s="2">
        <v>4.17</v>
      </c>
      <c r="E378" s="2">
        <v>4.42</v>
      </c>
      <c r="F378" s="2">
        <v>4.57</v>
      </c>
      <c r="G378" s="2">
        <v>4.62</v>
      </c>
      <c r="H378" s="13">
        <v>4.5690584999999997</v>
      </c>
      <c r="I378" s="13">
        <v>4.0079726000000004</v>
      </c>
      <c r="J378" s="13">
        <v>3.6273263999999998</v>
      </c>
      <c r="K378" s="13">
        <v>3.4734482</v>
      </c>
      <c r="L378" s="13">
        <v>3.4509379999999998</v>
      </c>
      <c r="M378" s="13">
        <v>3.5036426999999999</v>
      </c>
    </row>
    <row r="379" spans="1:13" x14ac:dyDescent="0.25">
      <c r="A379" t="s">
        <v>443</v>
      </c>
      <c r="B379" s="2">
        <v>4.3600000000000003</v>
      </c>
      <c r="C379" s="2">
        <v>4.0999999999999996</v>
      </c>
      <c r="D379" s="2">
        <v>4.1900000000000004</v>
      </c>
      <c r="E379" s="2">
        <v>4.5</v>
      </c>
      <c r="F379" s="2">
        <v>4.57</v>
      </c>
      <c r="G379" s="2">
        <v>4.6100000000000003</v>
      </c>
      <c r="H379" s="13">
        <v>4.5709154999999999</v>
      </c>
      <c r="I379" s="13">
        <v>4.0067145000000002</v>
      </c>
      <c r="J379" s="13">
        <v>3.6100455</v>
      </c>
      <c r="K379" s="13">
        <v>3.4591557000000002</v>
      </c>
      <c r="L379" s="13">
        <v>3.4471257</v>
      </c>
      <c r="M379" s="13">
        <v>3.5025835000000001</v>
      </c>
    </row>
    <row r="380" spans="1:13" x14ac:dyDescent="0.25">
      <c r="A380" t="s">
        <v>444</v>
      </c>
      <c r="B380" s="2">
        <v>4.3099999999999996</v>
      </c>
      <c r="C380" s="2">
        <v>4.0599999999999996</v>
      </c>
      <c r="D380" s="2">
        <v>4.17</v>
      </c>
      <c r="E380" s="2">
        <v>4.42</v>
      </c>
      <c r="F380" s="2">
        <v>4.57</v>
      </c>
      <c r="G380" s="2">
        <v>4.6100000000000003</v>
      </c>
      <c r="H380" s="13">
        <v>4.5295635000000001</v>
      </c>
      <c r="I380" s="13">
        <v>3.9521350000000002</v>
      </c>
      <c r="J380" s="13">
        <v>3.5826557000000001</v>
      </c>
      <c r="K380" s="13">
        <v>3.4611719999999999</v>
      </c>
      <c r="L380" s="13">
        <v>3.4527850999999998</v>
      </c>
      <c r="M380" s="13">
        <v>3.5033721</v>
      </c>
    </row>
    <row r="381" spans="1:13" x14ac:dyDescent="0.25">
      <c r="A381" t="s">
        <v>445</v>
      </c>
      <c r="B381" s="2">
        <v>4.37</v>
      </c>
      <c r="C381" s="2">
        <v>4.1500000000000004</v>
      </c>
      <c r="D381" s="2">
        <v>4.25</v>
      </c>
      <c r="E381" s="2">
        <v>4.5</v>
      </c>
      <c r="F381" s="2">
        <v>4.6500000000000004</v>
      </c>
      <c r="G381" s="2">
        <v>4.6900000000000004</v>
      </c>
      <c r="H381" s="13">
        <v>4.5885470000000002</v>
      </c>
      <c r="I381" s="13">
        <v>4.0388925000000002</v>
      </c>
      <c r="J381" s="13">
        <v>3.7084145999999998</v>
      </c>
      <c r="K381" s="13">
        <v>3.5777542000000002</v>
      </c>
      <c r="L381" s="13">
        <v>3.5516098</v>
      </c>
      <c r="M381" s="13">
        <v>3.5900259000000001</v>
      </c>
    </row>
    <row r="382" spans="1:13" x14ac:dyDescent="0.25">
      <c r="A382" t="s">
        <v>446</v>
      </c>
      <c r="B382" s="2">
        <v>4.42</v>
      </c>
      <c r="C382" s="2">
        <v>4.21</v>
      </c>
      <c r="D382" s="2">
        <v>4.33</v>
      </c>
      <c r="E382" s="2">
        <v>4.58</v>
      </c>
      <c r="F382" s="2">
        <v>4.74</v>
      </c>
      <c r="G382" s="2">
        <v>4.7699999999999996</v>
      </c>
      <c r="H382" s="13">
        <v>4.6515531000000001</v>
      </c>
      <c r="I382" s="13">
        <v>4.1605701000000002</v>
      </c>
      <c r="J382" s="13">
        <v>3.8055203</v>
      </c>
      <c r="K382" s="13">
        <v>3.6566721000000002</v>
      </c>
      <c r="L382" s="13">
        <v>3.6298032999999998</v>
      </c>
      <c r="M382" s="13">
        <v>3.6777185000000001</v>
      </c>
    </row>
    <row r="383" spans="1:13" x14ac:dyDescent="0.25">
      <c r="A383" t="s">
        <v>447</v>
      </c>
      <c r="B383" s="2">
        <v>4.3499999999999996</v>
      </c>
      <c r="C383" s="2">
        <v>4.1500000000000004</v>
      </c>
      <c r="D383" s="2">
        <v>4.26</v>
      </c>
      <c r="E383" s="2">
        <v>4.53</v>
      </c>
      <c r="F383" s="2">
        <v>4.7</v>
      </c>
      <c r="G383" s="2">
        <v>4.74</v>
      </c>
      <c r="H383" s="13">
        <v>4.6005561999999998</v>
      </c>
      <c r="I383" s="13">
        <v>4.0947826999999997</v>
      </c>
      <c r="J383" s="13">
        <v>3.7378922000000001</v>
      </c>
      <c r="K383" s="13">
        <v>3.5922740000000002</v>
      </c>
      <c r="L383" s="13">
        <v>3.5753020000000002</v>
      </c>
      <c r="M383" s="13">
        <v>3.6311632999999999</v>
      </c>
    </row>
    <row r="384" spans="1:13" x14ac:dyDescent="0.25">
      <c r="A384" t="s">
        <v>448</v>
      </c>
      <c r="B384" s="2">
        <v>4.2</v>
      </c>
      <c r="C384" s="2">
        <v>4.01</v>
      </c>
      <c r="D384" s="2">
        <v>4.1100000000000003</v>
      </c>
      <c r="E384" s="2">
        <v>4.3899999999999997</v>
      </c>
      <c r="F384" s="2">
        <v>4.5599999999999996</v>
      </c>
      <c r="G384" s="2">
        <v>4.6100000000000003</v>
      </c>
      <c r="H384" s="13">
        <v>4.4675251999999999</v>
      </c>
      <c r="I384" s="13">
        <v>3.9075578000000002</v>
      </c>
      <c r="J384" s="13">
        <v>3.5484046</v>
      </c>
      <c r="K384" s="13">
        <v>3.4237879000000002</v>
      </c>
      <c r="L384" s="13">
        <v>3.4243472000000001</v>
      </c>
      <c r="M384" s="13">
        <v>3.4839155000000002</v>
      </c>
    </row>
    <row r="385" spans="1:13" x14ac:dyDescent="0.25">
      <c r="A385" t="s">
        <v>449</v>
      </c>
      <c r="B385" s="2">
        <v>4.22</v>
      </c>
      <c r="C385" s="2">
        <v>4.01</v>
      </c>
      <c r="D385" s="2">
        <v>4.13</v>
      </c>
      <c r="E385" s="2">
        <v>4.3899999999999997</v>
      </c>
      <c r="F385" s="2">
        <v>4.5599999999999996</v>
      </c>
      <c r="G385" s="2">
        <v>4.62</v>
      </c>
      <c r="H385" s="13">
        <v>4.4468272999999998</v>
      </c>
      <c r="I385" s="13">
        <v>3.8567168999999999</v>
      </c>
      <c r="J385" s="13">
        <v>3.5261089999999999</v>
      </c>
      <c r="K385" s="13">
        <v>3.4317749000000002</v>
      </c>
      <c r="L385" s="13">
        <v>3.4409716000000001</v>
      </c>
      <c r="M385" s="13">
        <v>3.5040342</v>
      </c>
    </row>
    <row r="386" spans="1:13" x14ac:dyDescent="0.25">
      <c r="A386" t="s">
        <v>450</v>
      </c>
      <c r="B386" s="2">
        <v>4.18</v>
      </c>
      <c r="C386" s="2">
        <v>3.95</v>
      </c>
      <c r="D386" s="2">
        <v>4.05</v>
      </c>
      <c r="E386" s="2">
        <v>4.3099999999999996</v>
      </c>
      <c r="F386" s="2">
        <v>4.4800000000000004</v>
      </c>
      <c r="G386" s="2">
        <v>4.54</v>
      </c>
      <c r="H386" s="13">
        <v>4.3848919000000004</v>
      </c>
      <c r="I386" s="13">
        <v>3.7486717000000001</v>
      </c>
      <c r="J386" s="13">
        <v>3.4614522999999999</v>
      </c>
      <c r="K386" s="13">
        <v>3.3697710000000001</v>
      </c>
      <c r="L386" s="13">
        <v>3.3580787000000001</v>
      </c>
      <c r="M386" s="13">
        <v>3.4024665999999999</v>
      </c>
    </row>
    <row r="387" spans="1:13" x14ac:dyDescent="0.25">
      <c r="A387" t="s">
        <v>451</v>
      </c>
      <c r="B387" s="2">
        <v>4.2</v>
      </c>
      <c r="C387" s="2">
        <v>3.98</v>
      </c>
      <c r="D387" s="2">
        <v>4.1100000000000003</v>
      </c>
      <c r="E387" s="2">
        <v>4.37</v>
      </c>
      <c r="F387" s="2">
        <v>4.53</v>
      </c>
      <c r="G387" s="2">
        <v>4.5999999999999996</v>
      </c>
      <c r="H387" s="13">
        <v>4.4286241000000004</v>
      </c>
      <c r="I387" s="13">
        <v>3.839197</v>
      </c>
      <c r="J387" s="13">
        <v>3.5059052999999998</v>
      </c>
      <c r="K387" s="13">
        <v>3.3843958999999999</v>
      </c>
      <c r="L387" s="13">
        <v>3.3770115000000001</v>
      </c>
      <c r="M387" s="13">
        <v>3.4385089999999998</v>
      </c>
    </row>
    <row r="388" spans="1:13" x14ac:dyDescent="0.25">
      <c r="A388" t="s">
        <v>452</v>
      </c>
      <c r="B388" s="2">
        <v>4.16</v>
      </c>
      <c r="C388" s="2">
        <v>3.93</v>
      </c>
      <c r="D388" s="2">
        <v>4.04</v>
      </c>
      <c r="E388" s="2">
        <v>4.3099999999999996</v>
      </c>
      <c r="F388" s="2">
        <v>4.47</v>
      </c>
      <c r="G388" s="2">
        <v>4.53</v>
      </c>
      <c r="H388" s="13">
        <v>4.3633218999999999</v>
      </c>
      <c r="I388" s="13">
        <v>3.7560728000000001</v>
      </c>
      <c r="J388" s="13">
        <v>3.4241263000000002</v>
      </c>
      <c r="K388" s="13">
        <v>3.3138781000000002</v>
      </c>
      <c r="L388" s="13">
        <v>3.3198053000000001</v>
      </c>
      <c r="M388" s="13">
        <v>3.3890262</v>
      </c>
    </row>
    <row r="389" spans="1:13" x14ac:dyDescent="0.25">
      <c r="A389" t="s">
        <v>453</v>
      </c>
      <c r="B389" s="2">
        <v>4.1900000000000004</v>
      </c>
      <c r="C389" s="2">
        <v>3.94</v>
      </c>
      <c r="D389" s="2">
        <v>4.07</v>
      </c>
      <c r="E389" s="2">
        <v>4.34</v>
      </c>
      <c r="F389" s="2">
        <v>4.5</v>
      </c>
      <c r="G389" s="2">
        <v>4.55</v>
      </c>
      <c r="H389" s="13">
        <v>4.3923354000000003</v>
      </c>
      <c r="I389" s="13">
        <v>3.7802487</v>
      </c>
      <c r="J389" s="13">
        <v>3.4336272999999999</v>
      </c>
      <c r="K389" s="13">
        <v>3.3248791999999998</v>
      </c>
      <c r="L389" s="13">
        <v>3.3408243</v>
      </c>
      <c r="M389" s="13">
        <v>3.4139320999999998</v>
      </c>
    </row>
    <row r="390" spans="1:13" x14ac:dyDescent="0.25">
      <c r="A390" t="s">
        <v>454</v>
      </c>
      <c r="B390" s="2">
        <v>4.1500000000000004</v>
      </c>
      <c r="C390" s="2">
        <v>3.9</v>
      </c>
      <c r="D390" s="2">
        <v>4.05</v>
      </c>
      <c r="E390" s="2">
        <v>4.3600000000000003</v>
      </c>
      <c r="F390" s="2">
        <v>4.51</v>
      </c>
      <c r="G390" s="2">
        <v>4.5599999999999996</v>
      </c>
      <c r="H390" s="13">
        <v>4.3387365999999998</v>
      </c>
      <c r="I390" s="13">
        <v>3.7167650000000001</v>
      </c>
      <c r="J390" s="13">
        <v>3.3925494</v>
      </c>
      <c r="K390" s="13">
        <v>3.3157578999999999</v>
      </c>
      <c r="L390" s="13">
        <v>3.3425180000000001</v>
      </c>
      <c r="M390" s="13">
        <v>3.4213502</v>
      </c>
    </row>
    <row r="391" spans="1:13" x14ac:dyDescent="0.25">
      <c r="A391" t="s">
        <v>455</v>
      </c>
      <c r="B391" s="2">
        <v>4.17</v>
      </c>
      <c r="C391" s="2">
        <v>3.93</v>
      </c>
      <c r="D391" s="2">
        <v>4.07</v>
      </c>
      <c r="E391" s="2">
        <v>4.3600000000000003</v>
      </c>
      <c r="F391" s="2">
        <v>4.53</v>
      </c>
      <c r="G391" s="2">
        <v>4.58</v>
      </c>
      <c r="H391" s="13">
        <v>4.3183452999999998</v>
      </c>
      <c r="I391" s="13">
        <v>3.7291129999999999</v>
      </c>
      <c r="J391" s="13">
        <v>3.4454828000000002</v>
      </c>
      <c r="K391" s="13">
        <v>3.3553069999999998</v>
      </c>
      <c r="L391" s="13">
        <v>3.3637389999999998</v>
      </c>
      <c r="M391" s="13">
        <v>3.4288069000000001</v>
      </c>
    </row>
    <row r="392" spans="1:13" x14ac:dyDescent="0.25">
      <c r="A392" t="s">
        <v>456</v>
      </c>
      <c r="B392" s="2">
        <v>4.1900000000000004</v>
      </c>
      <c r="C392" s="2">
        <v>3.94</v>
      </c>
      <c r="D392" s="2">
        <v>4.07</v>
      </c>
      <c r="E392" s="2">
        <v>4.3600000000000003</v>
      </c>
      <c r="F392" s="2">
        <v>4.53</v>
      </c>
      <c r="G392" s="2">
        <v>4.58</v>
      </c>
      <c r="H392" s="13">
        <v>4.3494009</v>
      </c>
      <c r="I392" s="13">
        <v>3.7956352999999998</v>
      </c>
      <c r="J392" s="13">
        <v>3.4689089000000002</v>
      </c>
      <c r="K392" s="13">
        <v>3.3462079</v>
      </c>
      <c r="L392" s="13">
        <v>3.3475516000000001</v>
      </c>
      <c r="M392" s="13">
        <v>3.4232889000000002</v>
      </c>
    </row>
    <row r="393" spans="1:13" x14ac:dyDescent="0.25">
      <c r="A393" t="s">
        <v>457</v>
      </c>
      <c r="B393" s="2">
        <v>4.21</v>
      </c>
      <c r="C393" s="2">
        <v>3.96</v>
      </c>
      <c r="D393" s="2">
        <v>4.07</v>
      </c>
      <c r="E393" s="2">
        <v>4.3600000000000003</v>
      </c>
      <c r="F393" s="2">
        <v>4.53</v>
      </c>
      <c r="G393" s="2">
        <v>4.58</v>
      </c>
      <c r="H393" s="13">
        <v>4.3480395999999999</v>
      </c>
      <c r="I393" s="13">
        <v>3.7831079000000001</v>
      </c>
      <c r="J393" s="13">
        <v>3.4454511999999999</v>
      </c>
      <c r="K393" s="13">
        <v>3.3310002999999999</v>
      </c>
      <c r="L393" s="13">
        <v>3.3410551000000002</v>
      </c>
      <c r="M393" s="13">
        <v>3.4144890999999999</v>
      </c>
    </row>
    <row r="394" spans="1:13" x14ac:dyDescent="0.25">
      <c r="A394" t="s">
        <v>458</v>
      </c>
      <c r="B394" s="2">
        <v>4.25</v>
      </c>
      <c r="C394" s="2">
        <v>4.01</v>
      </c>
      <c r="D394" s="2">
        <v>4.13</v>
      </c>
      <c r="E394" s="2">
        <v>4.4000000000000004</v>
      </c>
      <c r="F394" s="2">
        <v>4.57</v>
      </c>
      <c r="G394" s="2">
        <v>4.62</v>
      </c>
      <c r="H394" s="13">
        <v>4.4010797000000004</v>
      </c>
      <c r="I394" s="13">
        <v>3.8435969000000001</v>
      </c>
      <c r="J394" s="13">
        <v>3.5069963999999998</v>
      </c>
      <c r="K394" s="13">
        <v>3.3998854000000001</v>
      </c>
      <c r="L394" s="13">
        <v>3.4124371999999998</v>
      </c>
      <c r="M394" s="13">
        <v>3.4826304000000001</v>
      </c>
    </row>
    <row r="395" spans="1:13" x14ac:dyDescent="0.25">
      <c r="A395" t="s">
        <v>459</v>
      </c>
      <c r="B395" s="2">
        <v>4.2300000000000004</v>
      </c>
      <c r="C395" s="2">
        <v>4.01</v>
      </c>
      <c r="D395" s="2">
        <v>4.13</v>
      </c>
      <c r="E395" s="2">
        <v>4.3899999999999997</v>
      </c>
      <c r="F395" s="2">
        <v>4.5599999999999996</v>
      </c>
      <c r="G395" s="2">
        <v>4.6100000000000003</v>
      </c>
      <c r="H395" s="13">
        <v>4.4235787000000002</v>
      </c>
      <c r="I395" s="13">
        <v>3.8644759</v>
      </c>
      <c r="J395" s="13">
        <v>3.514669</v>
      </c>
      <c r="K395" s="13">
        <v>3.4040092</v>
      </c>
      <c r="L395" s="13">
        <v>3.4121915</v>
      </c>
      <c r="M395" s="13">
        <v>3.4787602999999998</v>
      </c>
    </row>
    <row r="396" spans="1:13" x14ac:dyDescent="0.25">
      <c r="A396" t="s">
        <v>460</v>
      </c>
      <c r="B396" s="2">
        <v>4.2300000000000004</v>
      </c>
      <c r="C396" s="2">
        <v>4.03</v>
      </c>
      <c r="D396" s="2">
        <v>4.17</v>
      </c>
      <c r="E396" s="2">
        <v>4.45</v>
      </c>
      <c r="F396" s="2">
        <v>4.62</v>
      </c>
      <c r="G396" s="2">
        <v>4.67</v>
      </c>
      <c r="H396" s="13">
        <v>4.3775148000000002</v>
      </c>
      <c r="I396" s="13">
        <v>3.8476094000000001</v>
      </c>
      <c r="J396" s="13">
        <v>3.5682185999999998</v>
      </c>
      <c r="K396" s="13">
        <v>3.4706456999999999</v>
      </c>
      <c r="L396" s="13">
        <v>3.4778877000000001</v>
      </c>
      <c r="M396" s="13">
        <v>3.5458573000000002</v>
      </c>
    </row>
    <row r="397" spans="1:13" x14ac:dyDescent="0.25">
      <c r="A397" t="s">
        <v>461</v>
      </c>
      <c r="B397" s="2">
        <v>4.1900000000000004</v>
      </c>
      <c r="C397" s="2">
        <v>4.1100000000000003</v>
      </c>
      <c r="D397" s="2">
        <v>4.28</v>
      </c>
      <c r="E397" s="2">
        <v>4.55</v>
      </c>
      <c r="F397" s="2">
        <v>4.72</v>
      </c>
      <c r="G397" s="2">
        <v>4.78</v>
      </c>
      <c r="H397" s="13">
        <v>4.4358377999999998</v>
      </c>
      <c r="I397" s="13">
        <v>3.9671851</v>
      </c>
      <c r="J397" s="13">
        <v>3.6493121999999998</v>
      </c>
      <c r="K397" s="13">
        <v>3.5355639999999999</v>
      </c>
      <c r="L397" s="13">
        <v>3.5546183</v>
      </c>
      <c r="M397" s="13">
        <v>3.644021</v>
      </c>
    </row>
    <row r="398" spans="1:13" x14ac:dyDescent="0.25">
      <c r="A398" t="s">
        <v>462</v>
      </c>
      <c r="B398" s="2">
        <v>4.17</v>
      </c>
      <c r="C398" s="2">
        <v>4.09</v>
      </c>
      <c r="D398" s="2">
        <v>4.24</v>
      </c>
      <c r="E398" s="2">
        <v>4.5199999999999996</v>
      </c>
      <c r="F398" s="2">
        <v>4.6900000000000004</v>
      </c>
      <c r="G398" s="2">
        <v>4.75</v>
      </c>
      <c r="H398" s="13">
        <v>4.4247104999999998</v>
      </c>
      <c r="I398" s="13">
        <v>3.9468920000000001</v>
      </c>
      <c r="J398" s="13">
        <v>3.6277951000000002</v>
      </c>
      <c r="K398" s="13">
        <v>3.5194949000000002</v>
      </c>
      <c r="L398" s="13">
        <v>3.5370824999999999</v>
      </c>
      <c r="M398" s="13">
        <v>3.6183673000000001</v>
      </c>
    </row>
    <row r="399" spans="1:13" x14ac:dyDescent="0.25">
      <c r="A399" t="s">
        <v>463</v>
      </c>
      <c r="B399" s="2">
        <v>4.1500000000000004</v>
      </c>
      <c r="C399" s="2">
        <v>4.0199999999999996</v>
      </c>
      <c r="D399" s="2">
        <v>4.16</v>
      </c>
      <c r="E399" s="2">
        <v>4.4400000000000004</v>
      </c>
      <c r="F399" s="2">
        <v>4.6100000000000003</v>
      </c>
      <c r="G399" s="2">
        <v>4.66</v>
      </c>
      <c r="H399" s="13">
        <v>4.3930923000000002</v>
      </c>
      <c r="I399" s="13">
        <v>3.8773821000000002</v>
      </c>
      <c r="J399" s="13">
        <v>3.5501415000000001</v>
      </c>
      <c r="K399" s="13">
        <v>3.4500435</v>
      </c>
      <c r="L399" s="13">
        <v>3.4664377000000002</v>
      </c>
      <c r="M399" s="13">
        <v>3.5385189000000001</v>
      </c>
    </row>
    <row r="400" spans="1:13" x14ac:dyDescent="0.25">
      <c r="A400" t="s">
        <v>464</v>
      </c>
      <c r="B400" s="2">
        <v>4.17</v>
      </c>
      <c r="C400" s="2">
        <v>4.05</v>
      </c>
      <c r="D400" s="2">
        <v>4.2</v>
      </c>
      <c r="E400" s="2">
        <v>4.46</v>
      </c>
      <c r="F400" s="2">
        <v>4.6399999999999997</v>
      </c>
      <c r="G400" s="2">
        <v>4.6900000000000004</v>
      </c>
      <c r="H400" s="13">
        <v>4.3710110000000002</v>
      </c>
      <c r="I400" s="13">
        <v>3.8834876999999999</v>
      </c>
      <c r="J400" s="13">
        <v>3.589906</v>
      </c>
      <c r="K400" s="13">
        <v>3.4996969999999998</v>
      </c>
      <c r="L400" s="13">
        <v>3.5117341</v>
      </c>
      <c r="M400" s="13">
        <v>3.5786886999999998</v>
      </c>
    </row>
    <row r="401" spans="1:13" x14ac:dyDescent="0.25">
      <c r="A401" t="s">
        <v>465</v>
      </c>
      <c r="B401" s="2">
        <v>4.1399999999999997</v>
      </c>
      <c r="C401" s="2">
        <v>3.99</v>
      </c>
      <c r="D401" s="2">
        <v>4.1399999999999997</v>
      </c>
      <c r="E401" s="2">
        <v>4.41</v>
      </c>
      <c r="F401" s="2">
        <v>4.58</v>
      </c>
      <c r="G401" s="2">
        <v>4.6500000000000004</v>
      </c>
      <c r="H401" s="13">
        <v>4.3147000999999996</v>
      </c>
      <c r="I401" s="13">
        <v>3.8066312</v>
      </c>
      <c r="J401" s="13">
        <v>3.5398841000000001</v>
      </c>
      <c r="K401" s="13">
        <v>3.4525486000000001</v>
      </c>
      <c r="L401" s="13">
        <v>3.4585024999999998</v>
      </c>
      <c r="M401" s="13">
        <v>3.5221730999999998</v>
      </c>
    </row>
    <row r="402" spans="1:13" x14ac:dyDescent="0.25">
      <c r="A402" t="s">
        <v>466</v>
      </c>
      <c r="B402" s="2">
        <v>4.12</v>
      </c>
      <c r="C402" s="2">
        <v>3.96</v>
      </c>
      <c r="D402" s="2">
        <v>4.1100000000000003</v>
      </c>
      <c r="E402" s="2">
        <v>4.38</v>
      </c>
      <c r="F402" s="2">
        <v>4.5599999999999996</v>
      </c>
      <c r="G402" s="2">
        <v>4.62</v>
      </c>
      <c r="H402" s="13">
        <v>4.3170773000000002</v>
      </c>
      <c r="I402" s="13">
        <v>3.8190336</v>
      </c>
      <c r="J402" s="13">
        <v>3.5123753999999998</v>
      </c>
      <c r="K402" s="13">
        <v>3.4001975999999998</v>
      </c>
      <c r="L402" s="13">
        <v>3.4071929999999999</v>
      </c>
      <c r="M402" s="13">
        <v>3.4836076</v>
      </c>
    </row>
    <row r="403" spans="1:13" x14ac:dyDescent="0.25">
      <c r="A403" t="s">
        <v>467</v>
      </c>
      <c r="B403" s="2">
        <v>4.13</v>
      </c>
      <c r="C403" s="2">
        <v>4.01</v>
      </c>
      <c r="D403" s="2">
        <v>4.16</v>
      </c>
      <c r="E403" s="2">
        <v>4.42</v>
      </c>
      <c r="F403" s="2">
        <v>4.6399999999999997</v>
      </c>
      <c r="G403" s="2">
        <v>4.66</v>
      </c>
      <c r="H403" s="13">
        <v>4.3324952000000003</v>
      </c>
      <c r="I403" s="13">
        <v>3.8532730000000002</v>
      </c>
      <c r="J403" s="13">
        <v>3.5461833999999999</v>
      </c>
      <c r="K403" s="13">
        <v>3.4410116999999998</v>
      </c>
      <c r="L403" s="13">
        <v>3.4558059999999999</v>
      </c>
      <c r="M403" s="13">
        <v>3.5337439000000002</v>
      </c>
    </row>
    <row r="404" spans="1:13" x14ac:dyDescent="0.25">
      <c r="A404" t="s">
        <v>468</v>
      </c>
      <c r="B404" s="2">
        <v>4.1100000000000003</v>
      </c>
      <c r="C404" s="2">
        <v>3.99</v>
      </c>
      <c r="D404" s="2">
        <v>4.12</v>
      </c>
      <c r="E404" s="2">
        <v>4.4000000000000004</v>
      </c>
      <c r="F404" s="2">
        <v>4.63</v>
      </c>
      <c r="G404" s="2">
        <v>4.6399999999999997</v>
      </c>
      <c r="H404" s="13">
        <v>4.3235083999999997</v>
      </c>
      <c r="I404" s="13">
        <v>3.8178785</v>
      </c>
      <c r="J404" s="13">
        <v>3.5076282000000001</v>
      </c>
      <c r="K404" s="13">
        <v>3.4171133999999999</v>
      </c>
      <c r="L404" s="13">
        <v>3.4379262000000002</v>
      </c>
      <c r="M404" s="13">
        <v>3.5118075000000002</v>
      </c>
    </row>
    <row r="405" spans="1:13" x14ac:dyDescent="0.25">
      <c r="A405" t="s">
        <v>469</v>
      </c>
      <c r="B405" s="2">
        <v>4.0599999999999996</v>
      </c>
      <c r="C405" s="2">
        <v>3.92</v>
      </c>
      <c r="D405" s="2">
        <v>4.08</v>
      </c>
      <c r="E405" s="2">
        <v>4.3600000000000003</v>
      </c>
      <c r="F405" s="2">
        <v>4.53</v>
      </c>
      <c r="G405" s="2">
        <v>4.6100000000000003</v>
      </c>
      <c r="H405" s="13">
        <v>4.2239363000000001</v>
      </c>
      <c r="I405" s="13">
        <v>3.7096064000000002</v>
      </c>
      <c r="J405" s="13">
        <v>3.4486447999999998</v>
      </c>
      <c r="K405" s="13">
        <v>3.3787976</v>
      </c>
      <c r="L405" s="13">
        <v>3.4020404000000002</v>
      </c>
      <c r="M405" s="13">
        <v>3.4764409999999999</v>
      </c>
    </row>
    <row r="406" spans="1:13" x14ac:dyDescent="0.25">
      <c r="A406" t="s">
        <v>470</v>
      </c>
      <c r="B406" s="2">
        <v>4.09</v>
      </c>
      <c r="C406" s="2">
        <v>3.96</v>
      </c>
      <c r="D406" s="2">
        <v>4.12</v>
      </c>
      <c r="E406" s="2">
        <v>4.3899999999999997</v>
      </c>
      <c r="F406" s="2">
        <v>4.5599999999999996</v>
      </c>
      <c r="G406" s="2">
        <v>4.63</v>
      </c>
      <c r="H406" s="13">
        <v>4.2493043999999998</v>
      </c>
      <c r="I406" s="13">
        <v>3.7331365000000001</v>
      </c>
      <c r="J406" s="13">
        <v>3.5155143999999998</v>
      </c>
      <c r="K406" s="13">
        <v>3.4355071000000001</v>
      </c>
      <c r="L406" s="13">
        <v>3.4409543999999999</v>
      </c>
      <c r="M406" s="13">
        <v>3.5067910000000002</v>
      </c>
    </row>
    <row r="407" spans="1:13" x14ac:dyDescent="0.25">
      <c r="A407" t="s">
        <v>471</v>
      </c>
      <c r="B407" s="2">
        <v>4.08</v>
      </c>
      <c r="C407" s="2">
        <v>3.95</v>
      </c>
      <c r="D407" s="2">
        <v>4.1100000000000003</v>
      </c>
      <c r="E407" s="2">
        <v>4.38</v>
      </c>
      <c r="F407" s="2">
        <v>4.5599999999999996</v>
      </c>
      <c r="G407" s="2">
        <v>4.62</v>
      </c>
      <c r="H407" s="13">
        <v>4.2434911</v>
      </c>
      <c r="I407" s="13">
        <v>3.7607876</v>
      </c>
      <c r="J407" s="13">
        <v>3.4905705999999999</v>
      </c>
      <c r="K407" s="13">
        <v>3.3980712</v>
      </c>
      <c r="L407" s="13">
        <v>3.4177938000000001</v>
      </c>
      <c r="M407" s="13">
        <v>3.5038706999999998</v>
      </c>
    </row>
    <row r="408" spans="1:13" x14ac:dyDescent="0.25">
      <c r="A408" t="s">
        <v>472</v>
      </c>
      <c r="B408" s="2">
        <v>3.98</v>
      </c>
      <c r="C408" s="2">
        <v>3.9</v>
      </c>
      <c r="D408" s="2">
        <v>4.05</v>
      </c>
      <c r="E408" s="2">
        <v>4.3099999999999996</v>
      </c>
      <c r="F408" s="2">
        <v>4.49</v>
      </c>
      <c r="G408" s="2">
        <v>4.55</v>
      </c>
      <c r="H408" s="13">
        <v>4.2092828000000004</v>
      </c>
      <c r="I408" s="13">
        <v>3.7025714000000001</v>
      </c>
      <c r="J408" s="13">
        <v>3.4241904000000001</v>
      </c>
      <c r="K408" s="13">
        <v>3.3356154999999998</v>
      </c>
      <c r="L408" s="13">
        <v>3.3566392999999999</v>
      </c>
      <c r="M408" s="13">
        <v>3.4372823000000001</v>
      </c>
    </row>
    <row r="409" spans="1:13" x14ac:dyDescent="0.25">
      <c r="A409" t="s">
        <v>473</v>
      </c>
      <c r="B409" s="2">
        <v>4</v>
      </c>
      <c r="C409" s="2">
        <v>3.92</v>
      </c>
      <c r="D409" s="2">
        <v>4.07</v>
      </c>
      <c r="E409" s="2">
        <v>4.33</v>
      </c>
      <c r="F409" s="2">
        <v>4.51</v>
      </c>
      <c r="G409" s="2">
        <v>4.57</v>
      </c>
      <c r="H409" s="13">
        <v>4.2421351999999999</v>
      </c>
      <c r="I409" s="13">
        <v>3.7319578999999998</v>
      </c>
      <c r="J409" s="13">
        <v>3.4546364000000001</v>
      </c>
      <c r="K409" s="13">
        <v>3.3739322999999999</v>
      </c>
      <c r="L409" s="13">
        <v>3.3916865</v>
      </c>
      <c r="M409" s="13">
        <v>3.4617593000000002</v>
      </c>
    </row>
    <row r="410" spans="1:13" x14ac:dyDescent="0.25">
      <c r="A410" t="s">
        <v>474</v>
      </c>
      <c r="B410" s="2">
        <v>3.99</v>
      </c>
      <c r="C410" s="2">
        <v>3.9</v>
      </c>
      <c r="D410" s="2">
        <v>4.07</v>
      </c>
      <c r="E410" s="2">
        <v>4.33</v>
      </c>
      <c r="F410" s="2">
        <v>4.51</v>
      </c>
      <c r="G410" s="2">
        <v>4.57</v>
      </c>
      <c r="H410" s="13">
        <v>4.1851558000000004</v>
      </c>
      <c r="I410" s="13">
        <v>3.6787301000000001</v>
      </c>
      <c r="J410" s="13">
        <v>3.4443841000000002</v>
      </c>
      <c r="K410" s="13">
        <v>3.3835606</v>
      </c>
      <c r="L410" s="13">
        <v>3.4062741000000001</v>
      </c>
      <c r="M410" s="13">
        <v>3.4783799000000002</v>
      </c>
    </row>
    <row r="411" spans="1:13" x14ac:dyDescent="0.25">
      <c r="A411" t="s">
        <v>475</v>
      </c>
      <c r="B411" s="2">
        <v>4</v>
      </c>
      <c r="C411" s="2">
        <v>3.94</v>
      </c>
      <c r="D411" s="2">
        <v>4.13</v>
      </c>
      <c r="E411" s="2">
        <v>4.4000000000000004</v>
      </c>
      <c r="F411" s="2">
        <v>4.57</v>
      </c>
      <c r="G411" s="2">
        <v>4.6399999999999997</v>
      </c>
      <c r="H411" s="13">
        <v>4.2334139999999998</v>
      </c>
      <c r="I411" s="13">
        <v>3.7118194</v>
      </c>
      <c r="J411" s="13">
        <v>3.5096384</v>
      </c>
      <c r="K411" s="13">
        <v>3.4585678999999998</v>
      </c>
      <c r="L411" s="13">
        <v>3.4701523999999999</v>
      </c>
      <c r="M411" s="13">
        <v>3.5332165</v>
      </c>
    </row>
    <row r="412" spans="1:13" x14ac:dyDescent="0.25">
      <c r="A412" t="s">
        <v>476</v>
      </c>
      <c r="B412" s="2">
        <v>4.08</v>
      </c>
      <c r="C412" s="2">
        <v>3.99</v>
      </c>
      <c r="D412" s="2">
        <v>4.17</v>
      </c>
      <c r="E412" s="2">
        <v>4.4400000000000004</v>
      </c>
      <c r="F412" s="2">
        <v>4.62</v>
      </c>
      <c r="G412" s="2">
        <v>4.67</v>
      </c>
      <c r="H412" s="13">
        <v>4.3129939000000004</v>
      </c>
      <c r="I412" s="13">
        <v>3.8330625</v>
      </c>
      <c r="J412" s="13">
        <v>3.5647701000000001</v>
      </c>
      <c r="K412" s="13">
        <v>3.4707482000000001</v>
      </c>
      <c r="L412" s="13">
        <v>3.4856935999999998</v>
      </c>
      <c r="M412" s="13">
        <v>3.5671187</v>
      </c>
    </row>
    <row r="413" spans="1:13" x14ac:dyDescent="0.25">
      <c r="A413" t="s">
        <v>477</v>
      </c>
      <c r="B413" s="2">
        <v>4.01</v>
      </c>
      <c r="C413" s="2">
        <v>3.95</v>
      </c>
      <c r="D413" s="2">
        <v>4.13</v>
      </c>
      <c r="E413" s="2">
        <v>4.4000000000000004</v>
      </c>
      <c r="F413" s="2">
        <v>4.57</v>
      </c>
      <c r="G413" s="2">
        <v>4.6399999999999997</v>
      </c>
      <c r="H413" s="13">
        <v>4.2706227999999999</v>
      </c>
      <c r="I413" s="13">
        <v>3.7919269999999998</v>
      </c>
      <c r="J413" s="13">
        <v>3.5223852</v>
      </c>
      <c r="K413" s="13">
        <v>3.4308193</v>
      </c>
      <c r="L413" s="13">
        <v>3.4459292000000001</v>
      </c>
      <c r="M413" s="13">
        <v>3.5210135</v>
      </c>
    </row>
    <row r="414" spans="1:13" x14ac:dyDescent="0.25">
      <c r="A414" t="s">
        <v>478</v>
      </c>
      <c r="B414" s="2">
        <v>4</v>
      </c>
      <c r="C414" s="2">
        <v>3.95</v>
      </c>
      <c r="D414" s="2">
        <v>4.16</v>
      </c>
      <c r="E414" s="2">
        <v>4.43</v>
      </c>
      <c r="F414" s="2">
        <v>4.6500000000000004</v>
      </c>
      <c r="G414" s="2">
        <v>4.68</v>
      </c>
      <c r="H414" s="13">
        <v>4.2350801000000002</v>
      </c>
      <c r="I414" s="13">
        <v>3.7665937</v>
      </c>
      <c r="J414" s="13">
        <v>3.5287628999999998</v>
      </c>
      <c r="K414" s="13">
        <v>3.4747018000000001</v>
      </c>
      <c r="L414" s="13">
        <v>3.5096264000000001</v>
      </c>
      <c r="M414" s="13">
        <v>3.5894658000000002</v>
      </c>
    </row>
    <row r="415" spans="1:13" x14ac:dyDescent="0.25">
      <c r="A415" t="s">
        <v>479</v>
      </c>
      <c r="B415" s="2">
        <v>3.96</v>
      </c>
      <c r="C415" s="2">
        <v>3.93</v>
      </c>
      <c r="D415" s="2">
        <v>4.1399999999999997</v>
      </c>
      <c r="E415" s="2">
        <v>4.42</v>
      </c>
      <c r="F415" s="2">
        <v>4.5999999999999996</v>
      </c>
      <c r="G415" s="2">
        <v>4.67</v>
      </c>
      <c r="H415" s="13">
        <v>4.182455</v>
      </c>
      <c r="I415" s="13">
        <v>3.7277988</v>
      </c>
      <c r="J415" s="13">
        <v>3.5092534999999998</v>
      </c>
      <c r="K415" s="13">
        <v>3.4531518999999999</v>
      </c>
      <c r="L415" s="13">
        <v>3.4827048</v>
      </c>
      <c r="M415" s="13">
        <v>3.5621589999999999</v>
      </c>
    </row>
    <row r="416" spans="1:13" x14ac:dyDescent="0.25">
      <c r="A416" t="s">
        <v>480</v>
      </c>
      <c r="B416" s="2">
        <v>3.92</v>
      </c>
      <c r="C416" s="2">
        <v>3.9</v>
      </c>
      <c r="D416" s="2">
        <v>4.0999999999999996</v>
      </c>
      <c r="E416" s="2">
        <v>4.3899999999999997</v>
      </c>
      <c r="F416" s="2">
        <v>4.6399999999999997</v>
      </c>
      <c r="G416" s="2">
        <v>4.66</v>
      </c>
      <c r="H416" s="13">
        <v>4.1601989000000001</v>
      </c>
      <c r="I416" s="13">
        <v>3.6868034000000001</v>
      </c>
      <c r="J416" s="13">
        <v>3.4835604</v>
      </c>
      <c r="K416" s="13">
        <v>3.4276629999999999</v>
      </c>
      <c r="L416" s="13">
        <v>3.4511816</v>
      </c>
      <c r="M416" s="13">
        <v>3.5268777</v>
      </c>
    </row>
    <row r="417" spans="1:13" x14ac:dyDescent="0.25">
      <c r="A417" t="s">
        <v>481</v>
      </c>
      <c r="B417" s="2">
        <v>3.88</v>
      </c>
      <c r="C417" s="2">
        <v>3.87</v>
      </c>
      <c r="D417" s="2">
        <v>4.05</v>
      </c>
      <c r="E417" s="2">
        <v>4.34</v>
      </c>
      <c r="F417" s="2">
        <v>4.54</v>
      </c>
      <c r="G417" s="2">
        <v>4.62</v>
      </c>
      <c r="H417" s="13">
        <v>4.1630387999999998</v>
      </c>
      <c r="I417" s="13">
        <v>3.6960722000000001</v>
      </c>
      <c r="J417" s="13">
        <v>3.4473742000000001</v>
      </c>
      <c r="K417" s="13">
        <v>3.3611013999999999</v>
      </c>
      <c r="L417" s="13">
        <v>3.3813594999999999</v>
      </c>
      <c r="M417" s="13">
        <v>3.4673790000000002</v>
      </c>
    </row>
    <row r="418" spans="1:13" x14ac:dyDescent="0.25">
      <c r="A418" t="s">
        <v>482</v>
      </c>
      <c r="B418" s="2">
        <v>3.86</v>
      </c>
      <c r="C418" s="2">
        <v>3.84</v>
      </c>
      <c r="D418" s="2">
        <v>4.03</v>
      </c>
      <c r="E418" s="2">
        <v>4.3099999999999996</v>
      </c>
      <c r="F418" s="2">
        <v>4.5</v>
      </c>
      <c r="G418" s="2">
        <v>4.5999999999999996</v>
      </c>
      <c r="H418" s="13">
        <v>4.1140293999999997</v>
      </c>
      <c r="I418" s="13">
        <v>3.6446055999999998</v>
      </c>
      <c r="J418" s="13">
        <v>3.4091667000000001</v>
      </c>
      <c r="K418" s="13">
        <v>3.3387945000000001</v>
      </c>
      <c r="L418" s="13">
        <v>3.3668068999999998</v>
      </c>
      <c r="M418" s="13">
        <v>3.4527481</v>
      </c>
    </row>
    <row r="419" spans="1:13" x14ac:dyDescent="0.25">
      <c r="A419" t="s">
        <v>483</v>
      </c>
      <c r="B419" s="2">
        <v>3.81</v>
      </c>
      <c r="C419" s="2">
        <v>3.78</v>
      </c>
      <c r="D419" s="2">
        <v>3.96</v>
      </c>
      <c r="E419" s="2">
        <v>4.25</v>
      </c>
      <c r="F419" s="2">
        <v>4.45</v>
      </c>
      <c r="G419" s="2">
        <v>4.5</v>
      </c>
      <c r="H419" s="13">
        <v>4.0935486000000001</v>
      </c>
      <c r="I419" s="13">
        <v>3.5925606999999999</v>
      </c>
      <c r="J419" s="13">
        <v>3.3304155</v>
      </c>
      <c r="K419" s="13">
        <v>3.2651994000000002</v>
      </c>
      <c r="L419" s="13">
        <v>3.3020217000000001</v>
      </c>
      <c r="M419" s="13">
        <v>3.3884560000000001</v>
      </c>
    </row>
    <row r="420" spans="1:13" x14ac:dyDescent="0.25">
      <c r="A420" t="s">
        <v>484</v>
      </c>
      <c r="B420" s="2">
        <v>3.71</v>
      </c>
      <c r="C420" s="2">
        <v>3.68</v>
      </c>
      <c r="D420" s="2">
        <v>3.89</v>
      </c>
      <c r="E420" s="2">
        <v>4.1900000000000004</v>
      </c>
      <c r="F420" s="2">
        <v>4.4000000000000004</v>
      </c>
      <c r="G420" s="2">
        <v>4.46</v>
      </c>
      <c r="H420" s="13">
        <v>3.9112572000000001</v>
      </c>
      <c r="I420" s="13">
        <v>3.4389037999999998</v>
      </c>
      <c r="J420" s="13">
        <v>3.2582529</v>
      </c>
      <c r="K420" s="13">
        <v>3.2292160000000001</v>
      </c>
      <c r="L420" s="13">
        <v>3.270972</v>
      </c>
      <c r="M420" s="13">
        <v>3.3569376000000002</v>
      </c>
    </row>
    <row r="421" spans="1:13" x14ac:dyDescent="0.25">
      <c r="A421" t="s">
        <v>485</v>
      </c>
      <c r="B421" s="2">
        <v>3.61</v>
      </c>
      <c r="C421" s="2">
        <v>3.58</v>
      </c>
      <c r="D421" s="2">
        <v>3.83</v>
      </c>
      <c r="E421" s="2">
        <v>4.13</v>
      </c>
      <c r="F421" s="2">
        <v>4.34</v>
      </c>
      <c r="G421" s="2">
        <v>4.45</v>
      </c>
      <c r="H421" s="13">
        <v>3.8030278000000002</v>
      </c>
      <c r="I421" s="13">
        <v>3.3931852999999998</v>
      </c>
      <c r="J421" s="13">
        <v>3.2194058000000001</v>
      </c>
      <c r="K421" s="13">
        <v>3.1634414999999998</v>
      </c>
      <c r="L421" s="13">
        <v>3.1916913</v>
      </c>
      <c r="M421" s="13">
        <v>3.2785025000000001</v>
      </c>
    </row>
    <row r="422" spans="1:13" x14ac:dyDescent="0.25">
      <c r="A422" t="s">
        <v>486</v>
      </c>
      <c r="B422" s="2">
        <v>3.61</v>
      </c>
      <c r="C422" s="2">
        <v>3.64</v>
      </c>
      <c r="D422" s="2">
        <v>3.88</v>
      </c>
      <c r="E422" s="2">
        <v>4.17</v>
      </c>
      <c r="F422" s="2">
        <v>4.37</v>
      </c>
      <c r="G422" s="2">
        <v>4.5</v>
      </c>
      <c r="H422" s="13">
        <v>3.8901843</v>
      </c>
      <c r="I422" s="13">
        <v>3.4942804999999999</v>
      </c>
      <c r="J422" s="13">
        <v>3.2738649999999998</v>
      </c>
      <c r="K422" s="13">
        <v>3.2003490999999999</v>
      </c>
      <c r="L422" s="13">
        <v>3.2269551999999999</v>
      </c>
      <c r="M422" s="13">
        <v>3.3135390999999998</v>
      </c>
    </row>
    <row r="423" spans="1:13" x14ac:dyDescent="0.25">
      <c r="A423" t="s">
        <v>487</v>
      </c>
      <c r="B423" s="2">
        <v>3.67</v>
      </c>
      <c r="C423" s="2">
        <v>3.7</v>
      </c>
      <c r="D423" s="2">
        <v>3.93</v>
      </c>
      <c r="E423" s="2">
        <v>4.21</v>
      </c>
      <c r="F423" s="2">
        <v>4.41</v>
      </c>
      <c r="G423" s="2">
        <v>4.4400000000000004</v>
      </c>
      <c r="H423" s="13">
        <v>3.8896861999999999</v>
      </c>
      <c r="I423" s="13">
        <v>3.5140514</v>
      </c>
      <c r="J423" s="13">
        <v>3.3184257000000001</v>
      </c>
      <c r="K423" s="13">
        <v>3.2608147999999999</v>
      </c>
      <c r="L423" s="13">
        <v>3.2893781999999998</v>
      </c>
      <c r="M423" s="13">
        <v>3.3702426999999999</v>
      </c>
    </row>
    <row r="424" spans="1:13" x14ac:dyDescent="0.25">
      <c r="A424" t="s">
        <v>488</v>
      </c>
      <c r="B424" s="2">
        <v>3.65</v>
      </c>
      <c r="C424" s="2">
        <v>3.71</v>
      </c>
      <c r="D424" s="2">
        <v>3.95</v>
      </c>
      <c r="E424" s="2">
        <v>4.22</v>
      </c>
      <c r="F424" s="2">
        <v>4.42</v>
      </c>
      <c r="G424" s="2">
        <v>4.51</v>
      </c>
      <c r="H424" s="13">
        <v>3.8748664000000002</v>
      </c>
      <c r="I424" s="13">
        <v>3.4978951</v>
      </c>
      <c r="J424" s="13">
        <v>3.3164327</v>
      </c>
      <c r="K424" s="13">
        <v>3.2800685000000001</v>
      </c>
      <c r="L424" s="13">
        <v>3.3166152000000002</v>
      </c>
      <c r="M424" s="13">
        <v>3.3947091</v>
      </c>
    </row>
    <row r="425" spans="1:13" x14ac:dyDescent="0.25">
      <c r="A425" t="s">
        <v>489</v>
      </c>
      <c r="B425" s="2">
        <v>3.68</v>
      </c>
      <c r="C425" s="2">
        <v>3.75</v>
      </c>
      <c r="D425" s="2">
        <v>3.99</v>
      </c>
      <c r="E425" s="2">
        <v>4.26</v>
      </c>
      <c r="F425" s="2">
        <v>4.46</v>
      </c>
      <c r="G425" s="2">
        <v>4.55</v>
      </c>
      <c r="H425" s="13">
        <v>3.9006017000000002</v>
      </c>
      <c r="I425" s="13">
        <v>3.5378238999999998</v>
      </c>
      <c r="J425" s="13">
        <v>3.3719161</v>
      </c>
      <c r="K425" s="13">
        <v>3.3317899999999998</v>
      </c>
      <c r="L425" s="13">
        <v>3.3614516000000001</v>
      </c>
      <c r="M425" s="13">
        <v>3.4351851999999998</v>
      </c>
    </row>
    <row r="426" spans="1:13" x14ac:dyDescent="0.25">
      <c r="A426" t="s">
        <v>490</v>
      </c>
      <c r="B426" s="2">
        <v>3.65</v>
      </c>
      <c r="C426" s="2">
        <v>3.73</v>
      </c>
      <c r="D426" s="2">
        <v>3.95</v>
      </c>
      <c r="E426" s="2">
        <v>4.2300000000000004</v>
      </c>
      <c r="F426" s="2">
        <v>4.43</v>
      </c>
      <c r="G426" s="2">
        <v>4.5599999999999996</v>
      </c>
      <c r="H426" s="13">
        <v>3.8827202000000001</v>
      </c>
      <c r="I426" s="13">
        <v>3.4890957999999999</v>
      </c>
      <c r="J426" s="13">
        <v>3.3401768000000001</v>
      </c>
      <c r="K426" s="13">
        <v>3.3022184000000001</v>
      </c>
      <c r="L426" s="13">
        <v>3.3245806999999998</v>
      </c>
      <c r="M426" s="13">
        <v>3.3931125</v>
      </c>
    </row>
    <row r="427" spans="1:13" x14ac:dyDescent="0.25">
      <c r="A427" t="s">
        <v>491</v>
      </c>
      <c r="B427" s="2">
        <v>3.63</v>
      </c>
      <c r="C427" s="2">
        <v>3.71</v>
      </c>
      <c r="D427" s="2">
        <v>3.92</v>
      </c>
      <c r="E427" s="2">
        <v>4.2</v>
      </c>
      <c r="F427" s="2">
        <v>4.4000000000000004</v>
      </c>
      <c r="G427" s="2">
        <v>4.49</v>
      </c>
      <c r="H427" s="13">
        <v>3.8878056999999999</v>
      </c>
      <c r="I427" s="13">
        <v>3.5044483</v>
      </c>
      <c r="J427" s="13">
        <v>3.3171105000000001</v>
      </c>
      <c r="K427" s="13">
        <v>3.2495067</v>
      </c>
      <c r="L427" s="13">
        <v>3.2657579999999999</v>
      </c>
      <c r="M427" s="13">
        <v>3.3404639999999999</v>
      </c>
    </row>
    <row r="428" spans="1:13" x14ac:dyDescent="0.25">
      <c r="A428" t="s">
        <v>492</v>
      </c>
      <c r="B428" s="2">
        <v>3.61</v>
      </c>
      <c r="C428" s="2">
        <v>3.68</v>
      </c>
      <c r="D428" s="2">
        <v>3.89</v>
      </c>
      <c r="E428" s="2">
        <v>4.17</v>
      </c>
      <c r="F428" s="2">
        <v>4.37</v>
      </c>
      <c r="G428" s="2">
        <v>4.42</v>
      </c>
      <c r="H428" s="13">
        <v>3.8390996999999998</v>
      </c>
      <c r="I428" s="13">
        <v>3.4595584000000001</v>
      </c>
      <c r="J428" s="13">
        <v>3.2797418999999999</v>
      </c>
      <c r="K428" s="13">
        <v>3.2281236999999998</v>
      </c>
      <c r="L428" s="13">
        <v>3.2572473999999998</v>
      </c>
      <c r="M428" s="13">
        <v>3.3361318</v>
      </c>
    </row>
    <row r="429" spans="1:13" x14ac:dyDescent="0.25">
      <c r="A429" t="s">
        <v>493</v>
      </c>
      <c r="B429" s="2">
        <v>3.57</v>
      </c>
      <c r="C429" s="2">
        <v>3.63</v>
      </c>
      <c r="D429" s="2">
        <v>3.83</v>
      </c>
      <c r="E429" s="2">
        <v>4.12</v>
      </c>
      <c r="F429" s="2">
        <v>4.33</v>
      </c>
      <c r="G429" s="2">
        <v>4.38</v>
      </c>
      <c r="H429" s="13">
        <v>3.8150691999999999</v>
      </c>
      <c r="I429" s="13">
        <v>3.4311383000000002</v>
      </c>
      <c r="J429" s="13">
        <v>3.2357897000000002</v>
      </c>
      <c r="K429" s="13">
        <v>3.1861647</v>
      </c>
      <c r="L429" s="13">
        <v>3.2170173000000002</v>
      </c>
      <c r="M429" s="13">
        <v>3.2911728</v>
      </c>
    </row>
    <row r="430" spans="1:13" x14ac:dyDescent="0.25">
      <c r="A430" t="s">
        <v>494</v>
      </c>
      <c r="B430" s="2">
        <v>3.64</v>
      </c>
      <c r="C430" s="2">
        <v>3.72</v>
      </c>
      <c r="D430" s="2">
        <v>3.92</v>
      </c>
      <c r="E430" s="2">
        <v>4.1900000000000004</v>
      </c>
      <c r="F430" s="2">
        <v>4.3899999999999997</v>
      </c>
      <c r="G430" s="2">
        <v>4.43</v>
      </c>
      <c r="H430" s="13">
        <v>3.8898011000000001</v>
      </c>
      <c r="I430" s="13">
        <v>3.5076426000000001</v>
      </c>
      <c r="J430" s="13">
        <v>3.3405795</v>
      </c>
      <c r="K430" s="13">
        <v>3.2876413000000002</v>
      </c>
      <c r="L430" s="13">
        <v>3.3016082</v>
      </c>
      <c r="M430" s="13">
        <v>3.3609490000000002</v>
      </c>
    </row>
    <row r="431" spans="1:13" x14ac:dyDescent="0.25">
      <c r="A431" t="s">
        <v>495</v>
      </c>
      <c r="B431" s="2">
        <v>3.68</v>
      </c>
      <c r="C431" s="2">
        <v>3.73</v>
      </c>
      <c r="D431" s="2">
        <v>3.92</v>
      </c>
      <c r="E431" s="2">
        <v>4.18</v>
      </c>
      <c r="F431" s="2">
        <v>4.38</v>
      </c>
      <c r="G431" s="2">
        <v>4.4400000000000004</v>
      </c>
      <c r="H431" s="13">
        <v>3.9188521999999999</v>
      </c>
      <c r="I431" s="13">
        <v>3.5399441</v>
      </c>
      <c r="J431" s="13">
        <v>3.3618218</v>
      </c>
      <c r="K431" s="13">
        <v>3.2940515000000001</v>
      </c>
      <c r="L431" s="13">
        <v>3.2938603</v>
      </c>
      <c r="M431" s="13">
        <v>3.3457469999999998</v>
      </c>
    </row>
    <row r="432" spans="1:13" x14ac:dyDescent="0.25">
      <c r="A432" t="s">
        <v>496</v>
      </c>
      <c r="B432" s="2">
        <v>3.69</v>
      </c>
      <c r="C432" s="2">
        <v>3.74</v>
      </c>
      <c r="D432" s="2">
        <v>3.92</v>
      </c>
      <c r="E432" s="2">
        <v>4.17</v>
      </c>
      <c r="F432" s="2">
        <v>4.37</v>
      </c>
      <c r="G432" s="2">
        <v>4.42</v>
      </c>
      <c r="H432" s="13">
        <v>3.9224860000000001</v>
      </c>
      <c r="I432" s="13">
        <v>3.5697858999999998</v>
      </c>
      <c r="J432" s="13">
        <v>3.3637616000000001</v>
      </c>
      <c r="K432" s="13">
        <v>3.2739904000000002</v>
      </c>
      <c r="L432" s="13">
        <v>3.2752631000000001</v>
      </c>
      <c r="M432" s="13">
        <v>3.3390901999999998</v>
      </c>
    </row>
    <row r="433" spans="1:13" x14ac:dyDescent="0.25">
      <c r="A433" t="s">
        <v>497</v>
      </c>
      <c r="B433" s="2">
        <v>3.68</v>
      </c>
      <c r="C433" s="2">
        <v>3.74</v>
      </c>
      <c r="D433" s="2">
        <v>3.91</v>
      </c>
      <c r="E433" s="2">
        <v>4.16</v>
      </c>
      <c r="F433" s="2">
        <v>4.37</v>
      </c>
      <c r="G433" s="2">
        <v>4.43</v>
      </c>
      <c r="H433" s="13">
        <v>3.9093914999999999</v>
      </c>
      <c r="I433" s="13">
        <v>3.5549928999999998</v>
      </c>
      <c r="J433" s="13">
        <v>3.3561863000000001</v>
      </c>
      <c r="K433" s="13">
        <v>3.2814735000000002</v>
      </c>
      <c r="L433" s="13">
        <v>3.2901869000000001</v>
      </c>
      <c r="M433" s="13">
        <v>3.3523030999999999</v>
      </c>
    </row>
    <row r="434" spans="1:13" x14ac:dyDescent="0.25">
      <c r="A434" t="s">
        <v>498</v>
      </c>
      <c r="B434" s="2">
        <v>3.67</v>
      </c>
      <c r="C434" s="2">
        <v>3.7</v>
      </c>
      <c r="D434" s="2">
        <v>3.89</v>
      </c>
      <c r="E434" s="2">
        <v>4.1500000000000004</v>
      </c>
      <c r="F434" s="2">
        <v>4.3499999999999996</v>
      </c>
      <c r="G434" s="2">
        <v>4.4800000000000004</v>
      </c>
      <c r="H434" s="13">
        <v>3.8639720999999998</v>
      </c>
      <c r="I434" s="13">
        <v>3.5205901000000002</v>
      </c>
      <c r="J434" s="13">
        <v>3.3254526000000002</v>
      </c>
      <c r="K434" s="13">
        <v>3.2647963999999998</v>
      </c>
      <c r="L434" s="13">
        <v>3.2801680000000002</v>
      </c>
      <c r="M434" s="13">
        <v>3.3401437999999999</v>
      </c>
    </row>
    <row r="435" spans="1:13" x14ac:dyDescent="0.25">
      <c r="A435" t="s">
        <v>499</v>
      </c>
      <c r="B435" s="2">
        <v>3.73</v>
      </c>
      <c r="C435" s="2">
        <v>3.78</v>
      </c>
      <c r="D435" s="2">
        <v>3.96</v>
      </c>
      <c r="E435" s="2">
        <v>4.21</v>
      </c>
      <c r="F435" s="2">
        <v>4.42</v>
      </c>
      <c r="G435" s="2">
        <v>4.51</v>
      </c>
      <c r="H435" s="13">
        <v>3.8979219999999999</v>
      </c>
      <c r="I435" s="13">
        <v>3.5797851999999999</v>
      </c>
      <c r="J435" s="13">
        <v>3.4124916999999999</v>
      </c>
      <c r="K435" s="13">
        <v>3.3517899</v>
      </c>
      <c r="L435" s="13">
        <v>3.3562723000000001</v>
      </c>
      <c r="M435" s="13">
        <v>3.4097675999999999</v>
      </c>
    </row>
    <row r="436" spans="1:13" x14ac:dyDescent="0.25">
      <c r="A436" t="s">
        <v>500</v>
      </c>
      <c r="B436" s="2">
        <v>3.7</v>
      </c>
      <c r="C436" s="2">
        <v>3.74</v>
      </c>
      <c r="D436" s="2">
        <v>3.92</v>
      </c>
      <c r="E436" s="2">
        <v>4.17</v>
      </c>
      <c r="F436" s="2">
        <v>4.37</v>
      </c>
      <c r="G436" s="2">
        <v>4.43</v>
      </c>
      <c r="H436" s="13">
        <v>3.8533241</v>
      </c>
      <c r="I436" s="13">
        <v>3.5292582000000001</v>
      </c>
      <c r="J436" s="13">
        <v>3.3747286000000001</v>
      </c>
      <c r="K436" s="13">
        <v>3.3092730000000001</v>
      </c>
      <c r="L436" s="13">
        <v>3.3230577000000001</v>
      </c>
      <c r="M436" s="13">
        <v>3.3853037000000001</v>
      </c>
    </row>
    <row r="437" spans="1:13" x14ac:dyDescent="0.25">
      <c r="A437" t="s">
        <v>501</v>
      </c>
      <c r="B437" s="2">
        <v>4.08</v>
      </c>
      <c r="C437" s="2">
        <v>3.86</v>
      </c>
      <c r="D437" s="2">
        <v>3.94</v>
      </c>
      <c r="E437" s="2">
        <v>4.21</v>
      </c>
      <c r="F437" s="2">
        <v>4.38</v>
      </c>
      <c r="G437" s="2">
        <v>4.49</v>
      </c>
      <c r="H437" s="13" t="e">
        <v>#N/A</v>
      </c>
      <c r="I437" s="13" t="e">
        <v>#N/A</v>
      </c>
      <c r="J437" s="13" t="e">
        <v>#N/A</v>
      </c>
      <c r="K437" s="13" t="e">
        <v>#N/A</v>
      </c>
      <c r="L437" s="13" t="e">
        <v>#N/A</v>
      </c>
      <c r="M437" s="13" t="e">
        <v>#N/A</v>
      </c>
    </row>
    <row r="438" spans="1:13" x14ac:dyDescent="0.25">
      <c r="A438" t="s">
        <v>502</v>
      </c>
      <c r="B438" s="2">
        <v>4.0999999999999996</v>
      </c>
      <c r="C438" s="2">
        <v>3.9</v>
      </c>
      <c r="D438" s="2">
        <v>3.99</v>
      </c>
      <c r="E438" s="2">
        <v>4.26</v>
      </c>
      <c r="F438" s="2">
        <v>4.43</v>
      </c>
      <c r="G438" s="2">
        <v>4.47</v>
      </c>
      <c r="H438" s="13">
        <v>3.8910960999999999</v>
      </c>
      <c r="I438" s="13">
        <v>3.6109220999999998</v>
      </c>
      <c r="J438" s="13">
        <v>3.4351204000000002</v>
      </c>
      <c r="K438" s="13">
        <v>3.357154</v>
      </c>
      <c r="L438" s="13">
        <v>3.3618036999999998</v>
      </c>
      <c r="M438" s="13">
        <v>3.422161</v>
      </c>
    </row>
    <row r="439" spans="1:13" x14ac:dyDescent="0.25">
      <c r="A439" t="s">
        <v>503</v>
      </c>
      <c r="B439" s="2">
        <v>4.13</v>
      </c>
      <c r="C439" s="2">
        <v>3.92</v>
      </c>
      <c r="D439" s="2">
        <v>4.01</v>
      </c>
      <c r="E439" s="2">
        <v>4.28</v>
      </c>
      <c r="F439" s="2">
        <v>4.45</v>
      </c>
      <c r="G439" s="2">
        <v>4.4800000000000004</v>
      </c>
      <c r="H439" s="13">
        <v>3.9020871000000001</v>
      </c>
      <c r="I439" s="13">
        <v>3.5665906999999999</v>
      </c>
      <c r="J439" s="13">
        <v>3.4377678</v>
      </c>
      <c r="K439" s="13">
        <v>3.3928859</v>
      </c>
      <c r="L439" s="13">
        <v>3.3977020000000002</v>
      </c>
      <c r="M439" s="13">
        <v>3.4479856999999998</v>
      </c>
    </row>
    <row r="440" spans="1:13" x14ac:dyDescent="0.25">
      <c r="A440" t="s">
        <v>504</v>
      </c>
      <c r="B440" s="2">
        <v>4.12</v>
      </c>
      <c r="C440" s="2">
        <v>3.92</v>
      </c>
      <c r="D440" s="2">
        <v>4.0199999999999996</v>
      </c>
      <c r="E440" s="2">
        <v>4.29</v>
      </c>
      <c r="F440" s="2">
        <v>4.47</v>
      </c>
      <c r="G440" s="2">
        <v>4.54</v>
      </c>
      <c r="H440" s="13">
        <v>3.8634857</v>
      </c>
      <c r="I440" s="13">
        <v>3.5772702999999999</v>
      </c>
      <c r="J440" s="13">
        <v>3.4625303999999999</v>
      </c>
      <c r="K440" s="13">
        <v>3.4069611000000002</v>
      </c>
      <c r="L440" s="13">
        <v>3.4026814000000001</v>
      </c>
      <c r="M440" s="13">
        <v>3.4496973999999998</v>
      </c>
    </row>
    <row r="441" spans="1:13" x14ac:dyDescent="0.25">
      <c r="A441" t="s">
        <v>505</v>
      </c>
      <c r="B441" s="2">
        <v>4.13</v>
      </c>
      <c r="C441" s="2">
        <v>3.92</v>
      </c>
      <c r="D441" s="2">
        <v>4.03</v>
      </c>
      <c r="E441" s="2">
        <v>4.29</v>
      </c>
      <c r="F441" s="2">
        <v>4.47</v>
      </c>
      <c r="G441" s="2">
        <v>4.4800000000000004</v>
      </c>
      <c r="H441" s="13">
        <v>3.8850392999999999</v>
      </c>
      <c r="I441" s="13">
        <v>3.5920264</v>
      </c>
      <c r="J441" s="13">
        <v>3.4600501000000001</v>
      </c>
      <c r="K441" s="13">
        <v>3.3945325</v>
      </c>
      <c r="L441" s="13">
        <v>3.3939281000000001</v>
      </c>
      <c r="M441" s="13">
        <v>3.4499439000000001</v>
      </c>
    </row>
    <row r="442" spans="1:13" x14ac:dyDescent="0.25">
      <c r="A442" t="s">
        <v>506</v>
      </c>
      <c r="B442" s="2">
        <v>4.13</v>
      </c>
      <c r="C442" s="2">
        <v>3.93</v>
      </c>
      <c r="D442" s="2">
        <v>4.0599999999999996</v>
      </c>
      <c r="E442" s="2">
        <v>4.32</v>
      </c>
      <c r="F442" s="2">
        <v>4.5</v>
      </c>
      <c r="G442" s="2">
        <v>4.55</v>
      </c>
      <c r="H442" s="13">
        <v>3.8812505000000002</v>
      </c>
      <c r="I442" s="13">
        <v>3.6021296999999999</v>
      </c>
      <c r="J442" s="13">
        <v>3.4740902</v>
      </c>
      <c r="K442" s="13">
        <v>3.4126059</v>
      </c>
      <c r="L442" s="13">
        <v>3.4158488999999999</v>
      </c>
      <c r="M442" s="13">
        <v>3.4754961999999998</v>
      </c>
    </row>
    <row r="443" spans="1:13" x14ac:dyDescent="0.25">
      <c r="A443" t="s">
        <v>507</v>
      </c>
      <c r="B443" s="2">
        <v>4.09</v>
      </c>
      <c r="C443" s="2">
        <v>3.89</v>
      </c>
      <c r="D443" s="2">
        <v>3.99</v>
      </c>
      <c r="E443" s="2">
        <v>4.26</v>
      </c>
      <c r="F443" s="2">
        <v>4.45</v>
      </c>
      <c r="G443" s="2">
        <v>4.51</v>
      </c>
      <c r="H443" s="13">
        <v>3.8549785999999999</v>
      </c>
      <c r="I443" s="13">
        <v>3.5529351999999998</v>
      </c>
      <c r="J443" s="13">
        <v>3.4157647</v>
      </c>
      <c r="K443" s="13">
        <v>3.3528500000000001</v>
      </c>
      <c r="L443" s="13">
        <v>3.3564151</v>
      </c>
      <c r="M443" s="13">
        <v>3.4168547</v>
      </c>
    </row>
    <row r="444" spans="1:13" x14ac:dyDescent="0.25">
      <c r="A444" t="s">
        <v>508</v>
      </c>
      <c r="B444" s="2">
        <v>4.03</v>
      </c>
      <c r="C444" s="2">
        <v>3.82</v>
      </c>
      <c r="D444" s="2">
        <v>3.93</v>
      </c>
      <c r="E444" s="2">
        <v>4.21</v>
      </c>
      <c r="F444" s="2">
        <v>4.4000000000000004</v>
      </c>
      <c r="G444" s="2">
        <v>4.45</v>
      </c>
      <c r="H444" s="13">
        <v>3.7847822</v>
      </c>
      <c r="I444" s="13">
        <v>3.4843853</v>
      </c>
      <c r="J444" s="13">
        <v>3.3452036999999999</v>
      </c>
      <c r="K444" s="13">
        <v>3.2866141999999998</v>
      </c>
      <c r="L444" s="13">
        <v>3.2996294000000002</v>
      </c>
      <c r="M444" s="13">
        <v>3.3657764000000001</v>
      </c>
    </row>
    <row r="445" spans="1:13" x14ac:dyDescent="0.25">
      <c r="A445" t="s">
        <v>509</v>
      </c>
      <c r="B445" s="2">
        <v>4</v>
      </c>
      <c r="C445" s="2">
        <v>3.81</v>
      </c>
      <c r="D445" s="2">
        <v>3.91</v>
      </c>
      <c r="E445" s="2">
        <v>4.1900000000000004</v>
      </c>
      <c r="F445" s="2">
        <v>4.37</v>
      </c>
      <c r="G445" s="2">
        <v>4.4400000000000004</v>
      </c>
      <c r="H445" s="13">
        <v>3.7437768999999999</v>
      </c>
      <c r="I445" s="13">
        <v>3.4404229000000002</v>
      </c>
      <c r="J445" s="13">
        <v>3.3212012</v>
      </c>
      <c r="K445" s="13">
        <v>3.2776317000000001</v>
      </c>
      <c r="L445" s="13">
        <v>3.2903213999999998</v>
      </c>
      <c r="M445" s="13">
        <v>3.3513044999999999</v>
      </c>
    </row>
    <row r="446" spans="1:13" x14ac:dyDescent="0.25">
      <c r="A446" t="s">
        <v>510</v>
      </c>
      <c r="B446" s="2">
        <v>3.99</v>
      </c>
      <c r="C446" s="2">
        <v>3.8</v>
      </c>
      <c r="D446" s="2">
        <v>3.92</v>
      </c>
      <c r="E446" s="2">
        <v>4.2</v>
      </c>
      <c r="F446" s="2">
        <v>4.3899999999999997</v>
      </c>
      <c r="G446" s="2">
        <v>4.42</v>
      </c>
      <c r="H446" s="13">
        <v>3.7129110000000001</v>
      </c>
      <c r="I446" s="13">
        <v>3.4296193000000001</v>
      </c>
      <c r="J446" s="13">
        <v>3.3294260000000002</v>
      </c>
      <c r="K446" s="13">
        <v>3.2863668000000001</v>
      </c>
      <c r="L446" s="13">
        <v>3.2990986000000002</v>
      </c>
      <c r="M446" s="13">
        <v>3.3588111</v>
      </c>
    </row>
    <row r="447" spans="1:13" x14ac:dyDescent="0.25">
      <c r="A447" t="s">
        <v>511</v>
      </c>
      <c r="B447" s="2">
        <v>3.89</v>
      </c>
      <c r="C447" s="2">
        <v>3.72</v>
      </c>
      <c r="D447" s="2">
        <v>3.86</v>
      </c>
      <c r="E447" s="2">
        <v>4.1500000000000004</v>
      </c>
      <c r="F447" s="2">
        <v>4.3499999999999996</v>
      </c>
      <c r="G447" s="2">
        <v>4.43</v>
      </c>
      <c r="H447" s="13">
        <v>3.5741923</v>
      </c>
      <c r="I447" s="13">
        <v>3.3231989999999998</v>
      </c>
      <c r="J447" s="13">
        <v>3.2605797999999999</v>
      </c>
      <c r="K447" s="13">
        <v>3.2340624</v>
      </c>
      <c r="L447" s="13">
        <v>3.2514645999999998</v>
      </c>
      <c r="M447" s="13">
        <v>3.3168725999999999</v>
      </c>
    </row>
    <row r="448" spans="1:13" x14ac:dyDescent="0.25">
      <c r="A448" t="s">
        <v>512</v>
      </c>
      <c r="B448" s="2">
        <v>3.87</v>
      </c>
      <c r="C448" s="2">
        <v>3.69</v>
      </c>
      <c r="D448" s="2">
        <v>3.83</v>
      </c>
      <c r="E448" s="2">
        <v>4.13</v>
      </c>
      <c r="F448" s="2">
        <v>4.33</v>
      </c>
      <c r="G448" s="2">
        <v>4.4000000000000004</v>
      </c>
      <c r="H448" s="13">
        <v>3.5564258999999998</v>
      </c>
      <c r="I448" s="13">
        <v>3.2930793999999999</v>
      </c>
      <c r="J448" s="13">
        <v>3.2252500999999998</v>
      </c>
      <c r="K448" s="13">
        <v>3.2004413999999999</v>
      </c>
      <c r="L448" s="13">
        <v>3.2203563000000002</v>
      </c>
      <c r="M448" s="13">
        <v>3.2882552</v>
      </c>
    </row>
    <row r="449" spans="1:13" x14ac:dyDescent="0.25">
      <c r="A449" t="s">
        <v>513</v>
      </c>
      <c r="B449" s="2">
        <v>3.8</v>
      </c>
      <c r="C449" s="2">
        <v>3.62</v>
      </c>
      <c r="D449" s="2">
        <v>3.77</v>
      </c>
      <c r="E449" s="2">
        <v>4.07</v>
      </c>
      <c r="F449" s="2">
        <v>4.29</v>
      </c>
      <c r="G449" s="2">
        <v>4.34</v>
      </c>
      <c r="H449" s="13">
        <v>3.4727622</v>
      </c>
      <c r="I449" s="13">
        <v>3.2105214000000002</v>
      </c>
      <c r="J449" s="13">
        <v>3.1367867999999999</v>
      </c>
      <c r="K449" s="13">
        <v>3.1215617</v>
      </c>
      <c r="L449" s="13">
        <v>3.1628845999999999</v>
      </c>
      <c r="M449" s="13">
        <v>3.2477642000000002</v>
      </c>
    </row>
    <row r="450" spans="1:13" x14ac:dyDescent="0.25">
      <c r="A450" t="s">
        <v>514</v>
      </c>
      <c r="B450" s="2">
        <v>3.83</v>
      </c>
      <c r="C450" s="2">
        <v>3.65</v>
      </c>
      <c r="D450" s="2">
        <v>3.79</v>
      </c>
      <c r="E450" s="2">
        <v>4.08</v>
      </c>
      <c r="F450" s="2">
        <v>4.3</v>
      </c>
      <c r="G450" s="2">
        <v>4.34</v>
      </c>
      <c r="H450" s="13">
        <v>3.5445867999999998</v>
      </c>
      <c r="I450" s="13">
        <v>3.2412985999999999</v>
      </c>
      <c r="J450" s="13">
        <v>3.1531794</v>
      </c>
      <c r="K450" s="13">
        <v>3.1382115000000002</v>
      </c>
      <c r="L450" s="13">
        <v>3.1740621</v>
      </c>
      <c r="M450" s="13">
        <v>3.2514286999999999</v>
      </c>
    </row>
    <row r="451" spans="1:13" x14ac:dyDescent="0.25">
      <c r="A451" t="s">
        <v>515</v>
      </c>
      <c r="B451" s="2">
        <v>3.8</v>
      </c>
      <c r="C451" s="2">
        <v>3.62</v>
      </c>
      <c r="D451" s="2">
        <v>3.76</v>
      </c>
      <c r="E451" s="2">
        <v>4.05</v>
      </c>
      <c r="F451" s="2">
        <v>4.2699999999999996</v>
      </c>
      <c r="G451" s="2">
        <v>4.3600000000000003</v>
      </c>
      <c r="H451" s="13">
        <v>3.4375651999999999</v>
      </c>
      <c r="I451" s="13">
        <v>3.192949</v>
      </c>
      <c r="J451" s="13">
        <v>3.1380523</v>
      </c>
      <c r="K451" s="13">
        <v>3.1261964</v>
      </c>
      <c r="L451" s="13">
        <v>3.1605444</v>
      </c>
      <c r="M451" s="13">
        <v>3.2352957999999998</v>
      </c>
    </row>
    <row r="452" spans="1:13" x14ac:dyDescent="0.25">
      <c r="A452" t="s">
        <v>516</v>
      </c>
      <c r="B452" s="2">
        <v>3.79</v>
      </c>
      <c r="C452" s="2">
        <v>3.61</v>
      </c>
      <c r="D452" s="2">
        <v>3.76</v>
      </c>
      <c r="E452" s="2">
        <v>4.05</v>
      </c>
      <c r="F452" s="2">
        <v>4.26</v>
      </c>
      <c r="G452" s="2">
        <v>4.34</v>
      </c>
      <c r="H452" s="13">
        <v>3.3967177</v>
      </c>
      <c r="I452" s="13">
        <v>3.1893685999999999</v>
      </c>
      <c r="J452" s="13">
        <v>3.1467507000000001</v>
      </c>
      <c r="K452" s="13">
        <v>3.1293122000000002</v>
      </c>
      <c r="L452" s="13">
        <v>3.1539537000000002</v>
      </c>
      <c r="M452" s="13">
        <v>3.2242017999999999</v>
      </c>
    </row>
    <row r="453" spans="1:13" x14ac:dyDescent="0.25">
      <c r="A453" t="s">
        <v>517</v>
      </c>
      <c r="B453" s="2">
        <v>3.83</v>
      </c>
      <c r="C453" s="2">
        <v>3.64</v>
      </c>
      <c r="D453" s="2">
        <v>3.77</v>
      </c>
      <c r="E453" s="2">
        <v>4.0599999999999996</v>
      </c>
      <c r="F453" s="2">
        <v>4.2699999999999996</v>
      </c>
      <c r="G453" s="2">
        <v>4.37</v>
      </c>
      <c r="H453" s="13">
        <v>3.4590920000000001</v>
      </c>
      <c r="I453" s="13">
        <v>3.2446399000000001</v>
      </c>
      <c r="J453" s="13">
        <v>3.1741038000000001</v>
      </c>
      <c r="K453" s="13">
        <v>3.1431634000000002</v>
      </c>
      <c r="L453" s="13">
        <v>3.1613190000000002</v>
      </c>
      <c r="M453" s="13">
        <v>3.2281564999999999</v>
      </c>
    </row>
    <row r="454" spans="1:13" x14ac:dyDescent="0.25">
      <c r="A454" t="s">
        <v>518</v>
      </c>
      <c r="B454" s="2">
        <v>3.9</v>
      </c>
      <c r="C454" s="2">
        <v>3.71</v>
      </c>
      <c r="D454" s="2">
        <v>3.84</v>
      </c>
      <c r="E454" s="2">
        <v>4.13</v>
      </c>
      <c r="F454" s="2">
        <v>4.33</v>
      </c>
      <c r="G454" s="2">
        <v>4.4000000000000004</v>
      </c>
      <c r="H454" s="13">
        <v>3.5578791999999999</v>
      </c>
      <c r="I454" s="13">
        <v>3.3269434000000002</v>
      </c>
      <c r="J454" s="13">
        <v>3.2383549999999999</v>
      </c>
      <c r="K454" s="13">
        <v>3.2016300000000002</v>
      </c>
      <c r="L454" s="13">
        <v>3.2208035000000002</v>
      </c>
      <c r="M454" s="13">
        <v>3.2864504999999999</v>
      </c>
    </row>
    <row r="455" spans="1:13" x14ac:dyDescent="0.25">
      <c r="A455" t="s">
        <v>519</v>
      </c>
      <c r="B455" s="2">
        <v>3.92</v>
      </c>
      <c r="C455" s="2">
        <v>3.75</v>
      </c>
      <c r="D455" s="2">
        <v>3.89</v>
      </c>
      <c r="E455" s="2">
        <v>4.18</v>
      </c>
      <c r="F455" s="2">
        <v>4.3899999999999997</v>
      </c>
      <c r="G455" s="2">
        <v>4.49</v>
      </c>
      <c r="H455" s="13">
        <v>3.5668069999999998</v>
      </c>
      <c r="I455" s="13">
        <v>3.3396849999999998</v>
      </c>
      <c r="J455" s="13">
        <v>3.2811317999999998</v>
      </c>
      <c r="K455" s="13">
        <v>3.2661742999999999</v>
      </c>
      <c r="L455" s="13">
        <v>3.2946407999999998</v>
      </c>
      <c r="M455" s="13">
        <v>3.3641589999999999</v>
      </c>
    </row>
    <row r="456" spans="1:13" x14ac:dyDescent="0.25">
      <c r="A456" t="s">
        <v>520</v>
      </c>
      <c r="B456" s="2">
        <v>3.92</v>
      </c>
      <c r="C456" s="2">
        <v>3.74</v>
      </c>
      <c r="D456" s="2">
        <v>3.9</v>
      </c>
      <c r="E456" s="2">
        <v>4.2</v>
      </c>
      <c r="F456" s="2">
        <v>4.3899999999999997</v>
      </c>
      <c r="G456" s="2">
        <v>4.43</v>
      </c>
      <c r="H456" s="13">
        <v>3.5283582</v>
      </c>
      <c r="I456" s="13">
        <v>3.2935042999999999</v>
      </c>
      <c r="J456" s="13">
        <v>3.2750713</v>
      </c>
      <c r="K456" s="13">
        <v>3.2812801</v>
      </c>
      <c r="L456" s="13">
        <v>3.3121969</v>
      </c>
      <c r="M456" s="13">
        <v>3.3741384999999999</v>
      </c>
    </row>
    <row r="457" spans="1:13" x14ac:dyDescent="0.25">
      <c r="A457" t="s">
        <v>521</v>
      </c>
      <c r="B457" s="2">
        <v>3.91</v>
      </c>
      <c r="C457" s="2">
        <v>3.75</v>
      </c>
      <c r="D457" s="2">
        <v>3.92</v>
      </c>
      <c r="E457" s="2">
        <v>4.22</v>
      </c>
      <c r="F457" s="2">
        <v>4.45</v>
      </c>
      <c r="G457" s="2">
        <v>4.46</v>
      </c>
      <c r="H457" s="13">
        <v>3.5133606999999998</v>
      </c>
      <c r="I457" s="13">
        <v>3.3448041000000002</v>
      </c>
      <c r="J457" s="13">
        <v>3.3174754000000002</v>
      </c>
      <c r="K457" s="13">
        <v>3.2991964999999999</v>
      </c>
      <c r="L457" s="13">
        <v>3.3195405</v>
      </c>
      <c r="M457" s="13">
        <v>3.3846232000000001</v>
      </c>
    </row>
    <row r="458" spans="1:13" x14ac:dyDescent="0.25">
      <c r="A458" t="s">
        <v>522</v>
      </c>
      <c r="B458" s="2">
        <v>3.91</v>
      </c>
      <c r="C458" s="2">
        <v>3.76</v>
      </c>
      <c r="D458" s="2">
        <v>3.93</v>
      </c>
      <c r="E458" s="2">
        <v>4.2300000000000004</v>
      </c>
      <c r="F458" s="2">
        <v>4.43</v>
      </c>
      <c r="G458" s="2">
        <v>4.5</v>
      </c>
      <c r="H458" s="13">
        <v>3.4985018999999999</v>
      </c>
      <c r="I458" s="13">
        <v>3.3356260999999998</v>
      </c>
      <c r="J458" s="13">
        <v>3.3238379999999998</v>
      </c>
      <c r="K458" s="13">
        <v>3.3178789000000002</v>
      </c>
      <c r="L458" s="13">
        <v>3.3426293</v>
      </c>
      <c r="M458" s="13">
        <v>3.4087046000000001</v>
      </c>
    </row>
    <row r="459" spans="1:13" x14ac:dyDescent="0.25">
      <c r="A459" t="s">
        <v>523</v>
      </c>
      <c r="B459" s="2">
        <v>3.97</v>
      </c>
      <c r="C459" s="2">
        <v>3.84</v>
      </c>
      <c r="D459" s="2">
        <v>3.99</v>
      </c>
      <c r="E459" s="2">
        <v>4.3</v>
      </c>
      <c r="F459" s="2">
        <v>4.51</v>
      </c>
      <c r="G459" s="2">
        <v>4.57</v>
      </c>
      <c r="H459" s="13">
        <v>3.5624449999999999</v>
      </c>
      <c r="I459" s="13">
        <v>3.4208462000000002</v>
      </c>
      <c r="J459" s="13">
        <v>3.3940043000000002</v>
      </c>
      <c r="K459" s="13">
        <v>3.3760414999999999</v>
      </c>
      <c r="L459" s="13">
        <v>3.3993346</v>
      </c>
      <c r="M459" s="13">
        <v>3.4644973000000001</v>
      </c>
    </row>
    <row r="460" spans="1:13" x14ac:dyDescent="0.25">
      <c r="A460" t="s">
        <v>524</v>
      </c>
      <c r="B460" s="2">
        <v>3.97</v>
      </c>
      <c r="C460" s="2">
        <v>3.86</v>
      </c>
      <c r="D460" s="2">
        <v>4.0199999999999996</v>
      </c>
      <c r="E460" s="2">
        <v>4.32</v>
      </c>
      <c r="F460" s="2">
        <v>4.53</v>
      </c>
      <c r="G460" s="2">
        <v>4.63</v>
      </c>
      <c r="H460" s="13">
        <v>3.6020292999999999</v>
      </c>
      <c r="I460" s="13">
        <v>3.4322259000000002</v>
      </c>
      <c r="J460" s="13">
        <v>3.3897865999999999</v>
      </c>
      <c r="K460" s="13">
        <v>3.3906136999999998</v>
      </c>
      <c r="L460" s="13">
        <v>3.4306418000000001</v>
      </c>
      <c r="M460" s="13">
        <v>3.4990011000000001</v>
      </c>
    </row>
    <row r="461" spans="1:13" x14ac:dyDescent="0.25">
      <c r="A461" t="s">
        <v>525</v>
      </c>
      <c r="B461" s="2">
        <v>3.95</v>
      </c>
      <c r="C461" s="2">
        <v>3.82</v>
      </c>
      <c r="D461" s="2">
        <v>3.97</v>
      </c>
      <c r="E461" s="2">
        <v>4.29</v>
      </c>
      <c r="F461" s="2">
        <v>4.49</v>
      </c>
      <c r="G461" s="2">
        <v>4.59</v>
      </c>
      <c r="H461" s="13">
        <v>3.5191707999999999</v>
      </c>
      <c r="I461" s="13">
        <v>3.3594078000000001</v>
      </c>
      <c r="J461" s="13">
        <v>3.3507756</v>
      </c>
      <c r="K461" s="13">
        <v>3.3570842999999999</v>
      </c>
      <c r="L461" s="13">
        <v>3.3937928999999998</v>
      </c>
      <c r="M461" s="13">
        <v>3.4610303999999998</v>
      </c>
    </row>
    <row r="462" spans="1:13" x14ac:dyDescent="0.25">
      <c r="A462" t="s">
        <v>526</v>
      </c>
      <c r="B462" s="2">
        <v>3.97</v>
      </c>
      <c r="C462" s="2">
        <v>3.85</v>
      </c>
      <c r="D462" s="2">
        <v>4</v>
      </c>
      <c r="E462" s="2">
        <v>4.3</v>
      </c>
      <c r="F462" s="2">
        <v>4.5199999999999996</v>
      </c>
      <c r="G462" s="2">
        <v>4.54</v>
      </c>
      <c r="H462" s="13">
        <v>3.5916895000000002</v>
      </c>
      <c r="I462" s="13">
        <v>3.4339455000000001</v>
      </c>
      <c r="J462" s="13">
        <v>3.3861859000000001</v>
      </c>
      <c r="K462" s="13">
        <v>3.3562965</v>
      </c>
      <c r="L462" s="13">
        <v>3.3721885999999999</v>
      </c>
      <c r="M462" s="13">
        <v>3.438564</v>
      </c>
    </row>
    <row r="463" spans="1:13" x14ac:dyDescent="0.25">
      <c r="A463" t="s">
        <v>527</v>
      </c>
      <c r="B463" s="2">
        <v>3.95</v>
      </c>
      <c r="C463" s="2">
        <v>3.81</v>
      </c>
      <c r="D463" s="2">
        <v>3.94</v>
      </c>
      <c r="E463" s="2">
        <v>4.24</v>
      </c>
      <c r="F463" s="2">
        <v>4.4400000000000004</v>
      </c>
      <c r="G463" s="2">
        <v>4.54</v>
      </c>
      <c r="H463" s="13">
        <v>3.5812846999999999</v>
      </c>
      <c r="I463" s="13">
        <v>3.3872803</v>
      </c>
      <c r="J463" s="13">
        <v>3.3330563999999998</v>
      </c>
      <c r="K463" s="13">
        <v>3.3066696000000002</v>
      </c>
      <c r="L463" s="13">
        <v>3.3226512000000001</v>
      </c>
      <c r="M463" s="13">
        <v>3.3844794</v>
      </c>
    </row>
    <row r="464" spans="1:13" x14ac:dyDescent="0.25">
      <c r="A464" t="s">
        <v>528</v>
      </c>
      <c r="B464" s="2">
        <v>4.03</v>
      </c>
      <c r="C464" s="2">
        <v>3.91</v>
      </c>
      <c r="D464" s="2">
        <v>4.04</v>
      </c>
      <c r="E464" s="2">
        <v>4.33</v>
      </c>
      <c r="F464" s="2">
        <v>4.53</v>
      </c>
      <c r="G464" s="2">
        <v>4.59</v>
      </c>
      <c r="H464" s="13">
        <v>3.6383087000000001</v>
      </c>
      <c r="I464" s="13">
        <v>3.4773684</v>
      </c>
      <c r="J464" s="13">
        <v>3.4273185000000002</v>
      </c>
      <c r="K464" s="13">
        <v>3.4036919999999999</v>
      </c>
      <c r="L464" s="13">
        <v>3.4255548999999998</v>
      </c>
      <c r="M464" s="13">
        <v>3.4883093000000001</v>
      </c>
    </row>
    <row r="465" spans="1:13" x14ac:dyDescent="0.25">
      <c r="A465" t="s">
        <v>529</v>
      </c>
      <c r="B465" s="2">
        <v>3.98</v>
      </c>
      <c r="C465" s="2">
        <v>3.87</v>
      </c>
      <c r="D465" s="2">
        <v>4.0199999999999996</v>
      </c>
      <c r="E465" s="2">
        <v>4.3099999999999996</v>
      </c>
      <c r="F465" s="2">
        <v>4.53</v>
      </c>
      <c r="G465" s="2">
        <v>4.57</v>
      </c>
      <c r="H465" s="13">
        <v>3.5828503</v>
      </c>
      <c r="I465" s="13">
        <v>3.4193557000000001</v>
      </c>
      <c r="J465" s="13">
        <v>3.3820548000000001</v>
      </c>
      <c r="K465" s="13">
        <v>3.3983525999999999</v>
      </c>
      <c r="L465" s="13">
        <v>3.4388605999999999</v>
      </c>
      <c r="M465" s="13">
        <v>3.5034926999999998</v>
      </c>
    </row>
    <row r="466" spans="1:13" x14ac:dyDescent="0.25">
      <c r="A466" t="s">
        <v>530</v>
      </c>
      <c r="B466" s="2">
        <v>4.1399999999999997</v>
      </c>
      <c r="C466" s="2">
        <v>4.03</v>
      </c>
      <c r="D466" s="2">
        <v>4.1399999999999997</v>
      </c>
      <c r="E466" s="2">
        <v>4.43</v>
      </c>
      <c r="F466" s="2">
        <v>4.62</v>
      </c>
      <c r="G466" s="2">
        <v>4.6900000000000004</v>
      </c>
      <c r="H466" s="13">
        <v>3.8325461000000001</v>
      </c>
      <c r="I466" s="13">
        <v>3.6475409000000001</v>
      </c>
      <c r="J466" s="13">
        <v>3.5655985000000001</v>
      </c>
      <c r="K466" s="13">
        <v>3.5277478000000002</v>
      </c>
      <c r="L466" s="13">
        <v>3.5303041999999998</v>
      </c>
      <c r="M466" s="13">
        <v>3.5738514000000001</v>
      </c>
    </row>
    <row r="467" spans="1:13" x14ac:dyDescent="0.25">
      <c r="A467" t="s">
        <v>531</v>
      </c>
      <c r="B467" s="2">
        <v>4.22</v>
      </c>
      <c r="C467" s="2">
        <v>4.0999999999999996</v>
      </c>
      <c r="D467" s="2">
        <v>4.2</v>
      </c>
      <c r="E467" s="2">
        <v>4.46</v>
      </c>
      <c r="F467" s="2">
        <v>4.68</v>
      </c>
      <c r="G467" s="2">
        <v>4.7</v>
      </c>
      <c r="H467" s="13">
        <v>3.8937278000000002</v>
      </c>
      <c r="I467" s="13">
        <v>3.7526790000000001</v>
      </c>
      <c r="J467" s="13">
        <v>3.6568664000000002</v>
      </c>
      <c r="K467" s="13">
        <v>3.5942023000000001</v>
      </c>
      <c r="L467" s="13">
        <v>3.5847604999999998</v>
      </c>
      <c r="M467" s="13">
        <v>3.6288187999999999</v>
      </c>
    </row>
    <row r="468" spans="1:13" x14ac:dyDescent="0.25">
      <c r="A468" t="s">
        <v>538</v>
      </c>
      <c r="B468" s="2">
        <v>4.1900000000000004</v>
      </c>
      <c r="C468" s="2">
        <v>4.07</v>
      </c>
      <c r="D468" s="2">
        <v>4.18</v>
      </c>
      <c r="E468" s="2">
        <v>4.46</v>
      </c>
      <c r="F468" s="2">
        <v>4.6500000000000004</v>
      </c>
      <c r="G468" s="2">
        <v>4.72</v>
      </c>
      <c r="H468" s="13">
        <v>3.8390038</v>
      </c>
      <c r="I468" s="13">
        <v>3.7123157999999998</v>
      </c>
      <c r="J468" s="13">
        <v>3.6300576000000002</v>
      </c>
      <c r="K468" s="13">
        <v>3.5772694999999999</v>
      </c>
      <c r="L468" s="13">
        <v>3.5762143000000002</v>
      </c>
      <c r="M468" s="13">
        <v>3.6253182000000002</v>
      </c>
    </row>
    <row r="469" spans="1:13" x14ac:dyDescent="0.25">
      <c r="A469" t="s">
        <v>539</v>
      </c>
      <c r="B469" s="2" t="e">
        <v>#N/A</v>
      </c>
      <c r="C469" s="2" t="e">
        <v>#N/A</v>
      </c>
      <c r="D469" s="2" t="e">
        <v>#N/A</v>
      </c>
      <c r="E469" s="2" t="e">
        <v>#N/A</v>
      </c>
      <c r="F469" s="2" t="e">
        <v>#N/A</v>
      </c>
      <c r="G469" s="2" t="e">
        <v>#N/A</v>
      </c>
      <c r="H469" s="13">
        <v>3.8759174000000001</v>
      </c>
      <c r="I469" s="13">
        <v>3.7336005000000001</v>
      </c>
      <c r="J469" s="13">
        <v>3.6279824000000001</v>
      </c>
      <c r="K469" s="13">
        <v>3.5754090999999999</v>
      </c>
      <c r="L469" s="13">
        <v>3.5844524999999998</v>
      </c>
      <c r="M469" s="13">
        <v>3.6370646999999998</v>
      </c>
    </row>
    <row r="470" spans="1:13" x14ac:dyDescent="0.25">
      <c r="A470" t="s">
        <v>540</v>
      </c>
      <c r="B470" s="2">
        <v>4.2</v>
      </c>
      <c r="C470" s="2">
        <v>4.09</v>
      </c>
      <c r="D470" s="2">
        <v>4.22</v>
      </c>
      <c r="E470" s="2">
        <v>4.5</v>
      </c>
      <c r="F470" s="2">
        <v>4.7</v>
      </c>
      <c r="G470" s="2">
        <v>4.79</v>
      </c>
      <c r="H470" s="13">
        <v>3.8344143000000002</v>
      </c>
      <c r="I470" s="13">
        <v>3.7075136</v>
      </c>
      <c r="J470" s="13">
        <v>3.6303076999999999</v>
      </c>
      <c r="K470" s="13">
        <v>3.6084418</v>
      </c>
      <c r="L470" s="13">
        <v>3.6350251999999998</v>
      </c>
      <c r="M470" s="13">
        <v>3.6971607</v>
      </c>
    </row>
    <row r="471" spans="1:13" x14ac:dyDescent="0.25">
      <c r="A471" t="s">
        <v>541</v>
      </c>
      <c r="B471" s="2">
        <v>4.16</v>
      </c>
      <c r="C471" s="2">
        <v>4.07</v>
      </c>
      <c r="D471" s="2">
        <v>4.2</v>
      </c>
      <c r="E471" s="2">
        <v>4.49</v>
      </c>
      <c r="F471" s="2">
        <v>4.7</v>
      </c>
      <c r="G471" s="2">
        <v>4.7</v>
      </c>
      <c r="H471" s="13">
        <v>3.7861741000000002</v>
      </c>
      <c r="I471" s="13">
        <v>3.6249636999999999</v>
      </c>
      <c r="J471" s="13">
        <v>3.5937790000000001</v>
      </c>
      <c r="K471" s="13">
        <v>3.6001446000000001</v>
      </c>
      <c r="L471" s="13">
        <v>3.6253023</v>
      </c>
      <c r="M471" s="13">
        <v>3.6766154000000002</v>
      </c>
    </row>
    <row r="472" spans="1:13" x14ac:dyDescent="0.25">
      <c r="A472" t="s">
        <v>542</v>
      </c>
      <c r="B472" s="2">
        <v>4.18</v>
      </c>
      <c r="C472" s="2">
        <v>4.1100000000000003</v>
      </c>
      <c r="D472" s="2">
        <v>4.24</v>
      </c>
      <c r="E472" s="2">
        <v>4.5199999999999996</v>
      </c>
      <c r="F472" s="2">
        <v>4.72</v>
      </c>
      <c r="G472" s="2">
        <v>4.7699999999999996</v>
      </c>
      <c r="H472" s="13">
        <v>3.8094863999999999</v>
      </c>
      <c r="I472" s="13">
        <v>3.7276997999999999</v>
      </c>
      <c r="J472" s="13">
        <v>3.6631391999999998</v>
      </c>
      <c r="K472" s="13">
        <v>3.6176902000000002</v>
      </c>
      <c r="L472" s="13">
        <v>3.6259472000000001</v>
      </c>
      <c r="M472" s="13">
        <v>3.6877203999999999</v>
      </c>
    </row>
    <row r="473" spans="1:13" x14ac:dyDescent="0.25">
      <c r="A473" t="s">
        <v>543</v>
      </c>
      <c r="B473" s="2">
        <v>4.13</v>
      </c>
      <c r="C473" s="2">
        <v>4.04</v>
      </c>
      <c r="D473" s="2">
        <v>4.17</v>
      </c>
      <c r="E473" s="2">
        <v>4.43</v>
      </c>
      <c r="F473" s="2">
        <v>4.63</v>
      </c>
      <c r="G473" s="2">
        <v>4.7</v>
      </c>
      <c r="H473" s="13">
        <v>3.7657609000000001</v>
      </c>
      <c r="I473" s="13">
        <v>3.6748503000000001</v>
      </c>
      <c r="J473" s="13">
        <v>3.6022113</v>
      </c>
      <c r="K473" s="13">
        <v>3.5494089999999998</v>
      </c>
      <c r="L473" s="13">
        <v>3.5520428000000002</v>
      </c>
      <c r="M473" s="13">
        <v>3.6046520000000002</v>
      </c>
    </row>
    <row r="474" spans="1:13" x14ac:dyDescent="0.25">
      <c r="A474" t="s">
        <v>544</v>
      </c>
      <c r="B474" s="2">
        <v>4.03</v>
      </c>
      <c r="C474" s="2">
        <v>3.94</v>
      </c>
      <c r="D474" s="2">
        <v>4.07</v>
      </c>
      <c r="E474" s="2">
        <v>4.3499999999999996</v>
      </c>
      <c r="F474" s="2">
        <v>4.55</v>
      </c>
      <c r="G474" s="2">
        <v>4.6399999999999997</v>
      </c>
      <c r="H474" s="13">
        <v>3.6521425000000001</v>
      </c>
      <c r="I474" s="13">
        <v>3.5596823</v>
      </c>
      <c r="J474" s="13">
        <v>3.5029357999999999</v>
      </c>
      <c r="K474" s="13">
        <v>3.4714759000000002</v>
      </c>
      <c r="L474" s="13">
        <v>3.4863266999999998</v>
      </c>
      <c r="M474" s="13">
        <v>3.5397227999999998</v>
      </c>
    </row>
    <row r="475" spans="1:13" x14ac:dyDescent="0.25">
      <c r="A475" t="s">
        <v>545</v>
      </c>
      <c r="B475" s="2">
        <v>4.03</v>
      </c>
      <c r="C475" s="2">
        <v>3.95</v>
      </c>
      <c r="D475" s="2">
        <v>4.09</v>
      </c>
      <c r="E475" s="2">
        <v>4.38</v>
      </c>
      <c r="F475" s="2">
        <v>4.5599999999999996</v>
      </c>
      <c r="G475" s="2">
        <v>4.6500000000000004</v>
      </c>
      <c r="H475" s="13">
        <v>3.6529836000000002</v>
      </c>
      <c r="I475" s="13">
        <v>3.5558459</v>
      </c>
      <c r="J475" s="13">
        <v>3.5034398000000002</v>
      </c>
      <c r="K475" s="13">
        <v>3.4871615</v>
      </c>
      <c r="L475" s="13">
        <v>3.5147995999999999</v>
      </c>
      <c r="M475" s="13">
        <v>3.5749336999999999</v>
      </c>
    </row>
    <row r="476" spans="1:13" x14ac:dyDescent="0.25">
      <c r="A476" t="s">
        <v>546</v>
      </c>
      <c r="B476" s="2">
        <v>3.99</v>
      </c>
      <c r="C476" s="2">
        <v>3.91</v>
      </c>
      <c r="D476" s="2">
        <v>4.05</v>
      </c>
      <c r="E476" s="2">
        <v>4.34</v>
      </c>
      <c r="F476" s="2">
        <v>4.5199999999999996</v>
      </c>
      <c r="G476" s="2">
        <v>4.59</v>
      </c>
      <c r="H476" s="13">
        <v>3.5655735000000002</v>
      </c>
      <c r="I476" s="13">
        <v>3.4548204</v>
      </c>
      <c r="J476" s="13">
        <v>3.4522263</v>
      </c>
      <c r="K476" s="13">
        <v>3.4528241999999998</v>
      </c>
      <c r="L476" s="13">
        <v>3.4802105999999999</v>
      </c>
      <c r="M476" s="13">
        <v>3.5378357</v>
      </c>
    </row>
    <row r="477" spans="1:13" x14ac:dyDescent="0.25">
      <c r="A477" t="s">
        <v>547</v>
      </c>
      <c r="B477" s="2">
        <v>4.05</v>
      </c>
      <c r="C477" s="2">
        <v>3.97</v>
      </c>
      <c r="D477" s="2">
        <v>4.1399999999999997</v>
      </c>
      <c r="E477" s="2">
        <v>4.4400000000000004</v>
      </c>
      <c r="F477" s="2">
        <v>4.6399999999999997</v>
      </c>
      <c r="G477" s="2">
        <v>4.66</v>
      </c>
      <c r="H477" s="13">
        <v>3.6363628000000001</v>
      </c>
      <c r="I477" s="13">
        <v>3.5649823</v>
      </c>
      <c r="J477" s="13">
        <v>3.5390716000000002</v>
      </c>
      <c r="K477" s="13">
        <v>3.5231035999999998</v>
      </c>
      <c r="L477" s="13">
        <v>3.5460308999999999</v>
      </c>
      <c r="M477" s="13">
        <v>3.6118033999999999</v>
      </c>
    </row>
    <row r="478" spans="1:13" x14ac:dyDescent="0.25">
      <c r="A478" t="s">
        <v>548</v>
      </c>
      <c r="B478" s="2">
        <v>4.07</v>
      </c>
      <c r="C478" s="2">
        <v>3.99</v>
      </c>
      <c r="D478" s="2">
        <v>4.16</v>
      </c>
      <c r="E478" s="2">
        <v>4.4400000000000004</v>
      </c>
      <c r="F478" s="2">
        <v>4.6399999999999997</v>
      </c>
      <c r="G478" s="2">
        <v>4.6900000000000004</v>
      </c>
      <c r="H478" s="13">
        <v>3.6687145000000001</v>
      </c>
      <c r="I478" s="13">
        <v>3.6072068000000002</v>
      </c>
      <c r="J478" s="13">
        <v>3.5709841</v>
      </c>
      <c r="K478" s="13">
        <v>3.5491538</v>
      </c>
      <c r="L478" s="13">
        <v>3.5711594</v>
      </c>
      <c r="M478" s="13">
        <v>3.6360266000000001</v>
      </c>
    </row>
    <row r="479" spans="1:13" x14ac:dyDescent="0.25">
      <c r="A479" t="s">
        <v>549</v>
      </c>
      <c r="B479" s="2">
        <v>4.0999999999999996</v>
      </c>
      <c r="C479" s="2">
        <v>4.04</v>
      </c>
      <c r="D479" s="2">
        <v>4.21</v>
      </c>
      <c r="E479" s="2">
        <v>4.51</v>
      </c>
      <c r="F479" s="2">
        <v>4.68</v>
      </c>
      <c r="G479" s="2">
        <v>4.74</v>
      </c>
      <c r="H479" s="13">
        <v>3.6920215000000001</v>
      </c>
      <c r="I479" s="13">
        <v>3.6645897000000001</v>
      </c>
      <c r="J479" s="13">
        <v>3.6264960999999998</v>
      </c>
      <c r="K479" s="13">
        <v>3.6087753999999999</v>
      </c>
      <c r="L479" s="13">
        <v>3.6364944000000001</v>
      </c>
      <c r="M479" s="13">
        <v>3.6998953999999999</v>
      </c>
    </row>
    <row r="480" spans="1:13" x14ac:dyDescent="0.25">
      <c r="A480" t="s">
        <v>550</v>
      </c>
      <c r="B480" s="2">
        <v>4.13</v>
      </c>
      <c r="C480" s="2">
        <v>4.08</v>
      </c>
      <c r="D480" s="2">
        <v>4.2300000000000004</v>
      </c>
      <c r="E480" s="2">
        <v>4.51</v>
      </c>
      <c r="F480" s="2">
        <v>4.7</v>
      </c>
      <c r="G480" s="2">
        <v>4.75</v>
      </c>
      <c r="H480" s="13">
        <v>3.7367029</v>
      </c>
      <c r="I480" s="13">
        <v>3.6965013</v>
      </c>
      <c r="J480" s="13">
        <v>3.6392715999999998</v>
      </c>
      <c r="K480" s="13">
        <v>3.6223193</v>
      </c>
      <c r="L480" s="13">
        <v>3.6497470999999999</v>
      </c>
      <c r="M480" s="13">
        <v>3.7086923000000001</v>
      </c>
    </row>
    <row r="481" spans="1:13" x14ac:dyDescent="0.25">
      <c r="A481" t="s">
        <v>551</v>
      </c>
      <c r="B481" s="2">
        <v>4.17</v>
      </c>
      <c r="C481" s="2">
        <v>4.1100000000000003</v>
      </c>
      <c r="D481" s="2">
        <v>4.24</v>
      </c>
      <c r="E481" s="2">
        <v>4.51</v>
      </c>
      <c r="F481" s="2">
        <v>4.6900000000000004</v>
      </c>
      <c r="G481" s="2">
        <v>4.76</v>
      </c>
      <c r="H481" s="13">
        <v>3.7700504000000001</v>
      </c>
      <c r="I481" s="13">
        <v>3.7177068000000002</v>
      </c>
      <c r="J481" s="13">
        <v>3.6805110000000001</v>
      </c>
      <c r="K481" s="13">
        <v>3.6610729000000002</v>
      </c>
      <c r="L481" s="13">
        <v>3.6689729</v>
      </c>
      <c r="M481" s="13">
        <v>3.7099934000000001</v>
      </c>
    </row>
    <row r="482" spans="1:13" x14ac:dyDescent="0.25">
      <c r="A482" t="s">
        <v>552</v>
      </c>
      <c r="B482" s="2">
        <v>4.21</v>
      </c>
      <c r="C482" s="2">
        <v>4.13</v>
      </c>
      <c r="D482" s="2">
        <v>4.25</v>
      </c>
      <c r="E482" s="2">
        <v>4.5199999999999996</v>
      </c>
      <c r="F482" s="2">
        <v>4.7300000000000004</v>
      </c>
      <c r="G482" s="2">
        <v>4.75</v>
      </c>
      <c r="H482" s="13">
        <v>3.7755941000000002</v>
      </c>
      <c r="I482" s="13">
        <v>3.7729507</v>
      </c>
      <c r="J482" s="13">
        <v>3.7217647999999999</v>
      </c>
      <c r="K482" s="13">
        <v>3.6749204</v>
      </c>
      <c r="L482" s="13">
        <v>3.6692756000000002</v>
      </c>
      <c r="M482" s="13">
        <v>3.7103763000000001</v>
      </c>
    </row>
    <row r="483" spans="1:13" x14ac:dyDescent="0.25">
      <c r="A483" t="s">
        <v>553</v>
      </c>
      <c r="B483" s="2">
        <v>4.24</v>
      </c>
      <c r="C483" s="2">
        <v>4.17</v>
      </c>
      <c r="D483" s="2">
        <v>4.29</v>
      </c>
      <c r="E483" s="2">
        <v>4.55</v>
      </c>
      <c r="F483" s="2">
        <v>4.7300000000000004</v>
      </c>
      <c r="G483" s="2">
        <v>4.78</v>
      </c>
      <c r="H483" s="13">
        <v>3.8263493999999998</v>
      </c>
      <c r="I483" s="13">
        <v>3.8284191999999999</v>
      </c>
      <c r="J483" s="13">
        <v>3.7658382000000001</v>
      </c>
      <c r="K483" s="13">
        <v>3.7143725999999999</v>
      </c>
      <c r="L483" s="13">
        <v>3.7108545999999998</v>
      </c>
      <c r="M483" s="13">
        <v>3.7549838000000002</v>
      </c>
    </row>
    <row r="484" spans="1:13" x14ac:dyDescent="0.25">
      <c r="A484" t="s">
        <v>554</v>
      </c>
      <c r="B484" s="2">
        <v>4.34</v>
      </c>
      <c r="C484" s="2">
        <v>4.25</v>
      </c>
      <c r="D484" s="2">
        <v>4.37</v>
      </c>
      <c r="E484" s="2">
        <v>4.63</v>
      </c>
      <c r="F484" s="2">
        <v>4.8099999999999996</v>
      </c>
      <c r="G484" s="2">
        <v>4.8600000000000003</v>
      </c>
      <c r="H484" s="13">
        <v>4.0026552000000004</v>
      </c>
      <c r="I484" s="13">
        <v>3.9318947999999998</v>
      </c>
      <c r="J484" s="13">
        <v>3.8199869</v>
      </c>
      <c r="K484" s="13">
        <v>3.755531</v>
      </c>
      <c r="L484" s="13">
        <v>3.7566632000000002</v>
      </c>
      <c r="M484" s="13">
        <v>3.8053311000000001</v>
      </c>
    </row>
    <row r="485" spans="1:13" x14ac:dyDescent="0.25">
      <c r="A485" t="s">
        <v>555</v>
      </c>
      <c r="B485" s="2">
        <v>4.42</v>
      </c>
      <c r="C485" s="2">
        <v>4.3099999999999996</v>
      </c>
      <c r="D485" s="2">
        <v>4.43</v>
      </c>
      <c r="E485" s="2">
        <v>4.67</v>
      </c>
      <c r="F485" s="2">
        <v>4.84</v>
      </c>
      <c r="G485" s="2">
        <v>4.87</v>
      </c>
      <c r="H485" s="13">
        <v>4.0866387</v>
      </c>
      <c r="I485" s="13">
        <v>3.9970298999999998</v>
      </c>
      <c r="J485" s="13">
        <v>3.8583083</v>
      </c>
      <c r="K485" s="13">
        <v>3.7897577</v>
      </c>
      <c r="L485" s="13">
        <v>3.7825123</v>
      </c>
      <c r="M485" s="13">
        <v>3.8198702</v>
      </c>
    </row>
    <row r="486" spans="1:13" x14ac:dyDescent="0.25">
      <c r="A486" t="s">
        <v>556</v>
      </c>
      <c r="B486" s="2">
        <v>4.4400000000000004</v>
      </c>
      <c r="C486" s="2">
        <v>4.33</v>
      </c>
      <c r="D486" s="2">
        <v>4.46</v>
      </c>
      <c r="E486" s="2">
        <v>4.7</v>
      </c>
      <c r="F486" s="2">
        <v>4.88</v>
      </c>
      <c r="G486" s="2">
        <v>4.95</v>
      </c>
      <c r="H486" s="13">
        <v>4.0722376999999996</v>
      </c>
      <c r="I486" s="13">
        <v>3.9624256999999998</v>
      </c>
      <c r="J486" s="13">
        <v>3.8507585999999998</v>
      </c>
      <c r="K486" s="13">
        <v>3.7963868000000001</v>
      </c>
      <c r="L486" s="13">
        <v>3.7953130000000002</v>
      </c>
      <c r="M486" s="13">
        <v>3.8334917000000002</v>
      </c>
    </row>
    <row r="487" spans="1:13" x14ac:dyDescent="0.25">
      <c r="A487" t="s">
        <v>557</v>
      </c>
      <c r="B487" s="2">
        <v>4.43</v>
      </c>
      <c r="C487" s="2">
        <v>4.33</v>
      </c>
      <c r="D487" s="2">
        <v>4.46</v>
      </c>
      <c r="E487" s="2">
        <v>4.71</v>
      </c>
      <c r="F487" s="2">
        <v>4.8899999999999997</v>
      </c>
      <c r="G487" s="2">
        <v>4.9400000000000004</v>
      </c>
      <c r="H487" s="13">
        <v>4.0835872999999996</v>
      </c>
      <c r="I487" s="13">
        <v>3.9966553999999999</v>
      </c>
      <c r="J487" s="13">
        <v>3.8703725000000002</v>
      </c>
      <c r="K487" s="13">
        <v>3.7957665999999999</v>
      </c>
      <c r="L487" s="13">
        <v>3.7822871</v>
      </c>
      <c r="M487" s="13">
        <v>3.8189419</v>
      </c>
    </row>
    <row r="488" spans="1:13" x14ac:dyDescent="0.25">
      <c r="A488" t="s">
        <v>558</v>
      </c>
      <c r="B488" s="2">
        <v>4.51</v>
      </c>
      <c r="C488" s="2">
        <v>4.43</v>
      </c>
      <c r="D488" s="2">
        <v>4.5199999999999996</v>
      </c>
      <c r="E488" s="2">
        <v>4.7699999999999996</v>
      </c>
      <c r="F488" s="2">
        <v>4.9400000000000004</v>
      </c>
      <c r="G488" s="2">
        <v>4.9800000000000004</v>
      </c>
      <c r="H488" s="13">
        <v>4.1539543999999999</v>
      </c>
      <c r="I488" s="13">
        <v>4.1233179</v>
      </c>
      <c r="J488" s="13">
        <v>3.9770797</v>
      </c>
      <c r="K488" s="13">
        <v>3.8647787999999998</v>
      </c>
      <c r="L488" s="13">
        <v>3.8191239000000001</v>
      </c>
      <c r="M488" s="13">
        <v>3.8355769</v>
      </c>
    </row>
    <row r="489" spans="1:13" x14ac:dyDescent="0.25">
      <c r="A489" t="s">
        <v>559</v>
      </c>
      <c r="B489" s="2">
        <v>4.49</v>
      </c>
      <c r="C489" s="2">
        <v>4.42</v>
      </c>
      <c r="D489" s="2">
        <v>4.54</v>
      </c>
      <c r="E489" s="2">
        <v>4.79</v>
      </c>
      <c r="F489" s="2">
        <v>4.96</v>
      </c>
      <c r="G489" s="2">
        <v>4.96</v>
      </c>
      <c r="H489" s="13">
        <v>4.1298779000000003</v>
      </c>
      <c r="I489" s="13">
        <v>4.1083363999999998</v>
      </c>
      <c r="J489" s="13">
        <v>3.9747889999999999</v>
      </c>
      <c r="K489" s="13">
        <v>3.8832279000000001</v>
      </c>
      <c r="L489" s="13">
        <v>3.8563094000000002</v>
      </c>
      <c r="M489" s="13">
        <v>3.8828737000000002</v>
      </c>
    </row>
    <row r="490" spans="1:13" x14ac:dyDescent="0.25">
      <c r="A490" t="s">
        <v>560</v>
      </c>
      <c r="B490" s="2">
        <v>4.43</v>
      </c>
      <c r="C490" s="2">
        <v>4.3499999999999996</v>
      </c>
      <c r="D490" s="2">
        <v>4.4800000000000004</v>
      </c>
      <c r="E490" s="2">
        <v>4.76</v>
      </c>
      <c r="F490" s="2">
        <v>4.92</v>
      </c>
      <c r="G490" s="2">
        <v>4.91</v>
      </c>
      <c r="H490" s="13">
        <v>4.0529659000000002</v>
      </c>
      <c r="I490" s="13">
        <v>3.9564571000000002</v>
      </c>
      <c r="J490" s="13">
        <v>3.8398113999999999</v>
      </c>
      <c r="K490" s="13">
        <v>3.7926495999999998</v>
      </c>
      <c r="L490" s="13">
        <v>3.7953106000000001</v>
      </c>
      <c r="M490" s="13">
        <v>3.8375617000000002</v>
      </c>
    </row>
    <row r="491" spans="1:13" x14ac:dyDescent="0.25">
      <c r="A491" t="s">
        <v>561</v>
      </c>
      <c r="B491" s="2">
        <v>4.42</v>
      </c>
      <c r="C491" s="2">
        <v>4.32</v>
      </c>
      <c r="D491" s="2">
        <v>4.43</v>
      </c>
      <c r="E491" s="2">
        <v>4.68</v>
      </c>
      <c r="F491" s="2">
        <v>4.87</v>
      </c>
      <c r="G491" s="2">
        <v>4.95</v>
      </c>
      <c r="H491" s="13">
        <v>4.0765433</v>
      </c>
      <c r="I491" s="13">
        <v>3.9629148999999999</v>
      </c>
      <c r="J491" s="13">
        <v>3.8323154000000001</v>
      </c>
      <c r="K491" s="13">
        <v>3.7612155</v>
      </c>
      <c r="L491" s="13">
        <v>3.7535161000000001</v>
      </c>
      <c r="M491" s="13">
        <v>3.7918221000000001</v>
      </c>
    </row>
    <row r="492" spans="1:13" x14ac:dyDescent="0.25">
      <c r="A492" t="s">
        <v>562</v>
      </c>
      <c r="B492" s="2">
        <v>4.42</v>
      </c>
      <c r="C492" s="2">
        <v>4.32</v>
      </c>
      <c r="D492" s="2">
        <v>4.43</v>
      </c>
      <c r="E492" s="2">
        <v>4.67</v>
      </c>
      <c r="F492" s="2">
        <v>4.8499999999999996</v>
      </c>
      <c r="G492" s="2">
        <v>4.87</v>
      </c>
      <c r="H492" s="13">
        <v>4.0814785999999996</v>
      </c>
      <c r="I492" s="13">
        <v>3.9888428999999999</v>
      </c>
      <c r="J492" s="13">
        <v>3.8491854999999999</v>
      </c>
      <c r="K492" s="13">
        <v>3.7588210000000002</v>
      </c>
      <c r="L492" s="13">
        <v>3.7355809</v>
      </c>
      <c r="M492" s="13">
        <v>3.768786</v>
      </c>
    </row>
    <row r="493" spans="1:13" x14ac:dyDescent="0.25">
      <c r="A493" t="s">
        <v>563</v>
      </c>
      <c r="B493" s="2">
        <v>4.53</v>
      </c>
      <c r="C493" s="2">
        <v>4.43</v>
      </c>
      <c r="D493" s="2">
        <v>4.53</v>
      </c>
      <c r="E493" s="2">
        <v>4.78</v>
      </c>
      <c r="F493" s="2">
        <v>4.91</v>
      </c>
      <c r="G493" s="2">
        <v>4.95</v>
      </c>
      <c r="H493" s="13">
        <v>4.1816307000000004</v>
      </c>
      <c r="I493" s="13">
        <v>4.1016639000000001</v>
      </c>
      <c r="J493" s="13">
        <v>3.9621472999999998</v>
      </c>
      <c r="K493" s="13">
        <v>3.8686611000000002</v>
      </c>
      <c r="L493" s="13">
        <v>3.8403955999999999</v>
      </c>
      <c r="M493" s="13">
        <v>3.8690574999999998</v>
      </c>
    </row>
    <row r="494" spans="1:13" x14ac:dyDescent="0.25">
      <c r="A494" t="s">
        <v>564</v>
      </c>
      <c r="B494" s="2">
        <v>4.5199999999999996</v>
      </c>
      <c r="C494" s="2">
        <v>4.4400000000000004</v>
      </c>
      <c r="D494" s="2">
        <v>4.54</v>
      </c>
      <c r="E494" s="2">
        <v>4.7699999999999996</v>
      </c>
      <c r="F494" s="2">
        <v>4.92</v>
      </c>
      <c r="G494" s="2">
        <v>4.96</v>
      </c>
      <c r="H494" s="13">
        <v>4.1859161</v>
      </c>
      <c r="I494" s="13">
        <v>4.1132926999999997</v>
      </c>
      <c r="J494" s="13">
        <v>3.9746361000000001</v>
      </c>
      <c r="K494" s="13">
        <v>3.8790835000000001</v>
      </c>
      <c r="L494" s="13">
        <v>3.8478078</v>
      </c>
      <c r="M494" s="13">
        <v>3.8690587000000001</v>
      </c>
    </row>
    <row r="495" spans="1:13" x14ac:dyDescent="0.25">
      <c r="A495" t="s">
        <v>565</v>
      </c>
      <c r="B495" s="2">
        <v>4.42</v>
      </c>
      <c r="C495" s="2">
        <v>4.34</v>
      </c>
      <c r="D495" s="2">
        <v>4.4800000000000004</v>
      </c>
      <c r="E495" s="2">
        <v>4.7300000000000004</v>
      </c>
      <c r="F495" s="2">
        <v>4.9000000000000004</v>
      </c>
      <c r="G495" s="2">
        <v>4.9000000000000004</v>
      </c>
      <c r="H495" s="13">
        <v>4.1230193000000002</v>
      </c>
      <c r="I495" s="13">
        <v>3.9946576999999999</v>
      </c>
      <c r="J495" s="13">
        <v>3.8757145</v>
      </c>
      <c r="K495" s="13">
        <v>3.8159152000000001</v>
      </c>
      <c r="L495" s="13">
        <v>3.8031404000000002</v>
      </c>
      <c r="M495" s="13">
        <v>3.8310718000000001</v>
      </c>
    </row>
    <row r="496" spans="1:13" x14ac:dyDescent="0.25">
      <c r="A496" t="s">
        <v>566</v>
      </c>
      <c r="B496" s="2">
        <v>4.3899999999999997</v>
      </c>
      <c r="C496" s="2">
        <v>4.32</v>
      </c>
      <c r="D496" s="2">
        <v>4.46</v>
      </c>
      <c r="E496" s="2">
        <v>4.75</v>
      </c>
      <c r="F496" s="2">
        <v>4.8899999999999997</v>
      </c>
      <c r="G496" s="2">
        <v>4.9400000000000004</v>
      </c>
      <c r="H496" s="13">
        <v>4.0994095000000002</v>
      </c>
      <c r="I496" s="13">
        <v>3.9521030000000001</v>
      </c>
      <c r="J496" s="13">
        <v>3.8436170000000001</v>
      </c>
      <c r="K496" s="13">
        <v>3.785561</v>
      </c>
      <c r="L496" s="13">
        <v>3.7744491999999998</v>
      </c>
      <c r="M496" s="13">
        <v>3.8069785999999999</v>
      </c>
    </row>
    <row r="497" spans="1:13" x14ac:dyDescent="0.25">
      <c r="A497" t="s">
        <v>567</v>
      </c>
      <c r="B497" s="2">
        <v>4.41</v>
      </c>
      <c r="C497" s="2">
        <v>4.33</v>
      </c>
      <c r="D497" s="2">
        <v>4.46</v>
      </c>
      <c r="E497" s="2">
        <v>4.7300000000000004</v>
      </c>
      <c r="F497" s="2">
        <v>4.8899999999999997</v>
      </c>
      <c r="G497" s="2">
        <v>4.88</v>
      </c>
      <c r="H497" s="13">
        <v>4.1060131000000002</v>
      </c>
      <c r="I497" s="13">
        <v>3.9830209000000001</v>
      </c>
      <c r="J497" s="13">
        <v>3.8518078999999998</v>
      </c>
      <c r="K497" s="13">
        <v>3.7722886</v>
      </c>
      <c r="L497" s="13">
        <v>3.7533596999999999</v>
      </c>
      <c r="M497" s="13">
        <v>3.7862819000000001</v>
      </c>
    </row>
    <row r="498" spans="1:13" x14ac:dyDescent="0.25">
      <c r="A498" t="s">
        <v>568</v>
      </c>
      <c r="B498" s="2">
        <v>4.41</v>
      </c>
      <c r="C498" s="2">
        <v>4.32</v>
      </c>
      <c r="D498" s="2">
        <v>4.4400000000000004</v>
      </c>
      <c r="E498" s="2">
        <v>4.6900000000000004</v>
      </c>
      <c r="F498" s="2">
        <v>4.8600000000000003</v>
      </c>
      <c r="G498" s="2">
        <v>4.8499999999999996</v>
      </c>
      <c r="H498" s="13">
        <v>4.1041032</v>
      </c>
      <c r="I498" s="13">
        <v>3.9756757</v>
      </c>
      <c r="J498" s="13">
        <v>3.8334595</v>
      </c>
      <c r="K498" s="13">
        <v>3.7499845000000001</v>
      </c>
      <c r="L498" s="13">
        <v>3.7272748</v>
      </c>
      <c r="M498" s="13">
        <v>3.7575352</v>
      </c>
    </row>
    <row r="499" spans="1:13" x14ac:dyDescent="0.25">
      <c r="A499" t="s">
        <v>569</v>
      </c>
      <c r="B499" s="2">
        <v>4.4000000000000004</v>
      </c>
      <c r="C499" s="2">
        <v>4.32</v>
      </c>
      <c r="D499" s="2">
        <v>4.46</v>
      </c>
      <c r="E499" s="2">
        <v>4.72</v>
      </c>
      <c r="F499" s="2">
        <v>4.9000000000000004</v>
      </c>
      <c r="G499" s="2">
        <v>4.96</v>
      </c>
      <c r="H499" s="13">
        <v>4.0908096</v>
      </c>
      <c r="I499" s="13">
        <v>3.9599126</v>
      </c>
      <c r="J499" s="13">
        <v>3.8254522</v>
      </c>
      <c r="K499" s="13">
        <v>3.7566494000000001</v>
      </c>
      <c r="L499" s="13">
        <v>3.7524677999999998</v>
      </c>
      <c r="M499" s="13">
        <v>3.7952533000000002</v>
      </c>
    </row>
    <row r="500" spans="1:13" x14ac:dyDescent="0.25">
      <c r="A500" t="s">
        <v>570</v>
      </c>
      <c r="B500" s="2">
        <v>4.37</v>
      </c>
      <c r="C500" s="2">
        <v>4.29</v>
      </c>
      <c r="D500" s="2">
        <v>4.43</v>
      </c>
      <c r="E500" s="2">
        <v>4.6900000000000004</v>
      </c>
      <c r="F500" s="2">
        <v>4.88</v>
      </c>
      <c r="G500" s="2">
        <v>4.93</v>
      </c>
      <c r="H500" s="13">
        <v>4.0565853000000001</v>
      </c>
      <c r="I500" s="13">
        <v>3.9056415000000002</v>
      </c>
      <c r="J500" s="13">
        <v>3.7843779</v>
      </c>
      <c r="K500" s="13">
        <v>3.7390332000000002</v>
      </c>
      <c r="L500" s="13">
        <v>3.7453226000000002</v>
      </c>
      <c r="M500" s="13">
        <v>3.7895444</v>
      </c>
    </row>
    <row r="501" spans="1:13" x14ac:dyDescent="0.25">
      <c r="A501" t="s">
        <v>571</v>
      </c>
      <c r="B501" s="2">
        <v>4.33</v>
      </c>
      <c r="C501" s="2">
        <v>4.25</v>
      </c>
      <c r="D501" s="2">
        <v>4.3899999999999997</v>
      </c>
      <c r="E501" s="2">
        <v>4.6500000000000004</v>
      </c>
      <c r="F501" s="2">
        <v>4.83</v>
      </c>
      <c r="G501" s="2">
        <v>4.8499999999999996</v>
      </c>
      <c r="H501" s="13">
        <v>4.0025959999999996</v>
      </c>
      <c r="I501" s="13">
        <v>3.8518363999999998</v>
      </c>
      <c r="J501" s="13">
        <v>3.7507990000000002</v>
      </c>
      <c r="K501" s="13">
        <v>3.7041694999999999</v>
      </c>
      <c r="L501" s="13">
        <v>3.7020797999999999</v>
      </c>
      <c r="M501" s="13">
        <v>3.7367007000000001</v>
      </c>
    </row>
    <row r="502" spans="1:13" x14ac:dyDescent="0.25">
      <c r="A502" t="s">
        <v>572</v>
      </c>
      <c r="B502" s="2">
        <v>4.33</v>
      </c>
      <c r="C502" s="2">
        <v>4.2300000000000004</v>
      </c>
      <c r="D502" s="2">
        <v>4.3499999999999996</v>
      </c>
      <c r="E502" s="2">
        <v>4.5999999999999996</v>
      </c>
      <c r="F502" s="2">
        <v>4.78</v>
      </c>
      <c r="G502" s="2">
        <v>4.8499999999999996</v>
      </c>
      <c r="H502" s="13">
        <v>3.9999007</v>
      </c>
      <c r="I502" s="13">
        <v>3.8517233000000002</v>
      </c>
      <c r="J502" s="13">
        <v>3.7299726</v>
      </c>
      <c r="K502" s="13">
        <v>3.6602127000000002</v>
      </c>
      <c r="L502" s="13">
        <v>3.6400516999999999</v>
      </c>
      <c r="M502" s="13">
        <v>3.6679116</v>
      </c>
    </row>
    <row r="503" spans="1:13" x14ac:dyDescent="0.25">
      <c r="A503" t="s">
        <v>573</v>
      </c>
      <c r="B503" s="2">
        <v>4.32</v>
      </c>
      <c r="C503" s="2">
        <v>4.21</v>
      </c>
      <c r="D503" s="2">
        <v>4.34</v>
      </c>
      <c r="E503" s="2">
        <v>4.59</v>
      </c>
      <c r="F503" s="2">
        <v>4.79</v>
      </c>
      <c r="G503" s="2">
        <v>4.78</v>
      </c>
      <c r="H503" s="13">
        <v>4.0068612999999997</v>
      </c>
      <c r="I503" s="13">
        <v>3.8622722999999999</v>
      </c>
      <c r="J503" s="13">
        <v>3.7190373000000001</v>
      </c>
      <c r="K503" s="13">
        <v>3.6364512000000002</v>
      </c>
      <c r="L503" s="13">
        <v>3.6178511000000002</v>
      </c>
      <c r="M503" s="13">
        <v>3.6533389999999999</v>
      </c>
    </row>
    <row r="504" spans="1:13" x14ac:dyDescent="0.25">
      <c r="A504" t="s">
        <v>574</v>
      </c>
      <c r="B504" s="2">
        <v>4.29</v>
      </c>
      <c r="C504" s="2">
        <v>4.17</v>
      </c>
      <c r="D504" s="2">
        <v>4.29</v>
      </c>
      <c r="E504" s="2">
        <v>4.57</v>
      </c>
      <c r="F504" s="2">
        <v>4.74</v>
      </c>
      <c r="G504" s="2">
        <v>4.74</v>
      </c>
      <c r="H504" s="13">
        <v>4.0142500999999999</v>
      </c>
      <c r="I504" s="13">
        <v>3.8436807000000002</v>
      </c>
      <c r="J504" s="13">
        <v>3.6721989000000002</v>
      </c>
      <c r="K504" s="13">
        <v>3.5778203</v>
      </c>
      <c r="L504" s="13">
        <v>3.5598507000000001</v>
      </c>
      <c r="M504" s="13">
        <v>3.5984452</v>
      </c>
    </row>
    <row r="505" spans="1:13" x14ac:dyDescent="0.25">
      <c r="A505" t="s">
        <v>575</v>
      </c>
      <c r="B505" s="2">
        <v>4.28</v>
      </c>
      <c r="C505" s="2">
        <v>4.1500000000000004</v>
      </c>
      <c r="D505" s="2">
        <v>4.28</v>
      </c>
      <c r="E505" s="2">
        <v>4.54</v>
      </c>
      <c r="F505" s="2">
        <v>4.7300000000000004</v>
      </c>
      <c r="G505" s="2">
        <v>4.76</v>
      </c>
      <c r="H505" s="13">
        <v>4.0014924000000001</v>
      </c>
      <c r="I505" s="13">
        <v>3.7958248999999999</v>
      </c>
      <c r="J505" s="13">
        <v>3.6377733999999999</v>
      </c>
      <c r="K505" s="13">
        <v>3.5706313999999999</v>
      </c>
      <c r="L505" s="13">
        <v>3.5641672999999998</v>
      </c>
      <c r="M505" s="13">
        <v>3.6035487000000002</v>
      </c>
    </row>
    <row r="506" spans="1:13" x14ac:dyDescent="0.25">
      <c r="A506" t="s">
        <v>576</v>
      </c>
      <c r="B506" s="2">
        <v>4.2300000000000004</v>
      </c>
      <c r="C506" s="2">
        <v>4.09</v>
      </c>
      <c r="D506" s="2">
        <v>4.24</v>
      </c>
      <c r="E506" s="2">
        <v>4.51</v>
      </c>
      <c r="F506" s="2">
        <v>4.7</v>
      </c>
      <c r="G506" s="2">
        <v>4.7</v>
      </c>
      <c r="H506" s="13">
        <v>3.9641658</v>
      </c>
      <c r="I506" s="13">
        <v>3.7288036</v>
      </c>
      <c r="J506" s="13">
        <v>3.5866381999999999</v>
      </c>
      <c r="K506" s="13">
        <v>3.5290859999999999</v>
      </c>
      <c r="L506" s="13">
        <v>3.5348324999999998</v>
      </c>
      <c r="M506" s="13">
        <v>3.5822845000000001</v>
      </c>
    </row>
    <row r="507" spans="1:13" x14ac:dyDescent="0.25">
      <c r="A507" t="s">
        <v>577</v>
      </c>
      <c r="B507" s="2">
        <v>4.21</v>
      </c>
      <c r="C507" s="2">
        <v>4.08</v>
      </c>
      <c r="D507" s="2">
        <v>4.22</v>
      </c>
      <c r="E507" s="2">
        <v>4.5</v>
      </c>
      <c r="F507" s="2">
        <v>4.7</v>
      </c>
      <c r="G507" s="2">
        <v>4.74</v>
      </c>
      <c r="H507" s="13">
        <v>3.9390434999999999</v>
      </c>
      <c r="I507" s="13">
        <v>3.7345559000000002</v>
      </c>
      <c r="J507" s="13">
        <v>3.5846836999999998</v>
      </c>
      <c r="K507" s="13">
        <v>3.5188855999999999</v>
      </c>
      <c r="L507" s="13">
        <v>3.5191545</v>
      </c>
      <c r="M507" s="13">
        <v>3.5726824000000001</v>
      </c>
    </row>
    <row r="508" spans="1:13" x14ac:dyDescent="0.25">
      <c r="A508" t="s">
        <v>578</v>
      </c>
      <c r="B508" s="2">
        <v>4.2300000000000004</v>
      </c>
      <c r="C508" s="2">
        <v>4.09</v>
      </c>
      <c r="D508" s="2">
        <v>4.24</v>
      </c>
      <c r="E508" s="2">
        <v>4.5</v>
      </c>
      <c r="F508" s="2">
        <v>4.71</v>
      </c>
      <c r="G508" s="2">
        <v>4.7699999999999996</v>
      </c>
      <c r="H508" s="13">
        <v>3.9318344000000001</v>
      </c>
      <c r="I508" s="13">
        <v>3.7414933000000001</v>
      </c>
      <c r="J508" s="13">
        <v>3.6003447999999998</v>
      </c>
      <c r="K508" s="13">
        <v>3.5439774000000002</v>
      </c>
      <c r="L508" s="13">
        <v>3.5517897</v>
      </c>
      <c r="M508" s="13">
        <v>3.6058408000000002</v>
      </c>
    </row>
    <row r="509" spans="1:13" x14ac:dyDescent="0.25">
      <c r="A509" t="s">
        <v>579</v>
      </c>
      <c r="B509" s="2">
        <v>4.2300000000000004</v>
      </c>
      <c r="C509" s="2">
        <v>4.0999999999999996</v>
      </c>
      <c r="D509" s="2">
        <v>4.24</v>
      </c>
      <c r="E509" s="2">
        <v>4.5</v>
      </c>
      <c r="F509" s="2">
        <v>4.71</v>
      </c>
      <c r="G509" s="2">
        <v>4.7699999999999996</v>
      </c>
      <c r="H509" s="13">
        <v>3.9306161999999998</v>
      </c>
      <c r="I509" s="13">
        <v>3.7391142999999998</v>
      </c>
      <c r="J509" s="13">
        <v>3.5915914</v>
      </c>
      <c r="K509" s="13">
        <v>3.5382132999999998</v>
      </c>
      <c r="L509" s="13">
        <v>3.5508144000000001</v>
      </c>
      <c r="M509" s="13">
        <v>3.6050080000000002</v>
      </c>
    </row>
    <row r="510" spans="1:13" x14ac:dyDescent="0.25">
      <c r="A510" t="s">
        <v>580</v>
      </c>
      <c r="B510" s="2">
        <v>4.25</v>
      </c>
      <c r="C510" s="2">
        <v>4.13</v>
      </c>
      <c r="D510" s="2">
        <v>4.2699999999999996</v>
      </c>
      <c r="E510" s="2">
        <v>4.53</v>
      </c>
      <c r="F510" s="2">
        <v>4.75</v>
      </c>
      <c r="G510" s="2">
        <v>4.82</v>
      </c>
      <c r="H510" s="13">
        <v>3.9742378</v>
      </c>
      <c r="I510" s="13">
        <v>3.7793147999999999</v>
      </c>
      <c r="J510" s="13">
        <v>3.6072969000000001</v>
      </c>
      <c r="K510" s="13">
        <v>3.5444618000000001</v>
      </c>
      <c r="L510" s="13">
        <v>3.5519908999999998</v>
      </c>
      <c r="M510" s="13">
        <v>3.6012298999999999</v>
      </c>
    </row>
    <row r="511" spans="1:13" x14ac:dyDescent="0.25">
      <c r="A511" t="s">
        <v>581</v>
      </c>
      <c r="B511" s="2">
        <v>4.26</v>
      </c>
      <c r="C511" s="2">
        <v>4.13</v>
      </c>
      <c r="D511" s="2">
        <v>4.28</v>
      </c>
      <c r="E511" s="2">
        <v>4.53</v>
      </c>
      <c r="F511" s="2">
        <v>4.75</v>
      </c>
      <c r="G511" s="2">
        <v>4.76</v>
      </c>
      <c r="H511" s="13">
        <v>3.9618215999999999</v>
      </c>
      <c r="I511" s="13">
        <v>3.7257354</v>
      </c>
      <c r="J511" s="13">
        <v>3.5961579000000001</v>
      </c>
      <c r="K511" s="13">
        <v>3.5620942000000002</v>
      </c>
      <c r="L511" s="13">
        <v>3.5704161999999999</v>
      </c>
      <c r="M511" s="13">
        <v>3.6124301999999999</v>
      </c>
    </row>
    <row r="512" spans="1:13" x14ac:dyDescent="0.25">
      <c r="A512" t="s">
        <v>582</v>
      </c>
      <c r="B512" s="2">
        <v>4.26</v>
      </c>
      <c r="C512" s="2">
        <v>4.13</v>
      </c>
      <c r="D512" s="2">
        <v>4.28</v>
      </c>
      <c r="E512" s="2">
        <v>4.55</v>
      </c>
      <c r="F512" s="2">
        <v>4.7699999999999996</v>
      </c>
      <c r="G512" s="2">
        <v>4.8099999999999996</v>
      </c>
      <c r="H512" s="13">
        <v>3.9327000000000001</v>
      </c>
      <c r="I512" s="13">
        <v>3.7375066000000001</v>
      </c>
      <c r="J512" s="13">
        <v>3.5904061999999999</v>
      </c>
      <c r="K512" s="13">
        <v>3.5313561999999998</v>
      </c>
      <c r="L512" s="13">
        <v>3.5375207</v>
      </c>
      <c r="M512" s="13">
        <v>3.5959454000000002</v>
      </c>
    </row>
    <row r="513" spans="1:13" x14ac:dyDescent="0.25">
      <c r="A513" t="s">
        <v>583</v>
      </c>
      <c r="B513" s="2">
        <v>4.28</v>
      </c>
      <c r="C513" s="2">
        <v>4.17</v>
      </c>
      <c r="D513" s="2">
        <v>4.33</v>
      </c>
      <c r="E513" s="2">
        <v>4.59</v>
      </c>
      <c r="F513" s="2">
        <v>4.82</v>
      </c>
      <c r="G513" s="2">
        <v>4.82</v>
      </c>
      <c r="H513" s="13">
        <v>3.9582079999999999</v>
      </c>
      <c r="I513" s="13">
        <v>3.7786349000000001</v>
      </c>
      <c r="J513" s="13">
        <v>3.64351</v>
      </c>
      <c r="K513" s="13">
        <v>3.5910853</v>
      </c>
      <c r="L513" s="13">
        <v>3.6021054000000001</v>
      </c>
      <c r="M513" s="13">
        <v>3.6618636000000002</v>
      </c>
    </row>
    <row r="514" spans="1:13" x14ac:dyDescent="0.25">
      <c r="A514" t="s">
        <v>584</v>
      </c>
      <c r="B514" s="2">
        <v>4.26</v>
      </c>
      <c r="C514" s="2">
        <v>4.1399999999999997</v>
      </c>
      <c r="D514" s="2">
        <v>4.33</v>
      </c>
      <c r="E514" s="2">
        <v>4.59</v>
      </c>
      <c r="F514" s="2">
        <v>4.82</v>
      </c>
      <c r="G514" s="2">
        <v>4.8600000000000003</v>
      </c>
      <c r="H514" s="13">
        <v>3.9445294999999998</v>
      </c>
      <c r="I514" s="13">
        <v>3.7413061999999999</v>
      </c>
      <c r="J514" s="13">
        <v>3.6120063</v>
      </c>
      <c r="K514" s="13">
        <v>3.5807939000000002</v>
      </c>
      <c r="L514" s="13">
        <v>3.6069806999999998</v>
      </c>
      <c r="M514" s="13">
        <v>3.6708945000000002</v>
      </c>
    </row>
    <row r="515" spans="1:13" x14ac:dyDescent="0.25">
      <c r="A515" t="s">
        <v>585</v>
      </c>
      <c r="B515" s="2">
        <v>4.28</v>
      </c>
      <c r="C515" s="2">
        <v>4.18</v>
      </c>
      <c r="D515" s="2">
        <v>4.37</v>
      </c>
      <c r="E515" s="2">
        <v>4.6399999999999997</v>
      </c>
      <c r="F515" s="2">
        <v>4.88</v>
      </c>
      <c r="G515" s="2">
        <v>4.95</v>
      </c>
      <c r="H515" s="13">
        <v>3.9801544999999998</v>
      </c>
      <c r="I515" s="13">
        <v>3.7796207000000002</v>
      </c>
      <c r="J515" s="13">
        <v>3.6338574000000001</v>
      </c>
      <c r="K515" s="13">
        <v>3.6063261</v>
      </c>
      <c r="L515" s="13">
        <v>3.6410887000000001</v>
      </c>
      <c r="M515" s="13">
        <v>3.7110268</v>
      </c>
    </row>
    <row r="516" spans="1:13" x14ac:dyDescent="0.25">
      <c r="A516" t="s">
        <v>586</v>
      </c>
      <c r="B516" s="2">
        <v>4.32</v>
      </c>
      <c r="C516" s="2">
        <v>4.25</v>
      </c>
      <c r="D516" s="2">
        <v>4.42</v>
      </c>
      <c r="E516" s="2">
        <v>4.7</v>
      </c>
      <c r="F516" s="2">
        <v>4.92</v>
      </c>
      <c r="G516" s="2">
        <v>4.96</v>
      </c>
      <c r="H516" s="13">
        <v>3.9990198000000001</v>
      </c>
      <c r="I516" s="13">
        <v>3.8259406999999999</v>
      </c>
      <c r="J516" s="13">
        <v>3.7182078999999999</v>
      </c>
      <c r="K516" s="13">
        <v>3.6868560000000001</v>
      </c>
      <c r="L516" s="13">
        <v>3.7013356000000002</v>
      </c>
      <c r="M516" s="13">
        <v>3.7563770999999999</v>
      </c>
    </row>
    <row r="517" spans="1:13" x14ac:dyDescent="0.25">
      <c r="A517" t="s">
        <v>587</v>
      </c>
      <c r="B517" s="2">
        <v>4.3499999999999996</v>
      </c>
      <c r="C517" s="2">
        <v>4.2699999999999996</v>
      </c>
      <c r="D517" s="2">
        <v>4.4400000000000004</v>
      </c>
      <c r="E517" s="2">
        <v>4.7300000000000004</v>
      </c>
      <c r="F517" s="2">
        <v>4.9400000000000004</v>
      </c>
      <c r="G517" s="2">
        <v>4.95</v>
      </c>
      <c r="H517" s="13">
        <v>4.0293815000000004</v>
      </c>
      <c r="I517" s="13">
        <v>3.9196205000000002</v>
      </c>
      <c r="J517" s="13">
        <v>3.7769142000000002</v>
      </c>
      <c r="K517" s="13">
        <v>3.6972787999999999</v>
      </c>
      <c r="L517" s="13">
        <v>3.6888687</v>
      </c>
      <c r="M517" s="13">
        <v>3.7404625</v>
      </c>
    </row>
    <row r="518" spans="1:13" x14ac:dyDescent="0.25">
      <c r="A518" t="s">
        <v>588</v>
      </c>
      <c r="B518" s="2">
        <v>4.45</v>
      </c>
      <c r="C518" s="2">
        <v>4.37</v>
      </c>
      <c r="D518" s="2">
        <v>4.5199999999999996</v>
      </c>
      <c r="E518" s="2">
        <v>4.83</v>
      </c>
      <c r="F518" s="2">
        <v>5.0199999999999996</v>
      </c>
      <c r="G518" s="2">
        <v>5.04</v>
      </c>
      <c r="H518" s="13">
        <v>4.1987427000000004</v>
      </c>
      <c r="I518" s="13">
        <v>4.0431226000000002</v>
      </c>
      <c r="J518" s="13">
        <v>3.8683448</v>
      </c>
      <c r="K518" s="13">
        <v>3.7719995000000002</v>
      </c>
      <c r="L518" s="13">
        <v>3.7586947999999998</v>
      </c>
      <c r="M518" s="13">
        <v>3.8077166999999998</v>
      </c>
    </row>
    <row r="519" spans="1:13" x14ac:dyDescent="0.25">
      <c r="A519" t="s">
        <v>589</v>
      </c>
      <c r="B519" s="2">
        <v>4.46</v>
      </c>
      <c r="C519" s="2">
        <v>4.3899999999999997</v>
      </c>
      <c r="D519" s="2">
        <v>4.55</v>
      </c>
      <c r="E519" s="2">
        <v>4.82</v>
      </c>
      <c r="F519" s="2">
        <v>5.01</v>
      </c>
      <c r="G519" s="2">
        <v>5.0199999999999996</v>
      </c>
      <c r="H519" s="13">
        <v>4.2317780999999997</v>
      </c>
      <c r="I519" s="13">
        <v>4.0534214000000004</v>
      </c>
      <c r="J519" s="13">
        <v>3.8833845999999999</v>
      </c>
      <c r="K519" s="13">
        <v>3.807909</v>
      </c>
      <c r="L519" s="13">
        <v>3.8045548999999999</v>
      </c>
      <c r="M519" s="13">
        <v>3.8507400000000001</v>
      </c>
    </row>
    <row r="520" spans="1:13" x14ac:dyDescent="0.25">
      <c r="A520" t="s">
        <v>604</v>
      </c>
      <c r="B520" s="2">
        <v>4.46</v>
      </c>
      <c r="C520" s="2">
        <v>4.3899999999999997</v>
      </c>
      <c r="D520" s="2">
        <v>4.6100000000000003</v>
      </c>
      <c r="E520" s="2">
        <v>4.8899999999999997</v>
      </c>
      <c r="F520" s="2">
        <v>5.09</v>
      </c>
      <c r="G520" s="2">
        <v>5.13</v>
      </c>
      <c r="H520" s="13">
        <f>H519-0.045</f>
        <v>4.1867780999999997</v>
      </c>
      <c r="I520" s="13">
        <f>I519-0.03</f>
        <v>4.0234214000000001</v>
      </c>
      <c r="J520" s="13">
        <f t="shared" ref="J520:M520" si="0">J519-0.03</f>
        <v>3.8533846</v>
      </c>
      <c r="K520" s="13">
        <f t="shared" si="0"/>
        <v>3.7779090000000002</v>
      </c>
      <c r="L520" s="13">
        <f t="shared" si="0"/>
        <v>3.7745549</v>
      </c>
      <c r="M520" s="13">
        <f t="shared" si="0"/>
        <v>3.8207400000000002</v>
      </c>
    </row>
    <row r="521" spans="1:13" x14ac:dyDescent="0.25">
      <c r="B521" s="2"/>
      <c r="C521" s="2"/>
      <c r="D521" s="2"/>
      <c r="E521" s="2"/>
      <c r="F521" s="2"/>
      <c r="G521" s="2"/>
      <c r="H521" s="13"/>
      <c r="I521" s="13"/>
      <c r="J521" s="13"/>
      <c r="K521" s="13"/>
      <c r="L521" s="13"/>
      <c r="M521" s="13"/>
    </row>
    <row r="522" spans="1:13" x14ac:dyDescent="0.25">
      <c r="B522" s="2"/>
      <c r="C522" s="2"/>
      <c r="D522" s="2"/>
      <c r="E522" s="2"/>
      <c r="F522" s="2"/>
      <c r="G522" s="2"/>
      <c r="H522" s="13"/>
      <c r="I522" s="13"/>
      <c r="J522" s="13"/>
      <c r="K522" s="13"/>
      <c r="L522" s="13"/>
      <c r="M522" s="13"/>
    </row>
    <row r="523" spans="1:13" x14ac:dyDescent="0.25">
      <c r="B523" s="2"/>
      <c r="C523" s="2"/>
      <c r="D523" s="2"/>
      <c r="E523" s="2"/>
      <c r="F523" s="2"/>
      <c r="G523" s="2"/>
      <c r="H523" s="13"/>
      <c r="I523" s="13"/>
      <c r="J523" s="13"/>
      <c r="K523" s="13"/>
      <c r="L523" s="13"/>
      <c r="M523" s="13"/>
    </row>
    <row r="524" spans="1:13" x14ac:dyDescent="0.25">
      <c r="B524" s="2"/>
      <c r="C524" s="2"/>
      <c r="D524" s="2"/>
      <c r="E524" s="2"/>
      <c r="F524" s="2"/>
      <c r="G524" s="2"/>
      <c r="H524" s="13"/>
      <c r="I524" s="13"/>
      <c r="J524" s="13"/>
      <c r="K524" s="13"/>
      <c r="L524" s="13"/>
      <c r="M524" s="13"/>
    </row>
    <row r="525" spans="1:13" x14ac:dyDescent="0.25">
      <c r="B525" s="2"/>
      <c r="C525" s="2"/>
      <c r="D525" s="2"/>
      <c r="E525" s="2"/>
      <c r="F525" s="2"/>
      <c r="G525" s="2"/>
      <c r="H525" s="13"/>
      <c r="I525" s="13"/>
      <c r="J525" s="13"/>
      <c r="K525" s="13"/>
      <c r="L525" s="13"/>
      <c r="M525" s="13"/>
    </row>
    <row r="526" spans="1:13" x14ac:dyDescent="0.25">
      <c r="B526" s="2"/>
      <c r="C526" s="2"/>
      <c r="D526" s="2"/>
      <c r="E526" s="2"/>
      <c r="F526" s="2"/>
      <c r="G526" s="2"/>
      <c r="H526" s="13"/>
      <c r="I526" s="13"/>
      <c r="J526" s="13"/>
      <c r="K526" s="13"/>
      <c r="L526" s="13"/>
      <c r="M526" s="13"/>
    </row>
    <row r="527" spans="1:13" x14ac:dyDescent="0.25">
      <c r="B527" s="2"/>
      <c r="C527" s="2"/>
      <c r="D527" s="2"/>
      <c r="E527" s="2"/>
      <c r="F527" s="2"/>
      <c r="G527" s="2"/>
      <c r="H527" s="13"/>
      <c r="I527" s="13"/>
      <c r="J527" s="13"/>
      <c r="K527" s="13"/>
      <c r="L527" s="13"/>
      <c r="M527" s="13"/>
    </row>
    <row r="528" spans="1:13" x14ac:dyDescent="0.25">
      <c r="B528" s="2"/>
      <c r="C528" s="2"/>
      <c r="D528" s="2"/>
      <c r="E528" s="2"/>
      <c r="F528" s="2"/>
      <c r="G528" s="2"/>
      <c r="H528" s="13"/>
      <c r="I528" s="13"/>
      <c r="J528" s="13"/>
      <c r="K528" s="13"/>
      <c r="L528" s="13"/>
      <c r="M528" s="13"/>
    </row>
    <row r="529" spans="1:13" x14ac:dyDescent="0.25">
      <c r="B529" s="2"/>
      <c r="C529" s="2"/>
      <c r="D529" s="2"/>
      <c r="E529" s="2"/>
      <c r="F529" s="2"/>
      <c r="G529" s="2"/>
      <c r="H529" s="13"/>
      <c r="I529" s="13"/>
      <c r="J529" s="13"/>
      <c r="K529" s="13"/>
      <c r="L529" s="13"/>
      <c r="M529" s="13"/>
    </row>
    <row r="530" spans="1:13" x14ac:dyDescent="0.25">
      <c r="B530" s="2"/>
      <c r="C530" s="2"/>
      <c r="D530" s="2"/>
      <c r="E530" s="2"/>
      <c r="F530" s="2"/>
      <c r="G530" s="2"/>
      <c r="H530" s="13"/>
      <c r="I530" s="13"/>
      <c r="J530" s="13"/>
      <c r="K530" s="13"/>
      <c r="L530" s="13"/>
      <c r="M530" s="13"/>
    </row>
    <row r="531" spans="1:13" x14ac:dyDescent="0.25">
      <c r="B531" s="2"/>
      <c r="C531" s="2"/>
      <c r="D531" s="2"/>
      <c r="E531" s="2"/>
      <c r="F531" s="2"/>
      <c r="G531" s="2"/>
      <c r="H531" s="13"/>
      <c r="I531" s="13"/>
      <c r="J531" s="13"/>
      <c r="K531" s="13"/>
      <c r="L531" s="13"/>
      <c r="M531" s="13"/>
    </row>
    <row r="532" spans="1:13" x14ac:dyDescent="0.25">
      <c r="B532" s="2"/>
      <c r="C532" s="2"/>
      <c r="D532" s="2"/>
      <c r="E532" s="2"/>
      <c r="F532" s="2"/>
      <c r="G532" s="2"/>
      <c r="H532" s="13"/>
      <c r="I532" s="13"/>
      <c r="J532" s="13"/>
      <c r="K532" s="13"/>
      <c r="L532" s="13"/>
      <c r="M532" s="13"/>
    </row>
    <row r="533" spans="1:13" x14ac:dyDescent="0.25">
      <c r="B533" s="2"/>
      <c r="C533" s="2"/>
      <c r="D533" s="2"/>
      <c r="E533" s="2"/>
      <c r="F533" s="2"/>
      <c r="G533" s="2"/>
      <c r="H533" s="13"/>
      <c r="I533" s="13"/>
      <c r="J533" s="13"/>
      <c r="K533" s="13"/>
      <c r="L533" s="13"/>
      <c r="M533" s="13"/>
    </row>
    <row r="535" spans="1:13" x14ac:dyDescent="0.25">
      <c r="A535" t="s">
        <v>355</v>
      </c>
      <c r="B535" s="2">
        <f t="shared" ref="B535:M535" si="1">AVERAGE(B199:B209)</f>
        <v>4.8863636363636367</v>
      </c>
      <c r="C535" s="2">
        <f t="shared" si="1"/>
        <v>4.5309090909090912</v>
      </c>
      <c r="D535" s="2">
        <f t="shared" si="1"/>
        <v>4.4927272727272731</v>
      </c>
      <c r="E535" s="2">
        <f t="shared" si="1"/>
        <v>4.8027272727272727</v>
      </c>
      <c r="F535" s="2">
        <f t="shared" si="1"/>
        <v>4.8945454545454545</v>
      </c>
      <c r="G535" s="2">
        <f t="shared" si="1"/>
        <v>4.9418181818181814</v>
      </c>
      <c r="H535" s="2">
        <f t="shared" si="1"/>
        <v>5.1774545545454549</v>
      </c>
      <c r="I535" s="2">
        <f t="shared" si="1"/>
        <v>4.5591651818181811</v>
      </c>
      <c r="J535" s="2">
        <f t="shared" si="1"/>
        <v>4.2005258454545462</v>
      </c>
      <c r="K535" s="2">
        <f t="shared" si="1"/>
        <v>4.0434114181818179</v>
      </c>
      <c r="L535" s="2">
        <f t="shared" si="1"/>
        <v>3.9784683818181819</v>
      </c>
      <c r="M535" s="2">
        <f t="shared" si="1"/>
        <v>3.9747859454545451</v>
      </c>
    </row>
    <row r="536" spans="1:13" x14ac:dyDescent="0.25">
      <c r="A536" t="s">
        <v>410</v>
      </c>
      <c r="B536" s="2">
        <f t="shared" ref="B536:M536" si="2">AVERAGE(B273:B283)</f>
        <v>4.2618181818181817</v>
      </c>
      <c r="C536" s="2">
        <f t="shared" si="2"/>
        <v>3.7881818181818177</v>
      </c>
      <c r="D536" s="2">
        <f t="shared" si="2"/>
        <v>3.8763636363636365</v>
      </c>
      <c r="E536" s="2">
        <f t="shared" si="2"/>
        <v>4.2445454545454542</v>
      </c>
      <c r="F536" s="2">
        <f t="shared" si="2"/>
        <v>4.417272727272727</v>
      </c>
      <c r="G536" s="2">
        <f t="shared" si="2"/>
        <v>4.5090909090909097</v>
      </c>
      <c r="H536" s="2">
        <f t="shared" si="2"/>
        <v>4.0490151818181808</v>
      </c>
      <c r="I536" s="2">
        <f t="shared" si="2"/>
        <v>3.3800844818181819</v>
      </c>
      <c r="J536" s="2">
        <f t="shared" si="2"/>
        <v>3.2100344727272727</v>
      </c>
      <c r="K536" s="2">
        <f t="shared" si="2"/>
        <v>3.1959023727272733</v>
      </c>
      <c r="L536" s="2">
        <f t="shared" si="2"/>
        <v>3.2529278000000006</v>
      </c>
      <c r="M536" s="2">
        <f t="shared" si="2"/>
        <v>3.3564757363636364</v>
      </c>
    </row>
    <row r="537" spans="1:13" x14ac:dyDescent="0.25">
      <c r="A537" t="s">
        <v>590</v>
      </c>
      <c r="B537" s="2">
        <f>AVERAGE(B440:B450)</f>
        <v>3.9890909090909088</v>
      </c>
      <c r="C537" s="2">
        <f t="shared" ref="C537:M537" si="3">AVERAGE(C440:C450)</f>
        <v>3.7972727272727269</v>
      </c>
      <c r="D537" s="2">
        <f t="shared" si="3"/>
        <v>3.919090909090909</v>
      </c>
      <c r="E537" s="2">
        <f t="shared" si="3"/>
        <v>4.1990909090909092</v>
      </c>
      <c r="F537" s="2">
        <f t="shared" si="3"/>
        <v>4.3927272727272717</v>
      </c>
      <c r="G537" s="2">
        <f t="shared" si="3"/>
        <v>4.4454545454545462</v>
      </c>
      <c r="H537" s="2">
        <f t="shared" si="3"/>
        <v>3.7158355818181814</v>
      </c>
      <c r="I537" s="2">
        <f t="shared" si="3"/>
        <v>3.4315352272727271</v>
      </c>
      <c r="J537" s="2">
        <f t="shared" si="3"/>
        <v>3.3258238545454546</v>
      </c>
      <c r="K537" s="2">
        <f t="shared" si="3"/>
        <v>3.2828944727272718</v>
      </c>
      <c r="L537" s="2">
        <f t="shared" si="3"/>
        <v>3.2969718636363634</v>
      </c>
      <c r="M537" s="2">
        <f t="shared" si="3"/>
        <v>3.3611095363636365</v>
      </c>
    </row>
    <row r="538" spans="1:13" x14ac:dyDescent="0.25">
      <c r="A538" t="s">
        <v>591</v>
      </c>
      <c r="B538" s="2">
        <f>B520</f>
        <v>4.46</v>
      </c>
      <c r="C538" s="2">
        <f>C520</f>
        <v>4.3899999999999997</v>
      </c>
      <c r="D538" s="2">
        <f>D520</f>
        <v>4.6100000000000003</v>
      </c>
      <c r="E538" s="2">
        <f>E520</f>
        <v>4.8899999999999997</v>
      </c>
      <c r="F538" s="2">
        <f>F520</f>
        <v>5.09</v>
      </c>
      <c r="G538" s="2">
        <f>G520</f>
        <v>5.13</v>
      </c>
      <c r="H538" s="2">
        <f>H520</f>
        <v>4.1867780999999997</v>
      </c>
      <c r="I538" s="2">
        <f>I520</f>
        <v>4.0234214000000001</v>
      </c>
      <c r="J538" s="2">
        <f>J520</f>
        <v>3.8533846</v>
      </c>
      <c r="K538" s="2">
        <f>K520</f>
        <v>3.7779090000000002</v>
      </c>
      <c r="L538" s="2">
        <f>L520</f>
        <v>3.7745549</v>
      </c>
      <c r="M538" s="2">
        <f>M520</f>
        <v>3.8207400000000002</v>
      </c>
    </row>
    <row r="539" spans="1:13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x14ac:dyDescent="0.25">
      <c r="A540" t="s">
        <v>533</v>
      </c>
      <c r="B540" s="2">
        <f>B538-B537</f>
        <v>0.47090909090909117</v>
      </c>
      <c r="C540" s="2">
        <f t="shared" ref="C540:M540" si="4">C538-C536</f>
        <v>0.60181818181818203</v>
      </c>
      <c r="D540" s="2">
        <f t="shared" si="4"/>
        <v>0.73363636363636386</v>
      </c>
      <c r="E540" s="2">
        <f t="shared" si="4"/>
        <v>0.6454545454545455</v>
      </c>
      <c r="F540" s="2">
        <f t="shared" si="4"/>
        <v>0.67272727272727284</v>
      </c>
      <c r="G540" s="2">
        <f t="shared" si="4"/>
        <v>0.62090909090909019</v>
      </c>
      <c r="H540" s="2">
        <f t="shared" si="4"/>
        <v>0.13776291818181896</v>
      </c>
      <c r="I540" s="2">
        <f t="shared" si="4"/>
        <v>0.64333691818181826</v>
      </c>
      <c r="J540" s="2">
        <f t="shared" si="4"/>
        <v>0.64335012727272733</v>
      </c>
      <c r="K540" s="2">
        <f t="shared" si="4"/>
        <v>0.5820066272727269</v>
      </c>
      <c r="L540" s="2">
        <f t="shared" si="4"/>
        <v>0.52162709999999946</v>
      </c>
      <c r="M540" s="2">
        <f t="shared" si="4"/>
        <v>0.46426426363636386</v>
      </c>
    </row>
    <row r="542" spans="1:13" x14ac:dyDescent="0.25">
      <c r="A542" s="16" t="s">
        <v>356</v>
      </c>
      <c r="B542" t="s">
        <v>358</v>
      </c>
    </row>
    <row r="543" spans="1:13" x14ac:dyDescent="0.25">
      <c r="A543" s="15">
        <v>45576</v>
      </c>
      <c r="B543" t="s">
        <v>357</v>
      </c>
    </row>
    <row r="544" spans="1:13" x14ac:dyDescent="0.25">
      <c r="A544" s="15">
        <v>45590</v>
      </c>
      <c r="B544" t="s">
        <v>361</v>
      </c>
    </row>
    <row r="545" spans="1:4" x14ac:dyDescent="0.25">
      <c r="A545" s="15">
        <v>45618</v>
      </c>
      <c r="B545" t="s">
        <v>364</v>
      </c>
      <c r="C545">
        <f>A545-A543</f>
        <v>42</v>
      </c>
      <c r="D545">
        <f>C545/7</f>
        <v>6</v>
      </c>
    </row>
    <row r="547" spans="1:4" x14ac:dyDescent="0.25">
      <c r="A547" s="16" t="s">
        <v>593</v>
      </c>
      <c r="B547" t="s">
        <v>359</v>
      </c>
    </row>
    <row r="548" spans="1:4" x14ac:dyDescent="0.25">
      <c r="A548" s="15">
        <v>45314</v>
      </c>
      <c r="B548" t="s">
        <v>357</v>
      </c>
    </row>
    <row r="549" spans="1:4" x14ac:dyDescent="0.25">
      <c r="A549" s="15">
        <v>45336</v>
      </c>
      <c r="B549" t="s">
        <v>360</v>
      </c>
    </row>
    <row r="550" spans="1:4" x14ac:dyDescent="0.25">
      <c r="A550" s="15">
        <v>45357</v>
      </c>
      <c r="B550" t="s">
        <v>365</v>
      </c>
      <c r="C550">
        <f>A550-A548</f>
        <v>43</v>
      </c>
      <c r="D550" s="26">
        <f>C550/7</f>
        <v>6.1428571428571432</v>
      </c>
    </row>
    <row r="552" spans="1:4" x14ac:dyDescent="0.25">
      <c r="A552" s="16" t="s">
        <v>532</v>
      </c>
      <c r="B552" t="s">
        <v>592</v>
      </c>
    </row>
    <row r="553" spans="1:4" x14ac:dyDescent="0.25">
      <c r="A553" s="15">
        <v>45547</v>
      </c>
      <c r="B553" t="s">
        <v>357</v>
      </c>
    </row>
    <row r="554" spans="1:4" x14ac:dyDescent="0.25">
      <c r="A554" s="15">
        <v>45572</v>
      </c>
      <c r="B554" t="s">
        <v>360</v>
      </c>
    </row>
    <row r="555" spans="1:4" x14ac:dyDescent="0.25">
      <c r="A555" s="15">
        <v>45595</v>
      </c>
      <c r="B555" t="s">
        <v>365</v>
      </c>
      <c r="C555">
        <f>A555-A553</f>
        <v>48</v>
      </c>
      <c r="D555" s="26">
        <f>C555/7</f>
        <v>6.8571428571428568</v>
      </c>
    </row>
    <row r="557" spans="1:4" x14ac:dyDescent="0.25">
      <c r="A557" t="s">
        <v>601</v>
      </c>
    </row>
    <row r="558" spans="1:4" x14ac:dyDescent="0.25">
      <c r="A558" s="15">
        <f>A559-C555</f>
        <v>45694</v>
      </c>
      <c r="B558" t="s">
        <v>357</v>
      </c>
      <c r="C558">
        <f>A559-A558</f>
        <v>48</v>
      </c>
    </row>
    <row r="559" spans="1:4" x14ac:dyDescent="0.25">
      <c r="A559" s="15">
        <v>45742</v>
      </c>
      <c r="B559" t="s">
        <v>365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BEC2-BB28-4F1D-8943-8A04403CC646}">
  <sheetPr>
    <tabColor theme="8"/>
  </sheetPr>
  <dimension ref="A1:J30"/>
  <sheetViews>
    <sheetView workbookViewId="0">
      <selection activeCell="I9" sqref="I9"/>
    </sheetView>
  </sheetViews>
  <sheetFormatPr defaultColWidth="8.85546875" defaultRowHeight="12" x14ac:dyDescent="0.2"/>
  <cols>
    <col min="1" max="1" width="51.28515625" style="4" bestFit="1" customWidth="1"/>
    <col min="2" max="2" width="10.42578125" style="4" customWidth="1"/>
    <col min="3" max="16384" width="8.85546875" style="4"/>
  </cols>
  <sheetData>
    <row r="1" spans="1:10" x14ac:dyDescent="0.2">
      <c r="A1" s="3" t="s">
        <v>255</v>
      </c>
    </row>
    <row r="2" spans="1:10" x14ac:dyDescent="0.2">
      <c r="A2" s="5" t="s">
        <v>256</v>
      </c>
      <c r="B2" s="5" t="s">
        <v>257</v>
      </c>
      <c r="C2" s="21" t="s">
        <v>258</v>
      </c>
      <c r="D2" s="21" t="s">
        <v>259</v>
      </c>
      <c r="E2" s="21" t="s">
        <v>260</v>
      </c>
      <c r="F2" s="21" t="s">
        <v>261</v>
      </c>
      <c r="G2" s="21" t="s">
        <v>262</v>
      </c>
      <c r="H2" s="21" t="s">
        <v>263</v>
      </c>
      <c r="I2" s="21" t="s">
        <v>596</v>
      </c>
    </row>
    <row r="3" spans="1:10" x14ac:dyDescent="0.2">
      <c r="A3" s="5" t="s">
        <v>264</v>
      </c>
      <c r="B3" s="18" t="s">
        <v>258</v>
      </c>
      <c r="C3" s="19">
        <v>165.75061501859523</v>
      </c>
      <c r="D3" s="19">
        <v>507.16565724603413</v>
      </c>
      <c r="E3" s="19">
        <v>462.12229151321083</v>
      </c>
      <c r="F3" s="19">
        <v>432.62358130910172</v>
      </c>
      <c r="G3" s="19">
        <v>437.46389394073049</v>
      </c>
      <c r="H3" s="19">
        <v>469.53112245570594</v>
      </c>
      <c r="I3" s="32">
        <f>H3*H3/G3</f>
        <v>503.94896129275509</v>
      </c>
    </row>
    <row r="4" spans="1:10" x14ac:dyDescent="0.2">
      <c r="A4" s="5"/>
      <c r="B4" s="18" t="s">
        <v>259</v>
      </c>
      <c r="C4" s="19">
        <v>0</v>
      </c>
      <c r="D4" s="19">
        <v>6359.6373772386414</v>
      </c>
      <c r="E4" s="19">
        <v>479.01760963534912</v>
      </c>
      <c r="F4" s="19">
        <v>448.53540739669029</v>
      </c>
      <c r="G4" s="19">
        <v>462.63977609447693</v>
      </c>
      <c r="H4" s="19">
        <v>496.48596711230653</v>
      </c>
      <c r="I4" s="32">
        <f>H4*H3/G3</f>
        <v>532.87966538635419</v>
      </c>
    </row>
    <row r="5" spans="1:10" x14ac:dyDescent="0.2">
      <c r="A5" s="5"/>
      <c r="B5" s="18" t="s">
        <v>260</v>
      </c>
      <c r="C5" s="19">
        <v>0</v>
      </c>
      <c r="D5" s="19">
        <v>0</v>
      </c>
      <c r="E5" s="19">
        <v>6776.7487806099216</v>
      </c>
      <c r="F5" s="19">
        <v>446.77663974262316</v>
      </c>
      <c r="G5" s="19">
        <v>461.98824086957302</v>
      </c>
      <c r="H5" s="19">
        <v>499.44227305270772</v>
      </c>
      <c r="I5" s="32">
        <f t="shared" ref="I5:I8" si="0">H5*H4/G4</f>
        <v>535.98089218922769</v>
      </c>
    </row>
    <row r="6" spans="1:10" x14ac:dyDescent="0.2">
      <c r="A6" s="5"/>
      <c r="B6" s="18" t="s">
        <v>261</v>
      </c>
      <c r="C6" s="19">
        <v>0</v>
      </c>
      <c r="D6" s="19">
        <v>0</v>
      </c>
      <c r="E6" s="19">
        <v>0</v>
      </c>
      <c r="F6" s="19">
        <v>6945.2949183788205</v>
      </c>
      <c r="G6" s="19">
        <v>459.97012406525073</v>
      </c>
      <c r="H6" s="19">
        <v>496.25532602414069</v>
      </c>
      <c r="I6" s="32">
        <f t="shared" si="0"/>
        <v>536.48743867916278</v>
      </c>
    </row>
    <row r="7" spans="1:10" x14ac:dyDescent="0.2">
      <c r="A7" s="5"/>
      <c r="B7" s="18" t="s">
        <v>262</v>
      </c>
      <c r="C7" s="19">
        <v>0</v>
      </c>
      <c r="D7" s="19">
        <v>0</v>
      </c>
      <c r="E7" s="19">
        <v>0</v>
      </c>
      <c r="F7" s="19">
        <v>0</v>
      </c>
      <c r="G7" s="19">
        <v>7353.3938412621328</v>
      </c>
      <c r="H7" s="19">
        <v>494.49507234758983</v>
      </c>
      <c r="I7" s="32">
        <f t="shared" si="0"/>
        <v>533.50380928299751</v>
      </c>
      <c r="J7" s="6">
        <f>G7*G7/F6</f>
        <v>7785.4722686612004</v>
      </c>
    </row>
    <row r="8" spans="1:10" x14ac:dyDescent="0.2">
      <c r="A8" s="5"/>
      <c r="B8" s="18" t="s">
        <v>263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7462.3303005680982</v>
      </c>
      <c r="I8" s="32">
        <f t="shared" si="0"/>
        <v>501.82074311793821</v>
      </c>
      <c r="J8" s="6"/>
    </row>
    <row r="9" spans="1:10" x14ac:dyDescent="0.2">
      <c r="A9" s="5"/>
      <c r="B9" s="18" t="s">
        <v>596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1">
        <f>H8*H8/G7</f>
        <v>7572.8805932171836</v>
      </c>
      <c r="J9" s="6"/>
    </row>
    <row r="10" spans="1:10" x14ac:dyDescent="0.2">
      <c r="A10" s="5" t="s">
        <v>265</v>
      </c>
      <c r="B10" s="20" t="s">
        <v>258</v>
      </c>
      <c r="C10" s="19">
        <v>497.21741883061554</v>
      </c>
      <c r="D10" s="19">
        <v>2185.1669674497457</v>
      </c>
      <c r="E10" s="19">
        <v>2185.1669674498735</v>
      </c>
      <c r="F10" s="19">
        <v>2185.1669674497457</v>
      </c>
      <c r="G10" s="19">
        <v>2185.1669674497884</v>
      </c>
      <c r="H10" s="19">
        <v>2185.1669674498312</v>
      </c>
      <c r="I10" s="32">
        <f>H10*H10/G10</f>
        <v>2185.1669674498739</v>
      </c>
    </row>
    <row r="11" spans="1:10" x14ac:dyDescent="0.2">
      <c r="A11" s="5"/>
      <c r="B11" s="18" t="s">
        <v>259</v>
      </c>
      <c r="C11" s="19">
        <v>0</v>
      </c>
      <c r="D11" s="19">
        <v>1294.11119810635</v>
      </c>
      <c r="E11" s="19">
        <v>2405.2558816738101</v>
      </c>
      <c r="F11" s="19">
        <v>2405.2558816736678</v>
      </c>
      <c r="G11" s="19">
        <v>2405.2558816736964</v>
      </c>
      <c r="H11" s="19">
        <v>2405.2558816737528</v>
      </c>
      <c r="I11" s="32">
        <f t="shared" ref="I11:I15" si="1">H11*H10/G10</f>
        <v>2405.2558816737996</v>
      </c>
    </row>
    <row r="12" spans="1:10" x14ac:dyDescent="0.2">
      <c r="A12" s="5"/>
      <c r="B12" s="18" t="s">
        <v>260</v>
      </c>
      <c r="C12" s="19">
        <v>0</v>
      </c>
      <c r="D12" s="19">
        <v>0</v>
      </c>
      <c r="E12" s="19">
        <v>1285.9970818930151</v>
      </c>
      <c r="F12" s="19">
        <v>2377.0677158144763</v>
      </c>
      <c r="G12" s="19">
        <v>2377.0677158145472</v>
      </c>
      <c r="H12" s="19">
        <v>2377.0677158145618</v>
      </c>
      <c r="I12" s="32">
        <f t="shared" si="1"/>
        <v>2377.0677158146173</v>
      </c>
    </row>
    <row r="13" spans="1:10" x14ac:dyDescent="0.2">
      <c r="A13" s="5"/>
      <c r="B13" s="18" t="s">
        <v>261</v>
      </c>
      <c r="C13" s="19">
        <v>0</v>
      </c>
      <c r="D13" s="19">
        <v>0</v>
      </c>
      <c r="E13" s="19">
        <v>0</v>
      </c>
      <c r="F13" s="19">
        <v>994.04099027574944</v>
      </c>
      <c r="G13" s="19">
        <v>1876.2518428351598</v>
      </c>
      <c r="H13" s="19">
        <v>1876.2518428352023</v>
      </c>
      <c r="I13" s="32">
        <f t="shared" si="1"/>
        <v>1876.2518428352137</v>
      </c>
    </row>
    <row r="14" spans="1:10" x14ac:dyDescent="0.2">
      <c r="A14" s="5"/>
      <c r="B14" s="18" t="s">
        <v>262</v>
      </c>
      <c r="C14" s="19">
        <v>0</v>
      </c>
      <c r="D14" s="19">
        <v>0</v>
      </c>
      <c r="E14" s="19">
        <v>0</v>
      </c>
      <c r="F14" s="19">
        <v>0</v>
      </c>
      <c r="G14" s="19">
        <v>940.71372652908281</v>
      </c>
      <c r="H14" s="19">
        <v>1808.3926476469401</v>
      </c>
      <c r="I14" s="32">
        <f t="shared" si="1"/>
        <v>1808.392647646981</v>
      </c>
      <c r="J14" s="6">
        <f>G14*G14/F13</f>
        <v>890.2473076434693</v>
      </c>
    </row>
    <row r="15" spans="1:10" x14ac:dyDescent="0.2">
      <c r="A15" s="5"/>
      <c r="B15" s="18" t="s">
        <v>263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1123.792104584581</v>
      </c>
      <c r="I15" s="32">
        <f t="shared" si="1"/>
        <v>2160.3356282604523</v>
      </c>
      <c r="J15" s="6"/>
    </row>
    <row r="16" spans="1:10" x14ac:dyDescent="0.2">
      <c r="A16" s="5"/>
      <c r="B16" s="18" t="s">
        <v>596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3">
        <f>H15*H15/G14</f>
        <v>1342.5005490101119</v>
      </c>
      <c r="J16" s="6"/>
    </row>
    <row r="17" spans="1:10" x14ac:dyDescent="0.2">
      <c r="A17" s="5" t="s">
        <v>266</v>
      </c>
      <c r="B17" s="20" t="s">
        <v>258</v>
      </c>
      <c r="C17" s="22">
        <v>9915.0201419603563</v>
      </c>
      <c r="D17" s="22">
        <v>293.78103969449398</v>
      </c>
      <c r="E17" s="22">
        <v>0</v>
      </c>
      <c r="F17" s="22">
        <v>0</v>
      </c>
      <c r="G17" s="22">
        <v>0</v>
      </c>
      <c r="H17" s="22">
        <v>0</v>
      </c>
      <c r="I17" s="36">
        <v>0</v>
      </c>
    </row>
    <row r="18" spans="1:10" x14ac:dyDescent="0.2">
      <c r="A18" s="5"/>
      <c r="B18" s="18" t="s">
        <v>259</v>
      </c>
      <c r="C18" s="23">
        <v>0</v>
      </c>
      <c r="D18" s="23">
        <v>9631.6441993346671</v>
      </c>
      <c r="E18" s="23">
        <v>296.30733369464224</v>
      </c>
      <c r="F18" s="23">
        <v>0</v>
      </c>
      <c r="G18" s="23">
        <v>0</v>
      </c>
      <c r="H18" s="23">
        <v>0</v>
      </c>
      <c r="I18" s="37">
        <v>0</v>
      </c>
    </row>
    <row r="19" spans="1:10" x14ac:dyDescent="0.2">
      <c r="A19" s="5"/>
      <c r="B19" s="18" t="s">
        <v>260</v>
      </c>
      <c r="C19" s="23">
        <v>0</v>
      </c>
      <c r="D19" s="23">
        <v>0</v>
      </c>
      <c r="E19" s="23">
        <v>8632.1273607006406</v>
      </c>
      <c r="F19" s="23">
        <v>297.64961252172384</v>
      </c>
      <c r="G19" s="23">
        <v>0</v>
      </c>
      <c r="H19" s="23">
        <v>0</v>
      </c>
      <c r="I19" s="37">
        <v>0</v>
      </c>
    </row>
    <row r="20" spans="1:10" x14ac:dyDescent="0.2">
      <c r="A20" s="5"/>
      <c r="B20" s="18" t="s">
        <v>261</v>
      </c>
      <c r="C20" s="23">
        <v>0</v>
      </c>
      <c r="D20" s="23">
        <v>0</v>
      </c>
      <c r="E20" s="23">
        <v>0</v>
      </c>
      <c r="F20" s="23">
        <v>7878.8039701493117</v>
      </c>
      <c r="G20" s="23">
        <v>297.98627973482894</v>
      </c>
      <c r="H20" s="23">
        <v>0</v>
      </c>
      <c r="I20" s="37">
        <v>0</v>
      </c>
    </row>
    <row r="21" spans="1:10" x14ac:dyDescent="0.2">
      <c r="A21" s="5"/>
      <c r="B21" s="18" t="s">
        <v>262</v>
      </c>
      <c r="C21" s="23">
        <v>0</v>
      </c>
      <c r="D21" s="23">
        <v>0</v>
      </c>
      <c r="E21" s="23">
        <v>0</v>
      </c>
      <c r="F21" s="23">
        <v>0</v>
      </c>
      <c r="G21" s="23">
        <v>6899.349575703648</v>
      </c>
      <c r="H21" s="23">
        <v>298.0056109775262</v>
      </c>
      <c r="I21" s="37">
        <v>0</v>
      </c>
      <c r="J21" s="6">
        <f>G21*G21/F20</f>
        <v>6041.6561635636199</v>
      </c>
    </row>
    <row r="22" spans="1:10" x14ac:dyDescent="0.2">
      <c r="A22" s="5"/>
      <c r="B22" s="18" t="s">
        <v>263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6158.0576528224192</v>
      </c>
      <c r="I22" s="37">
        <f>H21</f>
        <v>298.0056109775262</v>
      </c>
      <c r="J22" s="6"/>
    </row>
    <row r="23" spans="1:10" x14ac:dyDescent="0.2">
      <c r="A23" s="5"/>
      <c r="B23" s="18" t="s">
        <v>596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0">
        <f>H22*H22/G21</f>
        <v>5496.4129066640635</v>
      </c>
      <c r="J23" s="6"/>
    </row>
    <row r="24" spans="1:10" x14ac:dyDescent="0.2">
      <c r="A24" s="5" t="s">
        <v>267</v>
      </c>
      <c r="B24" s="20" t="s">
        <v>258</v>
      </c>
      <c r="C24" s="19">
        <v>10.42954086295822</v>
      </c>
      <c r="D24" s="19">
        <v>45.025105299131951</v>
      </c>
      <c r="E24" s="19">
        <v>45.773715246113511</v>
      </c>
      <c r="F24" s="19">
        <v>46.879918738298443</v>
      </c>
      <c r="G24" s="19">
        <v>47.646399379203785</v>
      </c>
      <c r="H24" s="19">
        <v>48.294611074069849</v>
      </c>
      <c r="I24" s="32">
        <f>H24</f>
        <v>48.294611074069849</v>
      </c>
    </row>
    <row r="25" spans="1:10" x14ac:dyDescent="0.2">
      <c r="A25" s="5"/>
      <c r="B25" s="18" t="s">
        <v>259</v>
      </c>
      <c r="C25" s="19">
        <v>0</v>
      </c>
      <c r="D25" s="19">
        <v>20.890820547805333</v>
      </c>
      <c r="E25" s="19">
        <v>38.739427609968402</v>
      </c>
      <c r="F25" s="19">
        <v>39.55512856194332</v>
      </c>
      <c r="G25" s="19">
        <v>39.90327920234904</v>
      </c>
      <c r="H25" s="19">
        <v>40.22132365498976</v>
      </c>
      <c r="I25" s="32">
        <f t="shared" ref="I25:I28" si="2">H25</f>
        <v>40.22132365498976</v>
      </c>
    </row>
    <row r="26" spans="1:10" x14ac:dyDescent="0.2">
      <c r="A26" s="5"/>
      <c r="B26" s="18" t="s">
        <v>260</v>
      </c>
      <c r="C26" s="19">
        <v>0</v>
      </c>
      <c r="D26" s="19">
        <v>0</v>
      </c>
      <c r="E26" s="19">
        <v>18.234566013035192</v>
      </c>
      <c r="F26" s="19">
        <v>38.987218627838161</v>
      </c>
      <c r="G26" s="19">
        <v>39.271615482817879</v>
      </c>
      <c r="H26" s="19">
        <v>39.327020716015682</v>
      </c>
      <c r="I26" s="32">
        <f t="shared" si="2"/>
        <v>39.327020716015682</v>
      </c>
    </row>
    <row r="27" spans="1:10" x14ac:dyDescent="0.2">
      <c r="A27" s="5"/>
      <c r="B27" s="18" t="s">
        <v>261</v>
      </c>
      <c r="C27" s="19">
        <v>0</v>
      </c>
      <c r="D27" s="19">
        <v>0</v>
      </c>
      <c r="E27" s="19">
        <v>0</v>
      </c>
      <c r="F27" s="19">
        <v>16.865043474268759</v>
      </c>
      <c r="G27" s="19">
        <v>40.91192547768685</v>
      </c>
      <c r="H27" s="19">
        <v>40.965873733654234</v>
      </c>
      <c r="I27" s="32">
        <f t="shared" si="2"/>
        <v>40.965873733654234</v>
      </c>
    </row>
    <row r="28" spans="1:10" x14ac:dyDescent="0.2">
      <c r="A28" s="5"/>
      <c r="B28" s="18" t="s">
        <v>262</v>
      </c>
      <c r="C28" s="19">
        <v>0</v>
      </c>
      <c r="D28" s="19">
        <v>0</v>
      </c>
      <c r="E28" s="19">
        <v>0</v>
      </c>
      <c r="F28" s="19">
        <v>0</v>
      </c>
      <c r="G28" s="19">
        <v>16.341185529356039</v>
      </c>
      <c r="H28" s="19">
        <v>41.090974375990186</v>
      </c>
      <c r="I28" s="32">
        <f t="shared" si="2"/>
        <v>41.090974375990186</v>
      </c>
      <c r="J28" s="6">
        <f>G28*G28/F27</f>
        <v>15.83359953457893</v>
      </c>
    </row>
    <row r="29" spans="1:10" x14ac:dyDescent="0.2">
      <c r="A29" s="5"/>
      <c r="B29" s="18" t="s">
        <v>263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17.366496415377242</v>
      </c>
      <c r="I29" s="32">
        <f>H28</f>
        <v>41.090974375990186</v>
      </c>
      <c r="J29" s="6"/>
    </row>
    <row r="30" spans="1:10" x14ac:dyDescent="0.2">
      <c r="A30" s="5"/>
      <c r="B30" s="18" t="s">
        <v>596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2">
        <f>H29</f>
        <v>17.366496415377242</v>
      </c>
      <c r="J30" s="6"/>
    </row>
  </sheetData>
  <phoneticPr fontId="10" type="noConversion"/>
  <hyperlinks>
    <hyperlink ref="A1" location="Notes!A1" display="Back to contents" xr:uid="{E34EFB33-0C6F-4D4D-AE7A-0353CDD977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Calculations</vt:lpstr>
      <vt:lpstr>HAVERD</vt:lpstr>
      <vt:lpstr>OBR RR Mar24 - Debt interest</vt:lpstr>
      <vt:lpstr>Chart2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2023-12-07T11:37:13Z</dcterms:created>
  <dcterms:modified xsi:type="dcterms:W3CDTF">2024-12-20T09:04:08Z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2023-12-07T11:37:48Z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631466a1-1efe-4b1e-b71f-58e8f3b2332c</vt:lpwstr>
  </property>
  <property fmtid="{D5CDD505-2E9C-101B-9397-08002B2CF9AE}" pid="8" name="MSIP_Label_3b83b38b-8e91-4f17-8371-95d3d41e26c0_ContentBits">
    <vt:lpwstr>0</vt:lpwstr>
  </property>
</Properties>
</file>