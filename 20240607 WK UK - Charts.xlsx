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7AF4EBCE-128A-449B-84E1-CD2C1C396C39}" xr6:coauthVersionLast="47" xr6:coauthVersionMax="47" xr10:uidLastSave="{00000000-0000-0000-0000-000000000000}"/>
  <bookViews>
    <workbookView xWindow="-120" yWindow="-120" windowWidth="29040" windowHeight="15840" activeTab="1" xr2:uid="{B3462346-EFE4-459B-805F-6EB376194F5B}"/>
  </bookViews>
  <sheets>
    <sheet name="Chart1" sheetId="2" r:id="rId1"/>
    <sheet name="Chart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F10" i="1"/>
  <c r="C10" i="1"/>
  <c r="D10" i="1"/>
  <c r="B10" i="1"/>
  <c r="H8" i="1"/>
  <c r="D8" i="1"/>
  <c r="C8" i="1"/>
  <c r="B8" i="1"/>
  <c r="F8" i="1" s="1"/>
  <c r="F7" i="1"/>
  <c r="F6" i="1"/>
  <c r="F5" i="1"/>
  <c r="F4" i="1"/>
</calcChain>
</file>

<file path=xl/sharedStrings.xml><?xml version="1.0" encoding="utf-8"?>
<sst xmlns="http://schemas.openxmlformats.org/spreadsheetml/2006/main" count="12" uniqueCount="12">
  <si>
    <t>MRPs</t>
  </si>
  <si>
    <t>YouGov</t>
  </si>
  <si>
    <t>Labour</t>
  </si>
  <si>
    <t>Conservative</t>
  </si>
  <si>
    <t>Lib Dem</t>
  </si>
  <si>
    <t>SNP</t>
  </si>
  <si>
    <t>Other</t>
  </si>
  <si>
    <t>2019 election</t>
  </si>
  <si>
    <t>More in common</t>
  </si>
  <si>
    <t>Average</t>
  </si>
  <si>
    <t>Survation</t>
  </si>
  <si>
    <t>Labour majority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</si>
</sst>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Fill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view3D>
      <c:rotX val="40"/>
      <c:rotY val="0"/>
      <c:depthPercent val="100"/>
      <c:rAngAx val="0"/>
      <c:perspective val="0"/>
    </c:view3D>
    <c:floor>
      <c:thickness val="0"/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0.17776852469712473"/>
          <c:y val="4.5320325058377603E-2"/>
          <c:w val="0.67793031374591195"/>
          <c:h val="0.84920635982010195"/>
        </c:manualLayout>
      </c:layout>
      <c:pie3DChart>
        <c:varyColors val="1"/>
        <c:ser>
          <c:idx val="0"/>
          <c:order val="0"/>
          <c:tx>
            <c:strRef>
              <c:f>'Chart Data'!$F$3</c:f>
              <c:strCache>
                <c:ptCount val="1"/>
                <c:pt idx="0">
                  <c:v>Average</c:v>
                </c:pt>
              </c:strCache>
            </c:strRef>
          </c:tx>
          <c:explosion val="10"/>
          <c:dPt>
            <c:idx val="6"/>
            <c:bubble3D val="0"/>
            <c:spPr>
              <a:solidFill>
                <a:srgbClr val="00793F"/>
              </a:solidFill>
            </c:spPr>
            <c:extLst>
              <c:ext xmlns:c16="http://schemas.microsoft.com/office/drawing/2014/chart" uri="{C3380CC4-5D6E-409C-BE32-E72D297353CC}">
                <c16:uniqueId val="{0000001F-A82D-44A4-817D-9CEEE4E77BAE}"/>
              </c:ext>
            </c:extLst>
          </c:dPt>
          <c:dPt>
            <c:idx val="7"/>
            <c:bubble3D val="0"/>
            <c:spPr>
              <a:solidFill>
                <a:srgbClr val="DE6328"/>
              </a:solidFill>
              <a:ln>
                <a:solidFill>
                  <a:srgbClr val="DE6328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A82D-44A4-817D-9CEEE4E77BAE}"/>
              </c:ext>
            </c:extLst>
          </c:dPt>
          <c:dPt>
            <c:idx val="8"/>
            <c:bubble3D val="0"/>
            <c:spPr>
              <a:solidFill>
                <a:srgbClr val="00793F"/>
              </a:solidFill>
            </c:spPr>
            <c:extLst>
              <c:ext xmlns:c16="http://schemas.microsoft.com/office/drawing/2014/chart" uri="{C3380CC4-5D6E-409C-BE32-E72D297353CC}">
                <c16:uniqueId val="{00000023-A82D-44A4-817D-9CEEE4E77BAE}"/>
              </c:ext>
            </c:extLst>
          </c:dPt>
          <c:dLbls>
            <c:dLbl>
              <c:idx val="4"/>
              <c:layout>
                <c:manualLayout>
                  <c:x val="3.6158192090395481E-2"/>
                  <c:y val="-1.69731258840169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82D-44A4-817D-9CEEE4E77BAE}"/>
                </c:ext>
              </c:extLst>
            </c:dLbl>
            <c:numFmt formatCode="#,##0" sourceLinked="0"/>
            <c:spPr>
              <a:noFill/>
              <a:ln w="25400">
                <a:noFill/>
              </a:ln>
              <a:effectLst/>
            </c:spPr>
            <c:txPr>
              <a:bodyPr/>
              <a:lstStyle/>
              <a:p>
                <a:pPr>
                  <a:defRPr sz="1800" b="0" i="0" u="none" strike="noStrike" baseline="0">
                    <a:solidFill>
                      <a:srgbClr val="495057"/>
                    </a:solidFill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'Chart Data'!$A$4:$A$8</c:f>
              <c:strCache>
                <c:ptCount val="5"/>
                <c:pt idx="0">
                  <c:v>Labour</c:v>
                </c:pt>
                <c:pt idx="1">
                  <c:v>Conservative</c:v>
                </c:pt>
                <c:pt idx="2">
                  <c:v>Lib Dem</c:v>
                </c:pt>
                <c:pt idx="3">
                  <c:v>SNP</c:v>
                </c:pt>
                <c:pt idx="4">
                  <c:v>Other</c:v>
                </c:pt>
              </c:strCache>
            </c:strRef>
          </c:cat>
          <c:val>
            <c:numRef>
              <c:f>'Chart Data'!$F$4:$F$8</c:f>
              <c:numCache>
                <c:formatCode>0</c:formatCode>
                <c:ptCount val="5"/>
                <c:pt idx="0">
                  <c:v>430.33333333333331</c:v>
                </c:pt>
                <c:pt idx="1">
                  <c:v>130.33333333333334</c:v>
                </c:pt>
                <c:pt idx="2">
                  <c:v>40.333333333333336</c:v>
                </c:pt>
                <c:pt idx="3">
                  <c:v>26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A82D-44A4-817D-9CEEE4E77B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C2B08DD-340F-48D3-BDFC-537C10802EC7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441740-7FB1-ED5C-9116-40C9563360B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0.96148</cdr:x>
      <cdr:y>0.09193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285B086-4732-476F-555C-736A22EF92D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Average MRP* results - w/c 3rd June</a:t>
          </a:r>
        </a:p>
      </cdr:txBody>
    </cdr:sp>
  </cdr:relSizeAnchor>
  <cdr:relSizeAnchor xmlns:cdr="http://schemas.openxmlformats.org/drawingml/2006/chartDrawing">
    <cdr:from>
      <cdr:x>0.00546</cdr:x>
      <cdr:y>0.89816</cdr:y>
    </cdr:from>
    <cdr:to>
      <cdr:x>0.96148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B67D234D-1E8C-40FC-F7EB-EF2223435326}"/>
            </a:ext>
          </a:extLst>
        </cdr:cNvPr>
        <cdr:cNvSpPr/>
      </cdr:nvSpPr>
      <cdr:spPr>
        <a:xfrm xmlns:a="http://schemas.openxmlformats.org/drawingml/2006/main">
          <a:off x="46026" y="6048375"/>
          <a:ext cx="8058890" cy="6858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 calculations using data from More In Common, YouGov, and Survation</a:t>
          </a:r>
        </a:p>
      </cdr:txBody>
    </cdr:sp>
  </cdr:relSizeAnchor>
  <cdr:relSizeAnchor xmlns:cdr="http://schemas.openxmlformats.org/drawingml/2006/chartDrawing">
    <cdr:from>
      <cdr:x>0.00113</cdr:x>
      <cdr:y>0.79632</cdr:y>
    </cdr:from>
    <cdr:to>
      <cdr:x>0.99887</cdr:x>
      <cdr:y>0.91513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FDCF71E0-ECBD-FC75-AD98-229743DF925E}"/>
            </a:ext>
          </a:extLst>
        </cdr:cNvPr>
        <cdr:cNvSpPr txBox="1"/>
      </cdr:nvSpPr>
      <cdr:spPr>
        <a:xfrm xmlns:a="http://schemas.openxmlformats.org/drawingml/2006/main">
          <a:off x="9557" y="5362575"/>
          <a:ext cx="8410543" cy="800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100" b="0" i="0" baseline="0">
              <a:solidFill>
                <a:srgbClr val="495057"/>
              </a:solidFill>
              <a:effectLst/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 * </a:t>
          </a:r>
          <a:r>
            <a:rPr lang="en-GB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  <a:ea typeface="+mn-ea"/>
              <a:cs typeface="+mn-cs"/>
            </a:rPr>
            <a:t>Multilevel regression and post-stratification - this method uses opinion polls and demographic information to estimate voting intention at constituency level</a:t>
          </a:r>
          <a:endParaRPr lang="en-GB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urvation.com/survation-mrp-labour-set-for-record-breaking-majority/" TargetMode="External"/><Relationship Id="rId2" Type="http://schemas.openxmlformats.org/officeDocument/2006/relationships/hyperlink" Target="https://www.moreincommon.org.uk/general-election-2024/mrp/" TargetMode="External"/><Relationship Id="rId1" Type="http://schemas.openxmlformats.org/officeDocument/2006/relationships/hyperlink" Target="https://yougov.co.uk/politics/articles/49606-first-yougov-mrp-of-2024-general-election-shows-labour-on-track-to-beat-1997-landslide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3157-A5D1-4058-8821-EECCCC50E225}">
  <dimension ref="A1:H10"/>
  <sheetViews>
    <sheetView tabSelected="1" workbookViewId="0">
      <selection activeCell="K25" sqref="K25"/>
    </sheetView>
  </sheetViews>
  <sheetFormatPr defaultRowHeight="15" x14ac:dyDescent="0.25"/>
  <cols>
    <col min="1" max="1" width="15" bestFit="1" customWidth="1"/>
    <col min="5" max="5" width="2.7109375" customWidth="1"/>
    <col min="7" max="7" width="2.7109375" customWidth="1"/>
  </cols>
  <sheetData>
    <row r="1" spans="1:8" x14ac:dyDescent="0.25">
      <c r="A1" s="1" t="s">
        <v>0</v>
      </c>
    </row>
    <row r="2" spans="1:8" x14ac:dyDescent="0.25">
      <c r="B2" s="3"/>
    </row>
    <row r="3" spans="1:8" x14ac:dyDescent="0.25">
      <c r="B3" s="2" t="s">
        <v>1</v>
      </c>
      <c r="C3" s="2" t="s">
        <v>8</v>
      </c>
      <c r="D3" s="2" t="s">
        <v>10</v>
      </c>
      <c r="F3" t="s">
        <v>9</v>
      </c>
      <c r="H3" t="s">
        <v>7</v>
      </c>
    </row>
    <row r="4" spans="1:8" x14ac:dyDescent="0.25">
      <c r="A4" t="s">
        <v>2</v>
      </c>
      <c r="B4">
        <v>422</v>
      </c>
      <c r="C4">
        <v>382</v>
      </c>
      <c r="D4">
        <v>487</v>
      </c>
      <c r="E4" s="4"/>
      <c r="F4" s="4">
        <f>AVERAGE(B4:D4)</f>
        <v>430.33333333333331</v>
      </c>
      <c r="G4" s="4"/>
      <c r="H4">
        <v>202</v>
      </c>
    </row>
    <row r="5" spans="1:8" x14ac:dyDescent="0.25">
      <c r="A5" t="s">
        <v>3</v>
      </c>
      <c r="B5">
        <v>140</v>
      </c>
      <c r="C5">
        <v>180</v>
      </c>
      <c r="D5">
        <v>71</v>
      </c>
      <c r="E5" s="4"/>
      <c r="F5" s="4">
        <f>AVERAGE(B5:D5)</f>
        <v>130.33333333333334</v>
      </c>
      <c r="G5" s="4"/>
      <c r="H5">
        <v>365</v>
      </c>
    </row>
    <row r="6" spans="1:8" x14ac:dyDescent="0.25">
      <c r="A6" t="s">
        <v>4</v>
      </c>
      <c r="B6">
        <v>48</v>
      </c>
      <c r="C6">
        <v>30</v>
      </c>
      <c r="D6">
        <v>43</v>
      </c>
      <c r="E6" s="4"/>
      <c r="F6" s="4">
        <f>AVERAGE(B6:D6)</f>
        <v>40.333333333333336</v>
      </c>
      <c r="G6" s="4"/>
      <c r="H6">
        <v>11</v>
      </c>
    </row>
    <row r="7" spans="1:8" x14ac:dyDescent="0.25">
      <c r="A7" t="s">
        <v>5</v>
      </c>
      <c r="B7">
        <v>17</v>
      </c>
      <c r="C7">
        <v>35</v>
      </c>
      <c r="D7">
        <v>26</v>
      </c>
      <c r="E7" s="4"/>
      <c r="F7" s="4">
        <f>AVERAGE(B7:D7)</f>
        <v>26</v>
      </c>
      <c r="G7" s="4"/>
      <c r="H7">
        <v>48</v>
      </c>
    </row>
    <row r="8" spans="1:8" x14ac:dyDescent="0.25">
      <c r="A8" t="s">
        <v>6</v>
      </c>
      <c r="B8">
        <f>650-SUM(B4:B7)</f>
        <v>23</v>
      </c>
      <c r="C8">
        <f>650-SUM(C4:C7)</f>
        <v>23</v>
      </c>
      <c r="D8">
        <f>650-SUM(D4:D7)</f>
        <v>23</v>
      </c>
      <c r="E8" s="4"/>
      <c r="F8" s="4">
        <f>AVERAGE(B8:D8)</f>
        <v>23</v>
      </c>
      <c r="G8" s="4"/>
      <c r="H8">
        <f>650-SUM(H4:H7)</f>
        <v>24</v>
      </c>
    </row>
    <row r="10" spans="1:8" x14ac:dyDescent="0.25">
      <c r="A10" t="s">
        <v>11</v>
      </c>
      <c r="B10">
        <f>(B4-(650/2))*2</f>
        <v>194</v>
      </c>
      <c r="C10">
        <f t="shared" ref="C10:H10" si="0">(C4-(650/2))*2</f>
        <v>114</v>
      </c>
      <c r="D10">
        <f t="shared" si="0"/>
        <v>324</v>
      </c>
      <c r="F10" s="4">
        <f t="shared" si="0"/>
        <v>210.66666666666663</v>
      </c>
      <c r="H10" s="4">
        <f>(H5-(650/2))*2</f>
        <v>80</v>
      </c>
    </row>
  </sheetData>
  <hyperlinks>
    <hyperlink ref="B3" r:id="rId1" xr:uid="{C29BF49E-B49E-4641-A74D-32E56BE670D4}"/>
    <hyperlink ref="C3" r:id="rId2" xr:uid="{0093D1B4-F168-456B-8D1E-A9C70C36B324}"/>
    <hyperlink ref="D3" r:id="rId3" xr:uid="{1D0D0297-301A-4BBB-8DCD-47402B1ED952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Chart Data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2024-06-04T08:10:12Z</dcterms:created>
  <dcterms:modified xsi:type="dcterms:W3CDTF">2024-06-06T19:11:19Z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2024-06-04T08:15:21Z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e45a8dd2-4895-460e-bd5f-2b5f31600256</vt:lpwstr>
  </property>
  <property fmtid="{D5CDD505-2E9C-101B-9397-08002B2CF9AE}" pid="8" name="MSIP_Label_231f5784-19ed-4d1e-9a93-4ea41014d730_ContentBits">
    <vt:lpwstr>0</vt:lpwstr>
  </property>
</Properties>
</file>