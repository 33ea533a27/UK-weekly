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73187159-C325-4FE9-8911-B800950CAE20}" xr6:coauthVersionLast="47" xr6:coauthVersionMax="47" xr10:uidLastSave="{00000000-0000-0000-0000-000000000000}"/>
  <bookViews>
    <workbookView xWindow="-120" yWindow="-120" windowWidth="29040" windowHeight="15840" activeTab="1" xr2:uid="{8AB49265-98A6-4E22-B74E-4A749A593DC0}"/>
  </bookViews>
  <sheets>
    <sheet name="Chart - MAPP &amp; RPT" sheetId="4" r:id="rId1"/>
    <sheet name="Chart - migration" sheetId="8" r:id="rId2"/>
    <sheet name="Chart Data" sheetId="7" r:id="rId3"/>
    <sheet name="HAVERM" sheetId="1" r:id="rId4"/>
    <sheet name="LTIM ye Jun24 - Table 1" sheetId="5" r:id="rId5"/>
    <sheet name="LTIM ye Dec23 - Table 1" sheetId="6" r:id="rId6"/>
    <sheet name="Pproj - Jan24" sheetId="9" r:id="rId7"/>
  </sheets>
  <definedNames>
    <definedName name="_DLX1.INC">HAVERM!$B$2:$I$7</definedName>
    <definedName name="_xlnm.Print_Titles" localSheetId="5">'LTIM ye Dec23 - Table 1'!$1:$5</definedName>
    <definedName name="_xlnm.Print_Titles" localSheetId="4">'LTIM ye Jun24 - Table 1'!$1:$6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7" l="1"/>
  <c r="G51" i="7"/>
  <c r="G47" i="7"/>
  <c r="G43" i="7"/>
  <c r="G39" i="7"/>
  <c r="D51" i="7"/>
  <c r="D47" i="7"/>
  <c r="D43" i="7"/>
  <c r="D39" i="7"/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F47" i="7" s="1"/>
  <c r="B48" i="7"/>
  <c r="B49" i="7"/>
  <c r="B50" i="7"/>
  <c r="B51" i="7"/>
  <c r="B3" i="7"/>
  <c r="F49" i="7" l="1"/>
  <c r="F43" i="7"/>
</calcChain>
</file>

<file path=xl/sharedStrings.xml><?xml version="1.0" encoding="utf-8"?>
<sst xmlns="http://schemas.openxmlformats.org/spreadsheetml/2006/main" count="713" uniqueCount="191">
  <si>
    <t>USVTVX@UK</t>
  </si>
  <si>
    <t>USBZ2C@UK</t>
  </si>
  <si>
    <t>USVTVC@UK</t>
  </si>
  <si>
    <t>UKSPT@UK</t>
  </si>
  <si>
    <t>202001 !M</t>
  </si>
  <si>
    <t>202001</t>
  </si>
  <si>
    <t>.DTLM</t>
  </si>
  <si>
    <t>.LSOURCE</t>
  </si>
  <si>
    <t>.TN</t>
  </si>
  <si>
    <t>.T1</t>
  </si>
  <si>
    <t>.DESC</t>
  </si>
  <si>
    <t>Oct-29-2024 09:32</t>
  </si>
  <si>
    <t>Bank of England</t>
  </si>
  <si>
    <t>Sep-2024</t>
  </si>
  <si>
    <t>Apr-1993</t>
  </si>
  <si>
    <t>UK: Mortgage Loans Approved: All Lenders: House Purchase (SA, Number)</t>
  </si>
  <si>
    <t>UK: Lending to Individuals ex Student Loans: Total: Net Change (SA, Mil.GBP)</t>
  </si>
  <si>
    <t>Oct-29-2024 09:41</t>
  </si>
  <si>
    <t>UK: Mortgage Lending: Total [incl Housing Assns]: Gross New Loans (SA, Mil.GBP)</t>
  </si>
  <si>
    <t>Oct-31-2024 09:36</t>
  </si>
  <si>
    <t>HM Revenue &amp; Customs</t>
  </si>
  <si>
    <t>Apr-2005</t>
  </si>
  <si>
    <t>UK: Residential Property Transactions over 40,000 GBP(SA, Thous)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</si>
  <si>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</si>
  <si>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</si>
  <si>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</si>
  <si>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</si>
  <si>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</si>
  <si>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</si>
  <si>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</si>
  <si>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</si>
  <si>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</si>
  <si>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</si>
  <si>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</si>
  <si>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</si>
  <si>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</si>
  <si>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</si>
  <si>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</si>
  <si>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</si>
  <si>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</si>
  <si>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</si>
  <si>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</si>
  <si>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</si>
  <si>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</si>
  <si>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</si>
  <si>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</si>
  <si>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</si>
  <si>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</si>
  <si>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</si>
  <si>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</si>
  <si>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</si>
  <si>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</si>
  <si>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</si>
  <si>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</si>
  <si>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</si>
  <si>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</si>
  <si>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</si>
  <si>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</si>
  <si>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</si>
  <si>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</si>
  <si>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</si>
  <si>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</si>
  <si>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</si>
  <si>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</si>
  <si>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</si>
  <si>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</si>
  <si>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</si>
  <si>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</si>
  <si>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</si>
  <si>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</si>
  <si>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</si>
  <si>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</si>
  <si>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</si>
  <si>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</si>
  <si>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</si>
  <si>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</si>
  <si>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</si>
  <si>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</si>
  <si>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</si>
  <si>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Residential transactions (RHS)</t>
  </si>
  <si>
    <t>Mortgage approvals lagged three months (LHS)</t>
  </si>
  <si>
    <t>Table 1: Long-term international migration into and out of the United Kingdom by nationality,</t>
  </si>
  <si>
    <t>using new approach to producing migration estimates.</t>
  </si>
  <si>
    <t>This worksheet contains one table.</t>
  </si>
  <si>
    <t>Notes and definitions are referred to in this table. The text for these can be found in the corresponding worksheets.</t>
  </si>
  <si>
    <t>Some shorthand is used in this table, P = provisional, R = revised, YE = Year Ending and EU = European Union.</t>
  </si>
  <si>
    <t>Flow
[note 2]</t>
  </si>
  <si>
    <t>Period
[note 15]</t>
  </si>
  <si>
    <t>All Nationalities
[note 1]</t>
  </si>
  <si>
    <t>British
[definition 2]</t>
  </si>
  <si>
    <t>EU+
[definition 3]</t>
  </si>
  <si>
    <t>Non-EU+
[definition 4]</t>
  </si>
  <si>
    <t>Immigration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</si>
  <si>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</si>
  <si>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</si>
  <si>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</si>
  <si>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</si>
  <si>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</si>
  <si>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</si>
  <si>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</si>
  <si>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</si>
  <si>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</si>
  <si>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</si>
  <si>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</si>
  <si>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</si>
  <si>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</si>
  <si>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</si>
  <si>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</si>
  <si>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</si>
  <si>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</si>
  <si>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</si>
  <si>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</si>
  <si>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</si>
  <si>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</si>
  <si>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</si>
  <si>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</si>
  <si>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</si>
  <si>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</si>
  <si>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</si>
  <si>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</si>
  <si>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</si>
  <si>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</si>
  <si>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</si>
  <si>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</si>
  <si>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</si>
  <si>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</si>
  <si>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</si>
  <si>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</si>
  <si>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</si>
  <si>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 R</t>
  </si>
  <si>
    <t>YE Sep 21 R</t>
  </si>
  <si>
    <t>YE Dec 21 R</t>
  </si>
  <si>
    <t>YE Mar 22 R</t>
  </si>
  <si>
    <t>YE Jun 22 R</t>
  </si>
  <si>
    <t>YE Sep 22 R</t>
  </si>
  <si>
    <t>YE Dec 22 R</t>
  </si>
  <si>
    <t>YE Mar 23 R</t>
  </si>
  <si>
    <t>YE Jun 23 R</t>
  </si>
  <si>
    <t>YE Sep 23 R P</t>
  </si>
  <si>
    <t>YE Dec 23 R P</t>
  </si>
  <si>
    <t>YE Mar 24 P</t>
  </si>
  <si>
    <t>YE Jun 24 P</t>
  </si>
  <si>
    <t>Emigration</t>
  </si>
  <si>
    <t>Net migration</t>
  </si>
  <si>
    <t xml:space="preserve">This worksheet contains one table. Freeze panes is turned on. </t>
  </si>
  <si>
    <t>To turn off freeze panes select the 'View' ribbon then 'Freeze Panes' then 'Unfreeze Panes' or use [Alt W, F]</t>
  </si>
  <si>
    <t>Flow</t>
  </si>
  <si>
    <t>Period</t>
  </si>
  <si>
    <t>All Nationalities</t>
  </si>
  <si>
    <t>British</t>
  </si>
  <si>
    <t>EU</t>
  </si>
  <si>
    <t>Non-EU</t>
  </si>
  <si>
    <t>YE Jun 21</t>
  </si>
  <si>
    <t>YE Sep 21</t>
  </si>
  <si>
    <t>YE Dec 21</t>
  </si>
  <si>
    <t>YE Mar 22</t>
  </si>
  <si>
    <t>YE Jun 22</t>
  </si>
  <si>
    <t>YE Sep 22</t>
  </si>
  <si>
    <t>YE Dec 22</t>
  </si>
  <si>
    <t>YE Mar 23 P</t>
  </si>
  <si>
    <t>YE Jun 23 P</t>
  </si>
  <si>
    <t>YE Sep 23 P</t>
  </si>
  <si>
    <t>YE Dec 23 P</t>
  </si>
  <si>
    <t>Net</t>
  </si>
  <si>
    <t>Long-term net inward migration</t>
  </si>
  <si>
    <t>Current estimate</t>
  </si>
  <si>
    <t>Previous estimate</t>
  </si>
  <si>
    <t>Estimated and projected international migration, years ending mid-2014 to mid-2030 for national population projections: 2021-based interim for United Kingdom</t>
  </si>
  <si>
    <t xml:space="preserve">This worksheet contains one table. </t>
  </si>
  <si>
    <t>Unit</t>
  </si>
  <si>
    <t>Persons (thousands)</t>
  </si>
  <si>
    <t xml:space="preserve">Year ending mid- </t>
  </si>
  <si>
    <t>Estimated Immigration</t>
  </si>
  <si>
    <t xml:space="preserve">Estimated Emigration </t>
  </si>
  <si>
    <r>
      <t xml:space="preserve">Estimated Net Migration </t>
    </r>
    <r>
      <rPr>
        <b/>
        <sz val="12"/>
        <color rgb="FF000000"/>
        <rFont val="Arial"/>
        <family val="2"/>
      </rPr>
      <t>[note 4]</t>
    </r>
  </si>
  <si>
    <t>Projected Immigration</t>
  </si>
  <si>
    <t xml:space="preserve">Projected Emigration </t>
  </si>
  <si>
    <r>
      <t xml:space="preserve">Projected Net Migration </t>
    </r>
    <r>
      <rPr>
        <b/>
        <sz val="12"/>
        <color rgb="FF000000"/>
        <rFont val="Arial"/>
        <family val="2"/>
      </rPr>
      <t>[note 4]</t>
    </r>
  </si>
  <si>
    <r>
      <t>2014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</si>
  <si>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2015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</si>
  <si>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2016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</si>
  <si>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2017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</si>
  <si>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2018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</si>
  <si>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2019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</si>
  <si>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rPr>
        <sz val="12"/>
        <color rgb="FF000000"/>
        <rFont val="Arial"/>
        <family val="2"/>
      </rPr>
      <t>2020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</si>
  <si>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2021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</si>
  <si>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2022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</t>
    </r>
  </si>
  <si>
    <r>
      <t>2023</t>
    </r>
    <r>
      <rPr>
        <b/>
        <sz val="12"/>
        <color rgb="FF000000"/>
        <rFont val="Arial"/>
        <family val="2"/>
      </rPr>
      <t xml:space="preserve"> [note 1]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[note 2] [note 3]</t>
    </r>
  </si>
  <si>
    <t>Diff (history)</t>
  </si>
  <si>
    <t>Diff vs pproj</t>
  </si>
  <si>
    <t>January 2024 population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</si>
</sst>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;[Red]#,##0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2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9" fontId="2" fillId="0" borderId="0" applyFill="0" applyProtection="0">
      <alignment vertical="top"/>
    </xf>
    <xf numFmtId="0" fontId="9" fillId="0" borderId="0"/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quotePrefix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49" fontId="2" fillId="0" borderId="0" xfId="1" applyFill="1">
      <alignment vertical="top"/>
    </xf>
    <xf numFmtId="49" fontId="3" fillId="0" borderId="0" xfId="1" applyFont="1" applyFill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49" fontId="5" fillId="0" borderId="0" xfId="1" applyFont="1" applyFill="1">
      <alignment vertical="top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4" fillId="0" borderId="0" xfId="0" applyFont="1"/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3" fontId="4" fillId="0" borderId="0" xfId="0" applyNumberFormat="1" applyFont="1" applyAlignment="1">
      <alignment vertical="top"/>
    </xf>
    <xf numFmtId="3" fontId="4" fillId="0" borderId="0" xfId="0" applyNumberFormat="1" applyFont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7" fillId="0" borderId="0" xfId="0" applyNumberFormat="1" applyFont="1" applyAlignment="1">
      <alignment vertical="top"/>
    </xf>
    <xf numFmtId="3" fontId="7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5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1" fillId="0" borderId="0" xfId="0" applyFont="1"/>
    <xf numFmtId="3" fontId="0" fillId="0" borderId="0" xfId="0" applyNumberFormat="1"/>
    <xf numFmtId="0" fontId="10" fillId="0" borderId="0" xfId="2" applyFont="1"/>
    <xf numFmtId="0" fontId="11" fillId="0" borderId="0" xfId="2" applyFont="1"/>
    <xf numFmtId="0" fontId="5" fillId="0" borderId="0" xfId="2" applyFont="1"/>
    <xf numFmtId="0" fontId="13" fillId="0" borderId="0" xfId="3" applyFont="1"/>
    <xf numFmtId="0" fontId="7" fillId="0" borderId="0" xfId="2" applyFont="1" applyAlignment="1">
      <alignment wrapText="1"/>
    </xf>
    <xf numFmtId="0" fontId="5" fillId="0" borderId="0" xfId="2" applyFont="1" applyAlignment="1">
      <alignment wrapText="1"/>
    </xf>
    <xf numFmtId="0" fontId="7" fillId="0" borderId="0" xfId="2" applyFont="1" applyAlignment="1">
      <alignment horizontal="left"/>
    </xf>
    <xf numFmtId="166" fontId="5" fillId="0" borderId="0" xfId="2" applyNumberFormat="1" applyFont="1"/>
    <xf numFmtId="0" fontId="5" fillId="0" borderId="0" xfId="2" applyFont="1" applyAlignment="1">
      <alignment horizontal="right"/>
    </xf>
    <xf numFmtId="0" fontId="5" fillId="0" borderId="0" xfId="2" applyFont="1" applyAlignment="1">
      <alignment horizontal="left"/>
    </xf>
  </cellXfs>
  <cellStyles count="4">
    <cellStyle name="Heading 1 2" xfId="1" xr:uid="{93948F0C-E4D6-4F12-88E3-CEBF969C9701}"/>
    <cellStyle name="Hyperlink" xfId="3" builtinId="8"/>
    <cellStyle name="Normal" xfId="0" builtinId="0"/>
    <cellStyle name="Normal 2" xfId="2" xr:uid="{AE37CB9C-820A-44CC-B94F-611C279E42AB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/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/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/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calcChain" Target="calcChain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432919299602499E-2"/>
          <c:y val="0.14714391023940784"/>
          <c:w val="0.84765369682576786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HAVERM!$C$1</c:f>
              <c:strCache>
                <c:ptCount val="1"/>
                <c:pt idx="0">
                  <c:v>Mortgage approvals lagged three months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HAVERM!$A$17:$A$71</c:f>
              <c:numCache>
                <c:formatCode>m/d/yyyy</c:formatCode>
                <c:ptCount val="55"/>
                <c:pt idx="0">
                  <c:v>44105</c:v>
                </c:pt>
                <c:pt idx="1">
                  <c:v>44136</c:v>
                </c:pt>
                <c:pt idx="2">
                  <c:v>44166</c:v>
                </c:pt>
                <c:pt idx="3">
                  <c:v>44197</c:v>
                </c:pt>
                <c:pt idx="4">
                  <c:v>44228</c:v>
                </c:pt>
                <c:pt idx="5">
                  <c:v>44256</c:v>
                </c:pt>
                <c:pt idx="6">
                  <c:v>44287</c:v>
                </c:pt>
                <c:pt idx="7">
                  <c:v>44317</c:v>
                </c:pt>
                <c:pt idx="8">
                  <c:v>44348</c:v>
                </c:pt>
                <c:pt idx="9">
                  <c:v>44378</c:v>
                </c:pt>
                <c:pt idx="10">
                  <c:v>44409</c:v>
                </c:pt>
                <c:pt idx="11">
                  <c:v>44440</c:v>
                </c:pt>
                <c:pt idx="12">
                  <c:v>44470</c:v>
                </c:pt>
                <c:pt idx="13">
                  <c:v>44501</c:v>
                </c:pt>
                <c:pt idx="14">
                  <c:v>44531</c:v>
                </c:pt>
                <c:pt idx="15">
                  <c:v>44562</c:v>
                </c:pt>
                <c:pt idx="16">
                  <c:v>44593</c:v>
                </c:pt>
                <c:pt idx="17">
                  <c:v>44621</c:v>
                </c:pt>
                <c:pt idx="18">
                  <c:v>44652</c:v>
                </c:pt>
                <c:pt idx="19">
                  <c:v>44682</c:v>
                </c:pt>
                <c:pt idx="20">
                  <c:v>44713</c:v>
                </c:pt>
                <c:pt idx="21">
                  <c:v>44743</c:v>
                </c:pt>
                <c:pt idx="22">
                  <c:v>44774</c:v>
                </c:pt>
                <c:pt idx="23">
                  <c:v>44805</c:v>
                </c:pt>
                <c:pt idx="24">
                  <c:v>44835</c:v>
                </c:pt>
                <c:pt idx="25">
                  <c:v>44866</c:v>
                </c:pt>
                <c:pt idx="26">
                  <c:v>44896</c:v>
                </c:pt>
                <c:pt idx="27">
                  <c:v>44927</c:v>
                </c:pt>
                <c:pt idx="28">
                  <c:v>44958</c:v>
                </c:pt>
                <c:pt idx="29">
                  <c:v>44986</c:v>
                </c:pt>
                <c:pt idx="30">
                  <c:v>45017</c:v>
                </c:pt>
                <c:pt idx="31">
                  <c:v>45047</c:v>
                </c:pt>
                <c:pt idx="32">
                  <c:v>45078</c:v>
                </c:pt>
                <c:pt idx="33">
                  <c:v>45108</c:v>
                </c:pt>
                <c:pt idx="34">
                  <c:v>45139</c:v>
                </c:pt>
                <c:pt idx="35">
                  <c:v>45170</c:v>
                </c:pt>
                <c:pt idx="36">
                  <c:v>45200</c:v>
                </c:pt>
                <c:pt idx="37">
                  <c:v>45231</c:v>
                </c:pt>
                <c:pt idx="38">
                  <c:v>45261</c:v>
                </c:pt>
                <c:pt idx="39">
                  <c:v>45292</c:v>
                </c:pt>
                <c:pt idx="40">
                  <c:v>45323</c:v>
                </c:pt>
                <c:pt idx="41">
                  <c:v>45352</c:v>
                </c:pt>
                <c:pt idx="42">
                  <c:v>45383</c:v>
                </c:pt>
                <c:pt idx="43">
                  <c:v>45413</c:v>
                </c:pt>
                <c:pt idx="44">
                  <c:v>45444</c:v>
                </c:pt>
                <c:pt idx="45">
                  <c:v>45474</c:v>
                </c:pt>
                <c:pt idx="46">
                  <c:v>45505</c:v>
                </c:pt>
                <c:pt idx="47">
                  <c:v>45536</c:v>
                </c:pt>
                <c:pt idx="48">
                  <c:v>45566</c:v>
                </c:pt>
                <c:pt idx="49">
                  <c:v>45597</c:v>
                </c:pt>
                <c:pt idx="50">
                  <c:v>45627</c:v>
                </c:pt>
                <c:pt idx="51">
                  <c:v>45658</c:v>
                </c:pt>
                <c:pt idx="52">
                  <c:v>45689</c:v>
                </c:pt>
                <c:pt idx="53">
                  <c:v>45717</c:v>
                </c:pt>
                <c:pt idx="54">
                  <c:v>45748</c:v>
                </c:pt>
              </c:numCache>
            </c:numRef>
          </c:cat>
          <c:val>
            <c:numRef>
              <c:f>HAVERM!$C$14:$C$68</c:f>
              <c:numCache>
                <c:formatCode>0</c:formatCode>
                <c:ptCount val="55"/>
                <c:pt idx="0">
                  <c:v>66761</c:v>
                </c:pt>
                <c:pt idx="1">
                  <c:v>85383</c:v>
                </c:pt>
                <c:pt idx="2">
                  <c:v>92703</c:v>
                </c:pt>
                <c:pt idx="3">
                  <c:v>100864</c:v>
                </c:pt>
                <c:pt idx="4">
                  <c:v>107701</c:v>
                </c:pt>
                <c:pt idx="5">
                  <c:v>102974</c:v>
                </c:pt>
                <c:pt idx="6">
                  <c:v>96913</c:v>
                </c:pt>
                <c:pt idx="7">
                  <c:v>84705</c:v>
                </c:pt>
                <c:pt idx="8">
                  <c:v>80984</c:v>
                </c:pt>
                <c:pt idx="9">
                  <c:v>85067</c:v>
                </c:pt>
                <c:pt idx="10">
                  <c:v>86133</c:v>
                </c:pt>
                <c:pt idx="11">
                  <c:v>79065</c:v>
                </c:pt>
                <c:pt idx="12">
                  <c:v>72690</c:v>
                </c:pt>
                <c:pt idx="13">
                  <c:v>71149</c:v>
                </c:pt>
                <c:pt idx="14">
                  <c:v>70837</c:v>
                </c:pt>
                <c:pt idx="15">
                  <c:v>68336</c:v>
                </c:pt>
                <c:pt idx="16">
                  <c:v>69107</c:v>
                </c:pt>
                <c:pt idx="17">
                  <c:v>72318</c:v>
                </c:pt>
                <c:pt idx="18">
                  <c:v>73844</c:v>
                </c:pt>
                <c:pt idx="19">
                  <c:v>68560</c:v>
                </c:pt>
                <c:pt idx="20">
                  <c:v>68870</c:v>
                </c:pt>
                <c:pt idx="21">
                  <c:v>65643</c:v>
                </c:pt>
                <c:pt idx="22">
                  <c:v>66325</c:v>
                </c:pt>
                <c:pt idx="23">
                  <c:v>62829</c:v>
                </c:pt>
                <c:pt idx="24">
                  <c:v>62906</c:v>
                </c:pt>
                <c:pt idx="25">
                  <c:v>72206</c:v>
                </c:pt>
                <c:pt idx="26">
                  <c:v>65149</c:v>
                </c:pt>
                <c:pt idx="27">
                  <c:v>57968</c:v>
                </c:pt>
                <c:pt idx="28">
                  <c:v>46368</c:v>
                </c:pt>
                <c:pt idx="29">
                  <c:v>41119</c:v>
                </c:pt>
                <c:pt idx="30">
                  <c:v>39692</c:v>
                </c:pt>
                <c:pt idx="31">
                  <c:v>43190</c:v>
                </c:pt>
                <c:pt idx="32">
                  <c:v>51086</c:v>
                </c:pt>
                <c:pt idx="33">
                  <c:v>48714</c:v>
                </c:pt>
                <c:pt idx="34">
                  <c:v>50837</c:v>
                </c:pt>
                <c:pt idx="35">
                  <c:v>54403</c:v>
                </c:pt>
                <c:pt idx="36">
                  <c:v>49468</c:v>
                </c:pt>
                <c:pt idx="37">
                  <c:v>45365</c:v>
                </c:pt>
                <c:pt idx="38">
                  <c:v>44206</c:v>
                </c:pt>
                <c:pt idx="39">
                  <c:v>48259</c:v>
                </c:pt>
                <c:pt idx="40">
                  <c:v>49908</c:v>
                </c:pt>
                <c:pt idx="41">
                  <c:v>51865</c:v>
                </c:pt>
                <c:pt idx="42">
                  <c:v>55806</c:v>
                </c:pt>
                <c:pt idx="43">
                  <c:v>60398</c:v>
                </c:pt>
                <c:pt idx="44">
                  <c:v>61420</c:v>
                </c:pt>
                <c:pt idx="45">
                  <c:v>61338</c:v>
                </c:pt>
                <c:pt idx="46">
                  <c:v>60795</c:v>
                </c:pt>
                <c:pt idx="47">
                  <c:v>60874</c:v>
                </c:pt>
                <c:pt idx="48">
                  <c:v>62748</c:v>
                </c:pt>
                <c:pt idx="49">
                  <c:v>65256</c:v>
                </c:pt>
                <c:pt idx="50">
                  <c:v>66115</c:v>
                </c:pt>
                <c:pt idx="51" formatCode="General">
                  <c:v>68303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HAVERM!$F$1</c:f>
              <c:strCache>
                <c:ptCount val="1"/>
                <c:pt idx="0">
                  <c:v>Residential transactions (RHS)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val>
            <c:numRef>
              <c:f>HAVERM!$F$17:$F$71</c:f>
              <c:numCache>
                <c:formatCode>0.000</c:formatCode>
                <c:ptCount val="55"/>
                <c:pt idx="0">
                  <c:v>106.23</c:v>
                </c:pt>
                <c:pt idx="1">
                  <c:v>115.07</c:v>
                </c:pt>
                <c:pt idx="2">
                  <c:v>127.32</c:v>
                </c:pt>
                <c:pt idx="3">
                  <c:v>118.85</c:v>
                </c:pt>
                <c:pt idx="4">
                  <c:v>143.38999999999999</c:v>
                </c:pt>
                <c:pt idx="5">
                  <c:v>177.31</c:v>
                </c:pt>
                <c:pt idx="6">
                  <c:v>122.12</c:v>
                </c:pt>
                <c:pt idx="7">
                  <c:v>114.92</c:v>
                </c:pt>
                <c:pt idx="8">
                  <c:v>204.64</c:v>
                </c:pt>
                <c:pt idx="9">
                  <c:v>75.67</c:v>
                </c:pt>
                <c:pt idx="10">
                  <c:v>96.71</c:v>
                </c:pt>
                <c:pt idx="11">
                  <c:v>159.97999999999999</c:v>
                </c:pt>
                <c:pt idx="12">
                  <c:v>76.77</c:v>
                </c:pt>
                <c:pt idx="13">
                  <c:v>92.99</c:v>
                </c:pt>
                <c:pt idx="14">
                  <c:v>99.71</c:v>
                </c:pt>
                <c:pt idx="15">
                  <c:v>108.51</c:v>
                </c:pt>
                <c:pt idx="16">
                  <c:v>111.7</c:v>
                </c:pt>
                <c:pt idx="17">
                  <c:v>112.29</c:v>
                </c:pt>
                <c:pt idx="18">
                  <c:v>109.62</c:v>
                </c:pt>
                <c:pt idx="19">
                  <c:v>107.66</c:v>
                </c:pt>
                <c:pt idx="20">
                  <c:v>100.07</c:v>
                </c:pt>
                <c:pt idx="21">
                  <c:v>102.87</c:v>
                </c:pt>
                <c:pt idx="22">
                  <c:v>102.15</c:v>
                </c:pt>
                <c:pt idx="23">
                  <c:v>101.99</c:v>
                </c:pt>
                <c:pt idx="24">
                  <c:v>104.83</c:v>
                </c:pt>
                <c:pt idx="25">
                  <c:v>103.86</c:v>
                </c:pt>
                <c:pt idx="26">
                  <c:v>99.56</c:v>
                </c:pt>
                <c:pt idx="27">
                  <c:v>95.04</c:v>
                </c:pt>
                <c:pt idx="28">
                  <c:v>89.8</c:v>
                </c:pt>
                <c:pt idx="29">
                  <c:v>91.41</c:v>
                </c:pt>
                <c:pt idx="30">
                  <c:v>82.71</c:v>
                </c:pt>
                <c:pt idx="31">
                  <c:v>77.849999999999994</c:v>
                </c:pt>
                <c:pt idx="32">
                  <c:v>84.61</c:v>
                </c:pt>
                <c:pt idx="33">
                  <c:v>85.14</c:v>
                </c:pt>
                <c:pt idx="34">
                  <c:v>85.92</c:v>
                </c:pt>
                <c:pt idx="35">
                  <c:v>84.36</c:v>
                </c:pt>
                <c:pt idx="36">
                  <c:v>82.98</c:v>
                </c:pt>
                <c:pt idx="37">
                  <c:v>81.96</c:v>
                </c:pt>
                <c:pt idx="38">
                  <c:v>81.73</c:v>
                </c:pt>
                <c:pt idx="39">
                  <c:v>83.01</c:v>
                </c:pt>
                <c:pt idx="40">
                  <c:v>84.66</c:v>
                </c:pt>
                <c:pt idx="41">
                  <c:v>86.64</c:v>
                </c:pt>
                <c:pt idx="42">
                  <c:v>89.66</c:v>
                </c:pt>
                <c:pt idx="43">
                  <c:v>92.18</c:v>
                </c:pt>
                <c:pt idx="44">
                  <c:v>91.62</c:v>
                </c:pt>
                <c:pt idx="45">
                  <c:v>91.08</c:v>
                </c:pt>
                <c:pt idx="46">
                  <c:v>91.03</c:v>
                </c:pt>
                <c:pt idx="47">
                  <c:v>91.69</c:v>
                </c:pt>
                <c:pt idx="48" formatCode="General">
                  <c:v>100.41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in val="4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valAx>
        <c:axId val="1510040240"/>
        <c:scaling>
          <c:orientation val="minMax"/>
          <c:min val="50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catAx>
        <c:axId val="151003649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10040240"/>
        <c:crosses val="max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7937798855762763"/>
          <c:y val="8.021783071832754E-2"/>
          <c:w val="0.66695780699329887"/>
          <c:h val="0.1183331542793239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3053675710877845E-2"/>
          <c:y val="0.14714391023940784"/>
          <c:w val="0.85767947359867713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Current estimate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Data'!$A$3:$A$51</c:f>
              <c:numCache>
                <c:formatCode>m/d/yyyy</c:formatCode>
                <c:ptCount val="4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44805</c:v>
                </c:pt>
                <c:pt idx="42">
                  <c:v>44896</c:v>
                </c:pt>
                <c:pt idx="43">
                  <c:v>44986</c:v>
                </c:pt>
                <c:pt idx="44">
                  <c:v>45078</c:v>
                </c:pt>
                <c:pt idx="45">
                  <c:v>45170</c:v>
                </c:pt>
                <c:pt idx="46">
                  <c:v>45261</c:v>
                </c:pt>
                <c:pt idx="47">
                  <c:v>45352</c:v>
                </c:pt>
                <c:pt idx="48">
                  <c:v>45444</c:v>
                </c:pt>
              </c:numCache>
            </c:numRef>
          </c:cat>
          <c:val>
            <c:numRef>
              <c:f>'Chart Data'!$B$3:$B$51</c:f>
              <c:numCache>
                <c:formatCode>#,##0</c:formatCode>
                <c:ptCount val="49"/>
                <c:pt idx="0">
                  <c:v>162000</c:v>
                </c:pt>
                <c:pt idx="1">
                  <c:v>157000</c:v>
                </c:pt>
                <c:pt idx="2">
                  <c:v>195000</c:v>
                </c:pt>
                <c:pt idx="3">
                  <c:v>204000</c:v>
                </c:pt>
                <c:pt idx="4">
                  <c:v>215000</c:v>
                </c:pt>
                <c:pt idx="5">
                  <c:v>259000</c:v>
                </c:pt>
                <c:pt idx="6">
                  <c:v>244000</c:v>
                </c:pt>
                <c:pt idx="7">
                  <c:v>256000</c:v>
                </c:pt>
                <c:pt idx="8">
                  <c:v>248000</c:v>
                </c:pt>
                <c:pt idx="9">
                  <c:v>264000</c:v>
                </c:pt>
                <c:pt idx="10">
                  <c:v>284000</c:v>
                </c:pt>
                <c:pt idx="11">
                  <c:v>296000</c:v>
                </c:pt>
                <c:pt idx="12">
                  <c:v>296000</c:v>
                </c:pt>
                <c:pt idx="13">
                  <c:v>293000</c:v>
                </c:pt>
                <c:pt idx="14">
                  <c:v>303000</c:v>
                </c:pt>
                <c:pt idx="15">
                  <c:v>298000</c:v>
                </c:pt>
                <c:pt idx="16">
                  <c:v>321000</c:v>
                </c:pt>
                <c:pt idx="17">
                  <c:v>290000</c:v>
                </c:pt>
                <c:pt idx="18">
                  <c:v>249000</c:v>
                </c:pt>
                <c:pt idx="19">
                  <c:v>240000</c:v>
                </c:pt>
                <c:pt idx="20">
                  <c:v>200000</c:v>
                </c:pt>
                <c:pt idx="21">
                  <c:v>205000</c:v>
                </c:pt>
                <c:pt idx="22">
                  <c:v>208000</c:v>
                </c:pt>
                <c:pt idx="23">
                  <c:v>193000</c:v>
                </c:pt>
                <c:pt idx="24">
                  <c:v>216000</c:v>
                </c:pt>
                <c:pt idx="25">
                  <c:v>226000</c:v>
                </c:pt>
                <c:pt idx="26">
                  <c:v>276000</c:v>
                </c:pt>
                <c:pt idx="27">
                  <c:v>274000</c:v>
                </c:pt>
                <c:pt idx="28">
                  <c:v>224000</c:v>
                </c:pt>
                <c:pt idx="29">
                  <c:v>202000</c:v>
                </c:pt>
                <c:pt idx="30">
                  <c:v>184000</c:v>
                </c:pt>
                <c:pt idx="31">
                  <c:v>170000</c:v>
                </c:pt>
                <c:pt idx="32">
                  <c:v>111000</c:v>
                </c:pt>
                <c:pt idx="33">
                  <c:v>35000</c:v>
                </c:pt>
                <c:pt idx="34">
                  <c:v>93000</c:v>
                </c:pt>
                <c:pt idx="35">
                  <c:v>132000</c:v>
                </c:pt>
                <c:pt idx="36">
                  <c:v>254000</c:v>
                </c:pt>
                <c:pt idx="37">
                  <c:v>467000</c:v>
                </c:pt>
                <c:pt idx="38">
                  <c:v>484000</c:v>
                </c:pt>
                <c:pt idx="39">
                  <c:v>548000</c:v>
                </c:pt>
                <c:pt idx="40">
                  <c:v>634000</c:v>
                </c:pt>
                <c:pt idx="41">
                  <c:v>789000</c:v>
                </c:pt>
                <c:pt idx="42">
                  <c:v>872000</c:v>
                </c:pt>
                <c:pt idx="43">
                  <c:v>894000</c:v>
                </c:pt>
                <c:pt idx="44">
                  <c:v>906000</c:v>
                </c:pt>
                <c:pt idx="45">
                  <c:v>878000</c:v>
                </c:pt>
                <c:pt idx="46">
                  <c:v>866000</c:v>
                </c:pt>
                <c:pt idx="47">
                  <c:v>824000</c:v>
                </c:pt>
                <c:pt idx="48">
                  <c:v>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Previous estimate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Data'!$A$3:$A$51</c:f>
              <c:numCache>
                <c:formatCode>m/d/yyyy</c:formatCode>
                <c:ptCount val="4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44805</c:v>
                </c:pt>
                <c:pt idx="42">
                  <c:v>44896</c:v>
                </c:pt>
                <c:pt idx="43">
                  <c:v>44986</c:v>
                </c:pt>
                <c:pt idx="44">
                  <c:v>45078</c:v>
                </c:pt>
                <c:pt idx="45">
                  <c:v>45170</c:v>
                </c:pt>
                <c:pt idx="46">
                  <c:v>45261</c:v>
                </c:pt>
                <c:pt idx="47">
                  <c:v>45352</c:v>
                </c:pt>
                <c:pt idx="48">
                  <c:v>45444</c:v>
                </c:pt>
              </c:numCache>
            </c:numRef>
          </c:cat>
          <c:val>
            <c:numRef>
              <c:f>'Chart Data'!$C$3:$C$51</c:f>
              <c:numCache>
                <c:formatCode>#,##0</c:formatCode>
                <c:ptCount val="49"/>
                <c:pt idx="0">
                  <c:v>162000</c:v>
                </c:pt>
                <c:pt idx="1">
                  <c:v>157000</c:v>
                </c:pt>
                <c:pt idx="2">
                  <c:v>195000</c:v>
                </c:pt>
                <c:pt idx="3">
                  <c:v>204000</c:v>
                </c:pt>
                <c:pt idx="4">
                  <c:v>215000</c:v>
                </c:pt>
                <c:pt idx="5">
                  <c:v>259000</c:v>
                </c:pt>
                <c:pt idx="6">
                  <c:v>244000</c:v>
                </c:pt>
                <c:pt idx="7">
                  <c:v>256000</c:v>
                </c:pt>
                <c:pt idx="8">
                  <c:v>248000</c:v>
                </c:pt>
                <c:pt idx="9">
                  <c:v>264000</c:v>
                </c:pt>
                <c:pt idx="10">
                  <c:v>284000</c:v>
                </c:pt>
                <c:pt idx="11">
                  <c:v>296000</c:v>
                </c:pt>
                <c:pt idx="12">
                  <c:v>296000</c:v>
                </c:pt>
                <c:pt idx="13">
                  <c:v>293000</c:v>
                </c:pt>
                <c:pt idx="14">
                  <c:v>303000</c:v>
                </c:pt>
                <c:pt idx="15">
                  <c:v>298000</c:v>
                </c:pt>
                <c:pt idx="16">
                  <c:v>321000</c:v>
                </c:pt>
                <c:pt idx="17">
                  <c:v>290000</c:v>
                </c:pt>
                <c:pt idx="18">
                  <c:v>249000</c:v>
                </c:pt>
                <c:pt idx="19">
                  <c:v>240000</c:v>
                </c:pt>
                <c:pt idx="20">
                  <c:v>200000</c:v>
                </c:pt>
                <c:pt idx="21">
                  <c:v>205000</c:v>
                </c:pt>
                <c:pt idx="22">
                  <c:v>208000</c:v>
                </c:pt>
                <c:pt idx="23">
                  <c:v>193000</c:v>
                </c:pt>
                <c:pt idx="24">
                  <c:v>216000</c:v>
                </c:pt>
                <c:pt idx="25">
                  <c:v>226000</c:v>
                </c:pt>
                <c:pt idx="26">
                  <c:v>276000</c:v>
                </c:pt>
                <c:pt idx="27">
                  <c:v>274000</c:v>
                </c:pt>
                <c:pt idx="28">
                  <c:v>224000</c:v>
                </c:pt>
                <c:pt idx="29">
                  <c:v>202000</c:v>
                </c:pt>
                <c:pt idx="30">
                  <c:v>184000</c:v>
                </c:pt>
                <c:pt idx="31">
                  <c:v>170000</c:v>
                </c:pt>
                <c:pt idx="32">
                  <c:v>111000</c:v>
                </c:pt>
                <c:pt idx="33">
                  <c:v>35000</c:v>
                </c:pt>
                <c:pt idx="34">
                  <c:v>93000</c:v>
                </c:pt>
                <c:pt idx="35">
                  <c:v>132000</c:v>
                </c:pt>
                <c:pt idx="36">
                  <c:v>221000</c:v>
                </c:pt>
                <c:pt idx="37">
                  <c:v>443000</c:v>
                </c:pt>
                <c:pt idx="38">
                  <c:v>466000</c:v>
                </c:pt>
                <c:pt idx="39">
                  <c:v>526000</c:v>
                </c:pt>
                <c:pt idx="40">
                  <c:v>607000</c:v>
                </c:pt>
                <c:pt idx="41">
                  <c:v>718000</c:v>
                </c:pt>
                <c:pt idx="42">
                  <c:v>764000</c:v>
                </c:pt>
                <c:pt idx="43">
                  <c:v>750000</c:v>
                </c:pt>
                <c:pt idx="44">
                  <c:v>740000</c:v>
                </c:pt>
                <c:pt idx="45">
                  <c:v>724000</c:v>
                </c:pt>
                <c:pt idx="46">
                  <c:v>685000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January 2024 population projections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Data'!$A$3:$A$51</c:f>
              <c:numCache>
                <c:formatCode>m/d/yyyy</c:formatCode>
                <c:ptCount val="49"/>
                <c:pt idx="0">
                  <c:v>41061</c:v>
                </c:pt>
                <c:pt idx="1">
                  <c:v>41153</c:v>
                </c:pt>
                <c:pt idx="2">
                  <c:v>41244</c:v>
                </c:pt>
                <c:pt idx="3">
                  <c:v>41334</c:v>
                </c:pt>
                <c:pt idx="4">
                  <c:v>41426</c:v>
                </c:pt>
                <c:pt idx="5">
                  <c:v>41518</c:v>
                </c:pt>
                <c:pt idx="6">
                  <c:v>41609</c:v>
                </c:pt>
                <c:pt idx="7">
                  <c:v>41699</c:v>
                </c:pt>
                <c:pt idx="8">
                  <c:v>41791</c:v>
                </c:pt>
                <c:pt idx="9">
                  <c:v>41883</c:v>
                </c:pt>
                <c:pt idx="10">
                  <c:v>41974</c:v>
                </c:pt>
                <c:pt idx="11">
                  <c:v>42064</c:v>
                </c:pt>
                <c:pt idx="12">
                  <c:v>42156</c:v>
                </c:pt>
                <c:pt idx="13">
                  <c:v>42248</c:v>
                </c:pt>
                <c:pt idx="14">
                  <c:v>42339</c:v>
                </c:pt>
                <c:pt idx="15">
                  <c:v>42430</c:v>
                </c:pt>
                <c:pt idx="16">
                  <c:v>42522</c:v>
                </c:pt>
                <c:pt idx="17">
                  <c:v>42614</c:v>
                </c:pt>
                <c:pt idx="18">
                  <c:v>42705</c:v>
                </c:pt>
                <c:pt idx="19">
                  <c:v>42795</c:v>
                </c:pt>
                <c:pt idx="20">
                  <c:v>42887</c:v>
                </c:pt>
                <c:pt idx="21">
                  <c:v>42979</c:v>
                </c:pt>
                <c:pt idx="22">
                  <c:v>43070</c:v>
                </c:pt>
                <c:pt idx="23">
                  <c:v>43160</c:v>
                </c:pt>
                <c:pt idx="24">
                  <c:v>43252</c:v>
                </c:pt>
                <c:pt idx="25">
                  <c:v>43344</c:v>
                </c:pt>
                <c:pt idx="26">
                  <c:v>43435</c:v>
                </c:pt>
                <c:pt idx="27">
                  <c:v>43525</c:v>
                </c:pt>
                <c:pt idx="28">
                  <c:v>43617</c:v>
                </c:pt>
                <c:pt idx="29">
                  <c:v>43709</c:v>
                </c:pt>
                <c:pt idx="30">
                  <c:v>43800</c:v>
                </c:pt>
                <c:pt idx="31">
                  <c:v>43891</c:v>
                </c:pt>
                <c:pt idx="32">
                  <c:v>43983</c:v>
                </c:pt>
                <c:pt idx="33">
                  <c:v>44075</c:v>
                </c:pt>
                <c:pt idx="34">
                  <c:v>44166</c:v>
                </c:pt>
                <c:pt idx="35">
                  <c:v>44256</c:v>
                </c:pt>
                <c:pt idx="36">
                  <c:v>44348</c:v>
                </c:pt>
                <c:pt idx="37">
                  <c:v>44440</c:v>
                </c:pt>
                <c:pt idx="38">
                  <c:v>44531</c:v>
                </c:pt>
                <c:pt idx="39">
                  <c:v>44621</c:v>
                </c:pt>
                <c:pt idx="40">
                  <c:v>44713</c:v>
                </c:pt>
                <c:pt idx="41">
                  <c:v>44805</c:v>
                </c:pt>
                <c:pt idx="42">
                  <c:v>44896</c:v>
                </c:pt>
                <c:pt idx="43">
                  <c:v>44986</c:v>
                </c:pt>
                <c:pt idx="44">
                  <c:v>45078</c:v>
                </c:pt>
                <c:pt idx="45">
                  <c:v>45170</c:v>
                </c:pt>
                <c:pt idx="46">
                  <c:v>45261</c:v>
                </c:pt>
                <c:pt idx="47">
                  <c:v>45352</c:v>
                </c:pt>
                <c:pt idx="48">
                  <c:v>45444</c:v>
                </c:pt>
              </c:numCache>
            </c:numRef>
          </c:cat>
          <c:val>
            <c:numRef>
              <c:f>'Chart Data'!$D$3:$D$51</c:f>
              <c:numCache>
                <c:formatCode>General</c:formatCode>
                <c:ptCount val="49"/>
                <c:pt idx="36">
                  <c:v>221500</c:v>
                </c:pt>
                <c:pt idx="40">
                  <c:v>595900</c:v>
                </c:pt>
                <c:pt idx="44">
                  <c:v>670200</c:v>
                </c:pt>
                <c:pt idx="48">
                  <c:v>599500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8-4007-AFA6-9F88B3C8D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8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660325933834542"/>
          <c:y val="0.10663756139393467"/>
          <c:w val="0.54782235271438529"/>
          <c:h val="0.165404076965626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AFDF36-3154-40F7-B42A-02240BB64CF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BBE583-DAFC-4556-8315-FED6CD3E2124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65280-5E4F-4CE9-0CD3-7F3F5A124B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A8382C-D90D-547C-F8AC-748A798A0F8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Mortgage approvals &amp; residential transactions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F26E1A0-9099-3297-BCBF-0B8EBBD9463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0.90127</cdr:x>
      <cdr:y>0.14531</cdr:y>
    </cdr:from>
    <cdr:to>
      <cdr:x>0.90127</cdr:x>
      <cdr:y>0.85677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5612DC0E-0129-049A-98CC-447DB130933F}"/>
            </a:ext>
          </a:extLst>
        </cdr:cNvPr>
        <cdr:cNvCxnSpPr/>
      </cdr:nvCxnSpPr>
      <cdr:spPr>
        <a:xfrm xmlns:a="http://schemas.openxmlformats.org/drawingml/2006/main">
          <a:off x="7597775" y="97790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0.36495</cdr:x>
      <cdr:y>0.24532</cdr:y>
    </cdr:from>
    <cdr:to>
      <cdr:x>0.73559</cdr:x>
      <cdr:y>0.37931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9112B9C-2115-3967-C18C-2BCB8C840F33}"/>
            </a:ext>
          </a:extLst>
        </cdr:cNvPr>
        <cdr:cNvSpPr txBox="1"/>
      </cdr:nvSpPr>
      <cdr:spPr>
        <a:xfrm xmlns:a="http://schemas.openxmlformats.org/drawingml/2006/main">
          <a:off x="3076356" y="1652058"/>
          <a:ext cx="3124419" cy="902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Dotted lines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show increases in stamp duty thresholds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0.12811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EE6425D-F778-6C78-1267-02239EABAFA2}"/>
            </a:ext>
          </a:extLst>
        </cdr:cNvPr>
        <cdr:cNvSpPr txBox="1"/>
      </cdr:nvSpPr>
      <cdr:spPr>
        <a:xfrm xmlns:a="http://schemas.openxmlformats.org/drawingml/2006/main">
          <a:off x="0" y="508000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  <cdr:relSizeAnchor xmlns:cdr="http://schemas.openxmlformats.org/drawingml/2006/chartDrawing">
    <cdr:from>
      <cdr:x>0.87152</cdr:x>
      <cdr:y>0.07832</cdr:y>
    </cdr:from>
    <cdr:to>
      <cdr:x>0.99963</cdr:x>
      <cdr:y>0.12927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4BFC7D62-2356-C0DB-C03A-8775E8B19010}"/>
            </a:ext>
          </a:extLst>
        </cdr:cNvPr>
        <cdr:cNvSpPr txBox="1"/>
      </cdr:nvSpPr>
      <cdr:spPr>
        <a:xfrm xmlns:a="http://schemas.openxmlformats.org/drawingml/2006/main">
          <a:off x="7346950" y="527050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  <cdr:relSizeAnchor xmlns:cdr="http://schemas.openxmlformats.org/drawingml/2006/chartDrawing">
    <cdr:from>
      <cdr:x>0.20451</cdr:x>
      <cdr:y>0.20239</cdr:y>
    </cdr:from>
    <cdr:to>
      <cdr:x>0.20451</cdr:x>
      <cdr:y>0.86036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08A5B358-CA4C-D545-B746-8BFEA50F1B43}"/>
            </a:ext>
          </a:extLst>
        </cdr:cNvPr>
        <cdr:cNvCxnSpPr/>
      </cdr:nvCxnSpPr>
      <cdr:spPr>
        <a:xfrm xmlns:a="http://schemas.openxmlformats.org/drawingml/2006/main">
          <a:off x="1724025" y="1362075"/>
          <a:ext cx="0" cy="442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0.25121</cdr:x>
      <cdr:y>0.20145</cdr:y>
    </cdr:from>
    <cdr:to>
      <cdr:x>0.25121</cdr:x>
      <cdr:y>0.85942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24BD63BB-97EE-165D-FECA-D9B2CEFF8D0E}"/>
            </a:ext>
          </a:extLst>
        </cdr:cNvPr>
        <cdr:cNvCxnSpPr/>
      </cdr:nvCxnSpPr>
      <cdr:spPr>
        <a:xfrm xmlns:a="http://schemas.openxmlformats.org/drawingml/2006/main">
          <a:off x="2117725" y="1355725"/>
          <a:ext cx="0" cy="442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DE107-C31B-039C-769C-D06E60E99E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18081E-52A9-D8EA-B1D8-879317B8512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Long-term net inward migration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E415F6-DBBE-F27A-0ED0-91801B947E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ONS</a:t>
          </a:r>
        </a:p>
      </cdr:txBody>
    </cdr:sp>
  </cdr:relSizeAnchor>
  <cdr:relSizeAnchor xmlns:cdr="http://schemas.openxmlformats.org/drawingml/2006/chartDrawing">
    <cdr:from>
      <cdr:x>0.77284</cdr:x>
      <cdr:y>0.92563</cdr:y>
    </cdr:from>
    <cdr:to>
      <cdr:x>0.99731</cdr:x>
      <cdr:y>0.98555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3177CAA-FA17-CE4E-D230-ABA72D709D91}"/>
            </a:ext>
          </a:extLst>
        </cdr:cNvPr>
        <cdr:cNvSpPr txBox="1"/>
      </cdr:nvSpPr>
      <cdr:spPr>
        <a:xfrm xmlns:a="http://schemas.openxmlformats.org/drawingml/2006/main">
          <a:off x="6515100" y="6229349"/>
          <a:ext cx="1892300" cy="403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Year ending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0.21352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FA7DBDA-CD89-3C13-1EBE-2E9375835291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D5217-5A4E-4FB3-AC09-19193429F0D1}" name="Table1" displayName="Table1" ref="A6:F153" totalsRowShown="0" headerRowDxfId="15" dataDxfId="14">
  <autoFilter ref="A6:F153" xr:uid="{A6067F5F-35E1-4CC1-B86E-A95E20C8F8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C0A8C9-26C6-4594-A27E-06F7BB675B92}" name="Flow_x000a_[note 2]" dataDxfId="13"/>
    <tableColumn id="2" xr3:uid="{54E85EBA-892C-43F7-AF71-C82D6CC0F793}" name="Period_x000a_[note 15]" dataDxfId="12"/>
    <tableColumn id="3" xr3:uid="{ECD1F017-015D-4C68-9890-4D56E49692FB}" name="All Nationalities_x000a_[note 1]" dataDxfId="11"/>
    <tableColumn id="4" xr3:uid="{CB2F7D89-4003-47D4-9C4D-8835B377E8CB}" name="British_x000a_[definition 2]" dataDxfId="10"/>
    <tableColumn id="5" xr3:uid="{6DE2E144-FA10-4F63-A7C4-101A1C264C96}" name="EU+_x000a_[definition 3]" dataDxfId="9"/>
    <tableColumn id="6" xr3:uid="{73BD305F-2277-4F58-83AE-9BAEBD79EDA4}" name="Non-EU+_x000a_[definition 4]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C867D9-3590-4A7B-B5DC-63CF943C73EB}" name="Table13" displayName="Table13" ref="A5:F146" totalsRowShown="0" headerRowDxfId="7" dataDxfId="6">
  <autoFilter ref="A5:F146" xr:uid="{A6067F5F-35E1-4CC1-B86E-A95E20C8F8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69141EF-3816-4A6D-9BB8-812C652F085B}" name="Flow" dataDxfId="5"/>
    <tableColumn id="2" xr3:uid="{7AE7CAD0-1F12-4417-A764-98DF07B4DF2E}" name="Period" dataDxfId="4"/>
    <tableColumn id="3" xr3:uid="{E2FC608C-E99B-4955-950F-7EEA3A21E332}" name="All Nationalities" dataDxfId="3"/>
    <tableColumn id="4" xr3:uid="{50F2F107-EF75-43C7-8DD5-E464A9722546}" name="British" dataDxfId="2"/>
    <tableColumn id="5" xr3:uid="{7A86F910-EE0B-45D3-BF15-50B9FDF0BC25}" name="EU" dataDxfId="1"/>
    <tableColumn id="6" xr3:uid="{B586924C-C718-4355-A553-6D47EA1C3318}" name="Non-E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EB4C-598F-4453-85BB-5BC6C8060439}">
  <dimension ref="A1:H51"/>
  <sheetViews>
    <sheetView workbookViewId="0">
      <selection activeCell="D3" sqref="D3"/>
    </sheetView>
  </sheetViews>
  <sheetFormatPr defaultRowHeight="15" x14ac:dyDescent="0.25"/>
  <cols>
    <col min="1" max="1" width="10.7109375" bestFit="1" customWidth="1"/>
  </cols>
  <sheetData>
    <row r="1" spans="1:7" x14ac:dyDescent="0.25">
      <c r="A1" s="24" t="s">
        <v>164</v>
      </c>
    </row>
    <row r="2" spans="1:7" x14ac:dyDescent="0.25">
      <c r="B2" t="s">
        <v>165</v>
      </c>
      <c r="C2" t="s">
        <v>166</v>
      </c>
      <c r="D2" t="s">
        <v>190</v>
      </c>
      <c r="F2" t="s">
        <v>188</v>
      </c>
      <c r="G2" t="s">
        <v>189</v>
      </c>
    </row>
    <row r="3" spans="1:7" x14ac:dyDescent="0.25">
      <c r="A3" s="5">
        <v>41061</v>
      </c>
      <c r="B3" s="25">
        <f>'LTIM ye Jun24 - Table 1'!C105</f>
        <v>162000</v>
      </c>
      <c r="C3" s="25">
        <f>'LTIM ye Dec23 - Table 1'!C100</f>
        <v>162000</v>
      </c>
    </row>
    <row r="4" spans="1:7" x14ac:dyDescent="0.25">
      <c r="A4" s="5">
        <v>41153</v>
      </c>
      <c r="B4" s="25">
        <f>'LTIM ye Jun24 - Table 1'!C106</f>
        <v>157000</v>
      </c>
      <c r="C4" s="25">
        <f>'LTIM ye Dec23 - Table 1'!C101</f>
        <v>157000</v>
      </c>
    </row>
    <row r="5" spans="1:7" x14ac:dyDescent="0.25">
      <c r="A5" s="5">
        <v>41244</v>
      </c>
      <c r="B5" s="25">
        <f>'LTIM ye Jun24 - Table 1'!C107</f>
        <v>195000</v>
      </c>
      <c r="C5" s="25">
        <f>'LTIM ye Dec23 - Table 1'!C102</f>
        <v>195000</v>
      </c>
    </row>
    <row r="6" spans="1:7" x14ac:dyDescent="0.25">
      <c r="A6" s="5">
        <v>41334</v>
      </c>
      <c r="B6" s="25">
        <f>'LTIM ye Jun24 - Table 1'!C108</f>
        <v>204000</v>
      </c>
      <c r="C6" s="25">
        <f>'LTIM ye Dec23 - Table 1'!C103</f>
        <v>204000</v>
      </c>
    </row>
    <row r="7" spans="1:7" x14ac:dyDescent="0.25">
      <c r="A7" s="5">
        <v>41426</v>
      </c>
      <c r="B7" s="25">
        <f>'LTIM ye Jun24 - Table 1'!C109</f>
        <v>215000</v>
      </c>
      <c r="C7" s="25">
        <f>'LTIM ye Dec23 - Table 1'!C104</f>
        <v>215000</v>
      </c>
    </row>
    <row r="8" spans="1:7" x14ac:dyDescent="0.25">
      <c r="A8" s="5">
        <v>41518</v>
      </c>
      <c r="B8" s="25">
        <f>'LTIM ye Jun24 - Table 1'!C110</f>
        <v>259000</v>
      </c>
      <c r="C8" s="25">
        <f>'LTIM ye Dec23 - Table 1'!C105</f>
        <v>259000</v>
      </c>
    </row>
    <row r="9" spans="1:7" x14ac:dyDescent="0.25">
      <c r="A9" s="5">
        <v>41609</v>
      </c>
      <c r="B9" s="25">
        <f>'LTIM ye Jun24 - Table 1'!C111</f>
        <v>244000</v>
      </c>
      <c r="C9" s="25">
        <f>'LTIM ye Dec23 - Table 1'!C106</f>
        <v>244000</v>
      </c>
    </row>
    <row r="10" spans="1:7" x14ac:dyDescent="0.25">
      <c r="A10" s="5">
        <v>41699</v>
      </c>
      <c r="B10" s="25">
        <f>'LTIM ye Jun24 - Table 1'!C112</f>
        <v>256000</v>
      </c>
      <c r="C10" s="25">
        <f>'LTIM ye Dec23 - Table 1'!C107</f>
        <v>256000</v>
      </c>
    </row>
    <row r="11" spans="1:7" x14ac:dyDescent="0.25">
      <c r="A11" s="5">
        <v>41791</v>
      </c>
      <c r="B11" s="25">
        <f>'LTIM ye Jun24 - Table 1'!C113</f>
        <v>248000</v>
      </c>
      <c r="C11" s="25">
        <f>'LTIM ye Dec23 - Table 1'!C108</f>
        <v>248000</v>
      </c>
    </row>
    <row r="12" spans="1:7" x14ac:dyDescent="0.25">
      <c r="A12" s="5">
        <v>41883</v>
      </c>
      <c r="B12" s="25">
        <f>'LTIM ye Jun24 - Table 1'!C114</f>
        <v>264000</v>
      </c>
      <c r="C12" s="25">
        <f>'LTIM ye Dec23 - Table 1'!C109</f>
        <v>264000</v>
      </c>
    </row>
    <row r="13" spans="1:7" x14ac:dyDescent="0.25">
      <c r="A13" s="5">
        <v>41974</v>
      </c>
      <c r="B13" s="25">
        <f>'LTIM ye Jun24 - Table 1'!C115</f>
        <v>284000</v>
      </c>
      <c r="C13" s="25">
        <f>'LTIM ye Dec23 - Table 1'!C110</f>
        <v>284000</v>
      </c>
    </row>
    <row r="14" spans="1:7" x14ac:dyDescent="0.25">
      <c r="A14" s="5">
        <v>42064</v>
      </c>
      <c r="B14" s="25">
        <f>'LTIM ye Jun24 - Table 1'!C116</f>
        <v>296000</v>
      </c>
      <c r="C14" s="25">
        <f>'LTIM ye Dec23 - Table 1'!C111</f>
        <v>296000</v>
      </c>
    </row>
    <row r="15" spans="1:7" x14ac:dyDescent="0.25">
      <c r="A15" s="5">
        <v>42156</v>
      </c>
      <c r="B15" s="25">
        <f>'LTIM ye Jun24 - Table 1'!C117</f>
        <v>296000</v>
      </c>
      <c r="C15" s="25">
        <f>'LTIM ye Dec23 - Table 1'!C112</f>
        <v>296000</v>
      </c>
    </row>
    <row r="16" spans="1:7" x14ac:dyDescent="0.25">
      <c r="A16" s="5">
        <v>42248</v>
      </c>
      <c r="B16" s="25">
        <f>'LTIM ye Jun24 - Table 1'!C118</f>
        <v>293000</v>
      </c>
      <c r="C16" s="25">
        <f>'LTIM ye Dec23 - Table 1'!C113</f>
        <v>293000</v>
      </c>
    </row>
    <row r="17" spans="1:3" x14ac:dyDescent="0.25">
      <c r="A17" s="5">
        <v>42339</v>
      </c>
      <c r="B17" s="25">
        <f>'LTIM ye Jun24 - Table 1'!C119</f>
        <v>303000</v>
      </c>
      <c r="C17" s="25">
        <f>'LTIM ye Dec23 - Table 1'!C114</f>
        <v>303000</v>
      </c>
    </row>
    <row r="18" spans="1:3" x14ac:dyDescent="0.25">
      <c r="A18" s="5">
        <v>42430</v>
      </c>
      <c r="B18" s="25">
        <f>'LTIM ye Jun24 - Table 1'!C120</f>
        <v>298000</v>
      </c>
      <c r="C18" s="25">
        <f>'LTIM ye Dec23 - Table 1'!C115</f>
        <v>298000</v>
      </c>
    </row>
    <row r="19" spans="1:3" x14ac:dyDescent="0.25">
      <c r="A19" s="5">
        <v>42522</v>
      </c>
      <c r="B19" s="25">
        <f>'LTIM ye Jun24 - Table 1'!C121</f>
        <v>321000</v>
      </c>
      <c r="C19" s="25">
        <f>'LTIM ye Dec23 - Table 1'!C116</f>
        <v>321000</v>
      </c>
    </row>
    <row r="20" spans="1:3" x14ac:dyDescent="0.25">
      <c r="A20" s="5">
        <v>42614</v>
      </c>
      <c r="B20" s="25">
        <f>'LTIM ye Jun24 - Table 1'!C122</f>
        <v>290000</v>
      </c>
      <c r="C20" s="25">
        <f>'LTIM ye Dec23 - Table 1'!C117</f>
        <v>290000</v>
      </c>
    </row>
    <row r="21" spans="1:3" x14ac:dyDescent="0.25">
      <c r="A21" s="5">
        <v>42705</v>
      </c>
      <c r="B21" s="25">
        <f>'LTIM ye Jun24 - Table 1'!C123</f>
        <v>249000</v>
      </c>
      <c r="C21" s="25">
        <f>'LTIM ye Dec23 - Table 1'!C118</f>
        <v>249000</v>
      </c>
    </row>
    <row r="22" spans="1:3" x14ac:dyDescent="0.25">
      <c r="A22" s="5">
        <v>42795</v>
      </c>
      <c r="B22" s="25">
        <f>'LTIM ye Jun24 - Table 1'!C124</f>
        <v>240000</v>
      </c>
      <c r="C22" s="25">
        <f>'LTIM ye Dec23 - Table 1'!C119</f>
        <v>240000</v>
      </c>
    </row>
    <row r="23" spans="1:3" x14ac:dyDescent="0.25">
      <c r="A23" s="5">
        <v>42887</v>
      </c>
      <c r="B23" s="25">
        <f>'LTIM ye Jun24 - Table 1'!C125</f>
        <v>200000</v>
      </c>
      <c r="C23" s="25">
        <f>'LTIM ye Dec23 - Table 1'!C120</f>
        <v>200000</v>
      </c>
    </row>
    <row r="24" spans="1:3" x14ac:dyDescent="0.25">
      <c r="A24" s="5">
        <v>42979</v>
      </c>
      <c r="B24" s="25">
        <f>'LTIM ye Jun24 - Table 1'!C126</f>
        <v>205000</v>
      </c>
      <c r="C24" s="25">
        <f>'LTIM ye Dec23 - Table 1'!C121</f>
        <v>205000</v>
      </c>
    </row>
    <row r="25" spans="1:3" x14ac:dyDescent="0.25">
      <c r="A25" s="5">
        <v>43070</v>
      </c>
      <c r="B25" s="25">
        <f>'LTIM ye Jun24 - Table 1'!C127</f>
        <v>208000</v>
      </c>
      <c r="C25" s="25">
        <f>'LTIM ye Dec23 - Table 1'!C122</f>
        <v>208000</v>
      </c>
    </row>
    <row r="26" spans="1:3" x14ac:dyDescent="0.25">
      <c r="A26" s="5">
        <v>43160</v>
      </c>
      <c r="B26" s="25">
        <f>'LTIM ye Jun24 - Table 1'!C128</f>
        <v>193000</v>
      </c>
      <c r="C26" s="25">
        <f>'LTIM ye Dec23 - Table 1'!C123</f>
        <v>193000</v>
      </c>
    </row>
    <row r="27" spans="1:3" x14ac:dyDescent="0.25">
      <c r="A27" s="5">
        <v>43252</v>
      </c>
      <c r="B27" s="25">
        <f>'LTIM ye Jun24 - Table 1'!C129</f>
        <v>216000</v>
      </c>
      <c r="C27" s="25">
        <f>'LTIM ye Dec23 - Table 1'!C124</f>
        <v>216000</v>
      </c>
    </row>
    <row r="28" spans="1:3" x14ac:dyDescent="0.25">
      <c r="A28" s="5">
        <v>43344</v>
      </c>
      <c r="B28" s="25">
        <f>'LTIM ye Jun24 - Table 1'!C130</f>
        <v>226000</v>
      </c>
      <c r="C28" s="25">
        <f>'LTIM ye Dec23 - Table 1'!C125</f>
        <v>226000</v>
      </c>
    </row>
    <row r="29" spans="1:3" x14ac:dyDescent="0.25">
      <c r="A29" s="5">
        <v>43435</v>
      </c>
      <c r="B29" s="25">
        <f>'LTIM ye Jun24 - Table 1'!C131</f>
        <v>276000</v>
      </c>
      <c r="C29" s="25">
        <f>'LTIM ye Dec23 - Table 1'!C126</f>
        <v>276000</v>
      </c>
    </row>
    <row r="30" spans="1:3" x14ac:dyDescent="0.25">
      <c r="A30" s="5">
        <v>43525</v>
      </c>
      <c r="B30" s="25">
        <f>'LTIM ye Jun24 - Table 1'!C132</f>
        <v>274000</v>
      </c>
      <c r="C30" s="25">
        <f>'LTIM ye Dec23 - Table 1'!C127</f>
        <v>274000</v>
      </c>
    </row>
    <row r="31" spans="1:3" x14ac:dyDescent="0.25">
      <c r="A31" s="5">
        <v>43617</v>
      </c>
      <c r="B31" s="25">
        <f>'LTIM ye Jun24 - Table 1'!C133</f>
        <v>224000</v>
      </c>
      <c r="C31" s="25">
        <f>'LTIM ye Dec23 - Table 1'!C128</f>
        <v>224000</v>
      </c>
    </row>
    <row r="32" spans="1:3" x14ac:dyDescent="0.25">
      <c r="A32" s="5">
        <v>43709</v>
      </c>
      <c r="B32" s="25">
        <f>'LTIM ye Jun24 - Table 1'!C134</f>
        <v>202000</v>
      </c>
      <c r="C32" s="25">
        <f>'LTIM ye Dec23 - Table 1'!C129</f>
        <v>202000</v>
      </c>
    </row>
    <row r="33" spans="1:7" x14ac:dyDescent="0.25">
      <c r="A33" s="5">
        <v>43800</v>
      </c>
      <c r="B33" s="25">
        <f>'LTIM ye Jun24 - Table 1'!C135</f>
        <v>184000</v>
      </c>
      <c r="C33" s="25">
        <f>'LTIM ye Dec23 - Table 1'!C130</f>
        <v>184000</v>
      </c>
    </row>
    <row r="34" spans="1:7" x14ac:dyDescent="0.25">
      <c r="A34" s="5">
        <v>43891</v>
      </c>
      <c r="B34" s="25">
        <f>'LTIM ye Jun24 - Table 1'!C136</f>
        <v>170000</v>
      </c>
      <c r="C34" s="25">
        <f>'LTIM ye Dec23 - Table 1'!C131</f>
        <v>170000</v>
      </c>
    </row>
    <row r="35" spans="1:7" x14ac:dyDescent="0.25">
      <c r="A35" s="5">
        <v>43983</v>
      </c>
      <c r="B35" s="25">
        <f>'LTIM ye Jun24 - Table 1'!C137</f>
        <v>111000</v>
      </c>
      <c r="C35" s="25">
        <f>'LTIM ye Dec23 - Table 1'!C132</f>
        <v>111000</v>
      </c>
    </row>
    <row r="36" spans="1:7" x14ac:dyDescent="0.25">
      <c r="A36" s="5">
        <v>44075</v>
      </c>
      <c r="B36" s="25">
        <f>'LTIM ye Jun24 - Table 1'!C138</f>
        <v>35000</v>
      </c>
      <c r="C36" s="25">
        <f>'LTIM ye Dec23 - Table 1'!C133</f>
        <v>35000</v>
      </c>
    </row>
    <row r="37" spans="1:7" x14ac:dyDescent="0.25">
      <c r="A37" s="5">
        <v>44166</v>
      </c>
      <c r="B37" s="25">
        <f>'LTIM ye Jun24 - Table 1'!C139</f>
        <v>93000</v>
      </c>
      <c r="C37" s="25">
        <f>'LTIM ye Dec23 - Table 1'!C134</f>
        <v>93000</v>
      </c>
    </row>
    <row r="38" spans="1:7" x14ac:dyDescent="0.25">
      <c r="A38" s="5">
        <v>44256</v>
      </c>
      <c r="B38" s="25">
        <f>'LTIM ye Jun24 - Table 1'!C140</f>
        <v>132000</v>
      </c>
      <c r="C38" s="25">
        <f>'LTIM ye Dec23 - Table 1'!C135</f>
        <v>132000</v>
      </c>
    </row>
    <row r="39" spans="1:7" x14ac:dyDescent="0.25">
      <c r="A39" s="5">
        <v>44348</v>
      </c>
      <c r="B39" s="25">
        <f>'LTIM ye Jun24 - Table 1'!C141</f>
        <v>254000</v>
      </c>
      <c r="C39" s="25">
        <f>'LTIM ye Dec23 - Table 1'!C136</f>
        <v>221000</v>
      </c>
      <c r="D39">
        <f>'Pproj - Jan24'!D12*1000</f>
        <v>221500</v>
      </c>
      <c r="G39" s="25">
        <f>B39-D39</f>
        <v>32500</v>
      </c>
    </row>
    <row r="40" spans="1:7" x14ac:dyDescent="0.25">
      <c r="A40" s="5">
        <v>44440</v>
      </c>
      <c r="B40" s="25">
        <f>'LTIM ye Jun24 - Table 1'!C142</f>
        <v>467000</v>
      </c>
      <c r="C40" s="25">
        <f>'LTIM ye Dec23 - Table 1'!C137</f>
        <v>443000</v>
      </c>
    </row>
    <row r="41" spans="1:7" x14ac:dyDescent="0.25">
      <c r="A41" s="5">
        <v>44531</v>
      </c>
      <c r="B41" s="25">
        <f>'LTIM ye Jun24 - Table 1'!C143</f>
        <v>484000</v>
      </c>
      <c r="C41" s="25">
        <f>'LTIM ye Dec23 - Table 1'!C138</f>
        <v>466000</v>
      </c>
    </row>
    <row r="42" spans="1:7" x14ac:dyDescent="0.25">
      <c r="A42" s="5">
        <v>44621</v>
      </c>
      <c r="B42" s="25">
        <f>'LTIM ye Jun24 - Table 1'!C144</f>
        <v>548000</v>
      </c>
      <c r="C42" s="25">
        <f>'LTIM ye Dec23 - Table 1'!C139</f>
        <v>526000</v>
      </c>
    </row>
    <row r="43" spans="1:7" x14ac:dyDescent="0.25">
      <c r="A43" s="5">
        <v>44713</v>
      </c>
      <c r="B43" s="25">
        <f>'LTIM ye Jun24 - Table 1'!C145</f>
        <v>634000</v>
      </c>
      <c r="C43" s="25">
        <f>'LTIM ye Dec23 - Table 1'!C140</f>
        <v>607000</v>
      </c>
      <c r="D43">
        <f>'Pproj - Jan24'!D13*1000</f>
        <v>595900</v>
      </c>
      <c r="F43" s="25">
        <f>B43-C43</f>
        <v>27000</v>
      </c>
      <c r="G43" s="25">
        <f>B43-D43</f>
        <v>38100</v>
      </c>
    </row>
    <row r="44" spans="1:7" x14ac:dyDescent="0.25">
      <c r="A44" s="5">
        <v>44805</v>
      </c>
      <c r="B44" s="25">
        <f>'LTIM ye Jun24 - Table 1'!C146</f>
        <v>789000</v>
      </c>
      <c r="C44" s="25">
        <f>'LTIM ye Dec23 - Table 1'!C141</f>
        <v>718000</v>
      </c>
    </row>
    <row r="45" spans="1:7" x14ac:dyDescent="0.25">
      <c r="A45" s="5">
        <v>44896</v>
      </c>
      <c r="B45" s="25">
        <f>'LTIM ye Jun24 - Table 1'!C147</f>
        <v>872000</v>
      </c>
      <c r="C45" s="25">
        <f>'LTIM ye Dec23 - Table 1'!C142</f>
        <v>764000</v>
      </c>
    </row>
    <row r="46" spans="1:7" x14ac:dyDescent="0.25">
      <c r="A46" s="5">
        <v>44986</v>
      </c>
      <c r="B46" s="25">
        <f>'LTIM ye Jun24 - Table 1'!C148</f>
        <v>894000</v>
      </c>
      <c r="C46" s="25">
        <f>'LTIM ye Dec23 - Table 1'!C143</f>
        <v>750000</v>
      </c>
    </row>
    <row r="47" spans="1:7" x14ac:dyDescent="0.25">
      <c r="A47" s="5">
        <v>45078</v>
      </c>
      <c r="B47" s="25">
        <f>'LTIM ye Jun24 - Table 1'!C149</f>
        <v>906000</v>
      </c>
      <c r="C47" s="25">
        <f>'LTIM ye Dec23 - Table 1'!C144</f>
        <v>740000</v>
      </c>
      <c r="D47">
        <f>'Pproj - Jan24'!D14*1000</f>
        <v>670200</v>
      </c>
      <c r="F47" s="25">
        <f>B47-C47</f>
        <v>166000</v>
      </c>
      <c r="G47" s="25">
        <f>B47-D47</f>
        <v>235800</v>
      </c>
    </row>
    <row r="48" spans="1:7" x14ac:dyDescent="0.25">
      <c r="A48" s="5">
        <v>45170</v>
      </c>
      <c r="B48" s="25">
        <f>'LTIM ye Jun24 - Table 1'!C150</f>
        <v>878000</v>
      </c>
      <c r="C48" s="25">
        <f>'LTIM ye Dec23 - Table 1'!C145</f>
        <v>724000</v>
      </c>
    </row>
    <row r="49" spans="1:8" x14ac:dyDescent="0.25">
      <c r="A49" s="5">
        <v>45261</v>
      </c>
      <c r="B49" s="25">
        <f>'LTIM ye Jun24 - Table 1'!C151</f>
        <v>866000</v>
      </c>
      <c r="C49" s="25">
        <f>'LTIM ye Dec23 - Table 1'!C146</f>
        <v>685000</v>
      </c>
      <c r="F49" s="25">
        <f>B49-C49</f>
        <v>181000</v>
      </c>
    </row>
    <row r="50" spans="1:8" x14ac:dyDescent="0.25">
      <c r="A50" s="5">
        <v>45352</v>
      </c>
      <c r="B50" s="25">
        <f>'LTIM ye Jun24 - Table 1'!C152</f>
        <v>824000</v>
      </c>
      <c r="C50" s="25"/>
    </row>
    <row r="51" spans="1:8" x14ac:dyDescent="0.25">
      <c r="A51" s="5">
        <v>45444</v>
      </c>
      <c r="B51" s="25">
        <f>'LTIM ye Jun24 - Table 1'!C153</f>
        <v>728000</v>
      </c>
      <c r="C51" s="25"/>
      <c r="D51">
        <f>'Pproj - Jan24'!G15*1000</f>
        <v>599500</v>
      </c>
      <c r="G51" s="25">
        <f>B51-D51</f>
        <v>128500</v>
      </c>
      <c r="H51" s="25">
        <f>SUM(G39:G51)</f>
        <v>434900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4592-5193-4AC2-A881-2E4736023BB2}">
  <dimension ref="A1:F73"/>
  <sheetViews>
    <sheetView workbookViewId="0">
      <pane xSplit="2" ySplit="7" topLeftCell="C53" activePane="bottomRight" state="frozen"/>
      <selection pane="topRight" activeCell="B1" sqref="B1"/>
      <selection pane="bottomLeft" activeCell="A7" sqref="A7"/>
      <selection pane="bottomRight" activeCell="F65" sqref="F65"/>
    </sheetView>
  </sheetViews>
  <sheetFormatPr defaultRowHeight="15" x14ac:dyDescent="0.25"/>
  <cols>
    <col min="1" max="1" width="10.7109375" bestFit="1" customWidth="1"/>
    <col min="3" max="6" width="17.7109375" customWidth="1"/>
    <col min="7" max="8" width="14.7109375" customWidth="1"/>
  </cols>
  <sheetData>
    <row r="1" spans="1:6" x14ac:dyDescent="0.25">
      <c r="C1" t="s">
        <v>80</v>
      </c>
      <c r="F1" t="s">
        <v>79</v>
      </c>
    </row>
    <row r="2" spans="1:6" x14ac:dyDescent="0.25">
      <c r="B2" s="1" t="s">
        <v>4</v>
      </c>
      <c r="C2" t="s">
        <v>0</v>
      </c>
      <c r="D2" t="s">
        <v>1</v>
      </c>
      <c r="E2" t="s">
        <v>2</v>
      </c>
      <c r="F2" t="s">
        <v>3</v>
      </c>
    </row>
    <row r="3" spans="1:6" s="4" customFormat="1" ht="90" x14ac:dyDescent="0.25">
      <c r="B3" s="4" t="s">
        <v>10</v>
      </c>
      <c r="C3" s="4" t="s">
        <v>15</v>
      </c>
      <c r="D3" s="4" t="s">
        <v>16</v>
      </c>
      <c r="E3" s="4" t="s">
        <v>18</v>
      </c>
      <c r="F3" s="4" t="s">
        <v>22</v>
      </c>
    </row>
    <row r="4" spans="1:6" x14ac:dyDescent="0.25">
      <c r="B4" t="s">
        <v>9</v>
      </c>
      <c r="C4" t="s">
        <v>14</v>
      </c>
      <c r="D4" t="s">
        <v>14</v>
      </c>
      <c r="E4" t="s">
        <v>14</v>
      </c>
      <c r="F4" t="s">
        <v>21</v>
      </c>
    </row>
    <row r="5" spans="1:6" x14ac:dyDescent="0.25">
      <c r="B5" t="s">
        <v>8</v>
      </c>
      <c r="C5" t="s">
        <v>13</v>
      </c>
      <c r="D5" t="s">
        <v>13</v>
      </c>
      <c r="E5" t="s">
        <v>13</v>
      </c>
      <c r="F5" t="s">
        <v>13</v>
      </c>
    </row>
    <row r="6" spans="1:6" x14ac:dyDescent="0.25">
      <c r="B6" t="s">
        <v>7</v>
      </c>
      <c r="C6" t="s">
        <v>12</v>
      </c>
      <c r="D6" t="s">
        <v>12</v>
      </c>
      <c r="E6" t="s">
        <v>12</v>
      </c>
      <c r="F6" t="s">
        <v>20</v>
      </c>
    </row>
    <row r="7" spans="1:6" x14ac:dyDescent="0.25">
      <c r="B7" t="s">
        <v>6</v>
      </c>
      <c r="C7" t="s">
        <v>11</v>
      </c>
      <c r="D7" t="s">
        <v>11</v>
      </c>
      <c r="E7" t="s">
        <v>17</v>
      </c>
      <c r="F7" t="s">
        <v>19</v>
      </c>
    </row>
    <row r="8" spans="1:6" x14ac:dyDescent="0.25">
      <c r="A8" s="5">
        <v>43831</v>
      </c>
      <c r="B8" t="s">
        <v>5</v>
      </c>
      <c r="C8" s="2">
        <v>69399</v>
      </c>
      <c r="D8" s="2">
        <v>5621</v>
      </c>
      <c r="E8" s="2">
        <v>23025</v>
      </c>
      <c r="F8" s="3">
        <v>97.14</v>
      </c>
    </row>
    <row r="9" spans="1:6" x14ac:dyDescent="0.25">
      <c r="A9" s="5">
        <v>43862</v>
      </c>
      <c r="B9" t="s">
        <v>23</v>
      </c>
      <c r="C9" s="2">
        <v>71707</v>
      </c>
      <c r="D9" s="2">
        <v>5290</v>
      </c>
      <c r="E9" s="2">
        <v>23492</v>
      </c>
      <c r="F9" s="3">
        <v>97.83</v>
      </c>
    </row>
    <row r="10" spans="1:6" x14ac:dyDescent="0.25">
      <c r="A10" s="5">
        <v>43891</v>
      </c>
      <c r="B10" t="s">
        <v>24</v>
      </c>
      <c r="C10" s="2">
        <v>56273</v>
      </c>
      <c r="D10" s="2">
        <v>1619</v>
      </c>
      <c r="E10" s="2">
        <v>23305</v>
      </c>
      <c r="F10" s="3">
        <v>91.08</v>
      </c>
    </row>
    <row r="11" spans="1:6" x14ac:dyDescent="0.25">
      <c r="A11" s="5">
        <v>43922</v>
      </c>
      <c r="B11" t="s">
        <v>25</v>
      </c>
      <c r="C11" s="2">
        <v>15908</v>
      </c>
      <c r="D11" s="2">
        <v>-7280</v>
      </c>
      <c r="E11" s="2">
        <v>14670</v>
      </c>
      <c r="F11" s="3">
        <v>42.99</v>
      </c>
    </row>
    <row r="12" spans="1:6" x14ac:dyDescent="0.25">
      <c r="A12" s="5">
        <v>43952</v>
      </c>
      <c r="B12" t="s">
        <v>26</v>
      </c>
      <c r="C12" s="2">
        <v>9356</v>
      </c>
      <c r="D12" s="2">
        <v>-4514</v>
      </c>
      <c r="E12" s="2">
        <v>15157</v>
      </c>
      <c r="F12" s="3">
        <v>48.32</v>
      </c>
    </row>
    <row r="13" spans="1:6" x14ac:dyDescent="0.25">
      <c r="A13" s="5">
        <v>43983</v>
      </c>
      <c r="B13" t="s">
        <v>27</v>
      </c>
      <c r="C13" s="2">
        <v>40276</v>
      </c>
      <c r="D13" s="2">
        <v>1024</v>
      </c>
      <c r="E13" s="2">
        <v>16141</v>
      </c>
      <c r="F13" s="3">
        <v>63.27</v>
      </c>
    </row>
    <row r="14" spans="1:6" x14ac:dyDescent="0.25">
      <c r="A14" s="5">
        <v>44013</v>
      </c>
      <c r="B14" t="s">
        <v>28</v>
      </c>
      <c r="C14" s="2">
        <v>66761</v>
      </c>
      <c r="D14" s="2">
        <v>4140</v>
      </c>
      <c r="E14" s="2">
        <v>17573</v>
      </c>
      <c r="F14" s="3">
        <v>71.760000000000005</v>
      </c>
    </row>
    <row r="15" spans="1:6" x14ac:dyDescent="0.25">
      <c r="A15" s="5">
        <v>44044</v>
      </c>
      <c r="B15" t="s">
        <v>29</v>
      </c>
      <c r="C15" s="2">
        <v>85383</v>
      </c>
      <c r="D15" s="2">
        <v>3573</v>
      </c>
      <c r="E15" s="2">
        <v>18639</v>
      </c>
      <c r="F15" s="3">
        <v>81.650000000000006</v>
      </c>
    </row>
    <row r="16" spans="1:6" x14ac:dyDescent="0.25">
      <c r="A16" s="5">
        <v>44075</v>
      </c>
      <c r="B16" t="s">
        <v>30</v>
      </c>
      <c r="C16" s="2">
        <v>92703</v>
      </c>
      <c r="D16" s="2">
        <v>4611</v>
      </c>
      <c r="E16" s="2">
        <v>20805</v>
      </c>
      <c r="F16" s="3">
        <v>95.2</v>
      </c>
    </row>
    <row r="17" spans="1:6" x14ac:dyDescent="0.25">
      <c r="A17" s="5">
        <v>44105</v>
      </c>
      <c r="B17" t="s">
        <v>31</v>
      </c>
      <c r="C17" s="2">
        <v>100864</v>
      </c>
      <c r="D17" s="2">
        <v>4610</v>
      </c>
      <c r="E17" s="2">
        <v>22246</v>
      </c>
      <c r="F17" s="3">
        <v>106.23</v>
      </c>
    </row>
    <row r="18" spans="1:6" x14ac:dyDescent="0.25">
      <c r="A18" s="5">
        <v>44136</v>
      </c>
      <c r="B18" t="s">
        <v>32</v>
      </c>
      <c r="C18" s="2">
        <v>107701</v>
      </c>
      <c r="D18" s="2">
        <v>4952</v>
      </c>
      <c r="E18" s="2">
        <v>23846</v>
      </c>
      <c r="F18" s="3">
        <v>115.07</v>
      </c>
    </row>
    <row r="19" spans="1:6" x14ac:dyDescent="0.25">
      <c r="A19" s="5">
        <v>44166</v>
      </c>
      <c r="B19" t="s">
        <v>33</v>
      </c>
      <c r="C19" s="2">
        <v>102974</v>
      </c>
      <c r="D19" s="2">
        <v>5903</v>
      </c>
      <c r="E19" s="2">
        <v>25090</v>
      </c>
      <c r="F19" s="3">
        <v>127.32</v>
      </c>
    </row>
    <row r="20" spans="1:6" x14ac:dyDescent="0.25">
      <c r="A20" s="5">
        <v>44197</v>
      </c>
      <c r="B20" t="s">
        <v>34</v>
      </c>
      <c r="C20" s="2">
        <v>96913</v>
      </c>
      <c r="D20" s="2">
        <v>3620</v>
      </c>
      <c r="E20" s="2">
        <v>25173</v>
      </c>
      <c r="F20" s="3">
        <v>118.85</v>
      </c>
    </row>
    <row r="21" spans="1:6" x14ac:dyDescent="0.25">
      <c r="A21" s="5">
        <v>44228</v>
      </c>
      <c r="B21" t="s">
        <v>35</v>
      </c>
      <c r="C21" s="2">
        <v>84705</v>
      </c>
      <c r="D21" s="2">
        <v>6854</v>
      </c>
      <c r="E21" s="2">
        <v>28982</v>
      </c>
      <c r="F21" s="3">
        <v>143.38999999999999</v>
      </c>
    </row>
    <row r="22" spans="1:6" x14ac:dyDescent="0.25">
      <c r="A22" s="5">
        <v>44256</v>
      </c>
      <c r="B22" t="s">
        <v>36</v>
      </c>
      <c r="C22" s="2">
        <v>80984</v>
      </c>
      <c r="D22" s="2">
        <v>11580</v>
      </c>
      <c r="E22" s="2">
        <v>36597</v>
      </c>
      <c r="F22" s="3">
        <v>177.31</v>
      </c>
    </row>
    <row r="23" spans="1:6" x14ac:dyDescent="0.25">
      <c r="A23" s="5">
        <v>44287</v>
      </c>
      <c r="B23" t="s">
        <v>37</v>
      </c>
      <c r="C23" s="2">
        <v>85067</v>
      </c>
      <c r="D23" s="2">
        <v>3352</v>
      </c>
      <c r="E23" s="2">
        <v>23386</v>
      </c>
      <c r="F23" s="3">
        <v>122.12</v>
      </c>
    </row>
    <row r="24" spans="1:6" x14ac:dyDescent="0.25">
      <c r="A24" s="5">
        <v>44317</v>
      </c>
      <c r="B24" t="s">
        <v>38</v>
      </c>
      <c r="C24" s="2">
        <v>86133</v>
      </c>
      <c r="D24" s="2">
        <v>5585</v>
      </c>
      <c r="E24" s="2">
        <v>23634</v>
      </c>
      <c r="F24" s="3">
        <v>114.92</v>
      </c>
    </row>
    <row r="25" spans="1:6" x14ac:dyDescent="0.25">
      <c r="A25" s="5">
        <v>44348</v>
      </c>
      <c r="B25" t="s">
        <v>39</v>
      </c>
      <c r="C25" s="2">
        <v>79065</v>
      </c>
      <c r="D25" s="2">
        <v>17444</v>
      </c>
      <c r="E25" s="2">
        <v>42365</v>
      </c>
      <c r="F25" s="3">
        <v>204.64</v>
      </c>
    </row>
    <row r="26" spans="1:6" x14ac:dyDescent="0.25">
      <c r="A26" s="5">
        <v>44378</v>
      </c>
      <c r="B26" t="s">
        <v>40</v>
      </c>
      <c r="C26" s="2">
        <v>72690</v>
      </c>
      <c r="D26" s="2">
        <v>-1121</v>
      </c>
      <c r="E26" s="2">
        <v>15673</v>
      </c>
      <c r="F26" s="3">
        <v>75.67</v>
      </c>
    </row>
    <row r="27" spans="1:6" x14ac:dyDescent="0.25">
      <c r="A27" s="5">
        <v>44409</v>
      </c>
      <c r="B27" t="s">
        <v>41</v>
      </c>
      <c r="C27" s="2">
        <v>71149</v>
      </c>
      <c r="D27" s="2">
        <v>5301</v>
      </c>
      <c r="E27" s="2">
        <v>19954</v>
      </c>
      <c r="F27" s="3">
        <v>96.71</v>
      </c>
    </row>
    <row r="28" spans="1:6" x14ac:dyDescent="0.25">
      <c r="A28" s="5">
        <v>44440</v>
      </c>
      <c r="B28" t="s">
        <v>42</v>
      </c>
      <c r="C28" s="2">
        <v>70837</v>
      </c>
      <c r="D28" s="2">
        <v>10188</v>
      </c>
      <c r="E28" s="2">
        <v>30090</v>
      </c>
      <c r="F28" s="3">
        <v>159.97999999999999</v>
      </c>
    </row>
    <row r="29" spans="1:6" x14ac:dyDescent="0.25">
      <c r="A29" s="5">
        <v>44470</v>
      </c>
      <c r="B29" t="s">
        <v>43</v>
      </c>
      <c r="C29" s="2">
        <v>68336</v>
      </c>
      <c r="D29" s="2">
        <v>2628</v>
      </c>
      <c r="E29" s="2">
        <v>18874</v>
      </c>
      <c r="F29" s="3">
        <v>76.77</v>
      </c>
    </row>
    <row r="30" spans="1:6" x14ac:dyDescent="0.25">
      <c r="A30" s="5">
        <v>44501</v>
      </c>
      <c r="B30" t="s">
        <v>44</v>
      </c>
      <c r="C30" s="2">
        <v>69107</v>
      </c>
      <c r="D30" s="2">
        <v>4712</v>
      </c>
      <c r="E30" s="2">
        <v>22534</v>
      </c>
      <c r="F30" s="3">
        <v>92.99</v>
      </c>
    </row>
    <row r="31" spans="1:6" x14ac:dyDescent="0.25">
      <c r="A31" s="5">
        <v>44531</v>
      </c>
      <c r="B31" t="s">
        <v>45</v>
      </c>
      <c r="C31" s="2">
        <v>72318</v>
      </c>
      <c r="D31" s="2">
        <v>4730</v>
      </c>
      <c r="E31" s="2">
        <v>22371</v>
      </c>
      <c r="F31" s="3">
        <v>99.71</v>
      </c>
    </row>
    <row r="32" spans="1:6" x14ac:dyDescent="0.25">
      <c r="A32" s="5">
        <v>44562</v>
      </c>
      <c r="B32" t="s">
        <v>46</v>
      </c>
      <c r="C32" s="2">
        <v>73844</v>
      </c>
      <c r="D32" s="2">
        <v>7032</v>
      </c>
      <c r="E32" s="2">
        <v>25006</v>
      </c>
      <c r="F32" s="3">
        <v>108.51</v>
      </c>
    </row>
    <row r="33" spans="1:6" x14ac:dyDescent="0.25">
      <c r="A33" s="5">
        <v>44593</v>
      </c>
      <c r="B33" t="s">
        <v>47</v>
      </c>
      <c r="C33" s="2">
        <v>68560</v>
      </c>
      <c r="D33" s="2">
        <v>6349</v>
      </c>
      <c r="E33" s="2">
        <v>28482</v>
      </c>
      <c r="F33" s="3">
        <v>111.7</v>
      </c>
    </row>
    <row r="34" spans="1:6" x14ac:dyDescent="0.25">
      <c r="A34" s="5">
        <v>44621</v>
      </c>
      <c r="B34" t="s">
        <v>48</v>
      </c>
      <c r="C34" s="2">
        <v>68870</v>
      </c>
      <c r="D34" s="2">
        <v>8562</v>
      </c>
      <c r="E34" s="2">
        <v>28577</v>
      </c>
      <c r="F34" s="3">
        <v>112.29</v>
      </c>
    </row>
    <row r="35" spans="1:6" x14ac:dyDescent="0.25">
      <c r="A35" s="5">
        <v>44652</v>
      </c>
      <c r="B35" t="s">
        <v>49</v>
      </c>
      <c r="C35" s="2">
        <v>65643</v>
      </c>
      <c r="D35" s="2">
        <v>5820</v>
      </c>
      <c r="E35" s="2">
        <v>27724</v>
      </c>
      <c r="F35" s="3">
        <v>109.62</v>
      </c>
    </row>
    <row r="36" spans="1:6" x14ac:dyDescent="0.25">
      <c r="A36" s="5">
        <v>44682</v>
      </c>
      <c r="B36" t="s">
        <v>50</v>
      </c>
      <c r="C36" s="2">
        <v>66325</v>
      </c>
      <c r="D36" s="2">
        <v>7513</v>
      </c>
      <c r="E36" s="2">
        <v>29595</v>
      </c>
      <c r="F36" s="3">
        <v>107.66</v>
      </c>
    </row>
    <row r="37" spans="1:6" x14ac:dyDescent="0.25">
      <c r="A37" s="5">
        <v>44713</v>
      </c>
      <c r="B37" t="s">
        <v>51</v>
      </c>
      <c r="C37" s="2">
        <v>62829</v>
      </c>
      <c r="D37" s="2">
        <v>6789</v>
      </c>
      <c r="E37" s="2">
        <v>24675</v>
      </c>
      <c r="F37" s="3">
        <v>100.07</v>
      </c>
    </row>
    <row r="38" spans="1:6" x14ac:dyDescent="0.25">
      <c r="A38" s="5">
        <v>44743</v>
      </c>
      <c r="B38" t="s">
        <v>52</v>
      </c>
      <c r="C38" s="2">
        <v>62906</v>
      </c>
      <c r="D38" s="2">
        <v>5937</v>
      </c>
      <c r="E38" s="2">
        <v>25900</v>
      </c>
      <c r="F38" s="3">
        <v>102.87</v>
      </c>
    </row>
    <row r="39" spans="1:6" x14ac:dyDescent="0.25">
      <c r="A39" s="5">
        <v>44774</v>
      </c>
      <c r="B39" t="s">
        <v>53</v>
      </c>
      <c r="C39" s="2">
        <v>72206</v>
      </c>
      <c r="D39" s="2">
        <v>6394</v>
      </c>
      <c r="E39" s="2">
        <v>24381</v>
      </c>
      <c r="F39" s="3">
        <v>102.15</v>
      </c>
    </row>
    <row r="40" spans="1:6" x14ac:dyDescent="0.25">
      <c r="A40" s="5">
        <v>44805</v>
      </c>
      <c r="B40" t="s">
        <v>54</v>
      </c>
      <c r="C40" s="2">
        <v>65149</v>
      </c>
      <c r="D40" s="2">
        <v>6217</v>
      </c>
      <c r="E40" s="2">
        <v>25690</v>
      </c>
      <c r="F40" s="3">
        <v>101.99</v>
      </c>
    </row>
    <row r="41" spans="1:6" x14ac:dyDescent="0.25">
      <c r="A41" s="5">
        <v>44835</v>
      </c>
      <c r="B41" t="s">
        <v>55</v>
      </c>
      <c r="C41" s="2">
        <v>57968</v>
      </c>
      <c r="D41" s="2">
        <v>3749</v>
      </c>
      <c r="E41" s="2">
        <v>26985</v>
      </c>
      <c r="F41" s="3">
        <v>104.83</v>
      </c>
    </row>
    <row r="42" spans="1:6" x14ac:dyDescent="0.25">
      <c r="A42" s="5">
        <v>44866</v>
      </c>
      <c r="B42" t="s">
        <v>56</v>
      </c>
      <c r="C42" s="2">
        <v>46368</v>
      </c>
      <c r="D42" s="2">
        <v>4397</v>
      </c>
      <c r="E42" s="2">
        <v>24812</v>
      </c>
      <c r="F42" s="3">
        <v>103.86</v>
      </c>
    </row>
    <row r="43" spans="1:6" x14ac:dyDescent="0.25">
      <c r="A43" s="5">
        <v>44896</v>
      </c>
      <c r="B43" t="s">
        <v>57</v>
      </c>
      <c r="C43" s="2">
        <v>41119</v>
      </c>
      <c r="D43" s="2">
        <v>3275</v>
      </c>
      <c r="E43" s="2">
        <v>23090</v>
      </c>
      <c r="F43" s="3">
        <v>99.56</v>
      </c>
    </row>
    <row r="44" spans="1:6" x14ac:dyDescent="0.25">
      <c r="A44" s="5">
        <v>44927</v>
      </c>
      <c r="B44" t="s">
        <v>58</v>
      </c>
      <c r="C44" s="2">
        <v>39692</v>
      </c>
      <c r="D44" s="2">
        <v>2861</v>
      </c>
      <c r="E44" s="2">
        <v>23091</v>
      </c>
      <c r="F44" s="3">
        <v>95.04</v>
      </c>
    </row>
    <row r="45" spans="1:6" x14ac:dyDescent="0.25">
      <c r="A45" s="5">
        <v>44958</v>
      </c>
      <c r="B45" t="s">
        <v>59</v>
      </c>
      <c r="C45" s="2">
        <v>43190</v>
      </c>
      <c r="D45" s="2">
        <v>2220</v>
      </c>
      <c r="E45" s="2">
        <v>20325</v>
      </c>
      <c r="F45" s="3">
        <v>89.8</v>
      </c>
    </row>
    <row r="46" spans="1:6" x14ac:dyDescent="0.25">
      <c r="A46" s="5">
        <v>44986</v>
      </c>
      <c r="B46" t="s">
        <v>60</v>
      </c>
      <c r="C46" s="2">
        <v>51086</v>
      </c>
      <c r="D46" s="2">
        <v>1578</v>
      </c>
      <c r="E46" s="2">
        <v>20343</v>
      </c>
      <c r="F46" s="3">
        <v>91.41</v>
      </c>
    </row>
    <row r="47" spans="1:6" x14ac:dyDescent="0.25">
      <c r="A47" s="5">
        <v>45017</v>
      </c>
      <c r="B47" t="s">
        <v>61</v>
      </c>
      <c r="C47" s="2">
        <v>48714</v>
      </c>
      <c r="D47" s="2">
        <v>657</v>
      </c>
      <c r="E47" s="2">
        <v>16371</v>
      </c>
      <c r="F47" s="3">
        <v>82.71</v>
      </c>
    </row>
    <row r="48" spans="1:6" x14ac:dyDescent="0.25">
      <c r="A48" s="5">
        <v>45047</v>
      </c>
      <c r="B48" t="s">
        <v>62</v>
      </c>
      <c r="C48" s="2">
        <v>50837</v>
      </c>
      <c r="D48" s="2">
        <v>612</v>
      </c>
      <c r="E48" s="2">
        <v>18512</v>
      </c>
      <c r="F48" s="3">
        <v>77.849999999999994</v>
      </c>
    </row>
    <row r="49" spans="1:6" x14ac:dyDescent="0.25">
      <c r="A49" s="5">
        <v>45078</v>
      </c>
      <c r="B49" t="s">
        <v>63</v>
      </c>
      <c r="C49" s="2">
        <v>54403</v>
      </c>
      <c r="D49" s="2">
        <v>1709</v>
      </c>
      <c r="E49" s="2">
        <v>19692</v>
      </c>
      <c r="F49" s="3">
        <v>84.61</v>
      </c>
    </row>
    <row r="50" spans="1:6" x14ac:dyDescent="0.25">
      <c r="A50" s="5">
        <v>45108</v>
      </c>
      <c r="B50" t="s">
        <v>64</v>
      </c>
      <c r="C50" s="2">
        <v>49468</v>
      </c>
      <c r="D50" s="2">
        <v>1429</v>
      </c>
      <c r="E50" s="2">
        <v>18619</v>
      </c>
      <c r="F50" s="3">
        <v>85.14</v>
      </c>
    </row>
    <row r="51" spans="1:6" x14ac:dyDescent="0.25">
      <c r="A51" s="5">
        <v>45139</v>
      </c>
      <c r="B51" t="s">
        <v>65</v>
      </c>
      <c r="C51" s="2">
        <v>45365</v>
      </c>
      <c r="D51" s="2">
        <v>2685</v>
      </c>
      <c r="E51" s="2">
        <v>19014</v>
      </c>
      <c r="F51" s="3">
        <v>85.92</v>
      </c>
    </row>
    <row r="52" spans="1:6" x14ac:dyDescent="0.25">
      <c r="A52" s="5">
        <v>45170</v>
      </c>
      <c r="B52" t="s">
        <v>66</v>
      </c>
      <c r="C52" s="2">
        <v>44206</v>
      </c>
      <c r="D52" s="2">
        <v>278</v>
      </c>
      <c r="E52" s="2">
        <v>18371</v>
      </c>
      <c r="F52" s="3">
        <v>84.36</v>
      </c>
    </row>
    <row r="53" spans="1:6" x14ac:dyDescent="0.25">
      <c r="A53" s="5">
        <v>45200</v>
      </c>
      <c r="B53" t="s">
        <v>67</v>
      </c>
      <c r="C53" s="2">
        <v>48259</v>
      </c>
      <c r="D53" s="2">
        <v>1488</v>
      </c>
      <c r="E53" s="2">
        <v>16229</v>
      </c>
      <c r="F53" s="3">
        <v>82.98</v>
      </c>
    </row>
    <row r="54" spans="1:6" x14ac:dyDescent="0.25">
      <c r="A54" s="5">
        <v>45231</v>
      </c>
      <c r="B54" t="s">
        <v>68</v>
      </c>
      <c r="C54" s="2">
        <v>49908</v>
      </c>
      <c r="D54" s="2">
        <v>2151</v>
      </c>
      <c r="E54" s="2">
        <v>16648</v>
      </c>
      <c r="F54" s="3">
        <v>81.96</v>
      </c>
    </row>
    <row r="55" spans="1:6" x14ac:dyDescent="0.25">
      <c r="A55" s="5">
        <v>45261</v>
      </c>
      <c r="B55" t="s">
        <v>69</v>
      </c>
      <c r="C55" s="2">
        <v>51865</v>
      </c>
      <c r="D55" s="2">
        <v>494</v>
      </c>
      <c r="E55" s="2">
        <v>17540</v>
      </c>
      <c r="F55" s="3">
        <v>81.73</v>
      </c>
    </row>
    <row r="56" spans="1:6" x14ac:dyDescent="0.25">
      <c r="A56" s="5">
        <v>45292</v>
      </c>
      <c r="B56" t="s">
        <v>70</v>
      </c>
      <c r="C56" s="2">
        <v>55806</v>
      </c>
      <c r="D56" s="2">
        <v>1052</v>
      </c>
      <c r="E56" s="2">
        <v>17358</v>
      </c>
      <c r="F56" s="3">
        <v>83.01</v>
      </c>
    </row>
    <row r="57" spans="1:6" x14ac:dyDescent="0.25">
      <c r="A57" s="5">
        <v>45323</v>
      </c>
      <c r="B57" t="s">
        <v>71</v>
      </c>
      <c r="C57" s="2">
        <v>60398</v>
      </c>
      <c r="D57" s="2">
        <v>3082</v>
      </c>
      <c r="E57" s="2">
        <v>18417</v>
      </c>
      <c r="F57" s="3">
        <v>84.66</v>
      </c>
    </row>
    <row r="58" spans="1:6" x14ac:dyDescent="0.25">
      <c r="A58" s="5">
        <v>45352</v>
      </c>
      <c r="B58" t="s">
        <v>72</v>
      </c>
      <c r="C58" s="2">
        <v>61420</v>
      </c>
      <c r="D58" s="2">
        <v>1751</v>
      </c>
      <c r="E58" s="2">
        <v>20516</v>
      </c>
      <c r="F58" s="3">
        <v>86.64</v>
      </c>
    </row>
    <row r="59" spans="1:6" x14ac:dyDescent="0.25">
      <c r="A59" s="5">
        <v>45383</v>
      </c>
      <c r="B59" t="s">
        <v>73</v>
      </c>
      <c r="C59" s="2">
        <v>61338</v>
      </c>
      <c r="D59" s="2">
        <v>3104</v>
      </c>
      <c r="E59" s="2">
        <v>21056</v>
      </c>
      <c r="F59" s="3">
        <v>89.66</v>
      </c>
    </row>
    <row r="60" spans="1:6" x14ac:dyDescent="0.25">
      <c r="A60" s="5">
        <v>45413</v>
      </c>
      <c r="B60" t="s">
        <v>74</v>
      </c>
      <c r="C60" s="2">
        <v>60795</v>
      </c>
      <c r="D60" s="2">
        <v>2648</v>
      </c>
      <c r="E60" s="2">
        <v>22299</v>
      </c>
      <c r="F60" s="3">
        <v>92.18</v>
      </c>
    </row>
    <row r="61" spans="1:6" x14ac:dyDescent="0.25">
      <c r="A61" s="5">
        <v>45444</v>
      </c>
      <c r="B61" t="s">
        <v>75</v>
      </c>
      <c r="C61" s="2">
        <v>60874</v>
      </c>
      <c r="D61" s="2">
        <v>3427</v>
      </c>
      <c r="E61" s="2">
        <v>20406</v>
      </c>
      <c r="F61" s="3">
        <v>91.62</v>
      </c>
    </row>
    <row r="62" spans="1:6" x14ac:dyDescent="0.25">
      <c r="A62" s="5">
        <v>45474</v>
      </c>
      <c r="B62" t="s">
        <v>76</v>
      </c>
      <c r="C62" s="2">
        <v>62748</v>
      </c>
      <c r="D62" s="2">
        <v>4025</v>
      </c>
      <c r="E62" s="2">
        <v>19493</v>
      </c>
      <c r="F62" s="3">
        <v>91.08</v>
      </c>
    </row>
    <row r="63" spans="1:6" x14ac:dyDescent="0.25">
      <c r="A63" s="5">
        <v>45505</v>
      </c>
      <c r="B63" t="s">
        <v>77</v>
      </c>
      <c r="C63" s="2">
        <v>65256</v>
      </c>
      <c r="D63" s="2">
        <v>4203</v>
      </c>
      <c r="E63" s="2">
        <v>19686</v>
      </c>
      <c r="F63" s="3">
        <v>91.03</v>
      </c>
    </row>
    <row r="64" spans="1:6" x14ac:dyDescent="0.25">
      <c r="A64" s="5">
        <v>45536</v>
      </c>
      <c r="B64" t="s">
        <v>78</v>
      </c>
      <c r="C64" s="2">
        <v>66115</v>
      </c>
      <c r="D64" s="2">
        <v>3771</v>
      </c>
      <c r="E64" s="2">
        <v>19295</v>
      </c>
      <c r="F64" s="3">
        <v>91.69</v>
      </c>
    </row>
    <row r="65" spans="1:6" x14ac:dyDescent="0.25">
      <c r="A65" s="5">
        <v>45566</v>
      </c>
      <c r="C65">
        <v>68303</v>
      </c>
      <c r="F65">
        <v>100.41</v>
      </c>
    </row>
    <row r="66" spans="1:6" x14ac:dyDescent="0.25">
      <c r="A66" s="5">
        <v>45597</v>
      </c>
    </row>
    <row r="67" spans="1:6" x14ac:dyDescent="0.25">
      <c r="A67" s="5">
        <v>45627</v>
      </c>
    </row>
    <row r="68" spans="1:6" x14ac:dyDescent="0.25">
      <c r="A68" s="5">
        <v>45658</v>
      </c>
    </row>
    <row r="69" spans="1:6" x14ac:dyDescent="0.25">
      <c r="A69" s="5">
        <v>45689</v>
      </c>
    </row>
    <row r="70" spans="1:6" x14ac:dyDescent="0.25">
      <c r="A70" s="5">
        <v>45717</v>
      </c>
    </row>
    <row r="71" spans="1:6" x14ac:dyDescent="0.25">
      <c r="A71" s="5">
        <v>45748</v>
      </c>
    </row>
    <row r="72" spans="1:6" x14ac:dyDescent="0.25">
      <c r="A72" s="5">
        <v>45778</v>
      </c>
    </row>
    <row r="73" spans="1:6" x14ac:dyDescent="0.25">
      <c r="A73" s="5">
        <v>45809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D7C4-3C30-4340-8C54-5A7490502F3F}">
  <sheetPr>
    <pageSetUpPr fitToPage="1"/>
  </sheetPr>
  <dimension ref="A1:O153"/>
  <sheetViews>
    <sheetView showGridLines="0" zoomScaleNormal="100" workbookViewId="0">
      <pane xSplit="2" ySplit="6" topLeftCell="C138" activePane="bottomRight" state="frozen"/>
      <selection pane="topRight" activeCell="C1" sqref="C1"/>
      <selection pane="bottomLeft" activeCell="A7" sqref="A7"/>
      <selection pane="bottomRight" activeCell="F160" sqref="F160"/>
    </sheetView>
  </sheetViews>
  <sheetFormatPr defaultColWidth="8.7109375" defaultRowHeight="15" x14ac:dyDescent="0.25"/>
  <cols>
    <col min="1" max="1" width="14.7109375" style="8" customWidth="1"/>
    <col min="2" max="2" width="16" style="8" customWidth="1"/>
    <col min="3" max="3" width="21" style="8" bestFit="1" customWidth="1"/>
    <col min="4" max="4" width="17.7109375" style="8" customWidth="1"/>
    <col min="5" max="5" width="17.7109375" style="9" customWidth="1"/>
    <col min="6" max="6" width="17.7109375" style="8" customWidth="1"/>
    <col min="7" max="7" width="8.7109375" style="8"/>
    <col min="8" max="8" width="11.42578125" style="8" customWidth="1"/>
    <col min="9" max="16384" width="8.7109375" style="8"/>
  </cols>
  <sheetData>
    <row r="1" spans="1:8" ht="18" customHeight="1" x14ac:dyDescent="0.25">
      <c r="A1" s="6" t="s">
        <v>81</v>
      </c>
      <c r="B1" s="7"/>
    </row>
    <row r="2" spans="1:8" ht="36" customHeight="1" x14ac:dyDescent="0.25">
      <c r="A2" s="6" t="s">
        <v>82</v>
      </c>
      <c r="B2" s="7"/>
    </row>
    <row r="3" spans="1:8" ht="15.75" x14ac:dyDescent="0.25">
      <c r="A3" s="10" t="s">
        <v>83</v>
      </c>
      <c r="B3" s="7"/>
    </row>
    <row r="4" spans="1:8" ht="15.75" x14ac:dyDescent="0.25">
      <c r="A4" s="10" t="s">
        <v>84</v>
      </c>
      <c r="B4" s="7"/>
    </row>
    <row r="5" spans="1:8" ht="15.75" x14ac:dyDescent="0.25">
      <c r="A5" s="10" t="s">
        <v>85</v>
      </c>
      <c r="B5" s="7"/>
    </row>
    <row r="6" spans="1:8" s="13" customFormat="1" ht="43.15" customHeight="1" x14ac:dyDescent="0.25">
      <c r="A6" s="11" t="s">
        <v>86</v>
      </c>
      <c r="B6" s="11" t="s">
        <v>87</v>
      </c>
      <c r="C6" s="12" t="s">
        <v>88</v>
      </c>
      <c r="D6" s="12" t="s">
        <v>89</v>
      </c>
      <c r="E6" s="12" t="s">
        <v>90</v>
      </c>
      <c r="F6" s="12" t="s">
        <v>91</v>
      </c>
    </row>
    <row r="7" spans="1:8" ht="15" customHeight="1" x14ac:dyDescent="0.25">
      <c r="A7" s="14" t="s">
        <v>92</v>
      </c>
      <c r="B7" s="15" t="s">
        <v>93</v>
      </c>
      <c r="C7" s="16">
        <v>639000</v>
      </c>
      <c r="D7" s="16">
        <v>74000</v>
      </c>
      <c r="E7" s="17">
        <v>327000</v>
      </c>
      <c r="F7" s="16">
        <v>238000</v>
      </c>
      <c r="H7" s="16"/>
    </row>
    <row r="8" spans="1:8" ht="15" customHeight="1" x14ac:dyDescent="0.25">
      <c r="A8" s="14" t="s">
        <v>92</v>
      </c>
      <c r="B8" s="15" t="s">
        <v>94</v>
      </c>
      <c r="C8" s="16">
        <v>630000</v>
      </c>
      <c r="D8" s="16">
        <v>76000</v>
      </c>
      <c r="E8" s="17">
        <v>322000</v>
      </c>
      <c r="F8" s="16">
        <v>232000</v>
      </c>
    </row>
    <row r="9" spans="1:8" ht="15" customHeight="1" x14ac:dyDescent="0.25">
      <c r="A9" s="14" t="s">
        <v>92</v>
      </c>
      <c r="B9" s="15" t="s">
        <v>95</v>
      </c>
      <c r="C9" s="16">
        <v>643000</v>
      </c>
      <c r="D9" s="16">
        <v>79000</v>
      </c>
      <c r="E9" s="17">
        <v>334000</v>
      </c>
      <c r="F9" s="16">
        <v>230000</v>
      </c>
    </row>
    <row r="10" spans="1:8" ht="15" customHeight="1" x14ac:dyDescent="0.25">
      <c r="A10" s="14" t="s">
        <v>92</v>
      </c>
      <c r="B10" s="15" t="s">
        <v>96</v>
      </c>
      <c r="C10" s="16">
        <v>649000</v>
      </c>
      <c r="D10" s="16">
        <v>75000</v>
      </c>
      <c r="E10" s="17">
        <v>350000</v>
      </c>
      <c r="F10" s="16">
        <v>224000</v>
      </c>
    </row>
    <row r="11" spans="1:8" ht="15" customHeight="1" x14ac:dyDescent="0.25">
      <c r="A11" s="14" t="s">
        <v>92</v>
      </c>
      <c r="B11" s="15" t="s">
        <v>97</v>
      </c>
      <c r="C11" s="16">
        <v>669000</v>
      </c>
      <c r="D11" s="16">
        <v>75000</v>
      </c>
      <c r="E11" s="17">
        <v>373000</v>
      </c>
      <c r="F11" s="16">
        <v>222000</v>
      </c>
    </row>
    <row r="12" spans="1:8" ht="15" customHeight="1" x14ac:dyDescent="0.25">
      <c r="A12" s="14" t="s">
        <v>92</v>
      </c>
      <c r="B12" s="15" t="s">
        <v>98</v>
      </c>
      <c r="C12" s="16">
        <v>720000</v>
      </c>
      <c r="D12" s="16">
        <v>78000</v>
      </c>
      <c r="E12" s="17">
        <v>410000</v>
      </c>
      <c r="F12" s="16">
        <v>233000</v>
      </c>
    </row>
    <row r="13" spans="1:8" ht="15" customHeight="1" x14ac:dyDescent="0.25">
      <c r="A13" s="14" t="s">
        <v>92</v>
      </c>
      <c r="B13" s="15" t="s">
        <v>99</v>
      </c>
      <c r="C13" s="16">
        <v>713000</v>
      </c>
      <c r="D13" s="16">
        <v>76000</v>
      </c>
      <c r="E13" s="17">
        <v>402000</v>
      </c>
      <c r="F13" s="16">
        <v>234000</v>
      </c>
    </row>
    <row r="14" spans="1:8" ht="15" customHeight="1" x14ac:dyDescent="0.25">
      <c r="A14" s="14" t="s">
        <v>92</v>
      </c>
      <c r="B14" s="15" t="s">
        <v>100</v>
      </c>
      <c r="C14" s="16">
        <v>731000</v>
      </c>
      <c r="D14" s="16">
        <v>80000</v>
      </c>
      <c r="E14" s="17">
        <v>414000</v>
      </c>
      <c r="F14" s="16">
        <v>236000</v>
      </c>
    </row>
    <row r="15" spans="1:8" x14ac:dyDescent="0.25">
      <c r="A15" s="14" t="s">
        <v>92</v>
      </c>
      <c r="B15" s="15" t="s">
        <v>101</v>
      </c>
      <c r="C15" s="16">
        <v>737000</v>
      </c>
      <c r="D15" s="16">
        <v>82000</v>
      </c>
      <c r="E15" s="17">
        <v>420000</v>
      </c>
      <c r="F15" s="16">
        <v>236000</v>
      </c>
    </row>
    <row r="16" spans="1:8" x14ac:dyDescent="0.25">
      <c r="A16" s="14" t="s">
        <v>92</v>
      </c>
      <c r="B16" s="15" t="s">
        <v>102</v>
      </c>
      <c r="C16" s="16">
        <v>761000</v>
      </c>
      <c r="D16" s="16">
        <v>81000</v>
      </c>
      <c r="E16" s="17">
        <v>441000</v>
      </c>
      <c r="F16" s="16">
        <v>239000</v>
      </c>
    </row>
    <row r="17" spans="1:6" x14ac:dyDescent="0.25">
      <c r="A17" s="14" t="s">
        <v>92</v>
      </c>
      <c r="B17" s="15" t="s">
        <v>103</v>
      </c>
      <c r="C17" s="16">
        <v>778000</v>
      </c>
      <c r="D17" s="16">
        <v>81000</v>
      </c>
      <c r="E17" s="17">
        <v>457000</v>
      </c>
      <c r="F17" s="16">
        <v>241000</v>
      </c>
    </row>
    <row r="18" spans="1:6" x14ac:dyDescent="0.25">
      <c r="A18" s="14" t="s">
        <v>92</v>
      </c>
      <c r="B18" s="15" t="s">
        <v>104</v>
      </c>
      <c r="C18" s="16">
        <v>780000</v>
      </c>
      <c r="D18" s="16">
        <v>83000</v>
      </c>
      <c r="E18" s="17">
        <v>457000</v>
      </c>
      <c r="F18" s="16">
        <v>240000</v>
      </c>
    </row>
    <row r="19" spans="1:6" x14ac:dyDescent="0.25">
      <c r="A19" s="14" t="s">
        <v>92</v>
      </c>
      <c r="B19" s="15" t="s">
        <v>105</v>
      </c>
      <c r="C19" s="16">
        <v>778000</v>
      </c>
      <c r="D19" s="16">
        <v>83000</v>
      </c>
      <c r="E19" s="17">
        <v>454000</v>
      </c>
      <c r="F19" s="16">
        <v>241000</v>
      </c>
    </row>
    <row r="20" spans="1:6" x14ac:dyDescent="0.25">
      <c r="A20" s="14" t="s">
        <v>92</v>
      </c>
      <c r="B20" s="15" t="s">
        <v>106</v>
      </c>
      <c r="C20" s="16">
        <v>774000</v>
      </c>
      <c r="D20" s="16">
        <v>81000</v>
      </c>
      <c r="E20" s="17">
        <v>453000</v>
      </c>
      <c r="F20" s="16">
        <v>240000</v>
      </c>
    </row>
    <row r="21" spans="1:6" x14ac:dyDescent="0.25">
      <c r="A21" s="14" t="s">
        <v>92</v>
      </c>
      <c r="B21" s="15" t="s">
        <v>107</v>
      </c>
      <c r="C21" s="16">
        <v>797000</v>
      </c>
      <c r="D21" s="16">
        <v>78000</v>
      </c>
      <c r="E21" s="17">
        <v>481000</v>
      </c>
      <c r="F21" s="16">
        <v>238000</v>
      </c>
    </row>
    <row r="22" spans="1:6" x14ac:dyDescent="0.25">
      <c r="A22" s="14" t="s">
        <v>92</v>
      </c>
      <c r="B22" s="15" t="s">
        <v>108</v>
      </c>
      <c r="C22" s="16">
        <v>803000</v>
      </c>
      <c r="D22" s="16">
        <v>78000</v>
      </c>
      <c r="E22" s="17">
        <v>490000</v>
      </c>
      <c r="F22" s="16">
        <v>235000</v>
      </c>
    </row>
    <row r="23" spans="1:6" ht="15" customHeight="1" x14ac:dyDescent="0.25">
      <c r="A23" s="14" t="s">
        <v>92</v>
      </c>
      <c r="B23" s="15" t="s">
        <v>109</v>
      </c>
      <c r="C23" s="16">
        <v>832000</v>
      </c>
      <c r="D23" s="16">
        <v>74000</v>
      </c>
      <c r="E23" s="17">
        <v>521000</v>
      </c>
      <c r="F23" s="16">
        <v>237000</v>
      </c>
    </row>
    <row r="24" spans="1:6" ht="15" customHeight="1" x14ac:dyDescent="0.25">
      <c r="A24" s="14" t="s">
        <v>92</v>
      </c>
      <c r="B24" s="15" t="s">
        <v>110</v>
      </c>
      <c r="C24" s="18">
        <v>804000</v>
      </c>
      <c r="D24" s="18">
        <v>70000</v>
      </c>
      <c r="E24" s="18">
        <v>496000</v>
      </c>
      <c r="F24" s="18">
        <v>238000</v>
      </c>
    </row>
    <row r="25" spans="1:6" ht="15" customHeight="1" x14ac:dyDescent="0.25">
      <c r="A25" s="14" t="s">
        <v>92</v>
      </c>
      <c r="B25" s="15" t="s">
        <v>111</v>
      </c>
      <c r="C25" s="18">
        <v>772000</v>
      </c>
      <c r="D25" s="18">
        <v>70000</v>
      </c>
      <c r="E25" s="18">
        <v>465000</v>
      </c>
      <c r="F25" s="18">
        <v>237000</v>
      </c>
    </row>
    <row r="26" spans="1:6" ht="15" customHeight="1" x14ac:dyDescent="0.25">
      <c r="A26" s="14" t="s">
        <v>92</v>
      </c>
      <c r="B26" s="15" t="s">
        <v>112</v>
      </c>
      <c r="C26" s="18">
        <v>759000</v>
      </c>
      <c r="D26" s="18">
        <v>72000</v>
      </c>
      <c r="E26" s="18">
        <v>447000</v>
      </c>
      <c r="F26" s="18">
        <v>239000</v>
      </c>
    </row>
    <row r="27" spans="1:6" ht="15" customHeight="1" x14ac:dyDescent="0.25">
      <c r="A27" s="14" t="s">
        <v>92</v>
      </c>
      <c r="B27" s="15" t="s">
        <v>113</v>
      </c>
      <c r="C27" s="18">
        <v>718000</v>
      </c>
      <c r="D27" s="18">
        <v>78000</v>
      </c>
      <c r="E27" s="18">
        <v>399000</v>
      </c>
      <c r="F27" s="18">
        <v>241000</v>
      </c>
    </row>
    <row r="28" spans="1:6" ht="15" customHeight="1" x14ac:dyDescent="0.25">
      <c r="A28" s="14" t="s">
        <v>92</v>
      </c>
      <c r="B28" s="15" t="s">
        <v>114</v>
      </c>
      <c r="C28" s="18">
        <v>754000</v>
      </c>
      <c r="D28" s="18">
        <v>78000</v>
      </c>
      <c r="E28" s="18">
        <v>425000</v>
      </c>
      <c r="F28" s="18">
        <v>251000</v>
      </c>
    </row>
    <row r="29" spans="1:6" ht="15" customHeight="1" x14ac:dyDescent="0.25">
      <c r="A29" s="14" t="s">
        <v>92</v>
      </c>
      <c r="B29" s="15" t="s">
        <v>115</v>
      </c>
      <c r="C29" s="18">
        <v>752000</v>
      </c>
      <c r="D29" s="18">
        <v>84000</v>
      </c>
      <c r="E29" s="18">
        <v>411000</v>
      </c>
      <c r="F29" s="18">
        <v>257000</v>
      </c>
    </row>
    <row r="30" spans="1:6" ht="15" customHeight="1" x14ac:dyDescent="0.25">
      <c r="A30" s="14" t="s">
        <v>92</v>
      </c>
      <c r="B30" s="15" t="s">
        <v>116</v>
      </c>
      <c r="C30" s="18">
        <v>736000</v>
      </c>
      <c r="D30" s="18">
        <v>76000</v>
      </c>
      <c r="E30" s="18">
        <v>399000</v>
      </c>
      <c r="F30" s="18">
        <v>261000</v>
      </c>
    </row>
    <row r="31" spans="1:6" ht="15" customHeight="1" x14ac:dyDescent="0.25">
      <c r="A31" s="14" t="s">
        <v>92</v>
      </c>
      <c r="B31" s="15" t="s">
        <v>117</v>
      </c>
      <c r="C31" s="18">
        <v>757000</v>
      </c>
      <c r="D31" s="18">
        <v>81000</v>
      </c>
      <c r="E31" s="18">
        <v>407000</v>
      </c>
      <c r="F31" s="18">
        <v>269000</v>
      </c>
    </row>
    <row r="32" spans="1:6" ht="15" customHeight="1" x14ac:dyDescent="0.25">
      <c r="A32" s="14" t="s">
        <v>92</v>
      </c>
      <c r="B32" s="15" t="s">
        <v>118</v>
      </c>
      <c r="C32" s="18">
        <v>766000</v>
      </c>
      <c r="D32" s="18">
        <v>85000</v>
      </c>
      <c r="E32" s="18">
        <v>397000</v>
      </c>
      <c r="F32" s="18">
        <v>284000</v>
      </c>
    </row>
    <row r="33" spans="1:9" ht="15" customHeight="1" x14ac:dyDescent="0.25">
      <c r="A33" s="14" t="s">
        <v>92</v>
      </c>
      <c r="B33" s="15" t="s">
        <v>119</v>
      </c>
      <c r="C33" s="18">
        <v>825000</v>
      </c>
      <c r="D33" s="18">
        <v>74000</v>
      </c>
      <c r="E33" s="18">
        <v>421000</v>
      </c>
      <c r="F33" s="18">
        <v>330000</v>
      </c>
    </row>
    <row r="34" spans="1:9" ht="15" customHeight="1" x14ac:dyDescent="0.25">
      <c r="A34" s="14" t="s">
        <v>92</v>
      </c>
      <c r="B34" s="15" t="s">
        <v>120</v>
      </c>
      <c r="C34" s="18">
        <v>849000</v>
      </c>
      <c r="D34" s="18">
        <v>74000</v>
      </c>
      <c r="E34" s="18">
        <v>429000</v>
      </c>
      <c r="F34" s="18">
        <v>346000</v>
      </c>
    </row>
    <row r="35" spans="1:9" ht="15" customHeight="1" x14ac:dyDescent="0.25">
      <c r="A35" s="14" t="s">
        <v>92</v>
      </c>
      <c r="B35" s="15" t="s">
        <v>121</v>
      </c>
      <c r="C35" s="18">
        <v>821000</v>
      </c>
      <c r="D35" s="18">
        <v>61000</v>
      </c>
      <c r="E35" s="18">
        <v>413000</v>
      </c>
      <c r="F35" s="18">
        <v>347000</v>
      </c>
    </row>
    <row r="36" spans="1:9" ht="15" customHeight="1" x14ac:dyDescent="0.25">
      <c r="A36" s="14" t="s">
        <v>92</v>
      </c>
      <c r="B36" s="15" t="s">
        <v>122</v>
      </c>
      <c r="C36" s="18">
        <v>793000</v>
      </c>
      <c r="D36" s="18">
        <v>66000</v>
      </c>
      <c r="E36" s="18">
        <v>376000</v>
      </c>
      <c r="F36" s="18">
        <v>351000</v>
      </c>
    </row>
    <row r="37" spans="1:9" ht="15" customHeight="1" x14ac:dyDescent="0.25">
      <c r="A37" s="14" t="s">
        <v>92</v>
      </c>
      <c r="B37" s="15" t="s">
        <v>123</v>
      </c>
      <c r="C37" s="18">
        <v>788000</v>
      </c>
      <c r="D37" s="18">
        <v>71000</v>
      </c>
      <c r="E37" s="18">
        <v>349000</v>
      </c>
      <c r="F37" s="18">
        <v>368000</v>
      </c>
    </row>
    <row r="38" spans="1:9" ht="15" customHeight="1" x14ac:dyDescent="0.25">
      <c r="A38" s="14" t="s">
        <v>92</v>
      </c>
      <c r="B38" s="15" t="s">
        <v>124</v>
      </c>
      <c r="C38" s="18">
        <v>815000</v>
      </c>
      <c r="D38" s="18">
        <v>80000</v>
      </c>
      <c r="E38" s="18">
        <v>347000</v>
      </c>
      <c r="F38" s="18">
        <v>388000</v>
      </c>
    </row>
    <row r="39" spans="1:9" ht="15" customHeight="1" x14ac:dyDescent="0.25">
      <c r="A39" s="14" t="s">
        <v>92</v>
      </c>
      <c r="B39" s="15" t="s">
        <v>125</v>
      </c>
      <c r="C39" s="18">
        <v>736000</v>
      </c>
      <c r="D39" s="18">
        <v>72000</v>
      </c>
      <c r="E39" s="18">
        <v>333000</v>
      </c>
      <c r="F39" s="18">
        <v>331000</v>
      </c>
    </row>
    <row r="40" spans="1:9" ht="15" customHeight="1" x14ac:dyDescent="0.25">
      <c r="A40" s="14" t="s">
        <v>92</v>
      </c>
      <c r="B40" s="15" t="s">
        <v>126</v>
      </c>
      <c r="C40" s="18">
        <v>606000</v>
      </c>
      <c r="D40" s="18">
        <v>53000</v>
      </c>
      <c r="E40" s="18">
        <v>293000</v>
      </c>
      <c r="F40" s="18">
        <v>260000</v>
      </c>
    </row>
    <row r="41" spans="1:9" ht="15" customHeight="1" x14ac:dyDescent="0.25">
      <c r="A41" s="14" t="s">
        <v>92</v>
      </c>
      <c r="B41" s="15" t="s">
        <v>127</v>
      </c>
      <c r="C41" s="18">
        <v>662000</v>
      </c>
      <c r="D41" s="18">
        <v>52000</v>
      </c>
      <c r="E41" s="18">
        <v>316000</v>
      </c>
      <c r="F41" s="18">
        <v>294000</v>
      </c>
    </row>
    <row r="42" spans="1:9" ht="15" customHeight="1" x14ac:dyDescent="0.25">
      <c r="A42" s="14" t="s">
        <v>92</v>
      </c>
      <c r="B42" s="15" t="s">
        <v>128</v>
      </c>
      <c r="C42" s="18">
        <v>629000</v>
      </c>
      <c r="D42" s="18">
        <v>44000</v>
      </c>
      <c r="E42" s="18">
        <v>287000</v>
      </c>
      <c r="F42" s="18">
        <v>297000</v>
      </c>
    </row>
    <row r="43" spans="1:9" ht="15" customHeight="1" x14ac:dyDescent="0.25">
      <c r="A43" s="14" t="s">
        <v>92</v>
      </c>
      <c r="B43" s="15" t="s">
        <v>129</v>
      </c>
      <c r="C43" s="18">
        <v>737000</v>
      </c>
      <c r="D43" s="18">
        <v>62000</v>
      </c>
      <c r="E43" s="18">
        <v>304000</v>
      </c>
      <c r="F43" s="18">
        <v>371000</v>
      </c>
      <c r="I43" s="16"/>
    </row>
    <row r="44" spans="1:9" ht="15" customHeight="1" x14ac:dyDescent="0.25">
      <c r="A44" s="14" t="s">
        <v>92</v>
      </c>
      <c r="B44" s="15" t="s">
        <v>130</v>
      </c>
      <c r="C44" s="18">
        <v>909000</v>
      </c>
      <c r="D44" s="18">
        <v>96000</v>
      </c>
      <c r="E44" s="18">
        <v>275000</v>
      </c>
      <c r="F44" s="18">
        <v>539000</v>
      </c>
    </row>
    <row r="45" spans="1:9" ht="15" customHeight="1" x14ac:dyDescent="0.25">
      <c r="A45" s="14" t="s">
        <v>92</v>
      </c>
      <c r="B45" s="15" t="s">
        <v>131</v>
      </c>
      <c r="C45" s="18">
        <v>917000</v>
      </c>
      <c r="D45" s="18">
        <v>108000</v>
      </c>
      <c r="E45" s="18">
        <v>191000</v>
      </c>
      <c r="F45" s="18">
        <v>617000</v>
      </c>
    </row>
    <row r="46" spans="1:9" ht="15" customHeight="1" x14ac:dyDescent="0.25">
      <c r="A46" s="14" t="s">
        <v>92</v>
      </c>
      <c r="B46" s="15" t="s">
        <v>132</v>
      </c>
      <c r="C46" s="18">
        <v>991000</v>
      </c>
      <c r="D46" s="18">
        <v>110000</v>
      </c>
      <c r="E46" s="18">
        <v>155000</v>
      </c>
      <c r="F46" s="18">
        <v>727000</v>
      </c>
    </row>
    <row r="47" spans="1:9" ht="15" customHeight="1" x14ac:dyDescent="0.25">
      <c r="A47" s="14" t="s">
        <v>92</v>
      </c>
      <c r="B47" s="15" t="s">
        <v>133</v>
      </c>
      <c r="C47" s="18">
        <v>1088000</v>
      </c>
      <c r="D47" s="18">
        <v>108000</v>
      </c>
      <c r="E47" s="18">
        <v>135000</v>
      </c>
      <c r="F47" s="18">
        <v>845000</v>
      </c>
    </row>
    <row r="48" spans="1:9" ht="15" customHeight="1" x14ac:dyDescent="0.25">
      <c r="A48" s="14" t="s">
        <v>92</v>
      </c>
      <c r="B48" s="15" t="s">
        <v>134</v>
      </c>
      <c r="C48" s="18">
        <v>1227000</v>
      </c>
      <c r="D48" s="18">
        <v>94000</v>
      </c>
      <c r="E48" s="18">
        <v>130000</v>
      </c>
      <c r="F48" s="18">
        <v>1003000</v>
      </c>
    </row>
    <row r="49" spans="1:12" ht="15" customHeight="1" x14ac:dyDescent="0.25">
      <c r="A49" s="14" t="s">
        <v>92</v>
      </c>
      <c r="B49" s="15" t="s">
        <v>135</v>
      </c>
      <c r="C49" s="18">
        <v>1294000</v>
      </c>
      <c r="D49" s="18">
        <v>88000</v>
      </c>
      <c r="E49" s="18">
        <v>129000</v>
      </c>
      <c r="F49" s="18">
        <v>1078000</v>
      </c>
    </row>
    <row r="50" spans="1:12" ht="15" customHeight="1" x14ac:dyDescent="0.25">
      <c r="A50" s="14" t="s">
        <v>92</v>
      </c>
      <c r="B50" s="15" t="s">
        <v>136</v>
      </c>
      <c r="C50" s="18">
        <v>1312000</v>
      </c>
      <c r="D50" s="18">
        <v>87000</v>
      </c>
      <c r="E50" s="18">
        <v>142000</v>
      </c>
      <c r="F50" s="18">
        <v>1083000</v>
      </c>
    </row>
    <row r="51" spans="1:12" x14ac:dyDescent="0.25">
      <c r="A51" s="14" t="s">
        <v>92</v>
      </c>
      <c r="B51" s="15" t="s">
        <v>137</v>
      </c>
      <c r="C51" s="18">
        <v>1320000</v>
      </c>
      <c r="D51" s="18">
        <v>84000</v>
      </c>
      <c r="E51" s="18">
        <v>141000</v>
      </c>
      <c r="F51" s="18">
        <v>1095000</v>
      </c>
    </row>
    <row r="52" spans="1:12" x14ac:dyDescent="0.25">
      <c r="A52" s="14" t="s">
        <v>92</v>
      </c>
      <c r="B52" s="15" t="s">
        <v>138</v>
      </c>
      <c r="C52" s="18">
        <v>1304000</v>
      </c>
      <c r="D52" s="18">
        <v>64000</v>
      </c>
      <c r="E52" s="18">
        <v>121000</v>
      </c>
      <c r="F52" s="18">
        <v>1118000</v>
      </c>
    </row>
    <row r="53" spans="1:12" ht="18" customHeight="1" x14ac:dyDescent="0.25">
      <c r="A53" s="14" t="s">
        <v>92</v>
      </c>
      <c r="B53" s="15" t="s">
        <v>139</v>
      </c>
      <c r="C53" s="18">
        <v>1316000</v>
      </c>
      <c r="D53" s="18">
        <v>61000</v>
      </c>
      <c r="E53" s="18">
        <v>133000</v>
      </c>
      <c r="F53" s="18">
        <v>1122000</v>
      </c>
    </row>
    <row r="54" spans="1:12" ht="18" customHeight="1" x14ac:dyDescent="0.25">
      <c r="A54" s="14" t="s">
        <v>92</v>
      </c>
      <c r="B54" s="15" t="s">
        <v>140</v>
      </c>
      <c r="C54" s="18">
        <v>1293000</v>
      </c>
      <c r="D54" s="16">
        <v>67000</v>
      </c>
      <c r="E54" s="17">
        <v>116000</v>
      </c>
      <c r="F54" s="16">
        <v>1110000</v>
      </c>
    </row>
    <row r="55" spans="1:12" ht="42.75" customHeight="1" x14ac:dyDescent="0.25">
      <c r="A55" s="14" t="s">
        <v>92</v>
      </c>
      <c r="B55" s="15" t="s">
        <v>141</v>
      </c>
      <c r="C55" s="18">
        <v>1207000</v>
      </c>
      <c r="D55" s="16">
        <v>58000</v>
      </c>
      <c r="E55" s="17">
        <v>116000</v>
      </c>
      <c r="F55" s="16">
        <v>1034000</v>
      </c>
    </row>
    <row r="56" spans="1:12" x14ac:dyDescent="0.25">
      <c r="A56" s="14" t="s">
        <v>142</v>
      </c>
      <c r="B56" s="15" t="s">
        <v>93</v>
      </c>
      <c r="C56" s="18">
        <v>477000</v>
      </c>
      <c r="D56" s="18">
        <v>156000</v>
      </c>
      <c r="E56" s="18">
        <v>140000</v>
      </c>
      <c r="F56" s="18">
        <v>181000</v>
      </c>
      <c r="I56" s="18"/>
      <c r="J56" s="18"/>
      <c r="K56" s="18"/>
      <c r="L56" s="18"/>
    </row>
    <row r="57" spans="1:12" x14ac:dyDescent="0.25">
      <c r="A57" s="14" t="s">
        <v>142</v>
      </c>
      <c r="B57" s="15" t="s">
        <v>94</v>
      </c>
      <c r="C57" s="18">
        <v>473000</v>
      </c>
      <c r="D57" s="18">
        <v>156000</v>
      </c>
      <c r="E57" s="18">
        <v>139000</v>
      </c>
      <c r="F57" s="18">
        <v>178000</v>
      </c>
      <c r="I57" s="18"/>
      <c r="J57" s="18"/>
      <c r="K57" s="18"/>
      <c r="L57" s="18"/>
    </row>
    <row r="58" spans="1:12" x14ac:dyDescent="0.25">
      <c r="A58" s="14" t="s">
        <v>142</v>
      </c>
      <c r="B58" s="15" t="s">
        <v>95</v>
      </c>
      <c r="C58" s="18">
        <v>448000</v>
      </c>
      <c r="D58" s="18">
        <v>151000</v>
      </c>
      <c r="E58" s="18">
        <v>128000</v>
      </c>
      <c r="F58" s="18">
        <v>169000</v>
      </c>
      <c r="I58" s="18"/>
      <c r="J58" s="18"/>
      <c r="K58" s="18"/>
      <c r="L58" s="18"/>
    </row>
    <row r="59" spans="1:12" x14ac:dyDescent="0.25">
      <c r="A59" s="14" t="s">
        <v>142</v>
      </c>
      <c r="B59" s="15" t="s">
        <v>96</v>
      </c>
      <c r="C59" s="18">
        <v>446000</v>
      </c>
      <c r="D59" s="18">
        <v>154000</v>
      </c>
      <c r="E59" s="18">
        <v>127000</v>
      </c>
      <c r="F59" s="18">
        <v>164000</v>
      </c>
      <c r="I59" s="18"/>
      <c r="J59" s="18"/>
      <c r="K59" s="18"/>
      <c r="L59" s="18"/>
    </row>
    <row r="60" spans="1:12" x14ac:dyDescent="0.25">
      <c r="A60" s="14" t="s">
        <v>142</v>
      </c>
      <c r="B60" s="15" t="s">
        <v>97</v>
      </c>
      <c r="C60" s="18">
        <v>454000</v>
      </c>
      <c r="D60" s="18">
        <v>157000</v>
      </c>
      <c r="E60" s="18">
        <v>131000</v>
      </c>
      <c r="F60" s="18">
        <v>166000</v>
      </c>
      <c r="I60" s="18"/>
      <c r="J60" s="18"/>
      <c r="K60" s="18"/>
      <c r="L60" s="18"/>
    </row>
    <row r="61" spans="1:12" x14ac:dyDescent="0.25">
      <c r="A61" s="14" t="s">
        <v>142</v>
      </c>
      <c r="B61" s="15" t="s">
        <v>98</v>
      </c>
      <c r="C61" s="18">
        <v>461000</v>
      </c>
      <c r="D61" s="18">
        <v>158000</v>
      </c>
      <c r="E61" s="18">
        <v>135000</v>
      </c>
      <c r="F61" s="18">
        <v>169000</v>
      </c>
      <c r="I61" s="18"/>
      <c r="J61" s="18"/>
      <c r="K61" s="18"/>
      <c r="L61" s="18"/>
    </row>
    <row r="62" spans="1:12" x14ac:dyDescent="0.25">
      <c r="A62" s="14" t="s">
        <v>142</v>
      </c>
      <c r="B62" s="15" t="s">
        <v>99</v>
      </c>
      <c r="C62" s="18">
        <v>469000</v>
      </c>
      <c r="D62" s="18">
        <v>157000</v>
      </c>
      <c r="E62" s="18">
        <v>141000</v>
      </c>
      <c r="F62" s="18">
        <v>171000</v>
      </c>
      <c r="I62" s="18"/>
      <c r="J62" s="18"/>
      <c r="K62" s="18"/>
      <c r="L62" s="18"/>
    </row>
    <row r="63" spans="1:12" x14ac:dyDescent="0.25">
      <c r="A63" s="14" t="s">
        <v>142</v>
      </c>
      <c r="B63" s="15" t="s">
        <v>100</v>
      </c>
      <c r="C63" s="18">
        <v>475000</v>
      </c>
      <c r="D63" s="18">
        <v>154000</v>
      </c>
      <c r="E63" s="18">
        <v>151000</v>
      </c>
      <c r="F63" s="18">
        <v>170000</v>
      </c>
      <c r="I63" s="18"/>
      <c r="J63" s="18"/>
      <c r="K63" s="18"/>
      <c r="L63" s="18"/>
    </row>
    <row r="64" spans="1:12" x14ac:dyDescent="0.25">
      <c r="A64" s="14" t="s">
        <v>142</v>
      </c>
      <c r="B64" s="15" t="s">
        <v>101</v>
      </c>
      <c r="C64" s="18">
        <v>489000</v>
      </c>
      <c r="D64" s="18">
        <v>157000</v>
      </c>
      <c r="E64" s="18">
        <v>161000</v>
      </c>
      <c r="F64" s="18">
        <v>171000</v>
      </c>
      <c r="I64" s="18"/>
      <c r="J64" s="18"/>
      <c r="K64" s="18"/>
      <c r="L64" s="18"/>
    </row>
    <row r="65" spans="1:12" x14ac:dyDescent="0.25">
      <c r="A65" s="14" t="s">
        <v>142</v>
      </c>
      <c r="B65" s="15" t="s">
        <v>102</v>
      </c>
      <c r="C65" s="18">
        <v>497000</v>
      </c>
      <c r="D65" s="18">
        <v>160000</v>
      </c>
      <c r="E65" s="18">
        <v>171000</v>
      </c>
      <c r="F65" s="18">
        <v>166000</v>
      </c>
      <c r="I65" s="18"/>
      <c r="J65" s="18"/>
      <c r="K65" s="18"/>
      <c r="L65" s="18"/>
    </row>
    <row r="66" spans="1:12" x14ac:dyDescent="0.25">
      <c r="A66" s="14" t="s">
        <v>142</v>
      </c>
      <c r="B66" s="15" t="s">
        <v>103</v>
      </c>
      <c r="C66" s="18">
        <v>494000</v>
      </c>
      <c r="D66" s="18">
        <v>161000</v>
      </c>
      <c r="E66" s="18">
        <v>180000</v>
      </c>
      <c r="F66" s="18">
        <v>154000</v>
      </c>
      <c r="I66" s="18"/>
      <c r="J66" s="18"/>
      <c r="K66" s="18"/>
      <c r="L66" s="18"/>
    </row>
    <row r="67" spans="1:12" x14ac:dyDescent="0.25">
      <c r="A67" s="14" t="s">
        <v>142</v>
      </c>
      <c r="B67" s="15" t="s">
        <v>104</v>
      </c>
      <c r="C67" s="18">
        <v>484000</v>
      </c>
      <c r="D67" s="18">
        <v>156000</v>
      </c>
      <c r="E67" s="18">
        <v>182000</v>
      </c>
      <c r="F67" s="18">
        <v>146000</v>
      </c>
      <c r="I67" s="18"/>
      <c r="J67" s="18"/>
      <c r="K67" s="18"/>
      <c r="L67" s="18"/>
    </row>
    <row r="68" spans="1:12" x14ac:dyDescent="0.25">
      <c r="A68" s="14" t="s">
        <v>142</v>
      </c>
      <c r="B68" s="15" t="s">
        <v>105</v>
      </c>
      <c r="C68" s="18">
        <v>482000</v>
      </c>
      <c r="D68" s="18">
        <v>154000</v>
      </c>
      <c r="E68" s="18">
        <v>187000</v>
      </c>
      <c r="F68" s="18">
        <v>141000</v>
      </c>
      <c r="I68" s="18"/>
      <c r="J68" s="18"/>
      <c r="K68" s="18"/>
      <c r="L68" s="18"/>
    </row>
    <row r="69" spans="1:12" x14ac:dyDescent="0.25">
      <c r="A69" s="14" t="s">
        <v>142</v>
      </c>
      <c r="B69" s="15" t="s">
        <v>106</v>
      </c>
      <c r="C69" s="18">
        <v>481000</v>
      </c>
      <c r="D69" s="18">
        <v>153000</v>
      </c>
      <c r="E69" s="18">
        <v>191000</v>
      </c>
      <c r="F69" s="18">
        <v>137000</v>
      </c>
      <c r="I69" s="18"/>
      <c r="J69" s="18"/>
      <c r="K69" s="18"/>
      <c r="L69" s="18"/>
    </row>
    <row r="70" spans="1:12" ht="15" customHeight="1" x14ac:dyDescent="0.25">
      <c r="A70" s="14" t="s">
        <v>142</v>
      </c>
      <c r="B70" s="15" t="s">
        <v>107</v>
      </c>
      <c r="C70" s="18">
        <v>494000</v>
      </c>
      <c r="D70" s="18">
        <v>151000</v>
      </c>
      <c r="E70" s="18">
        <v>193000</v>
      </c>
      <c r="F70" s="18">
        <v>150000</v>
      </c>
      <c r="I70" s="18"/>
      <c r="J70" s="18"/>
      <c r="K70" s="18"/>
      <c r="L70" s="18"/>
    </row>
    <row r="71" spans="1:12" ht="15" customHeight="1" x14ac:dyDescent="0.25">
      <c r="A71" s="14" t="s">
        <v>142</v>
      </c>
      <c r="B71" s="15" t="s">
        <v>108</v>
      </c>
      <c r="C71" s="18">
        <v>506000</v>
      </c>
      <c r="D71" s="18">
        <v>155000</v>
      </c>
      <c r="E71" s="18">
        <v>196000</v>
      </c>
      <c r="F71" s="18">
        <v>155000</v>
      </c>
      <c r="I71" s="18"/>
      <c r="J71" s="18"/>
      <c r="K71" s="18"/>
      <c r="L71" s="18"/>
    </row>
    <row r="72" spans="1:12" ht="15" customHeight="1" x14ac:dyDescent="0.25">
      <c r="A72" s="14" t="s">
        <v>142</v>
      </c>
      <c r="B72" s="15" t="s">
        <v>109</v>
      </c>
      <c r="C72" s="18">
        <v>511000</v>
      </c>
      <c r="D72" s="18">
        <v>157000</v>
      </c>
      <c r="E72" s="18">
        <v>199000</v>
      </c>
      <c r="F72" s="18">
        <v>155000</v>
      </c>
      <c r="I72" s="18"/>
      <c r="J72" s="18"/>
      <c r="K72" s="18"/>
      <c r="L72" s="18"/>
    </row>
    <row r="73" spans="1:12" ht="15" customHeight="1" x14ac:dyDescent="0.25">
      <c r="A73" s="14" t="s">
        <v>142</v>
      </c>
      <c r="B73" s="15" t="s">
        <v>110</v>
      </c>
      <c r="C73" s="18">
        <v>514000</v>
      </c>
      <c r="D73" s="18">
        <v>157000</v>
      </c>
      <c r="E73" s="18">
        <v>202000</v>
      </c>
      <c r="F73" s="18">
        <v>155000</v>
      </c>
      <c r="I73" s="18"/>
      <c r="J73" s="18"/>
      <c r="K73" s="18"/>
      <c r="L73" s="18"/>
    </row>
    <row r="74" spans="1:12" ht="15" customHeight="1" x14ac:dyDescent="0.25">
      <c r="A74" s="14" t="s">
        <v>142</v>
      </c>
      <c r="B74" s="15" t="s">
        <v>111</v>
      </c>
      <c r="C74" s="18">
        <v>523000</v>
      </c>
      <c r="D74" s="18">
        <v>163000</v>
      </c>
      <c r="E74" s="18">
        <v>213000</v>
      </c>
      <c r="F74" s="18">
        <v>147000</v>
      </c>
      <c r="I74" s="18"/>
      <c r="J74" s="18"/>
      <c r="K74" s="18"/>
      <c r="L74" s="18"/>
    </row>
    <row r="75" spans="1:12" ht="15" customHeight="1" x14ac:dyDescent="0.25">
      <c r="A75" s="14" t="s">
        <v>142</v>
      </c>
      <c r="B75" s="15" t="s">
        <v>112</v>
      </c>
      <c r="C75" s="18">
        <v>519000</v>
      </c>
      <c r="D75" s="18">
        <v>163000</v>
      </c>
      <c r="E75" s="18">
        <v>213000</v>
      </c>
      <c r="F75" s="18">
        <v>143000</v>
      </c>
      <c r="I75" s="18"/>
      <c r="J75" s="18"/>
      <c r="K75" s="18"/>
      <c r="L75" s="18"/>
    </row>
    <row r="76" spans="1:12" ht="15" customHeight="1" x14ac:dyDescent="0.25">
      <c r="A76" s="14" t="s">
        <v>142</v>
      </c>
      <c r="B76" s="15" t="s">
        <v>113</v>
      </c>
      <c r="C76" s="18">
        <v>518000</v>
      </c>
      <c r="D76" s="18">
        <v>157000</v>
      </c>
      <c r="E76" s="18">
        <v>212000</v>
      </c>
      <c r="F76" s="18">
        <v>149000</v>
      </c>
      <c r="I76" s="18"/>
      <c r="J76" s="18"/>
      <c r="K76" s="18"/>
      <c r="L76" s="18"/>
    </row>
    <row r="77" spans="1:12" ht="15" customHeight="1" x14ac:dyDescent="0.25">
      <c r="A77" s="14" t="s">
        <v>142</v>
      </c>
      <c r="B77" s="15" t="s">
        <v>114</v>
      </c>
      <c r="C77" s="18">
        <v>549000</v>
      </c>
      <c r="D77" s="18">
        <v>163000</v>
      </c>
      <c r="E77" s="18">
        <v>233000</v>
      </c>
      <c r="F77" s="18">
        <v>152000</v>
      </c>
      <c r="I77" s="18"/>
      <c r="J77" s="18"/>
      <c r="K77" s="18"/>
      <c r="L77" s="18"/>
    </row>
    <row r="78" spans="1:12" ht="15" customHeight="1" x14ac:dyDescent="0.25">
      <c r="A78" s="14" t="s">
        <v>142</v>
      </c>
      <c r="B78" s="15" t="s">
        <v>115</v>
      </c>
      <c r="C78" s="18">
        <v>544000</v>
      </c>
      <c r="D78" s="18">
        <v>164000</v>
      </c>
      <c r="E78" s="18">
        <v>235000</v>
      </c>
      <c r="F78" s="18">
        <v>144000</v>
      </c>
      <c r="I78" s="18"/>
      <c r="J78" s="18"/>
      <c r="K78" s="18"/>
      <c r="L78" s="18"/>
    </row>
    <row r="79" spans="1:12" ht="15" customHeight="1" x14ac:dyDescent="0.25">
      <c r="A79" s="14" t="s">
        <v>142</v>
      </c>
      <c r="B79" s="15" t="s">
        <v>116</v>
      </c>
      <c r="C79" s="18">
        <v>543000</v>
      </c>
      <c r="D79" s="18">
        <v>165000</v>
      </c>
      <c r="E79" s="18">
        <v>240000</v>
      </c>
      <c r="F79" s="18">
        <v>139000</v>
      </c>
      <c r="I79" s="18"/>
      <c r="J79" s="18"/>
      <c r="K79" s="18"/>
      <c r="L79" s="18"/>
    </row>
    <row r="80" spans="1:12" ht="15" customHeight="1" x14ac:dyDescent="0.25">
      <c r="A80" s="14" t="s">
        <v>142</v>
      </c>
      <c r="B80" s="15" t="s">
        <v>117</v>
      </c>
      <c r="C80" s="18">
        <v>541000</v>
      </c>
      <c r="D80" s="18">
        <v>165000</v>
      </c>
      <c r="E80" s="18">
        <v>249000</v>
      </c>
      <c r="F80" s="18">
        <v>127000</v>
      </c>
      <c r="I80" s="18"/>
      <c r="J80" s="18"/>
      <c r="K80" s="18"/>
      <c r="L80" s="18"/>
    </row>
    <row r="81" spans="1:12" ht="15" customHeight="1" x14ac:dyDescent="0.25">
      <c r="A81" s="14" t="s">
        <v>142</v>
      </c>
      <c r="B81" s="15" t="s">
        <v>118</v>
      </c>
      <c r="C81" s="18">
        <v>539000</v>
      </c>
      <c r="D81" s="18">
        <v>152000</v>
      </c>
      <c r="E81" s="18">
        <v>259000</v>
      </c>
      <c r="F81" s="18">
        <v>129000</v>
      </c>
      <c r="I81" s="18"/>
      <c r="J81" s="18"/>
      <c r="K81" s="18"/>
      <c r="L81" s="18"/>
    </row>
    <row r="82" spans="1:12" ht="15" customHeight="1" x14ac:dyDescent="0.25">
      <c r="A82" s="14" t="s">
        <v>142</v>
      </c>
      <c r="B82" s="15" t="s">
        <v>119</v>
      </c>
      <c r="C82" s="18">
        <v>549000</v>
      </c>
      <c r="D82" s="18">
        <v>147000</v>
      </c>
      <c r="E82" s="18">
        <v>250000</v>
      </c>
      <c r="F82" s="18">
        <v>152000</v>
      </c>
      <c r="I82" s="18"/>
      <c r="J82" s="18"/>
      <c r="K82" s="18"/>
      <c r="L82" s="18"/>
    </row>
    <row r="83" spans="1:12" ht="15" customHeight="1" x14ac:dyDescent="0.25">
      <c r="A83" s="14" t="s">
        <v>142</v>
      </c>
      <c r="B83" s="15" t="s">
        <v>120</v>
      </c>
      <c r="C83" s="18">
        <v>575000</v>
      </c>
      <c r="D83" s="18">
        <v>146000</v>
      </c>
      <c r="E83" s="18">
        <v>274000</v>
      </c>
      <c r="F83" s="18">
        <v>155000</v>
      </c>
      <c r="I83" s="18"/>
      <c r="J83" s="18"/>
      <c r="K83" s="18"/>
      <c r="L83" s="18"/>
    </row>
    <row r="84" spans="1:12" ht="15" customHeight="1" x14ac:dyDescent="0.25">
      <c r="A84" s="14" t="s">
        <v>142</v>
      </c>
      <c r="B84" s="15" t="s">
        <v>121</v>
      </c>
      <c r="C84" s="18">
        <v>597000</v>
      </c>
      <c r="D84" s="18">
        <v>143000</v>
      </c>
      <c r="E84" s="18">
        <v>287000</v>
      </c>
      <c r="F84" s="18">
        <v>167000</v>
      </c>
      <c r="I84" s="18"/>
      <c r="J84" s="18"/>
      <c r="K84" s="18"/>
      <c r="L84" s="18"/>
    </row>
    <row r="85" spans="1:12" ht="15" customHeight="1" x14ac:dyDescent="0.25">
      <c r="A85" s="14" t="s">
        <v>142</v>
      </c>
      <c r="B85" s="15" t="s">
        <v>122</v>
      </c>
      <c r="C85" s="18">
        <v>591000</v>
      </c>
      <c r="D85" s="18">
        <v>150000</v>
      </c>
      <c r="E85" s="18">
        <v>262000</v>
      </c>
      <c r="F85" s="18">
        <v>180000</v>
      </c>
      <c r="I85" s="18"/>
      <c r="J85" s="18"/>
      <c r="K85" s="18"/>
      <c r="L85" s="18"/>
    </row>
    <row r="86" spans="1:12" ht="15" customHeight="1" x14ac:dyDescent="0.25">
      <c r="A86" s="14" t="s">
        <v>142</v>
      </c>
      <c r="B86" s="15" t="s">
        <v>123</v>
      </c>
      <c r="C86" s="18">
        <v>605000</v>
      </c>
      <c r="D86" s="18">
        <v>153000</v>
      </c>
      <c r="E86" s="18">
        <v>269000</v>
      </c>
      <c r="F86" s="18">
        <v>182000</v>
      </c>
      <c r="I86" s="18"/>
      <c r="J86" s="18"/>
      <c r="K86" s="18"/>
      <c r="L86" s="18"/>
    </row>
    <row r="87" spans="1:12" ht="15" customHeight="1" x14ac:dyDescent="0.25">
      <c r="A87" s="14" t="s">
        <v>142</v>
      </c>
      <c r="B87" s="15" t="s">
        <v>124</v>
      </c>
      <c r="C87" s="18">
        <v>645000</v>
      </c>
      <c r="D87" s="18">
        <v>157000</v>
      </c>
      <c r="E87" s="18">
        <v>266000</v>
      </c>
      <c r="F87" s="18">
        <v>222000</v>
      </c>
      <c r="I87" s="18"/>
      <c r="J87" s="18"/>
      <c r="K87" s="18"/>
      <c r="L87" s="18"/>
    </row>
    <row r="88" spans="1:12" ht="15" customHeight="1" x14ac:dyDescent="0.25">
      <c r="A88" s="14" t="s">
        <v>142</v>
      </c>
      <c r="B88" s="15" t="s">
        <v>125</v>
      </c>
      <c r="C88" s="18">
        <v>625000</v>
      </c>
      <c r="D88" s="18">
        <v>146000</v>
      </c>
      <c r="E88" s="18">
        <v>263000</v>
      </c>
      <c r="F88" s="18">
        <v>216000</v>
      </c>
      <c r="I88" s="18"/>
      <c r="J88" s="18"/>
      <c r="K88" s="18"/>
      <c r="L88" s="18"/>
    </row>
    <row r="89" spans="1:12" ht="15" customHeight="1" x14ac:dyDescent="0.25">
      <c r="A89" s="14" t="s">
        <v>142</v>
      </c>
      <c r="B89" s="15" t="s">
        <v>126</v>
      </c>
      <c r="C89" s="18">
        <v>571000</v>
      </c>
      <c r="D89" s="18">
        <v>123000</v>
      </c>
      <c r="E89" s="18">
        <v>249000</v>
      </c>
      <c r="F89" s="18">
        <v>199000</v>
      </c>
      <c r="I89" s="18"/>
      <c r="J89" s="18"/>
      <c r="K89" s="18"/>
      <c r="L89" s="18"/>
    </row>
    <row r="90" spans="1:12" ht="15" customHeight="1" x14ac:dyDescent="0.25">
      <c r="A90" s="14" t="s">
        <v>142</v>
      </c>
      <c r="B90" s="15" t="s">
        <v>127</v>
      </c>
      <c r="C90" s="18">
        <v>569000</v>
      </c>
      <c r="D90" s="18">
        <v>130000</v>
      </c>
      <c r="E90" s="18">
        <v>247000</v>
      </c>
      <c r="F90" s="18">
        <v>192000</v>
      </c>
      <c r="I90" s="18"/>
      <c r="J90" s="18"/>
      <c r="K90" s="18"/>
      <c r="L90" s="18"/>
    </row>
    <row r="91" spans="1:12" ht="15" customHeight="1" x14ac:dyDescent="0.25">
      <c r="A91" s="14" t="s">
        <v>142</v>
      </c>
      <c r="B91" s="15" t="s">
        <v>128</v>
      </c>
      <c r="C91" s="18">
        <v>496000</v>
      </c>
      <c r="D91" s="18">
        <v>123000</v>
      </c>
      <c r="E91" s="18">
        <v>226000</v>
      </c>
      <c r="F91" s="18">
        <v>147000</v>
      </c>
      <c r="I91" s="18"/>
      <c r="J91" s="18"/>
      <c r="K91" s="18"/>
      <c r="L91" s="18"/>
    </row>
    <row r="92" spans="1:12" ht="15" customHeight="1" x14ac:dyDescent="0.25">
      <c r="A92" s="14" t="s">
        <v>142</v>
      </c>
      <c r="B92" s="15" t="s">
        <v>129</v>
      </c>
      <c r="C92" s="18">
        <v>483000</v>
      </c>
      <c r="D92" s="18">
        <v>135000</v>
      </c>
      <c r="E92" s="18">
        <v>229000</v>
      </c>
      <c r="F92" s="18">
        <v>120000</v>
      </c>
    </row>
    <row r="93" spans="1:12" ht="15" customHeight="1" x14ac:dyDescent="0.25">
      <c r="A93" s="14" t="s">
        <v>142</v>
      </c>
      <c r="B93" s="15" t="s">
        <v>130</v>
      </c>
      <c r="C93" s="18">
        <v>442000</v>
      </c>
      <c r="D93" s="18">
        <v>82000</v>
      </c>
      <c r="E93" s="18">
        <v>263000</v>
      </c>
      <c r="F93" s="18">
        <v>97000</v>
      </c>
    </row>
    <row r="94" spans="1:12" ht="15" customHeight="1" x14ac:dyDescent="0.25">
      <c r="A94" s="14" t="s">
        <v>142</v>
      </c>
      <c r="B94" s="15" t="s">
        <v>131</v>
      </c>
      <c r="C94" s="18">
        <v>433000</v>
      </c>
      <c r="D94" s="18">
        <v>76000</v>
      </c>
      <c r="E94" s="18">
        <v>268000</v>
      </c>
      <c r="F94" s="18">
        <v>89000</v>
      </c>
    </row>
    <row r="95" spans="1:12" ht="15" customHeight="1" x14ac:dyDescent="0.25">
      <c r="A95" s="14" t="s">
        <v>142</v>
      </c>
      <c r="B95" s="15" t="s">
        <v>132</v>
      </c>
      <c r="C95" s="18">
        <v>443000</v>
      </c>
      <c r="D95" s="18">
        <v>81000</v>
      </c>
      <c r="E95" s="18">
        <v>276000</v>
      </c>
      <c r="F95" s="18">
        <v>86000</v>
      </c>
    </row>
    <row r="96" spans="1:12" ht="15" customHeight="1" x14ac:dyDescent="0.25">
      <c r="A96" s="14" t="s">
        <v>142</v>
      </c>
      <c r="B96" s="15" t="s">
        <v>133</v>
      </c>
      <c r="C96" s="18">
        <v>453000</v>
      </c>
      <c r="D96" s="18">
        <v>89000</v>
      </c>
      <c r="E96" s="18">
        <v>274000</v>
      </c>
      <c r="F96" s="18">
        <v>90000</v>
      </c>
    </row>
    <row r="97" spans="1:15" ht="15" customHeight="1" x14ac:dyDescent="0.25">
      <c r="A97" s="14" t="s">
        <v>142</v>
      </c>
      <c r="B97" s="15" t="s">
        <v>134</v>
      </c>
      <c r="C97" s="18">
        <v>438000</v>
      </c>
      <c r="D97" s="18">
        <v>89000</v>
      </c>
      <c r="E97" s="18">
        <v>249000</v>
      </c>
      <c r="F97" s="18">
        <v>101000</v>
      </c>
    </row>
    <row r="98" spans="1:15" x14ac:dyDescent="0.25">
      <c r="A98" s="14" t="s">
        <v>142</v>
      </c>
      <c r="B98" s="15" t="s">
        <v>135</v>
      </c>
      <c r="C98" s="18">
        <v>422000</v>
      </c>
      <c r="D98" s="18">
        <v>92000</v>
      </c>
      <c r="E98" s="18">
        <v>217000</v>
      </c>
      <c r="F98" s="18">
        <v>113000</v>
      </c>
    </row>
    <row r="99" spans="1:15" x14ac:dyDescent="0.25">
      <c r="A99" s="14" t="s">
        <v>142</v>
      </c>
      <c r="B99" s="15" t="s">
        <v>136</v>
      </c>
      <c r="C99" s="18">
        <v>418000</v>
      </c>
      <c r="D99" s="18">
        <v>96000</v>
      </c>
      <c r="E99" s="18">
        <v>196000</v>
      </c>
      <c r="F99" s="18">
        <v>126000</v>
      </c>
    </row>
    <row r="100" spans="1:15" x14ac:dyDescent="0.25">
      <c r="A100" s="14" t="s">
        <v>142</v>
      </c>
      <c r="B100" s="15" t="s">
        <v>137</v>
      </c>
      <c r="C100" s="18">
        <v>414000</v>
      </c>
      <c r="D100" s="18">
        <v>93000</v>
      </c>
      <c r="E100" s="18">
        <v>179000</v>
      </c>
      <c r="F100" s="18">
        <v>141000</v>
      </c>
    </row>
    <row r="101" spans="1:15" x14ac:dyDescent="0.25">
      <c r="A101" s="14" t="s">
        <v>142</v>
      </c>
      <c r="B101" s="15" t="s">
        <v>138</v>
      </c>
      <c r="C101" s="18">
        <v>425000</v>
      </c>
      <c r="D101" s="18">
        <v>95000</v>
      </c>
      <c r="E101" s="18">
        <v>175000</v>
      </c>
      <c r="F101" s="18">
        <v>155000</v>
      </c>
    </row>
    <row r="102" spans="1:15" ht="18" customHeight="1" x14ac:dyDescent="0.25">
      <c r="A102" s="14" t="s">
        <v>142</v>
      </c>
      <c r="B102" s="15" t="s">
        <v>139</v>
      </c>
      <c r="C102" s="18">
        <v>450000</v>
      </c>
      <c r="D102" s="18">
        <v>98000</v>
      </c>
      <c r="E102" s="18">
        <v>188000</v>
      </c>
      <c r="F102" s="18">
        <v>164000</v>
      </c>
    </row>
    <row r="103" spans="1:15" ht="18" customHeight="1" x14ac:dyDescent="0.25">
      <c r="A103" s="14" t="s">
        <v>142</v>
      </c>
      <c r="B103" s="15" t="s">
        <v>140</v>
      </c>
      <c r="C103" s="18">
        <v>468000</v>
      </c>
      <c r="D103" s="18">
        <v>84000</v>
      </c>
      <c r="E103" s="18">
        <v>201000</v>
      </c>
      <c r="F103" s="18">
        <v>184000</v>
      </c>
    </row>
    <row r="104" spans="1:15" ht="40.5" customHeight="1" x14ac:dyDescent="0.25">
      <c r="A104" s="14" t="s">
        <v>142</v>
      </c>
      <c r="B104" s="15" t="s">
        <v>141</v>
      </c>
      <c r="C104" s="18">
        <v>479000</v>
      </c>
      <c r="D104" s="18">
        <v>79000</v>
      </c>
      <c r="E104" s="18">
        <v>211000</v>
      </c>
      <c r="F104" s="18">
        <v>189000</v>
      </c>
    </row>
    <row r="105" spans="1:15" x14ac:dyDescent="0.25">
      <c r="A105" s="14" t="s">
        <v>143</v>
      </c>
      <c r="B105" s="15" t="s">
        <v>93</v>
      </c>
      <c r="C105" s="18">
        <v>162000</v>
      </c>
      <c r="D105" s="18">
        <v>-83000</v>
      </c>
      <c r="E105" s="18">
        <v>187000</v>
      </c>
      <c r="F105" s="18">
        <v>57000</v>
      </c>
      <c r="H105" s="16"/>
      <c r="I105" s="16"/>
      <c r="J105" s="16"/>
      <c r="K105" s="16"/>
      <c r="L105" s="16"/>
      <c r="M105" s="16"/>
      <c r="N105" s="16"/>
      <c r="O105" s="16"/>
    </row>
    <row r="106" spans="1:15" x14ac:dyDescent="0.25">
      <c r="A106" s="14" t="s">
        <v>143</v>
      </c>
      <c r="B106" s="15" t="s">
        <v>94</v>
      </c>
      <c r="C106" s="18">
        <v>157000</v>
      </c>
      <c r="D106" s="18">
        <v>-80000</v>
      </c>
      <c r="E106" s="18">
        <v>183000</v>
      </c>
      <c r="F106" s="18">
        <v>54000</v>
      </c>
      <c r="H106" s="16"/>
      <c r="I106" s="16"/>
      <c r="J106" s="16"/>
      <c r="K106" s="16"/>
      <c r="L106" s="16"/>
      <c r="M106" s="16"/>
      <c r="N106" s="16"/>
      <c r="O106" s="16"/>
    </row>
    <row r="107" spans="1:15" x14ac:dyDescent="0.25">
      <c r="A107" s="14" t="s">
        <v>143</v>
      </c>
      <c r="B107" s="15" t="s">
        <v>95</v>
      </c>
      <c r="C107" s="18">
        <v>195000</v>
      </c>
      <c r="D107" s="18">
        <v>-72000</v>
      </c>
      <c r="E107" s="18">
        <v>206000</v>
      </c>
      <c r="F107" s="18">
        <v>61000</v>
      </c>
      <c r="H107" s="16"/>
      <c r="I107" s="16"/>
      <c r="J107" s="16"/>
      <c r="K107" s="16"/>
      <c r="L107" s="16"/>
      <c r="M107" s="16"/>
      <c r="N107" s="16"/>
      <c r="O107" s="16"/>
    </row>
    <row r="108" spans="1:15" x14ac:dyDescent="0.25">
      <c r="A108" s="14" t="s">
        <v>143</v>
      </c>
      <c r="B108" s="15" t="s">
        <v>96</v>
      </c>
      <c r="C108" s="18">
        <v>204000</v>
      </c>
      <c r="D108" s="18">
        <v>-79000</v>
      </c>
      <c r="E108" s="18">
        <v>223000</v>
      </c>
      <c r="F108" s="18">
        <v>60000</v>
      </c>
      <c r="H108" s="16"/>
      <c r="I108" s="16"/>
      <c r="J108" s="16"/>
      <c r="K108" s="16"/>
      <c r="L108" s="16"/>
      <c r="M108" s="16"/>
      <c r="N108" s="16"/>
      <c r="O108" s="16"/>
    </row>
    <row r="109" spans="1:15" x14ac:dyDescent="0.25">
      <c r="A109" s="14" t="s">
        <v>143</v>
      </c>
      <c r="B109" s="15" t="s">
        <v>97</v>
      </c>
      <c r="C109" s="18">
        <v>215000</v>
      </c>
      <c r="D109" s="18">
        <v>-83000</v>
      </c>
      <c r="E109" s="18">
        <v>242000</v>
      </c>
      <c r="F109" s="18">
        <v>56000</v>
      </c>
      <c r="H109" s="16"/>
      <c r="I109" s="16"/>
      <c r="J109" s="16"/>
      <c r="K109" s="16"/>
      <c r="L109" s="16"/>
      <c r="M109" s="16"/>
      <c r="N109" s="16"/>
      <c r="O109" s="16"/>
    </row>
    <row r="110" spans="1:15" x14ac:dyDescent="0.25">
      <c r="A110" s="14" t="s">
        <v>143</v>
      </c>
      <c r="B110" s="15" t="s">
        <v>98</v>
      </c>
      <c r="C110" s="18">
        <v>259000</v>
      </c>
      <c r="D110" s="18">
        <v>-80000</v>
      </c>
      <c r="E110" s="18">
        <v>275000</v>
      </c>
      <c r="F110" s="18">
        <v>64000</v>
      </c>
      <c r="H110" s="16"/>
      <c r="I110" s="16"/>
      <c r="J110" s="16"/>
      <c r="K110" s="16"/>
      <c r="L110" s="16"/>
      <c r="M110" s="16"/>
      <c r="N110" s="16"/>
      <c r="O110" s="16"/>
    </row>
    <row r="111" spans="1:15" x14ac:dyDescent="0.25">
      <c r="A111" s="14" t="s">
        <v>143</v>
      </c>
      <c r="B111" s="15" t="s">
        <v>99</v>
      </c>
      <c r="C111" s="18">
        <v>244000</v>
      </c>
      <c r="D111" s="18">
        <v>-81000</v>
      </c>
      <c r="E111" s="18">
        <v>262000</v>
      </c>
      <c r="F111" s="18">
        <v>63000</v>
      </c>
      <c r="H111" s="16"/>
      <c r="I111" s="16"/>
      <c r="J111" s="16"/>
      <c r="K111" s="16"/>
      <c r="L111" s="16"/>
      <c r="M111" s="16"/>
      <c r="N111" s="16"/>
      <c r="O111" s="16"/>
    </row>
    <row r="112" spans="1:15" x14ac:dyDescent="0.25">
      <c r="A112" s="14" t="s">
        <v>143</v>
      </c>
      <c r="B112" s="15" t="s">
        <v>100</v>
      </c>
      <c r="C112" s="18">
        <v>256000</v>
      </c>
      <c r="D112" s="18">
        <v>-74000</v>
      </c>
      <c r="E112" s="18">
        <v>263000</v>
      </c>
      <c r="F112" s="18">
        <v>67000</v>
      </c>
      <c r="H112" s="16"/>
      <c r="I112" s="16"/>
      <c r="J112" s="16"/>
      <c r="K112" s="16"/>
      <c r="L112" s="16"/>
      <c r="M112" s="16"/>
      <c r="N112" s="16"/>
      <c r="O112" s="16"/>
    </row>
    <row r="113" spans="1:15" x14ac:dyDescent="0.25">
      <c r="A113" s="14" t="s">
        <v>143</v>
      </c>
      <c r="B113" s="15" t="s">
        <v>101</v>
      </c>
      <c r="C113" s="18">
        <v>248000</v>
      </c>
      <c r="D113" s="18">
        <v>-75000</v>
      </c>
      <c r="E113" s="18">
        <v>258000</v>
      </c>
      <c r="F113" s="18">
        <v>65000</v>
      </c>
      <c r="H113" s="16"/>
      <c r="I113" s="16"/>
      <c r="J113" s="16"/>
      <c r="K113" s="16"/>
      <c r="L113" s="16"/>
      <c r="M113" s="16"/>
      <c r="N113" s="16"/>
      <c r="O113" s="16"/>
    </row>
    <row r="114" spans="1:15" x14ac:dyDescent="0.25">
      <c r="A114" s="14" t="s">
        <v>143</v>
      </c>
      <c r="B114" s="15" t="s">
        <v>102</v>
      </c>
      <c r="C114" s="18">
        <v>264000</v>
      </c>
      <c r="D114" s="18">
        <v>-79000</v>
      </c>
      <c r="E114" s="18">
        <v>270000</v>
      </c>
      <c r="F114" s="18">
        <v>73000</v>
      </c>
      <c r="H114" s="16"/>
      <c r="I114" s="16"/>
      <c r="J114" s="16"/>
      <c r="K114" s="16"/>
      <c r="L114" s="16"/>
      <c r="M114" s="16"/>
      <c r="N114" s="16"/>
      <c r="O114" s="16"/>
    </row>
    <row r="115" spans="1:15" x14ac:dyDescent="0.25">
      <c r="A115" s="14" t="s">
        <v>143</v>
      </c>
      <c r="B115" s="15" t="s">
        <v>103</v>
      </c>
      <c r="C115" s="18">
        <v>284000</v>
      </c>
      <c r="D115" s="18">
        <v>-80000</v>
      </c>
      <c r="E115" s="18">
        <v>277000</v>
      </c>
      <c r="F115" s="18">
        <v>87000</v>
      </c>
      <c r="H115" s="16"/>
      <c r="I115" s="16"/>
      <c r="J115" s="16"/>
      <c r="K115" s="16"/>
      <c r="L115" s="16"/>
      <c r="M115" s="16"/>
      <c r="N115" s="16"/>
      <c r="O115" s="16"/>
    </row>
    <row r="116" spans="1:15" x14ac:dyDescent="0.25">
      <c r="A116" s="14" t="s">
        <v>143</v>
      </c>
      <c r="B116" s="15" t="s">
        <v>104</v>
      </c>
      <c r="C116" s="18">
        <v>296000</v>
      </c>
      <c r="D116" s="18">
        <v>-73000</v>
      </c>
      <c r="E116" s="18">
        <v>275000</v>
      </c>
      <c r="F116" s="18">
        <v>94000</v>
      </c>
      <c r="H116" s="16"/>
      <c r="I116" s="16"/>
      <c r="J116" s="16"/>
      <c r="K116" s="16"/>
      <c r="L116" s="16"/>
      <c r="M116" s="16"/>
      <c r="N116" s="16"/>
      <c r="O116" s="16"/>
    </row>
    <row r="117" spans="1:15" x14ac:dyDescent="0.25">
      <c r="A117" s="14" t="s">
        <v>143</v>
      </c>
      <c r="B117" s="15" t="s">
        <v>105</v>
      </c>
      <c r="C117" s="18">
        <v>296000</v>
      </c>
      <c r="D117" s="18">
        <v>-72000</v>
      </c>
      <c r="E117" s="18">
        <v>267000</v>
      </c>
      <c r="F117" s="18">
        <v>101000</v>
      </c>
      <c r="H117" s="16"/>
      <c r="I117" s="16"/>
      <c r="J117" s="16"/>
      <c r="K117" s="16"/>
      <c r="L117" s="16"/>
      <c r="M117" s="16"/>
      <c r="N117" s="16"/>
      <c r="O117" s="16"/>
    </row>
    <row r="118" spans="1:15" x14ac:dyDescent="0.25">
      <c r="A118" s="14" t="s">
        <v>143</v>
      </c>
      <c r="B118" s="15" t="s">
        <v>106</v>
      </c>
      <c r="C118" s="18">
        <v>293000</v>
      </c>
      <c r="D118" s="18">
        <v>-72000</v>
      </c>
      <c r="E118" s="18">
        <v>262000</v>
      </c>
      <c r="F118" s="18">
        <v>103000</v>
      </c>
      <c r="H118" s="16"/>
      <c r="I118" s="16"/>
      <c r="J118" s="16"/>
      <c r="K118" s="16"/>
      <c r="L118" s="16"/>
      <c r="M118" s="16"/>
      <c r="N118" s="16"/>
      <c r="O118" s="16"/>
    </row>
    <row r="119" spans="1:15" x14ac:dyDescent="0.25">
      <c r="A119" s="14" t="s">
        <v>143</v>
      </c>
      <c r="B119" s="15" t="s">
        <v>107</v>
      </c>
      <c r="C119" s="18">
        <v>303000</v>
      </c>
      <c r="D119" s="18">
        <v>-73000</v>
      </c>
      <c r="E119" s="18">
        <v>287000</v>
      </c>
      <c r="F119" s="18">
        <v>88000</v>
      </c>
      <c r="H119" s="16"/>
      <c r="I119" s="16"/>
      <c r="J119" s="16"/>
      <c r="K119" s="16"/>
      <c r="L119" s="16"/>
      <c r="M119" s="16"/>
      <c r="N119" s="16"/>
      <c r="O119" s="16"/>
    </row>
    <row r="120" spans="1:15" x14ac:dyDescent="0.25">
      <c r="A120" s="14" t="s">
        <v>143</v>
      </c>
      <c r="B120" s="15" t="s">
        <v>108</v>
      </c>
      <c r="C120" s="18">
        <v>298000</v>
      </c>
      <c r="D120" s="18">
        <v>-77000</v>
      </c>
      <c r="E120" s="18">
        <v>294000</v>
      </c>
      <c r="F120" s="18">
        <v>80000</v>
      </c>
      <c r="H120" s="16"/>
      <c r="I120" s="16"/>
      <c r="J120" s="16"/>
      <c r="K120" s="16"/>
      <c r="L120" s="16"/>
      <c r="M120" s="16"/>
      <c r="N120" s="16"/>
      <c r="O120" s="16"/>
    </row>
    <row r="121" spans="1:15" x14ac:dyDescent="0.25">
      <c r="A121" s="14" t="s">
        <v>143</v>
      </c>
      <c r="B121" s="15" t="s">
        <v>109</v>
      </c>
      <c r="C121" s="18">
        <v>321000</v>
      </c>
      <c r="D121" s="18">
        <v>-83000</v>
      </c>
      <c r="E121" s="18">
        <v>322000</v>
      </c>
      <c r="F121" s="18">
        <v>82000</v>
      </c>
      <c r="H121" s="16"/>
      <c r="I121" s="16"/>
      <c r="J121" s="16"/>
      <c r="K121" s="16"/>
      <c r="L121" s="16"/>
      <c r="M121" s="16"/>
      <c r="N121" s="16"/>
      <c r="O121" s="16"/>
    </row>
    <row r="122" spans="1:15" x14ac:dyDescent="0.25">
      <c r="A122" s="14" t="s">
        <v>143</v>
      </c>
      <c r="B122" s="15" t="s">
        <v>110</v>
      </c>
      <c r="C122" s="18">
        <v>290000</v>
      </c>
      <c r="D122" s="18">
        <v>-87000</v>
      </c>
      <c r="E122" s="18">
        <v>294000</v>
      </c>
      <c r="F122" s="18">
        <v>83000</v>
      </c>
      <c r="H122" s="16"/>
      <c r="I122" s="16"/>
      <c r="J122" s="16"/>
      <c r="K122" s="16"/>
      <c r="L122" s="16"/>
      <c r="M122" s="16"/>
      <c r="N122" s="16"/>
      <c r="O122" s="16"/>
    </row>
    <row r="123" spans="1:15" x14ac:dyDescent="0.25">
      <c r="A123" s="14" t="s">
        <v>143</v>
      </c>
      <c r="B123" s="15" t="s">
        <v>111</v>
      </c>
      <c r="C123" s="18">
        <v>249000</v>
      </c>
      <c r="D123" s="18">
        <v>-94000</v>
      </c>
      <c r="E123" s="18">
        <v>253000</v>
      </c>
      <c r="F123" s="18">
        <v>90000</v>
      </c>
      <c r="H123" s="16"/>
      <c r="I123" s="16"/>
      <c r="J123" s="16"/>
      <c r="K123" s="16"/>
      <c r="L123" s="16"/>
      <c r="M123" s="16"/>
      <c r="N123" s="16"/>
      <c r="O123" s="16"/>
    </row>
    <row r="124" spans="1:15" x14ac:dyDescent="0.25">
      <c r="A124" s="14" t="s">
        <v>143</v>
      </c>
      <c r="B124" s="15" t="s">
        <v>112</v>
      </c>
      <c r="C124" s="16">
        <v>240000</v>
      </c>
      <c r="D124" s="16">
        <v>-91000</v>
      </c>
      <c r="E124" s="17">
        <v>235000</v>
      </c>
      <c r="F124" s="16">
        <v>97000</v>
      </c>
      <c r="H124" s="16"/>
      <c r="I124" s="16"/>
      <c r="J124" s="16"/>
      <c r="K124" s="16"/>
      <c r="L124" s="16"/>
      <c r="M124" s="16"/>
      <c r="N124" s="16"/>
      <c r="O124" s="16"/>
    </row>
    <row r="125" spans="1:15" x14ac:dyDescent="0.25">
      <c r="A125" s="14" t="s">
        <v>143</v>
      </c>
      <c r="B125" s="15" t="s">
        <v>113</v>
      </c>
      <c r="C125" s="16">
        <v>200000</v>
      </c>
      <c r="D125" s="16">
        <v>-79000</v>
      </c>
      <c r="E125" s="17">
        <v>188000</v>
      </c>
      <c r="F125" s="16">
        <v>91000</v>
      </c>
      <c r="H125" s="16"/>
      <c r="I125" s="16"/>
      <c r="J125" s="16"/>
      <c r="K125" s="16"/>
      <c r="L125" s="16"/>
      <c r="M125" s="16"/>
      <c r="N125" s="16"/>
      <c r="O125" s="16"/>
    </row>
    <row r="126" spans="1:15" x14ac:dyDescent="0.25">
      <c r="A126" s="14" t="s">
        <v>143</v>
      </c>
      <c r="B126" s="15" t="s">
        <v>114</v>
      </c>
      <c r="C126" s="16">
        <v>205000</v>
      </c>
      <c r="D126" s="16">
        <v>-85000</v>
      </c>
      <c r="E126" s="17">
        <v>192000</v>
      </c>
      <c r="F126" s="16">
        <v>98000</v>
      </c>
      <c r="H126" s="16"/>
      <c r="I126" s="16"/>
      <c r="J126" s="16"/>
      <c r="K126" s="16"/>
      <c r="L126" s="16"/>
      <c r="M126" s="16"/>
      <c r="N126" s="16"/>
      <c r="O126" s="16"/>
    </row>
    <row r="127" spans="1:15" x14ac:dyDescent="0.25">
      <c r="A127" s="14" t="s">
        <v>143</v>
      </c>
      <c r="B127" s="15" t="s">
        <v>115</v>
      </c>
      <c r="C127" s="16">
        <v>208000</v>
      </c>
      <c r="D127" s="16">
        <v>-81000</v>
      </c>
      <c r="E127" s="17">
        <v>176000</v>
      </c>
      <c r="F127" s="16">
        <v>114000</v>
      </c>
      <c r="H127" s="16"/>
      <c r="I127" s="16"/>
      <c r="J127" s="16"/>
      <c r="K127" s="16"/>
      <c r="L127" s="16"/>
      <c r="M127" s="16"/>
      <c r="N127" s="16"/>
      <c r="O127" s="16"/>
    </row>
    <row r="128" spans="1:15" x14ac:dyDescent="0.25">
      <c r="A128" s="14" t="s">
        <v>143</v>
      </c>
      <c r="B128" s="15" t="s">
        <v>116</v>
      </c>
      <c r="C128" s="16">
        <v>193000</v>
      </c>
      <c r="D128" s="16">
        <v>-89000</v>
      </c>
      <c r="E128" s="17">
        <v>160000</v>
      </c>
      <c r="F128" s="16">
        <v>122000</v>
      </c>
      <c r="H128" s="16"/>
      <c r="I128" s="16"/>
      <c r="J128" s="16"/>
      <c r="K128" s="16"/>
      <c r="L128" s="16"/>
      <c r="M128" s="16"/>
      <c r="N128" s="16"/>
      <c r="O128" s="16"/>
    </row>
    <row r="129" spans="1:15" x14ac:dyDescent="0.25">
      <c r="A129" s="14" t="s">
        <v>143</v>
      </c>
      <c r="B129" s="15" t="s">
        <v>117</v>
      </c>
      <c r="C129" s="16">
        <v>216000</v>
      </c>
      <c r="D129" s="16">
        <v>-84000</v>
      </c>
      <c r="E129" s="17">
        <v>158000</v>
      </c>
      <c r="F129" s="16">
        <v>143000</v>
      </c>
      <c r="H129" s="16"/>
      <c r="I129" s="16"/>
      <c r="J129" s="16"/>
      <c r="K129" s="16"/>
      <c r="L129" s="16"/>
      <c r="M129" s="16"/>
      <c r="N129" s="16"/>
      <c r="O129" s="16"/>
    </row>
    <row r="130" spans="1:15" x14ac:dyDescent="0.25">
      <c r="A130" s="14" t="s">
        <v>143</v>
      </c>
      <c r="B130" s="15" t="s">
        <v>118</v>
      </c>
      <c r="C130" s="16">
        <v>226000</v>
      </c>
      <c r="D130" s="16">
        <v>-67000</v>
      </c>
      <c r="E130" s="17">
        <v>138000</v>
      </c>
      <c r="F130" s="16">
        <v>155000</v>
      </c>
      <c r="H130" s="16"/>
      <c r="I130" s="16"/>
      <c r="J130" s="16"/>
      <c r="K130" s="16"/>
      <c r="L130" s="16"/>
      <c r="M130" s="16"/>
      <c r="N130" s="16"/>
      <c r="O130" s="16"/>
    </row>
    <row r="131" spans="1:15" x14ac:dyDescent="0.25">
      <c r="A131" s="14" t="s">
        <v>143</v>
      </c>
      <c r="B131" s="15" t="s">
        <v>119</v>
      </c>
      <c r="C131" s="16">
        <v>276000</v>
      </c>
      <c r="D131" s="16">
        <v>-72000</v>
      </c>
      <c r="E131" s="17">
        <v>170000</v>
      </c>
      <c r="F131" s="16">
        <v>178000</v>
      </c>
      <c r="H131" s="16"/>
      <c r="I131" s="16"/>
      <c r="J131" s="16"/>
      <c r="K131" s="16"/>
      <c r="L131" s="16"/>
      <c r="M131" s="16"/>
      <c r="N131" s="16"/>
      <c r="O131" s="16"/>
    </row>
    <row r="132" spans="1:15" x14ac:dyDescent="0.25">
      <c r="A132" s="14" t="s">
        <v>143</v>
      </c>
      <c r="B132" s="15" t="s">
        <v>120</v>
      </c>
      <c r="C132" s="16">
        <v>274000</v>
      </c>
      <c r="D132" s="16">
        <v>-72000</v>
      </c>
      <c r="E132" s="17">
        <v>155000</v>
      </c>
      <c r="F132" s="16">
        <v>190000</v>
      </c>
      <c r="H132" s="16"/>
      <c r="I132" s="16"/>
      <c r="J132" s="16"/>
      <c r="K132" s="16"/>
      <c r="L132" s="16"/>
      <c r="M132" s="16"/>
      <c r="N132" s="16"/>
      <c r="O132" s="16"/>
    </row>
    <row r="133" spans="1:15" x14ac:dyDescent="0.25">
      <c r="A133" s="14" t="s">
        <v>143</v>
      </c>
      <c r="B133" s="15" t="s">
        <v>121</v>
      </c>
      <c r="C133" s="16">
        <v>224000</v>
      </c>
      <c r="D133" s="16">
        <v>-82000</v>
      </c>
      <c r="E133" s="17">
        <v>126000</v>
      </c>
      <c r="F133" s="16">
        <v>179000</v>
      </c>
      <c r="H133" s="16"/>
      <c r="I133" s="16"/>
      <c r="J133" s="16"/>
      <c r="K133" s="16"/>
      <c r="L133" s="16"/>
      <c r="M133" s="16"/>
      <c r="N133" s="16"/>
      <c r="O133" s="16"/>
    </row>
    <row r="134" spans="1:15" x14ac:dyDescent="0.25">
      <c r="A134" s="14" t="s">
        <v>143</v>
      </c>
      <c r="B134" s="15" t="s">
        <v>122</v>
      </c>
      <c r="C134" s="16">
        <v>202000</v>
      </c>
      <c r="D134" s="16">
        <v>-83000</v>
      </c>
      <c r="E134" s="17">
        <v>114000</v>
      </c>
      <c r="F134" s="16">
        <v>171000</v>
      </c>
      <c r="H134" s="16"/>
      <c r="I134" s="16"/>
      <c r="J134" s="16"/>
      <c r="K134" s="16"/>
      <c r="L134" s="16"/>
      <c r="M134" s="16"/>
      <c r="N134" s="16"/>
      <c r="O134" s="16"/>
    </row>
    <row r="135" spans="1:15" x14ac:dyDescent="0.25">
      <c r="A135" s="14" t="s">
        <v>143</v>
      </c>
      <c r="B135" s="15" t="s">
        <v>123</v>
      </c>
      <c r="C135" s="16">
        <v>184000</v>
      </c>
      <c r="D135" s="16">
        <v>-82000</v>
      </c>
      <c r="E135" s="17">
        <v>80000</v>
      </c>
      <c r="F135" s="16">
        <v>186000</v>
      </c>
      <c r="H135" s="16"/>
      <c r="I135" s="16"/>
      <c r="J135" s="16"/>
      <c r="K135" s="16"/>
      <c r="L135" s="16"/>
      <c r="M135" s="16"/>
      <c r="N135" s="16"/>
      <c r="O135" s="16"/>
    </row>
    <row r="136" spans="1:15" x14ac:dyDescent="0.25">
      <c r="A136" s="14" t="s">
        <v>143</v>
      </c>
      <c r="B136" s="15" t="s">
        <v>124</v>
      </c>
      <c r="C136" s="16">
        <v>170000</v>
      </c>
      <c r="D136" s="16">
        <v>-77000</v>
      </c>
      <c r="E136" s="17">
        <v>81000</v>
      </c>
      <c r="F136" s="16">
        <v>166000</v>
      </c>
      <c r="H136" s="16"/>
      <c r="I136" s="16"/>
      <c r="J136" s="16"/>
      <c r="K136" s="16"/>
      <c r="L136" s="16"/>
      <c r="M136" s="16"/>
      <c r="N136" s="16"/>
      <c r="O136" s="16"/>
    </row>
    <row r="137" spans="1:15" x14ac:dyDescent="0.25">
      <c r="A137" s="14" t="s">
        <v>143</v>
      </c>
      <c r="B137" s="15" t="s">
        <v>125</v>
      </c>
      <c r="C137" s="16">
        <v>111000</v>
      </c>
      <c r="D137" s="16">
        <v>-74000</v>
      </c>
      <c r="E137" s="17">
        <v>70000</v>
      </c>
      <c r="F137" s="16">
        <v>115000</v>
      </c>
      <c r="H137" s="16"/>
      <c r="I137" s="16"/>
      <c r="J137" s="16"/>
      <c r="K137" s="16"/>
      <c r="L137" s="16"/>
      <c r="M137" s="16"/>
      <c r="N137" s="16"/>
      <c r="O137" s="16"/>
    </row>
    <row r="138" spans="1:15" x14ac:dyDescent="0.25">
      <c r="A138" s="14" t="s">
        <v>143</v>
      </c>
      <c r="B138" s="15" t="s">
        <v>126</v>
      </c>
      <c r="C138" s="16">
        <v>35000</v>
      </c>
      <c r="D138" s="16">
        <v>-70000</v>
      </c>
      <c r="E138" s="17">
        <v>45000</v>
      </c>
      <c r="F138" s="16">
        <v>60000</v>
      </c>
      <c r="H138" s="16"/>
      <c r="I138" s="16"/>
      <c r="J138" s="16"/>
      <c r="K138" s="16"/>
      <c r="L138" s="16"/>
      <c r="M138" s="16"/>
      <c r="N138" s="16"/>
      <c r="O138" s="16"/>
    </row>
    <row r="139" spans="1:15" x14ac:dyDescent="0.25">
      <c r="A139" s="14" t="s">
        <v>143</v>
      </c>
      <c r="B139" s="15" t="s">
        <v>127</v>
      </c>
      <c r="C139" s="16">
        <v>93000</v>
      </c>
      <c r="D139" s="16">
        <v>-78000</v>
      </c>
      <c r="E139" s="17">
        <v>70000</v>
      </c>
      <c r="F139" s="16">
        <v>101000</v>
      </c>
      <c r="H139" s="16"/>
      <c r="I139" s="16"/>
      <c r="J139" s="16"/>
      <c r="K139" s="16"/>
      <c r="L139" s="16"/>
      <c r="M139" s="16"/>
      <c r="N139" s="16"/>
      <c r="O139" s="16"/>
    </row>
    <row r="140" spans="1:15" x14ac:dyDescent="0.25">
      <c r="A140" s="14" t="s">
        <v>143</v>
      </c>
      <c r="B140" s="15" t="s">
        <v>128</v>
      </c>
      <c r="C140" s="16">
        <v>132000</v>
      </c>
      <c r="D140" s="16">
        <v>-79000</v>
      </c>
      <c r="E140" s="17">
        <v>61000</v>
      </c>
      <c r="F140" s="16">
        <v>150000</v>
      </c>
      <c r="H140" s="16"/>
      <c r="I140" s="16"/>
      <c r="J140" s="16"/>
      <c r="K140" s="16"/>
      <c r="L140" s="16"/>
      <c r="M140" s="16"/>
      <c r="N140" s="16"/>
      <c r="O140" s="16"/>
    </row>
    <row r="141" spans="1:15" x14ac:dyDescent="0.25">
      <c r="A141" s="14" t="s">
        <v>143</v>
      </c>
      <c r="B141" s="15" t="s">
        <v>129</v>
      </c>
      <c r="C141" s="19">
        <v>254000</v>
      </c>
      <c r="D141" s="19">
        <v>-73000</v>
      </c>
      <c r="E141" s="20">
        <v>75000</v>
      </c>
      <c r="F141" s="19">
        <v>251000</v>
      </c>
      <c r="H141" s="16"/>
      <c r="I141" s="16"/>
      <c r="J141" s="16"/>
      <c r="K141" s="16"/>
      <c r="L141" s="16"/>
      <c r="M141" s="16"/>
      <c r="N141" s="16"/>
      <c r="O141" s="16"/>
    </row>
    <row r="142" spans="1:15" x14ac:dyDescent="0.25">
      <c r="A142" s="14" t="s">
        <v>143</v>
      </c>
      <c r="B142" s="15" t="s">
        <v>130</v>
      </c>
      <c r="C142" s="19">
        <v>467000</v>
      </c>
      <c r="D142" s="19">
        <v>14000</v>
      </c>
      <c r="E142" s="20">
        <v>12000</v>
      </c>
      <c r="F142" s="19">
        <v>441000</v>
      </c>
      <c r="H142" s="16"/>
      <c r="I142" s="16"/>
      <c r="J142" s="16"/>
      <c r="K142" s="16"/>
      <c r="L142" s="16"/>
      <c r="M142" s="16"/>
      <c r="N142" s="16"/>
      <c r="O142" s="16"/>
    </row>
    <row r="143" spans="1:15" x14ac:dyDescent="0.25">
      <c r="A143" s="14" t="s">
        <v>143</v>
      </c>
      <c r="B143" s="15" t="s">
        <v>131</v>
      </c>
      <c r="C143" s="19">
        <v>484000</v>
      </c>
      <c r="D143" s="19">
        <v>32000</v>
      </c>
      <c r="E143" s="20">
        <v>-77000</v>
      </c>
      <c r="F143" s="19">
        <v>529000</v>
      </c>
      <c r="H143" s="16"/>
      <c r="I143" s="16"/>
      <c r="J143" s="16"/>
      <c r="K143" s="16"/>
      <c r="L143" s="16"/>
      <c r="M143" s="16"/>
      <c r="N143" s="16"/>
      <c r="O143" s="16"/>
    </row>
    <row r="144" spans="1:15" x14ac:dyDescent="0.25">
      <c r="A144" s="14" t="s">
        <v>143</v>
      </c>
      <c r="B144" s="15" t="s">
        <v>132</v>
      </c>
      <c r="C144" s="19">
        <v>548000</v>
      </c>
      <c r="D144" s="19">
        <v>29000</v>
      </c>
      <c r="E144" s="20">
        <v>-122000</v>
      </c>
      <c r="F144" s="19">
        <v>640000</v>
      </c>
      <c r="H144" s="16"/>
      <c r="I144" s="16"/>
      <c r="J144" s="16"/>
      <c r="K144" s="16"/>
      <c r="L144" s="16"/>
      <c r="M144" s="16"/>
      <c r="N144" s="16"/>
      <c r="O144" s="16"/>
    </row>
    <row r="145" spans="1:15" x14ac:dyDescent="0.25">
      <c r="A145" s="14" t="s">
        <v>143</v>
      </c>
      <c r="B145" s="15" t="s">
        <v>133</v>
      </c>
      <c r="C145" s="19">
        <v>634000</v>
      </c>
      <c r="D145" s="19">
        <v>20000</v>
      </c>
      <c r="E145" s="20">
        <v>-140000</v>
      </c>
      <c r="F145" s="19">
        <v>754000</v>
      </c>
      <c r="H145" s="16"/>
      <c r="I145" s="16"/>
      <c r="J145" s="16"/>
      <c r="K145" s="16"/>
      <c r="L145" s="16"/>
      <c r="M145" s="16"/>
      <c r="N145" s="16"/>
      <c r="O145" s="16"/>
    </row>
    <row r="146" spans="1:15" x14ac:dyDescent="0.25">
      <c r="A146" s="14" t="s">
        <v>143</v>
      </c>
      <c r="B146" s="15" t="s">
        <v>134</v>
      </c>
      <c r="C146" s="19">
        <v>789000</v>
      </c>
      <c r="D146" s="19">
        <v>6000</v>
      </c>
      <c r="E146" s="20">
        <v>-119000</v>
      </c>
      <c r="F146" s="19">
        <v>902000</v>
      </c>
      <c r="H146" s="16"/>
      <c r="I146" s="16"/>
      <c r="J146" s="16"/>
      <c r="K146" s="16"/>
      <c r="L146" s="16"/>
      <c r="M146" s="16"/>
      <c r="N146" s="16"/>
      <c r="O146" s="16"/>
    </row>
    <row r="147" spans="1:15" x14ac:dyDescent="0.25">
      <c r="A147" s="14" t="s">
        <v>143</v>
      </c>
      <c r="B147" s="15" t="s">
        <v>135</v>
      </c>
      <c r="C147" s="19">
        <v>872000</v>
      </c>
      <c r="D147" s="19">
        <v>-4000</v>
      </c>
      <c r="E147" s="20">
        <v>-88000</v>
      </c>
      <c r="F147" s="19">
        <v>965000</v>
      </c>
      <c r="H147" s="16"/>
      <c r="I147" s="16"/>
      <c r="J147" s="16"/>
      <c r="K147" s="16"/>
      <c r="L147" s="16"/>
      <c r="M147" s="16"/>
      <c r="N147" s="16"/>
      <c r="O147" s="16"/>
    </row>
    <row r="148" spans="1:15" x14ac:dyDescent="0.25">
      <c r="A148" s="14" t="s">
        <v>143</v>
      </c>
      <c r="B148" s="15" t="s">
        <v>136</v>
      </c>
      <c r="C148" s="19">
        <v>894000</v>
      </c>
      <c r="D148" s="19">
        <v>-9000</v>
      </c>
      <c r="E148" s="20">
        <v>-54000</v>
      </c>
      <c r="F148" s="19">
        <v>957000</v>
      </c>
      <c r="H148" s="16"/>
      <c r="I148" s="16"/>
      <c r="J148" s="16"/>
      <c r="K148" s="16"/>
      <c r="L148" s="16"/>
      <c r="M148" s="16"/>
      <c r="N148" s="16"/>
      <c r="O148" s="16"/>
    </row>
    <row r="149" spans="1:15" x14ac:dyDescent="0.25">
      <c r="A149" s="14" t="s">
        <v>143</v>
      </c>
      <c r="B149" s="15" t="s">
        <v>137</v>
      </c>
      <c r="C149" s="19">
        <v>906000</v>
      </c>
      <c r="D149" s="19">
        <v>-10000</v>
      </c>
      <c r="E149" s="20">
        <v>-38000</v>
      </c>
      <c r="F149" s="19">
        <v>954000</v>
      </c>
      <c r="H149" s="16"/>
      <c r="I149" s="16"/>
      <c r="J149" s="16"/>
      <c r="K149" s="16"/>
      <c r="L149" s="16"/>
      <c r="M149" s="16"/>
      <c r="N149" s="16"/>
      <c r="O149" s="16"/>
    </row>
    <row r="150" spans="1:15" x14ac:dyDescent="0.25">
      <c r="A150" s="14" t="s">
        <v>143</v>
      </c>
      <c r="B150" s="15" t="s">
        <v>138</v>
      </c>
      <c r="C150" s="19">
        <v>878000</v>
      </c>
      <c r="D150" s="19">
        <v>-31000</v>
      </c>
      <c r="E150" s="20">
        <v>-54000</v>
      </c>
      <c r="F150" s="19">
        <v>963000</v>
      </c>
      <c r="H150" s="16"/>
      <c r="I150" s="16"/>
      <c r="J150" s="16"/>
      <c r="K150" s="16"/>
      <c r="L150" s="16"/>
      <c r="M150" s="16"/>
      <c r="N150" s="16"/>
      <c r="O150" s="16"/>
    </row>
    <row r="151" spans="1:15" x14ac:dyDescent="0.25">
      <c r="A151" s="14" t="s">
        <v>143</v>
      </c>
      <c r="B151" s="15" t="s">
        <v>139</v>
      </c>
      <c r="C151" s="19">
        <v>866000</v>
      </c>
      <c r="D151" s="19">
        <v>-37000</v>
      </c>
      <c r="E151" s="20">
        <v>-55000</v>
      </c>
      <c r="F151" s="19">
        <v>958000</v>
      </c>
      <c r="H151" s="16"/>
      <c r="I151" s="16"/>
      <c r="J151" s="16"/>
      <c r="K151" s="16"/>
      <c r="L151" s="16"/>
      <c r="M151" s="16"/>
      <c r="N151" s="16"/>
      <c r="O151" s="16"/>
    </row>
    <row r="152" spans="1:15" x14ac:dyDescent="0.25">
      <c r="A152" s="14" t="s">
        <v>143</v>
      </c>
      <c r="B152" s="15" t="s">
        <v>140</v>
      </c>
      <c r="C152" s="19">
        <v>824000</v>
      </c>
      <c r="D152" s="16">
        <v>-17000</v>
      </c>
      <c r="E152" s="17">
        <v>-85000</v>
      </c>
      <c r="F152" s="16">
        <v>926000</v>
      </c>
      <c r="H152" s="16"/>
      <c r="I152" s="16"/>
      <c r="J152" s="16"/>
      <c r="K152" s="16"/>
      <c r="L152" s="16"/>
      <c r="M152" s="16"/>
      <c r="N152" s="16"/>
      <c r="O152" s="16"/>
    </row>
    <row r="153" spans="1:15" x14ac:dyDescent="0.25">
      <c r="A153" s="14" t="s">
        <v>143</v>
      </c>
      <c r="B153" s="15" t="s">
        <v>141</v>
      </c>
      <c r="C153" s="19">
        <v>728000</v>
      </c>
      <c r="D153" s="16">
        <v>-21000</v>
      </c>
      <c r="E153" s="17">
        <v>-95000</v>
      </c>
      <c r="F153" s="16">
        <v>845000</v>
      </c>
      <c r="H153" s="16"/>
      <c r="I153" s="16"/>
      <c r="J153" s="16"/>
      <c r="K153" s="16"/>
      <c r="L153" s="16"/>
      <c r="M153" s="16"/>
      <c r="N153" s="16"/>
      <c r="O153" s="16"/>
    </row>
  </sheetData>
  <pageMargins left="0.70866141732283472" right="0.70866141732283472" top="0.74803149606299213" bottom="0.74803149606299213" header="0.31496062992125984" footer="0.31496062992125984"/>
  <pageSetup paperSize="9" scale="77" fitToHeight="0" orientation="portrait" r:id="rId1"/>
  <rowBreaks count="2" manualBreakCount="2">
    <brk id="51" max="16383" man="1"/>
    <brk id="98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0FFF-DFC8-4914-9EBA-CB68BDBAC2A8}">
  <sheetPr>
    <pageSetUpPr fitToPage="1"/>
  </sheetPr>
  <dimension ref="A1:F146"/>
  <sheetViews>
    <sheetView showGridLines="0" zoomScaleNormal="100" workbookViewId="0">
      <pane xSplit="2" ySplit="5" topLeftCell="C88" activePane="bottomRight" state="frozen"/>
      <selection pane="topRight"/>
      <selection pane="bottomLeft"/>
      <selection pane="bottomRight" activeCell="D22" sqref="D22"/>
    </sheetView>
  </sheetViews>
  <sheetFormatPr defaultColWidth="8.85546875" defaultRowHeight="15" x14ac:dyDescent="0.25"/>
  <cols>
    <col min="1" max="2" width="14.7109375" style="8" customWidth="1"/>
    <col min="3" max="3" width="21" style="8" bestFit="1" customWidth="1"/>
    <col min="4" max="6" width="17.7109375" style="8" customWidth="1"/>
    <col min="7" max="16384" width="8.85546875" style="8"/>
  </cols>
  <sheetData>
    <row r="1" spans="1:6" ht="18" customHeight="1" x14ac:dyDescent="0.25">
      <c r="A1" s="6" t="s">
        <v>81</v>
      </c>
      <c r="B1" s="7"/>
    </row>
    <row r="2" spans="1:6" ht="36" customHeight="1" x14ac:dyDescent="0.25">
      <c r="A2" s="6" t="s">
        <v>82</v>
      </c>
      <c r="B2" s="7"/>
    </row>
    <row r="3" spans="1:6" ht="15" customHeight="1" x14ac:dyDescent="0.25">
      <c r="A3" s="21" t="s">
        <v>144</v>
      </c>
      <c r="B3" s="7"/>
    </row>
    <row r="4" spans="1:6" ht="30" customHeight="1" x14ac:dyDescent="0.25">
      <c r="A4" s="21" t="s">
        <v>145</v>
      </c>
      <c r="B4" s="7"/>
    </row>
    <row r="5" spans="1:6" s="13" customFormat="1" ht="15" customHeight="1" x14ac:dyDescent="0.25">
      <c r="A5" s="11" t="s">
        <v>146</v>
      </c>
      <c r="B5" s="11" t="s">
        <v>147</v>
      </c>
      <c r="C5" s="12" t="s">
        <v>148</v>
      </c>
      <c r="D5" s="12" t="s">
        <v>149</v>
      </c>
      <c r="E5" s="12" t="s">
        <v>150</v>
      </c>
      <c r="F5" s="12" t="s">
        <v>151</v>
      </c>
    </row>
    <row r="6" spans="1:6" ht="15" customHeight="1" x14ac:dyDescent="0.25">
      <c r="A6" s="14" t="s">
        <v>92</v>
      </c>
      <c r="B6" s="15" t="s">
        <v>93</v>
      </c>
      <c r="C6" s="16">
        <v>639000</v>
      </c>
      <c r="D6" s="16">
        <v>74000</v>
      </c>
      <c r="E6" s="16">
        <v>327000</v>
      </c>
      <c r="F6" s="16">
        <v>238000</v>
      </c>
    </row>
    <row r="7" spans="1:6" ht="15" customHeight="1" x14ac:dyDescent="0.25">
      <c r="A7" s="14" t="s">
        <v>92</v>
      </c>
      <c r="B7" s="15" t="s">
        <v>94</v>
      </c>
      <c r="C7" s="16">
        <v>630000</v>
      </c>
      <c r="D7" s="16">
        <v>76000</v>
      </c>
      <c r="E7" s="16">
        <v>322000</v>
      </c>
      <c r="F7" s="16">
        <v>232000</v>
      </c>
    </row>
    <row r="8" spans="1:6" ht="15" customHeight="1" x14ac:dyDescent="0.25">
      <c r="A8" s="14" t="s">
        <v>92</v>
      </c>
      <c r="B8" s="15" t="s">
        <v>95</v>
      </c>
      <c r="C8" s="16">
        <v>643000</v>
      </c>
      <c r="D8" s="16">
        <v>79000</v>
      </c>
      <c r="E8" s="16">
        <v>334000</v>
      </c>
      <c r="F8" s="16">
        <v>230000</v>
      </c>
    </row>
    <row r="9" spans="1:6" ht="15" customHeight="1" x14ac:dyDescent="0.25">
      <c r="A9" s="14" t="s">
        <v>92</v>
      </c>
      <c r="B9" s="15" t="s">
        <v>96</v>
      </c>
      <c r="C9" s="16">
        <v>649000</v>
      </c>
      <c r="D9" s="16">
        <v>75000</v>
      </c>
      <c r="E9" s="16">
        <v>350000</v>
      </c>
      <c r="F9" s="16">
        <v>224000</v>
      </c>
    </row>
    <row r="10" spans="1:6" ht="15" customHeight="1" x14ac:dyDescent="0.25">
      <c r="A10" s="14" t="s">
        <v>92</v>
      </c>
      <c r="B10" s="15" t="s">
        <v>97</v>
      </c>
      <c r="C10" s="16">
        <v>669000</v>
      </c>
      <c r="D10" s="16">
        <v>75000</v>
      </c>
      <c r="E10" s="16">
        <v>373000</v>
      </c>
      <c r="F10" s="16">
        <v>222000</v>
      </c>
    </row>
    <row r="11" spans="1:6" ht="15" customHeight="1" x14ac:dyDescent="0.25">
      <c r="A11" s="14" t="s">
        <v>92</v>
      </c>
      <c r="B11" s="15" t="s">
        <v>98</v>
      </c>
      <c r="C11" s="16">
        <v>720000</v>
      </c>
      <c r="D11" s="16">
        <v>78000</v>
      </c>
      <c r="E11" s="16">
        <v>410000</v>
      </c>
      <c r="F11" s="16">
        <v>233000</v>
      </c>
    </row>
    <row r="12" spans="1:6" ht="15" customHeight="1" x14ac:dyDescent="0.25">
      <c r="A12" s="14" t="s">
        <v>92</v>
      </c>
      <c r="B12" s="15" t="s">
        <v>99</v>
      </c>
      <c r="C12" s="16">
        <v>713000</v>
      </c>
      <c r="D12" s="16">
        <v>76000</v>
      </c>
      <c r="E12" s="16">
        <v>402000</v>
      </c>
      <c r="F12" s="16">
        <v>234000</v>
      </c>
    </row>
    <row r="13" spans="1:6" ht="15" customHeight="1" x14ac:dyDescent="0.25">
      <c r="A13" s="14" t="s">
        <v>92</v>
      </c>
      <c r="B13" s="15" t="s">
        <v>100</v>
      </c>
      <c r="C13" s="16">
        <v>731000</v>
      </c>
      <c r="D13" s="16">
        <v>80000</v>
      </c>
      <c r="E13" s="16">
        <v>414000</v>
      </c>
      <c r="F13" s="16">
        <v>236000</v>
      </c>
    </row>
    <row r="14" spans="1:6" x14ac:dyDescent="0.25">
      <c r="A14" s="14" t="s">
        <v>92</v>
      </c>
      <c r="B14" s="15" t="s">
        <v>101</v>
      </c>
      <c r="C14" s="16">
        <v>737000</v>
      </c>
      <c r="D14" s="16">
        <v>82000</v>
      </c>
      <c r="E14" s="16">
        <v>420000</v>
      </c>
      <c r="F14" s="16">
        <v>236000</v>
      </c>
    </row>
    <row r="15" spans="1:6" x14ac:dyDescent="0.25">
      <c r="A15" s="14" t="s">
        <v>92</v>
      </c>
      <c r="B15" s="15" t="s">
        <v>102</v>
      </c>
      <c r="C15" s="16">
        <v>761000</v>
      </c>
      <c r="D15" s="16">
        <v>81000</v>
      </c>
      <c r="E15" s="16">
        <v>441000</v>
      </c>
      <c r="F15" s="16">
        <v>239000</v>
      </c>
    </row>
    <row r="16" spans="1:6" x14ac:dyDescent="0.25">
      <c r="A16" s="14" t="s">
        <v>92</v>
      </c>
      <c r="B16" s="15" t="s">
        <v>103</v>
      </c>
      <c r="C16" s="16">
        <v>778000</v>
      </c>
      <c r="D16" s="16">
        <v>81000</v>
      </c>
      <c r="E16" s="16">
        <v>457000</v>
      </c>
      <c r="F16" s="16">
        <v>241000</v>
      </c>
    </row>
    <row r="17" spans="1:6" x14ac:dyDescent="0.25">
      <c r="A17" s="14" t="s">
        <v>92</v>
      </c>
      <c r="B17" s="15" t="s">
        <v>104</v>
      </c>
      <c r="C17" s="16">
        <v>780000</v>
      </c>
      <c r="D17" s="16">
        <v>83000</v>
      </c>
      <c r="E17" s="16">
        <v>457000</v>
      </c>
      <c r="F17" s="16">
        <v>240000</v>
      </c>
    </row>
    <row r="18" spans="1:6" x14ac:dyDescent="0.25">
      <c r="A18" s="14" t="s">
        <v>92</v>
      </c>
      <c r="B18" s="15" t="s">
        <v>105</v>
      </c>
      <c r="C18" s="16">
        <v>778000</v>
      </c>
      <c r="D18" s="16">
        <v>83000</v>
      </c>
      <c r="E18" s="16">
        <v>454000</v>
      </c>
      <c r="F18" s="16">
        <v>241000</v>
      </c>
    </row>
    <row r="19" spans="1:6" x14ac:dyDescent="0.25">
      <c r="A19" s="14" t="s">
        <v>92</v>
      </c>
      <c r="B19" s="15" t="s">
        <v>106</v>
      </c>
      <c r="C19" s="16">
        <v>774000</v>
      </c>
      <c r="D19" s="16">
        <v>81000</v>
      </c>
      <c r="E19" s="16">
        <v>453000</v>
      </c>
      <c r="F19" s="16">
        <v>240000</v>
      </c>
    </row>
    <row r="20" spans="1:6" x14ac:dyDescent="0.25">
      <c r="A20" s="14" t="s">
        <v>92</v>
      </c>
      <c r="B20" s="15" t="s">
        <v>107</v>
      </c>
      <c r="C20" s="16">
        <v>797000</v>
      </c>
      <c r="D20" s="16">
        <v>78000</v>
      </c>
      <c r="E20" s="16">
        <v>481000</v>
      </c>
      <c r="F20" s="16">
        <v>238000</v>
      </c>
    </row>
    <row r="21" spans="1:6" x14ac:dyDescent="0.25">
      <c r="A21" s="14" t="s">
        <v>92</v>
      </c>
      <c r="B21" s="15" t="s">
        <v>108</v>
      </c>
      <c r="C21" s="16">
        <v>803000</v>
      </c>
      <c r="D21" s="16">
        <v>78000</v>
      </c>
      <c r="E21" s="16">
        <v>490000</v>
      </c>
      <c r="F21" s="16">
        <v>235000</v>
      </c>
    </row>
    <row r="22" spans="1:6" ht="15" customHeight="1" x14ac:dyDescent="0.25">
      <c r="A22" s="14" t="s">
        <v>92</v>
      </c>
      <c r="B22" s="15" t="s">
        <v>109</v>
      </c>
      <c r="C22" s="16">
        <v>832000</v>
      </c>
      <c r="D22" s="16">
        <v>74000</v>
      </c>
      <c r="E22" s="16">
        <v>521000</v>
      </c>
      <c r="F22" s="16">
        <v>237000</v>
      </c>
    </row>
    <row r="23" spans="1:6" ht="15" customHeight="1" x14ac:dyDescent="0.25">
      <c r="A23" s="14" t="s">
        <v>92</v>
      </c>
      <c r="B23" s="15" t="s">
        <v>110</v>
      </c>
      <c r="C23" s="18">
        <v>804000</v>
      </c>
      <c r="D23" s="18">
        <v>70000</v>
      </c>
      <c r="E23" s="18">
        <v>496000</v>
      </c>
      <c r="F23" s="18">
        <v>238000</v>
      </c>
    </row>
    <row r="24" spans="1:6" ht="15" customHeight="1" x14ac:dyDescent="0.25">
      <c r="A24" s="14" t="s">
        <v>92</v>
      </c>
      <c r="B24" s="15" t="s">
        <v>111</v>
      </c>
      <c r="C24" s="18">
        <v>772000</v>
      </c>
      <c r="D24" s="18">
        <v>70000</v>
      </c>
      <c r="E24" s="18">
        <v>465000</v>
      </c>
      <c r="F24" s="18">
        <v>237000</v>
      </c>
    </row>
    <row r="25" spans="1:6" ht="15" customHeight="1" x14ac:dyDescent="0.25">
      <c r="A25" s="14" t="s">
        <v>92</v>
      </c>
      <c r="B25" s="15" t="s">
        <v>112</v>
      </c>
      <c r="C25" s="18">
        <v>759000</v>
      </c>
      <c r="D25" s="18">
        <v>72000</v>
      </c>
      <c r="E25" s="18">
        <v>447000</v>
      </c>
      <c r="F25" s="18">
        <v>239000</v>
      </c>
    </row>
    <row r="26" spans="1:6" ht="15" customHeight="1" x14ac:dyDescent="0.25">
      <c r="A26" s="14" t="s">
        <v>92</v>
      </c>
      <c r="B26" s="15" t="s">
        <v>113</v>
      </c>
      <c r="C26" s="18">
        <v>718000</v>
      </c>
      <c r="D26" s="18">
        <v>78000</v>
      </c>
      <c r="E26" s="18">
        <v>399000</v>
      </c>
      <c r="F26" s="18">
        <v>241000</v>
      </c>
    </row>
    <row r="27" spans="1:6" ht="15" customHeight="1" x14ac:dyDescent="0.25">
      <c r="A27" s="14" t="s">
        <v>92</v>
      </c>
      <c r="B27" s="15" t="s">
        <v>114</v>
      </c>
      <c r="C27" s="18">
        <v>754000</v>
      </c>
      <c r="D27" s="18">
        <v>78000</v>
      </c>
      <c r="E27" s="18">
        <v>425000</v>
      </c>
      <c r="F27" s="18">
        <v>251000</v>
      </c>
    </row>
    <row r="28" spans="1:6" ht="15" customHeight="1" x14ac:dyDescent="0.25">
      <c r="A28" s="14" t="s">
        <v>92</v>
      </c>
      <c r="B28" s="15" t="s">
        <v>115</v>
      </c>
      <c r="C28" s="18">
        <v>752000</v>
      </c>
      <c r="D28" s="18">
        <v>84000</v>
      </c>
      <c r="E28" s="18">
        <v>411000</v>
      </c>
      <c r="F28" s="18">
        <v>257000</v>
      </c>
    </row>
    <row r="29" spans="1:6" ht="15" customHeight="1" x14ac:dyDescent="0.25">
      <c r="A29" s="14" t="s">
        <v>92</v>
      </c>
      <c r="B29" s="15" t="s">
        <v>116</v>
      </c>
      <c r="C29" s="18">
        <v>736000</v>
      </c>
      <c r="D29" s="18">
        <v>76000</v>
      </c>
      <c r="E29" s="18">
        <v>399000</v>
      </c>
      <c r="F29" s="18">
        <v>261000</v>
      </c>
    </row>
    <row r="30" spans="1:6" ht="15" customHeight="1" x14ac:dyDescent="0.25">
      <c r="A30" s="14" t="s">
        <v>92</v>
      </c>
      <c r="B30" s="15" t="s">
        <v>117</v>
      </c>
      <c r="C30" s="18">
        <v>757000</v>
      </c>
      <c r="D30" s="18">
        <v>81000</v>
      </c>
      <c r="E30" s="18">
        <v>407000</v>
      </c>
      <c r="F30" s="18">
        <v>269000</v>
      </c>
    </row>
    <row r="31" spans="1:6" ht="15" customHeight="1" x14ac:dyDescent="0.25">
      <c r="A31" s="14" t="s">
        <v>92</v>
      </c>
      <c r="B31" s="15" t="s">
        <v>118</v>
      </c>
      <c r="C31" s="18">
        <v>766000</v>
      </c>
      <c r="D31" s="18">
        <v>85000</v>
      </c>
      <c r="E31" s="18">
        <v>397000</v>
      </c>
      <c r="F31" s="18">
        <v>284000</v>
      </c>
    </row>
    <row r="32" spans="1:6" ht="15" customHeight="1" x14ac:dyDescent="0.25">
      <c r="A32" s="14" t="s">
        <v>92</v>
      </c>
      <c r="B32" s="15" t="s">
        <v>119</v>
      </c>
      <c r="C32" s="18">
        <v>825000</v>
      </c>
      <c r="D32" s="18">
        <v>74000</v>
      </c>
      <c r="E32" s="18">
        <v>421000</v>
      </c>
      <c r="F32" s="18">
        <v>330000</v>
      </c>
    </row>
    <row r="33" spans="1:6" ht="15" customHeight="1" x14ac:dyDescent="0.25">
      <c r="A33" s="14" t="s">
        <v>92</v>
      </c>
      <c r="B33" s="15" t="s">
        <v>120</v>
      </c>
      <c r="C33" s="18">
        <v>849000</v>
      </c>
      <c r="D33" s="18">
        <v>74000</v>
      </c>
      <c r="E33" s="18">
        <v>429000</v>
      </c>
      <c r="F33" s="18">
        <v>346000</v>
      </c>
    </row>
    <row r="34" spans="1:6" ht="15" customHeight="1" x14ac:dyDescent="0.25">
      <c r="A34" s="14" t="s">
        <v>92</v>
      </c>
      <c r="B34" s="15" t="s">
        <v>121</v>
      </c>
      <c r="C34" s="18">
        <v>821000</v>
      </c>
      <c r="D34" s="18">
        <v>61000</v>
      </c>
      <c r="E34" s="18">
        <v>413000</v>
      </c>
      <c r="F34" s="18">
        <v>347000</v>
      </c>
    </row>
    <row r="35" spans="1:6" ht="15" customHeight="1" x14ac:dyDescent="0.25">
      <c r="A35" s="14" t="s">
        <v>92</v>
      </c>
      <c r="B35" s="15" t="s">
        <v>122</v>
      </c>
      <c r="C35" s="18">
        <v>793000</v>
      </c>
      <c r="D35" s="18">
        <v>66000</v>
      </c>
      <c r="E35" s="18">
        <v>376000</v>
      </c>
      <c r="F35" s="18">
        <v>351000</v>
      </c>
    </row>
    <row r="36" spans="1:6" ht="15" customHeight="1" x14ac:dyDescent="0.25">
      <c r="A36" s="14" t="s">
        <v>92</v>
      </c>
      <c r="B36" s="15" t="s">
        <v>123</v>
      </c>
      <c r="C36" s="18">
        <v>788000</v>
      </c>
      <c r="D36" s="18">
        <v>71000</v>
      </c>
      <c r="E36" s="18">
        <v>349000</v>
      </c>
      <c r="F36" s="18">
        <v>368000</v>
      </c>
    </row>
    <row r="37" spans="1:6" ht="15" customHeight="1" x14ac:dyDescent="0.25">
      <c r="A37" s="14" t="s">
        <v>92</v>
      </c>
      <c r="B37" s="15" t="s">
        <v>124</v>
      </c>
      <c r="C37" s="18">
        <v>815000</v>
      </c>
      <c r="D37" s="18">
        <v>80000</v>
      </c>
      <c r="E37" s="18">
        <v>347000</v>
      </c>
      <c r="F37" s="18">
        <v>388000</v>
      </c>
    </row>
    <row r="38" spans="1:6" ht="15" customHeight="1" x14ac:dyDescent="0.25">
      <c r="A38" s="14" t="s">
        <v>92</v>
      </c>
      <c r="B38" s="15" t="s">
        <v>125</v>
      </c>
      <c r="C38" s="18">
        <v>736000</v>
      </c>
      <c r="D38" s="18">
        <v>72000</v>
      </c>
      <c r="E38" s="18">
        <v>333000</v>
      </c>
      <c r="F38" s="18">
        <v>331000</v>
      </c>
    </row>
    <row r="39" spans="1:6" ht="15" customHeight="1" x14ac:dyDescent="0.25">
      <c r="A39" s="14" t="s">
        <v>92</v>
      </c>
      <c r="B39" s="15" t="s">
        <v>126</v>
      </c>
      <c r="C39" s="18">
        <v>606000</v>
      </c>
      <c r="D39" s="18">
        <v>53000</v>
      </c>
      <c r="E39" s="18">
        <v>293000</v>
      </c>
      <c r="F39" s="18">
        <v>260000</v>
      </c>
    </row>
    <row r="40" spans="1:6" ht="15" customHeight="1" x14ac:dyDescent="0.25">
      <c r="A40" s="14" t="s">
        <v>92</v>
      </c>
      <c r="B40" s="15" t="s">
        <v>127</v>
      </c>
      <c r="C40" s="18">
        <v>662000</v>
      </c>
      <c r="D40" s="18">
        <v>52000</v>
      </c>
      <c r="E40" s="18">
        <v>316000</v>
      </c>
      <c r="F40" s="18">
        <v>294000</v>
      </c>
    </row>
    <row r="41" spans="1:6" ht="15" customHeight="1" x14ac:dyDescent="0.25">
      <c r="A41" s="14" t="s">
        <v>92</v>
      </c>
      <c r="B41" s="15" t="s">
        <v>128</v>
      </c>
      <c r="C41" s="18">
        <v>629000</v>
      </c>
      <c r="D41" s="18">
        <v>44000</v>
      </c>
      <c r="E41" s="18">
        <v>287000</v>
      </c>
      <c r="F41" s="18">
        <v>297000</v>
      </c>
    </row>
    <row r="42" spans="1:6" ht="15" customHeight="1" x14ac:dyDescent="0.25">
      <c r="A42" s="14" t="s">
        <v>92</v>
      </c>
      <c r="B42" s="15" t="s">
        <v>152</v>
      </c>
      <c r="C42" s="18">
        <v>709000</v>
      </c>
      <c r="D42" s="18">
        <v>62000</v>
      </c>
      <c r="E42" s="18">
        <v>279000</v>
      </c>
      <c r="F42" s="18">
        <v>368000</v>
      </c>
    </row>
    <row r="43" spans="1:6" ht="15" customHeight="1" x14ac:dyDescent="0.25">
      <c r="A43" s="14" t="s">
        <v>92</v>
      </c>
      <c r="B43" s="15" t="s">
        <v>153</v>
      </c>
      <c r="C43" s="18">
        <v>878000</v>
      </c>
      <c r="D43" s="18">
        <v>96000</v>
      </c>
      <c r="E43" s="18">
        <v>249000</v>
      </c>
      <c r="F43" s="18">
        <v>534000</v>
      </c>
    </row>
    <row r="44" spans="1:6" ht="15" customHeight="1" x14ac:dyDescent="0.25">
      <c r="A44" s="14" t="s">
        <v>92</v>
      </c>
      <c r="B44" s="15" t="s">
        <v>154</v>
      </c>
      <c r="C44" s="18">
        <v>891000</v>
      </c>
      <c r="D44" s="18">
        <v>108000</v>
      </c>
      <c r="E44" s="18">
        <v>172000</v>
      </c>
      <c r="F44" s="18">
        <v>611000</v>
      </c>
    </row>
    <row r="45" spans="1:6" ht="15" customHeight="1" x14ac:dyDescent="0.25">
      <c r="A45" s="14" t="s">
        <v>92</v>
      </c>
      <c r="B45" s="15" t="s">
        <v>155</v>
      </c>
      <c r="C45" s="18">
        <v>968000</v>
      </c>
      <c r="D45" s="18">
        <v>110000</v>
      </c>
      <c r="E45" s="18">
        <v>138000</v>
      </c>
      <c r="F45" s="18">
        <v>721000</v>
      </c>
    </row>
    <row r="46" spans="1:6" ht="15" customHeight="1" x14ac:dyDescent="0.25">
      <c r="A46" s="14" t="s">
        <v>92</v>
      </c>
      <c r="B46" s="15" t="s">
        <v>156</v>
      </c>
      <c r="C46" s="18">
        <v>1078000</v>
      </c>
      <c r="D46" s="18">
        <v>108000</v>
      </c>
      <c r="E46" s="18">
        <v>121000</v>
      </c>
      <c r="F46" s="18">
        <v>848000</v>
      </c>
    </row>
    <row r="47" spans="1:6" ht="15" customHeight="1" x14ac:dyDescent="0.25">
      <c r="A47" s="14" t="s">
        <v>92</v>
      </c>
      <c r="B47" s="15" t="s">
        <v>157</v>
      </c>
      <c r="C47" s="18">
        <v>1198000</v>
      </c>
      <c r="D47" s="18">
        <v>94000</v>
      </c>
      <c r="E47" s="18">
        <v>114000</v>
      </c>
      <c r="F47" s="18">
        <v>990000</v>
      </c>
    </row>
    <row r="48" spans="1:6" ht="15" customHeight="1" x14ac:dyDescent="0.25">
      <c r="A48" s="14" t="s">
        <v>92</v>
      </c>
      <c r="B48" s="15" t="s">
        <v>158</v>
      </c>
      <c r="C48" s="18">
        <v>1257000</v>
      </c>
      <c r="D48" s="18">
        <v>88000</v>
      </c>
      <c r="E48" s="18">
        <v>116000</v>
      </c>
      <c r="F48" s="18">
        <v>1053000</v>
      </c>
    </row>
    <row r="49" spans="1:6" ht="15" customHeight="1" x14ac:dyDescent="0.25">
      <c r="A49" s="14" t="s">
        <v>92</v>
      </c>
      <c r="B49" s="15" t="s">
        <v>159</v>
      </c>
      <c r="C49" s="18">
        <v>1248000</v>
      </c>
      <c r="D49" s="18">
        <v>87000</v>
      </c>
      <c r="E49" s="18">
        <v>128000</v>
      </c>
      <c r="F49" s="18">
        <v>1033000</v>
      </c>
    </row>
    <row r="50" spans="1:6" x14ac:dyDescent="0.25">
      <c r="A50" s="14" t="s">
        <v>92</v>
      </c>
      <c r="B50" s="15" t="s">
        <v>160</v>
      </c>
      <c r="C50" s="18">
        <v>1238000</v>
      </c>
      <c r="D50" s="18">
        <v>84000</v>
      </c>
      <c r="E50" s="18">
        <v>129000</v>
      </c>
      <c r="F50" s="18">
        <v>1025000</v>
      </c>
    </row>
    <row r="51" spans="1:6" x14ac:dyDescent="0.25">
      <c r="A51" s="14" t="s">
        <v>92</v>
      </c>
      <c r="B51" s="15" t="s">
        <v>161</v>
      </c>
      <c r="C51" s="18">
        <v>1219000</v>
      </c>
      <c r="D51" s="18">
        <v>64000</v>
      </c>
      <c r="E51" s="18">
        <v>117000</v>
      </c>
      <c r="F51" s="18">
        <v>1038000</v>
      </c>
    </row>
    <row r="52" spans="1:6" ht="32.25" customHeight="1" x14ac:dyDescent="0.25">
      <c r="A52" s="14" t="s">
        <v>92</v>
      </c>
      <c r="B52" s="15" t="s">
        <v>162</v>
      </c>
      <c r="C52" s="18">
        <v>1218000</v>
      </c>
      <c r="D52" s="18">
        <v>61000</v>
      </c>
      <c r="E52" s="18">
        <v>126000</v>
      </c>
      <c r="F52" s="18">
        <v>1031000</v>
      </c>
    </row>
    <row r="53" spans="1:6" x14ac:dyDescent="0.25">
      <c r="A53" s="14" t="s">
        <v>142</v>
      </c>
      <c r="B53" s="15" t="s">
        <v>93</v>
      </c>
      <c r="C53" s="22">
        <v>-477000</v>
      </c>
      <c r="D53" s="22">
        <v>-156000</v>
      </c>
      <c r="E53" s="22">
        <v>-140000</v>
      </c>
      <c r="F53" s="22">
        <v>-181000</v>
      </c>
    </row>
    <row r="54" spans="1:6" x14ac:dyDescent="0.25">
      <c r="A54" s="14" t="s">
        <v>142</v>
      </c>
      <c r="B54" s="15" t="s">
        <v>94</v>
      </c>
      <c r="C54" s="22">
        <v>-473000</v>
      </c>
      <c r="D54" s="22">
        <v>-156000</v>
      </c>
      <c r="E54" s="22">
        <v>-139000</v>
      </c>
      <c r="F54" s="22">
        <v>-178000</v>
      </c>
    </row>
    <row r="55" spans="1:6" x14ac:dyDescent="0.25">
      <c r="A55" s="14" t="s">
        <v>142</v>
      </c>
      <c r="B55" s="15" t="s">
        <v>95</v>
      </c>
      <c r="C55" s="22">
        <v>-448000</v>
      </c>
      <c r="D55" s="22">
        <v>-151000</v>
      </c>
      <c r="E55" s="22">
        <v>-128000</v>
      </c>
      <c r="F55" s="22">
        <v>-169000</v>
      </c>
    </row>
    <row r="56" spans="1:6" x14ac:dyDescent="0.25">
      <c r="A56" s="14" t="s">
        <v>142</v>
      </c>
      <c r="B56" s="15" t="s">
        <v>96</v>
      </c>
      <c r="C56" s="22">
        <v>-446000</v>
      </c>
      <c r="D56" s="22">
        <v>-154000</v>
      </c>
      <c r="E56" s="22">
        <v>-127000</v>
      </c>
      <c r="F56" s="22">
        <v>-164000</v>
      </c>
    </row>
    <row r="57" spans="1:6" x14ac:dyDescent="0.25">
      <c r="A57" s="14" t="s">
        <v>142</v>
      </c>
      <c r="B57" s="15" t="s">
        <v>97</v>
      </c>
      <c r="C57" s="22">
        <v>-454000</v>
      </c>
      <c r="D57" s="22">
        <v>-157000</v>
      </c>
      <c r="E57" s="22">
        <v>-131000</v>
      </c>
      <c r="F57" s="22">
        <v>-166000</v>
      </c>
    </row>
    <row r="58" spans="1:6" x14ac:dyDescent="0.25">
      <c r="A58" s="14" t="s">
        <v>142</v>
      </c>
      <c r="B58" s="15" t="s">
        <v>98</v>
      </c>
      <c r="C58" s="22">
        <v>-461000</v>
      </c>
      <c r="D58" s="22">
        <v>-158000</v>
      </c>
      <c r="E58" s="22">
        <v>-135000</v>
      </c>
      <c r="F58" s="22">
        <v>-169000</v>
      </c>
    </row>
    <row r="59" spans="1:6" x14ac:dyDescent="0.25">
      <c r="A59" s="14" t="s">
        <v>142</v>
      </c>
      <c r="B59" s="15" t="s">
        <v>99</v>
      </c>
      <c r="C59" s="22">
        <v>-469000</v>
      </c>
      <c r="D59" s="22">
        <v>-157000</v>
      </c>
      <c r="E59" s="22">
        <v>-141000</v>
      </c>
      <c r="F59" s="22">
        <v>-171000</v>
      </c>
    </row>
    <row r="60" spans="1:6" x14ac:dyDescent="0.25">
      <c r="A60" s="14" t="s">
        <v>142</v>
      </c>
      <c r="B60" s="15" t="s">
        <v>100</v>
      </c>
      <c r="C60" s="22">
        <v>-475000</v>
      </c>
      <c r="D60" s="22">
        <v>-154000</v>
      </c>
      <c r="E60" s="22">
        <v>-151000</v>
      </c>
      <c r="F60" s="22">
        <v>-170000</v>
      </c>
    </row>
    <row r="61" spans="1:6" x14ac:dyDescent="0.25">
      <c r="A61" s="14" t="s">
        <v>142</v>
      </c>
      <c r="B61" s="15" t="s">
        <v>101</v>
      </c>
      <c r="C61" s="22">
        <v>-489000</v>
      </c>
      <c r="D61" s="22">
        <v>-157000</v>
      </c>
      <c r="E61" s="22">
        <v>-161000</v>
      </c>
      <c r="F61" s="22">
        <v>-171000</v>
      </c>
    </row>
    <row r="62" spans="1:6" x14ac:dyDescent="0.25">
      <c r="A62" s="14" t="s">
        <v>142</v>
      </c>
      <c r="B62" s="15" t="s">
        <v>102</v>
      </c>
      <c r="C62" s="22">
        <v>-497000</v>
      </c>
      <c r="D62" s="22">
        <v>-160000</v>
      </c>
      <c r="E62" s="22">
        <v>-171000</v>
      </c>
      <c r="F62" s="22">
        <v>-166000</v>
      </c>
    </row>
    <row r="63" spans="1:6" x14ac:dyDescent="0.25">
      <c r="A63" s="14" t="s">
        <v>142</v>
      </c>
      <c r="B63" s="15" t="s">
        <v>103</v>
      </c>
      <c r="C63" s="22">
        <v>-494000</v>
      </c>
      <c r="D63" s="22">
        <v>-161000</v>
      </c>
      <c r="E63" s="22">
        <v>-180000</v>
      </c>
      <c r="F63" s="22">
        <v>-154000</v>
      </c>
    </row>
    <row r="64" spans="1:6" x14ac:dyDescent="0.25">
      <c r="A64" s="14" t="s">
        <v>142</v>
      </c>
      <c r="B64" s="15" t="s">
        <v>104</v>
      </c>
      <c r="C64" s="22">
        <v>-484000</v>
      </c>
      <c r="D64" s="22">
        <v>-156000</v>
      </c>
      <c r="E64" s="22">
        <v>-182000</v>
      </c>
      <c r="F64" s="22">
        <v>-146000</v>
      </c>
    </row>
    <row r="65" spans="1:6" x14ac:dyDescent="0.25">
      <c r="A65" s="14" t="s">
        <v>142</v>
      </c>
      <c r="B65" s="15" t="s">
        <v>105</v>
      </c>
      <c r="C65" s="22">
        <v>-482000</v>
      </c>
      <c r="D65" s="22">
        <v>-154000</v>
      </c>
      <c r="E65" s="22">
        <v>-187000</v>
      </c>
      <c r="F65" s="22">
        <v>-141000</v>
      </c>
    </row>
    <row r="66" spans="1:6" x14ac:dyDescent="0.25">
      <c r="A66" s="14" t="s">
        <v>142</v>
      </c>
      <c r="B66" s="15" t="s">
        <v>106</v>
      </c>
      <c r="C66" s="22">
        <v>-481000</v>
      </c>
      <c r="D66" s="22">
        <v>-153000</v>
      </c>
      <c r="E66" s="22">
        <v>-191000</v>
      </c>
      <c r="F66" s="22">
        <v>-137000</v>
      </c>
    </row>
    <row r="67" spans="1:6" ht="15" customHeight="1" x14ac:dyDescent="0.25">
      <c r="A67" s="14" t="s">
        <v>142</v>
      </c>
      <c r="B67" s="15" t="s">
        <v>107</v>
      </c>
      <c r="C67" s="22">
        <v>-494000</v>
      </c>
      <c r="D67" s="22">
        <v>-151000</v>
      </c>
      <c r="E67" s="22">
        <v>-193000</v>
      </c>
      <c r="F67" s="22">
        <v>-150000</v>
      </c>
    </row>
    <row r="68" spans="1:6" ht="15" customHeight="1" x14ac:dyDescent="0.25">
      <c r="A68" s="14" t="s">
        <v>142</v>
      </c>
      <c r="B68" s="15" t="s">
        <v>108</v>
      </c>
      <c r="C68" s="22">
        <v>-506000</v>
      </c>
      <c r="D68" s="22">
        <v>-155000</v>
      </c>
      <c r="E68" s="22">
        <v>-196000</v>
      </c>
      <c r="F68" s="22">
        <v>-155000</v>
      </c>
    </row>
    <row r="69" spans="1:6" ht="15" customHeight="1" x14ac:dyDescent="0.25">
      <c r="A69" s="14" t="s">
        <v>142</v>
      </c>
      <c r="B69" s="15" t="s">
        <v>109</v>
      </c>
      <c r="C69" s="22">
        <v>-511000</v>
      </c>
      <c r="D69" s="22">
        <v>-157000</v>
      </c>
      <c r="E69" s="22">
        <v>-199000</v>
      </c>
      <c r="F69" s="22">
        <v>-155000</v>
      </c>
    </row>
    <row r="70" spans="1:6" ht="15" customHeight="1" x14ac:dyDescent="0.25">
      <c r="A70" s="14" t="s">
        <v>142</v>
      </c>
      <c r="B70" s="15" t="s">
        <v>110</v>
      </c>
      <c r="C70" s="23">
        <v>-514000</v>
      </c>
      <c r="D70" s="23">
        <v>-157000</v>
      </c>
      <c r="E70" s="23">
        <v>-202000</v>
      </c>
      <c r="F70" s="23">
        <v>-155000</v>
      </c>
    </row>
    <row r="71" spans="1:6" ht="15" customHeight="1" x14ac:dyDescent="0.25">
      <c r="A71" s="14" t="s">
        <v>142</v>
      </c>
      <c r="B71" s="15" t="s">
        <v>111</v>
      </c>
      <c r="C71" s="23">
        <v>-523000</v>
      </c>
      <c r="D71" s="23">
        <v>-163000</v>
      </c>
      <c r="E71" s="23">
        <v>-213000</v>
      </c>
      <c r="F71" s="23">
        <v>-147000</v>
      </c>
    </row>
    <row r="72" spans="1:6" ht="15" customHeight="1" x14ac:dyDescent="0.25">
      <c r="A72" s="14" t="s">
        <v>142</v>
      </c>
      <c r="B72" s="15" t="s">
        <v>112</v>
      </c>
      <c r="C72" s="23">
        <v>-519000</v>
      </c>
      <c r="D72" s="23">
        <v>-163000</v>
      </c>
      <c r="E72" s="23">
        <v>-213000</v>
      </c>
      <c r="F72" s="23">
        <v>-143000</v>
      </c>
    </row>
    <row r="73" spans="1:6" ht="15" customHeight="1" x14ac:dyDescent="0.25">
      <c r="A73" s="14" t="s">
        <v>142</v>
      </c>
      <c r="B73" s="15" t="s">
        <v>113</v>
      </c>
      <c r="C73" s="23">
        <v>-518000</v>
      </c>
      <c r="D73" s="23">
        <v>-157000</v>
      </c>
      <c r="E73" s="23">
        <v>-212000</v>
      </c>
      <c r="F73" s="23">
        <v>-149000</v>
      </c>
    </row>
    <row r="74" spans="1:6" ht="15" customHeight="1" x14ac:dyDescent="0.25">
      <c r="A74" s="14" t="s">
        <v>142</v>
      </c>
      <c r="B74" s="15" t="s">
        <v>114</v>
      </c>
      <c r="C74" s="23">
        <v>-549000</v>
      </c>
      <c r="D74" s="23">
        <v>-163000</v>
      </c>
      <c r="E74" s="23">
        <v>-233000</v>
      </c>
      <c r="F74" s="23">
        <v>-152000</v>
      </c>
    </row>
    <row r="75" spans="1:6" ht="15" customHeight="1" x14ac:dyDescent="0.25">
      <c r="A75" s="14" t="s">
        <v>142</v>
      </c>
      <c r="B75" s="15" t="s">
        <v>115</v>
      </c>
      <c r="C75" s="23">
        <v>-544000</v>
      </c>
      <c r="D75" s="23">
        <v>-164000</v>
      </c>
      <c r="E75" s="23">
        <v>-235000</v>
      </c>
      <c r="F75" s="23">
        <v>-144000</v>
      </c>
    </row>
    <row r="76" spans="1:6" ht="15" customHeight="1" x14ac:dyDescent="0.25">
      <c r="A76" s="14" t="s">
        <v>142</v>
      </c>
      <c r="B76" s="15" t="s">
        <v>116</v>
      </c>
      <c r="C76" s="23">
        <v>-543000</v>
      </c>
      <c r="D76" s="23">
        <v>-165000</v>
      </c>
      <c r="E76" s="23">
        <v>-240000</v>
      </c>
      <c r="F76" s="23">
        <v>-139000</v>
      </c>
    </row>
    <row r="77" spans="1:6" ht="15" customHeight="1" x14ac:dyDescent="0.25">
      <c r="A77" s="14" t="s">
        <v>142</v>
      </c>
      <c r="B77" s="15" t="s">
        <v>117</v>
      </c>
      <c r="C77" s="23">
        <v>-541000</v>
      </c>
      <c r="D77" s="23">
        <v>-165000</v>
      </c>
      <c r="E77" s="23">
        <v>-249000</v>
      </c>
      <c r="F77" s="23">
        <v>-127000</v>
      </c>
    </row>
    <row r="78" spans="1:6" ht="15" customHeight="1" x14ac:dyDescent="0.25">
      <c r="A78" s="14" t="s">
        <v>142</v>
      </c>
      <c r="B78" s="15" t="s">
        <v>118</v>
      </c>
      <c r="C78" s="23">
        <v>-539000</v>
      </c>
      <c r="D78" s="23">
        <v>-152000</v>
      </c>
      <c r="E78" s="23">
        <v>-259000</v>
      </c>
      <c r="F78" s="23">
        <v>-129000</v>
      </c>
    </row>
    <row r="79" spans="1:6" ht="15" customHeight="1" x14ac:dyDescent="0.25">
      <c r="A79" s="14" t="s">
        <v>142</v>
      </c>
      <c r="B79" s="15" t="s">
        <v>119</v>
      </c>
      <c r="C79" s="23">
        <v>-549000</v>
      </c>
      <c r="D79" s="23">
        <v>-147000</v>
      </c>
      <c r="E79" s="23">
        <v>-250000</v>
      </c>
      <c r="F79" s="23">
        <v>-152000</v>
      </c>
    </row>
    <row r="80" spans="1:6" ht="15" customHeight="1" x14ac:dyDescent="0.25">
      <c r="A80" s="14" t="s">
        <v>142</v>
      </c>
      <c r="B80" s="15" t="s">
        <v>120</v>
      </c>
      <c r="C80" s="23">
        <v>-575000</v>
      </c>
      <c r="D80" s="23">
        <v>-146000</v>
      </c>
      <c r="E80" s="23">
        <v>-274000</v>
      </c>
      <c r="F80" s="23">
        <v>-155000</v>
      </c>
    </row>
    <row r="81" spans="1:6" ht="15" customHeight="1" x14ac:dyDescent="0.25">
      <c r="A81" s="14" t="s">
        <v>142</v>
      </c>
      <c r="B81" s="15" t="s">
        <v>121</v>
      </c>
      <c r="C81" s="23">
        <v>-597000</v>
      </c>
      <c r="D81" s="23">
        <v>-143000</v>
      </c>
      <c r="E81" s="23">
        <v>-287000</v>
      </c>
      <c r="F81" s="23">
        <v>-167000</v>
      </c>
    </row>
    <row r="82" spans="1:6" ht="15" customHeight="1" x14ac:dyDescent="0.25">
      <c r="A82" s="14" t="s">
        <v>142</v>
      </c>
      <c r="B82" s="15" t="s">
        <v>122</v>
      </c>
      <c r="C82" s="23">
        <v>-591000</v>
      </c>
      <c r="D82" s="23">
        <v>-150000</v>
      </c>
      <c r="E82" s="23">
        <v>-262000</v>
      </c>
      <c r="F82" s="23">
        <v>-180000</v>
      </c>
    </row>
    <row r="83" spans="1:6" ht="15" customHeight="1" x14ac:dyDescent="0.25">
      <c r="A83" s="14" t="s">
        <v>142</v>
      </c>
      <c r="B83" s="15" t="s">
        <v>123</v>
      </c>
      <c r="C83" s="23">
        <v>-605000</v>
      </c>
      <c r="D83" s="23">
        <v>-153000</v>
      </c>
      <c r="E83" s="23">
        <v>-269000</v>
      </c>
      <c r="F83" s="23">
        <v>-182000</v>
      </c>
    </row>
    <row r="84" spans="1:6" ht="15" customHeight="1" x14ac:dyDescent="0.25">
      <c r="A84" s="14" t="s">
        <v>142</v>
      </c>
      <c r="B84" s="15" t="s">
        <v>124</v>
      </c>
      <c r="C84" s="23">
        <v>-645000</v>
      </c>
      <c r="D84" s="23">
        <v>-157000</v>
      </c>
      <c r="E84" s="23">
        <v>-266000</v>
      </c>
      <c r="F84" s="23">
        <v>-222000</v>
      </c>
    </row>
    <row r="85" spans="1:6" ht="15" customHeight="1" x14ac:dyDescent="0.25">
      <c r="A85" s="14" t="s">
        <v>142</v>
      </c>
      <c r="B85" s="15" t="s">
        <v>125</v>
      </c>
      <c r="C85" s="23">
        <v>-625000</v>
      </c>
      <c r="D85" s="23">
        <v>-146000</v>
      </c>
      <c r="E85" s="23">
        <v>-263000</v>
      </c>
      <c r="F85" s="23">
        <v>-216000</v>
      </c>
    </row>
    <row r="86" spans="1:6" ht="15" customHeight="1" x14ac:dyDescent="0.25">
      <c r="A86" s="14" t="s">
        <v>142</v>
      </c>
      <c r="B86" s="15" t="s">
        <v>126</v>
      </c>
      <c r="C86" s="23">
        <v>-571000</v>
      </c>
      <c r="D86" s="23">
        <v>-123000</v>
      </c>
      <c r="E86" s="23">
        <v>-249000</v>
      </c>
      <c r="F86" s="23">
        <v>-199000</v>
      </c>
    </row>
    <row r="87" spans="1:6" ht="15" customHeight="1" x14ac:dyDescent="0.25">
      <c r="A87" s="14" t="s">
        <v>142</v>
      </c>
      <c r="B87" s="15" t="s">
        <v>127</v>
      </c>
      <c r="C87" s="23">
        <v>-569000</v>
      </c>
      <c r="D87" s="23">
        <v>-130000</v>
      </c>
      <c r="E87" s="23">
        <v>-247000</v>
      </c>
      <c r="F87" s="23">
        <v>-192000</v>
      </c>
    </row>
    <row r="88" spans="1:6" ht="15" customHeight="1" x14ac:dyDescent="0.25">
      <c r="A88" s="14" t="s">
        <v>142</v>
      </c>
      <c r="B88" s="15" t="s">
        <v>128</v>
      </c>
      <c r="C88" s="23">
        <v>-496000</v>
      </c>
      <c r="D88" s="23">
        <v>-123000</v>
      </c>
      <c r="E88" s="23">
        <v>-226000</v>
      </c>
      <c r="F88" s="23">
        <v>-147000</v>
      </c>
    </row>
    <row r="89" spans="1:6" ht="15" customHeight="1" x14ac:dyDescent="0.25">
      <c r="A89" s="14" t="s">
        <v>142</v>
      </c>
      <c r="B89" s="15" t="s">
        <v>152</v>
      </c>
      <c r="C89" s="23">
        <v>-488000</v>
      </c>
      <c r="D89" s="23">
        <v>-135000</v>
      </c>
      <c r="E89" s="23">
        <v>-211000</v>
      </c>
      <c r="F89" s="23">
        <v>-142000</v>
      </c>
    </row>
    <row r="90" spans="1:6" ht="15" customHeight="1" x14ac:dyDescent="0.25">
      <c r="A90" s="14" t="s">
        <v>142</v>
      </c>
      <c r="B90" s="15" t="s">
        <v>153</v>
      </c>
      <c r="C90" s="23">
        <v>-436000</v>
      </c>
      <c r="D90" s="23">
        <v>-82000</v>
      </c>
      <c r="E90" s="23">
        <v>-233000</v>
      </c>
      <c r="F90" s="23">
        <v>-121000</v>
      </c>
    </row>
    <row r="91" spans="1:6" ht="15" customHeight="1" x14ac:dyDescent="0.25">
      <c r="A91" s="14" t="s">
        <v>142</v>
      </c>
      <c r="B91" s="15" t="s">
        <v>154</v>
      </c>
      <c r="C91" s="23">
        <v>-424000</v>
      </c>
      <c r="D91" s="23">
        <v>-76000</v>
      </c>
      <c r="E91" s="23">
        <v>-234000</v>
      </c>
      <c r="F91" s="23">
        <v>-115000</v>
      </c>
    </row>
    <row r="92" spans="1:6" ht="15" customHeight="1" x14ac:dyDescent="0.25">
      <c r="A92" s="14" t="s">
        <v>142</v>
      </c>
      <c r="B92" s="15" t="s">
        <v>155</v>
      </c>
      <c r="C92" s="23">
        <v>-443000</v>
      </c>
      <c r="D92" s="23">
        <v>-81000</v>
      </c>
      <c r="E92" s="23">
        <v>-244000</v>
      </c>
      <c r="F92" s="23">
        <v>-118000</v>
      </c>
    </row>
    <row r="93" spans="1:6" ht="15" customHeight="1" x14ac:dyDescent="0.25">
      <c r="A93" s="14" t="s">
        <v>142</v>
      </c>
      <c r="B93" s="15" t="s">
        <v>156</v>
      </c>
      <c r="C93" s="23">
        <v>-471000</v>
      </c>
      <c r="D93" s="23">
        <v>-89000</v>
      </c>
      <c r="E93" s="23">
        <v>-254000</v>
      </c>
      <c r="F93" s="23">
        <v>-128000</v>
      </c>
    </row>
    <row r="94" spans="1:6" ht="15" customHeight="1" x14ac:dyDescent="0.25">
      <c r="A94" s="14" t="s">
        <v>142</v>
      </c>
      <c r="B94" s="15" t="s">
        <v>157</v>
      </c>
      <c r="C94" s="23">
        <v>-480000</v>
      </c>
      <c r="D94" s="23">
        <v>-89000</v>
      </c>
      <c r="E94" s="23">
        <v>-249000</v>
      </c>
      <c r="F94" s="23">
        <v>-142000</v>
      </c>
    </row>
    <row r="95" spans="1:6" x14ac:dyDescent="0.25">
      <c r="A95" s="14" t="s">
        <v>142</v>
      </c>
      <c r="B95" s="15" t="s">
        <v>158</v>
      </c>
      <c r="C95" s="23">
        <v>-493000</v>
      </c>
      <c r="D95" s="23">
        <v>-92000</v>
      </c>
      <c r="E95" s="23">
        <v>-239000</v>
      </c>
      <c r="F95" s="23">
        <v>-162000</v>
      </c>
    </row>
    <row r="96" spans="1:6" x14ac:dyDescent="0.25">
      <c r="A96" s="14" t="s">
        <v>142</v>
      </c>
      <c r="B96" s="15" t="s">
        <v>159</v>
      </c>
      <c r="C96" s="23">
        <v>-497000</v>
      </c>
      <c r="D96" s="23">
        <v>-96000</v>
      </c>
      <c r="E96" s="23">
        <v>-231000</v>
      </c>
      <c r="F96" s="23">
        <v>-171000</v>
      </c>
    </row>
    <row r="97" spans="1:6" x14ac:dyDescent="0.25">
      <c r="A97" s="14" t="s">
        <v>142</v>
      </c>
      <c r="B97" s="15" t="s">
        <v>160</v>
      </c>
      <c r="C97" s="23">
        <v>-498000</v>
      </c>
      <c r="D97" s="23">
        <v>-93000</v>
      </c>
      <c r="E97" s="23">
        <v>-215000</v>
      </c>
      <c r="F97" s="23">
        <v>-189000</v>
      </c>
    </row>
    <row r="98" spans="1:6" x14ac:dyDescent="0.25">
      <c r="A98" s="14" t="s">
        <v>142</v>
      </c>
      <c r="B98" s="15" t="s">
        <v>161</v>
      </c>
      <c r="C98" s="23">
        <v>-495000</v>
      </c>
      <c r="D98" s="23">
        <v>-95000</v>
      </c>
      <c r="E98" s="23">
        <v>-204000</v>
      </c>
      <c r="F98" s="23">
        <v>-196000</v>
      </c>
    </row>
    <row r="99" spans="1:6" ht="30" customHeight="1" x14ac:dyDescent="0.25">
      <c r="A99" s="14" t="s">
        <v>142</v>
      </c>
      <c r="B99" s="15" t="s">
        <v>162</v>
      </c>
      <c r="C99" s="23">
        <v>-532000</v>
      </c>
      <c r="D99" s="23">
        <v>-98000</v>
      </c>
      <c r="E99" s="23">
        <v>-202000</v>
      </c>
      <c r="F99" s="23">
        <v>-233000</v>
      </c>
    </row>
    <row r="100" spans="1:6" x14ac:dyDescent="0.25">
      <c r="A100" s="14" t="s">
        <v>163</v>
      </c>
      <c r="B100" s="15" t="s">
        <v>93</v>
      </c>
      <c r="C100" s="18">
        <v>162000</v>
      </c>
      <c r="D100" s="18">
        <v>-83000</v>
      </c>
      <c r="E100" s="18">
        <v>187000</v>
      </c>
      <c r="F100" s="18">
        <v>57000</v>
      </c>
    </row>
    <row r="101" spans="1:6" x14ac:dyDescent="0.25">
      <c r="A101" s="14" t="s">
        <v>163</v>
      </c>
      <c r="B101" s="15" t="s">
        <v>94</v>
      </c>
      <c r="C101" s="18">
        <v>157000</v>
      </c>
      <c r="D101" s="18">
        <v>-80000</v>
      </c>
      <c r="E101" s="18">
        <v>183000</v>
      </c>
      <c r="F101" s="18">
        <v>54000</v>
      </c>
    </row>
    <row r="102" spans="1:6" x14ac:dyDescent="0.25">
      <c r="A102" s="14" t="s">
        <v>163</v>
      </c>
      <c r="B102" s="15" t="s">
        <v>95</v>
      </c>
      <c r="C102" s="18">
        <v>195000</v>
      </c>
      <c r="D102" s="18">
        <v>-72000</v>
      </c>
      <c r="E102" s="18">
        <v>206000</v>
      </c>
      <c r="F102" s="18">
        <v>61000</v>
      </c>
    </row>
    <row r="103" spans="1:6" x14ac:dyDescent="0.25">
      <c r="A103" s="14" t="s">
        <v>163</v>
      </c>
      <c r="B103" s="15" t="s">
        <v>96</v>
      </c>
      <c r="C103" s="18">
        <v>204000</v>
      </c>
      <c r="D103" s="18">
        <v>-79000</v>
      </c>
      <c r="E103" s="18">
        <v>223000</v>
      </c>
      <c r="F103" s="18">
        <v>60000</v>
      </c>
    </row>
    <row r="104" spans="1:6" x14ac:dyDescent="0.25">
      <c r="A104" s="14" t="s">
        <v>163</v>
      </c>
      <c r="B104" s="15" t="s">
        <v>97</v>
      </c>
      <c r="C104" s="18">
        <v>215000</v>
      </c>
      <c r="D104" s="18">
        <v>-83000</v>
      </c>
      <c r="E104" s="18">
        <v>242000</v>
      </c>
      <c r="F104" s="18">
        <v>56000</v>
      </c>
    </row>
    <row r="105" spans="1:6" x14ac:dyDescent="0.25">
      <c r="A105" s="14" t="s">
        <v>163</v>
      </c>
      <c r="B105" s="15" t="s">
        <v>98</v>
      </c>
      <c r="C105" s="18">
        <v>259000</v>
      </c>
      <c r="D105" s="18">
        <v>-80000</v>
      </c>
      <c r="E105" s="18">
        <v>275000</v>
      </c>
      <c r="F105" s="18">
        <v>64000</v>
      </c>
    </row>
    <row r="106" spans="1:6" x14ac:dyDescent="0.25">
      <c r="A106" s="14" t="s">
        <v>163</v>
      </c>
      <c r="B106" s="15" t="s">
        <v>99</v>
      </c>
      <c r="C106" s="18">
        <v>244000</v>
      </c>
      <c r="D106" s="18">
        <v>-81000</v>
      </c>
      <c r="E106" s="18">
        <v>262000</v>
      </c>
      <c r="F106" s="18">
        <v>63000</v>
      </c>
    </row>
    <row r="107" spans="1:6" x14ac:dyDescent="0.25">
      <c r="A107" s="14" t="s">
        <v>163</v>
      </c>
      <c r="B107" s="15" t="s">
        <v>100</v>
      </c>
      <c r="C107" s="18">
        <v>256000</v>
      </c>
      <c r="D107" s="18">
        <v>-74000</v>
      </c>
      <c r="E107" s="18">
        <v>263000</v>
      </c>
      <c r="F107" s="18">
        <v>67000</v>
      </c>
    </row>
    <row r="108" spans="1:6" x14ac:dyDescent="0.25">
      <c r="A108" s="14" t="s">
        <v>163</v>
      </c>
      <c r="B108" s="15" t="s">
        <v>101</v>
      </c>
      <c r="C108" s="18">
        <v>248000</v>
      </c>
      <c r="D108" s="18">
        <v>-75000</v>
      </c>
      <c r="E108" s="18">
        <v>258000</v>
      </c>
      <c r="F108" s="18">
        <v>65000</v>
      </c>
    </row>
    <row r="109" spans="1:6" x14ac:dyDescent="0.25">
      <c r="A109" s="14" t="s">
        <v>163</v>
      </c>
      <c r="B109" s="15" t="s">
        <v>102</v>
      </c>
      <c r="C109" s="18">
        <v>264000</v>
      </c>
      <c r="D109" s="18">
        <v>-79000</v>
      </c>
      <c r="E109" s="18">
        <v>270000</v>
      </c>
      <c r="F109" s="18">
        <v>73000</v>
      </c>
    </row>
    <row r="110" spans="1:6" x14ac:dyDescent="0.25">
      <c r="A110" s="14" t="s">
        <v>163</v>
      </c>
      <c r="B110" s="15" t="s">
        <v>103</v>
      </c>
      <c r="C110" s="18">
        <v>284000</v>
      </c>
      <c r="D110" s="18">
        <v>-80000</v>
      </c>
      <c r="E110" s="18">
        <v>277000</v>
      </c>
      <c r="F110" s="18">
        <v>87000</v>
      </c>
    </row>
    <row r="111" spans="1:6" x14ac:dyDescent="0.25">
      <c r="A111" s="14" t="s">
        <v>163</v>
      </c>
      <c r="B111" s="15" t="s">
        <v>104</v>
      </c>
      <c r="C111" s="18">
        <v>296000</v>
      </c>
      <c r="D111" s="18">
        <v>-73000</v>
      </c>
      <c r="E111" s="18">
        <v>275000</v>
      </c>
      <c r="F111" s="18">
        <v>94000</v>
      </c>
    </row>
    <row r="112" spans="1:6" x14ac:dyDescent="0.25">
      <c r="A112" s="14" t="s">
        <v>163</v>
      </c>
      <c r="B112" s="15" t="s">
        <v>105</v>
      </c>
      <c r="C112" s="18">
        <v>296000</v>
      </c>
      <c r="D112" s="18">
        <v>-72000</v>
      </c>
      <c r="E112" s="18">
        <v>267000</v>
      </c>
      <c r="F112" s="18">
        <v>101000</v>
      </c>
    </row>
    <row r="113" spans="1:6" x14ac:dyDescent="0.25">
      <c r="A113" s="14" t="s">
        <v>163</v>
      </c>
      <c r="B113" s="15" t="s">
        <v>106</v>
      </c>
      <c r="C113" s="18">
        <v>293000</v>
      </c>
      <c r="D113" s="18">
        <v>-72000</v>
      </c>
      <c r="E113" s="18">
        <v>262000</v>
      </c>
      <c r="F113" s="18">
        <v>103000</v>
      </c>
    </row>
    <row r="114" spans="1:6" x14ac:dyDescent="0.25">
      <c r="A114" s="14" t="s">
        <v>163</v>
      </c>
      <c r="B114" s="15" t="s">
        <v>107</v>
      </c>
      <c r="C114" s="18">
        <v>303000</v>
      </c>
      <c r="D114" s="18">
        <v>-73000</v>
      </c>
      <c r="E114" s="18">
        <v>287000</v>
      </c>
      <c r="F114" s="18">
        <v>88000</v>
      </c>
    </row>
    <row r="115" spans="1:6" x14ac:dyDescent="0.25">
      <c r="A115" s="14" t="s">
        <v>163</v>
      </c>
      <c r="B115" s="15" t="s">
        <v>108</v>
      </c>
      <c r="C115" s="18">
        <v>298000</v>
      </c>
      <c r="D115" s="18">
        <v>-77000</v>
      </c>
      <c r="E115" s="18">
        <v>294000</v>
      </c>
      <c r="F115" s="18">
        <v>80000</v>
      </c>
    </row>
    <row r="116" spans="1:6" x14ac:dyDescent="0.25">
      <c r="A116" s="14" t="s">
        <v>163</v>
      </c>
      <c r="B116" s="15" t="s">
        <v>109</v>
      </c>
      <c r="C116" s="18">
        <v>321000</v>
      </c>
      <c r="D116" s="18">
        <v>-83000</v>
      </c>
      <c r="E116" s="18">
        <v>322000</v>
      </c>
      <c r="F116" s="18">
        <v>82000</v>
      </c>
    </row>
    <row r="117" spans="1:6" x14ac:dyDescent="0.25">
      <c r="A117" s="14" t="s">
        <v>163</v>
      </c>
      <c r="B117" s="15" t="s">
        <v>110</v>
      </c>
      <c r="C117" s="18">
        <v>290000</v>
      </c>
      <c r="D117" s="18">
        <v>-87000</v>
      </c>
      <c r="E117" s="18">
        <v>294000</v>
      </c>
      <c r="F117" s="18">
        <v>83000</v>
      </c>
    </row>
    <row r="118" spans="1:6" x14ac:dyDescent="0.25">
      <c r="A118" s="14" t="s">
        <v>163</v>
      </c>
      <c r="B118" s="15" t="s">
        <v>111</v>
      </c>
      <c r="C118" s="18">
        <v>249000</v>
      </c>
      <c r="D118" s="18">
        <v>-94000</v>
      </c>
      <c r="E118" s="18">
        <v>253000</v>
      </c>
      <c r="F118" s="18">
        <v>90000</v>
      </c>
    </row>
    <row r="119" spans="1:6" x14ac:dyDescent="0.25">
      <c r="A119" s="14" t="s">
        <v>163</v>
      </c>
      <c r="B119" s="15" t="s">
        <v>112</v>
      </c>
      <c r="C119" s="16">
        <v>240000</v>
      </c>
      <c r="D119" s="16">
        <v>-91000</v>
      </c>
      <c r="E119" s="16">
        <v>235000</v>
      </c>
      <c r="F119" s="16">
        <v>97000</v>
      </c>
    </row>
    <row r="120" spans="1:6" x14ac:dyDescent="0.25">
      <c r="A120" s="14" t="s">
        <v>163</v>
      </c>
      <c r="B120" s="15" t="s">
        <v>113</v>
      </c>
      <c r="C120" s="16">
        <v>200000</v>
      </c>
      <c r="D120" s="16">
        <v>-79000</v>
      </c>
      <c r="E120" s="16">
        <v>188000</v>
      </c>
      <c r="F120" s="16">
        <v>91000</v>
      </c>
    </row>
    <row r="121" spans="1:6" x14ac:dyDescent="0.25">
      <c r="A121" s="14" t="s">
        <v>163</v>
      </c>
      <c r="B121" s="15" t="s">
        <v>114</v>
      </c>
      <c r="C121" s="16">
        <v>205000</v>
      </c>
      <c r="D121" s="16">
        <v>-85000</v>
      </c>
      <c r="E121" s="16">
        <v>192000</v>
      </c>
      <c r="F121" s="16">
        <v>98000</v>
      </c>
    </row>
    <row r="122" spans="1:6" x14ac:dyDescent="0.25">
      <c r="A122" s="14" t="s">
        <v>163</v>
      </c>
      <c r="B122" s="15" t="s">
        <v>115</v>
      </c>
      <c r="C122" s="16">
        <v>208000</v>
      </c>
      <c r="D122" s="16">
        <v>-81000</v>
      </c>
      <c r="E122" s="16">
        <v>176000</v>
      </c>
      <c r="F122" s="16">
        <v>114000</v>
      </c>
    </row>
    <row r="123" spans="1:6" x14ac:dyDescent="0.25">
      <c r="A123" s="14" t="s">
        <v>163</v>
      </c>
      <c r="B123" s="15" t="s">
        <v>116</v>
      </c>
      <c r="C123" s="16">
        <v>193000</v>
      </c>
      <c r="D123" s="16">
        <v>-89000</v>
      </c>
      <c r="E123" s="16">
        <v>160000</v>
      </c>
      <c r="F123" s="16">
        <v>122000</v>
      </c>
    </row>
    <row r="124" spans="1:6" x14ac:dyDescent="0.25">
      <c r="A124" s="14" t="s">
        <v>163</v>
      </c>
      <c r="B124" s="15" t="s">
        <v>117</v>
      </c>
      <c r="C124" s="16">
        <v>216000</v>
      </c>
      <c r="D124" s="16">
        <v>-84000</v>
      </c>
      <c r="E124" s="16">
        <v>158000</v>
      </c>
      <c r="F124" s="16">
        <v>143000</v>
      </c>
    </row>
    <row r="125" spans="1:6" x14ac:dyDescent="0.25">
      <c r="A125" s="14" t="s">
        <v>163</v>
      </c>
      <c r="B125" s="15" t="s">
        <v>118</v>
      </c>
      <c r="C125" s="16">
        <v>226000</v>
      </c>
      <c r="D125" s="16">
        <v>-67000</v>
      </c>
      <c r="E125" s="16">
        <v>138000</v>
      </c>
      <c r="F125" s="16">
        <v>155000</v>
      </c>
    </row>
    <row r="126" spans="1:6" x14ac:dyDescent="0.25">
      <c r="A126" s="14" t="s">
        <v>163</v>
      </c>
      <c r="B126" s="15" t="s">
        <v>119</v>
      </c>
      <c r="C126" s="16">
        <v>276000</v>
      </c>
      <c r="D126" s="16">
        <v>-72000</v>
      </c>
      <c r="E126" s="16">
        <v>170000</v>
      </c>
      <c r="F126" s="16">
        <v>178000</v>
      </c>
    </row>
    <row r="127" spans="1:6" x14ac:dyDescent="0.25">
      <c r="A127" s="14" t="s">
        <v>163</v>
      </c>
      <c r="B127" s="15" t="s">
        <v>120</v>
      </c>
      <c r="C127" s="16">
        <v>274000</v>
      </c>
      <c r="D127" s="16">
        <v>-72000</v>
      </c>
      <c r="E127" s="16">
        <v>155000</v>
      </c>
      <c r="F127" s="16">
        <v>190000</v>
      </c>
    </row>
    <row r="128" spans="1:6" x14ac:dyDescent="0.25">
      <c r="A128" s="14" t="s">
        <v>163</v>
      </c>
      <c r="B128" s="15" t="s">
        <v>121</v>
      </c>
      <c r="C128" s="16">
        <v>224000</v>
      </c>
      <c r="D128" s="16">
        <v>-82000</v>
      </c>
      <c r="E128" s="16">
        <v>126000</v>
      </c>
      <c r="F128" s="16">
        <v>179000</v>
      </c>
    </row>
    <row r="129" spans="1:6" x14ac:dyDescent="0.25">
      <c r="A129" s="14" t="s">
        <v>163</v>
      </c>
      <c r="B129" s="15" t="s">
        <v>122</v>
      </c>
      <c r="C129" s="16">
        <v>202000</v>
      </c>
      <c r="D129" s="16">
        <v>-83000</v>
      </c>
      <c r="E129" s="16">
        <v>114000</v>
      </c>
      <c r="F129" s="16">
        <v>171000</v>
      </c>
    </row>
    <row r="130" spans="1:6" x14ac:dyDescent="0.25">
      <c r="A130" s="14" t="s">
        <v>163</v>
      </c>
      <c r="B130" s="15" t="s">
        <v>123</v>
      </c>
      <c r="C130" s="16">
        <v>184000</v>
      </c>
      <c r="D130" s="16">
        <v>-82000</v>
      </c>
      <c r="E130" s="16">
        <v>80000</v>
      </c>
      <c r="F130" s="16">
        <v>186000</v>
      </c>
    </row>
    <row r="131" spans="1:6" x14ac:dyDescent="0.25">
      <c r="A131" s="14" t="s">
        <v>163</v>
      </c>
      <c r="B131" s="15" t="s">
        <v>124</v>
      </c>
      <c r="C131" s="16">
        <v>170000</v>
      </c>
      <c r="D131" s="16">
        <v>-77000</v>
      </c>
      <c r="E131" s="16">
        <v>81000</v>
      </c>
      <c r="F131" s="16">
        <v>166000</v>
      </c>
    </row>
    <row r="132" spans="1:6" x14ac:dyDescent="0.25">
      <c r="A132" s="14" t="s">
        <v>163</v>
      </c>
      <c r="B132" s="15" t="s">
        <v>125</v>
      </c>
      <c r="C132" s="16">
        <v>111000</v>
      </c>
      <c r="D132" s="16">
        <v>-74000</v>
      </c>
      <c r="E132" s="16">
        <v>70000</v>
      </c>
      <c r="F132" s="16">
        <v>115000</v>
      </c>
    </row>
    <row r="133" spans="1:6" x14ac:dyDescent="0.25">
      <c r="A133" s="14" t="s">
        <v>163</v>
      </c>
      <c r="B133" s="15" t="s">
        <v>126</v>
      </c>
      <c r="C133" s="16">
        <v>35000</v>
      </c>
      <c r="D133" s="16">
        <v>-70000</v>
      </c>
      <c r="E133" s="16">
        <v>45000</v>
      </c>
      <c r="F133" s="16">
        <v>60000</v>
      </c>
    </row>
    <row r="134" spans="1:6" x14ac:dyDescent="0.25">
      <c r="A134" s="14" t="s">
        <v>163</v>
      </c>
      <c r="B134" s="15" t="s">
        <v>127</v>
      </c>
      <c r="C134" s="16">
        <v>93000</v>
      </c>
      <c r="D134" s="16">
        <v>-78000</v>
      </c>
      <c r="E134" s="16">
        <v>70000</v>
      </c>
      <c r="F134" s="16">
        <v>101000</v>
      </c>
    </row>
    <row r="135" spans="1:6" x14ac:dyDescent="0.25">
      <c r="A135" s="14" t="s">
        <v>163</v>
      </c>
      <c r="B135" s="15" t="s">
        <v>128</v>
      </c>
      <c r="C135" s="16">
        <v>132000</v>
      </c>
      <c r="D135" s="16">
        <v>-79000</v>
      </c>
      <c r="E135" s="16">
        <v>61000</v>
      </c>
      <c r="F135" s="16">
        <v>150000</v>
      </c>
    </row>
    <row r="136" spans="1:6" x14ac:dyDescent="0.25">
      <c r="A136" s="14" t="s">
        <v>163</v>
      </c>
      <c r="B136" s="15" t="s">
        <v>152</v>
      </c>
      <c r="C136" s="16">
        <v>221000</v>
      </c>
      <c r="D136" s="16">
        <v>-73000</v>
      </c>
      <c r="E136" s="16">
        <v>68000</v>
      </c>
      <c r="F136" s="16">
        <v>226000</v>
      </c>
    </row>
    <row r="137" spans="1:6" x14ac:dyDescent="0.25">
      <c r="A137" s="14" t="s">
        <v>163</v>
      </c>
      <c r="B137" s="15" t="s">
        <v>153</v>
      </c>
      <c r="C137" s="16">
        <v>443000</v>
      </c>
      <c r="D137" s="16">
        <v>14000</v>
      </c>
      <c r="E137" s="16">
        <v>16000</v>
      </c>
      <c r="F137" s="16">
        <v>413000</v>
      </c>
    </row>
    <row r="138" spans="1:6" x14ac:dyDescent="0.25">
      <c r="A138" s="14" t="s">
        <v>163</v>
      </c>
      <c r="B138" s="15" t="s">
        <v>154</v>
      </c>
      <c r="C138" s="16">
        <v>466000</v>
      </c>
      <c r="D138" s="16">
        <v>32000</v>
      </c>
      <c r="E138" s="16">
        <v>-62000</v>
      </c>
      <c r="F138" s="16">
        <v>496000</v>
      </c>
    </row>
    <row r="139" spans="1:6" x14ac:dyDescent="0.25">
      <c r="A139" s="14" t="s">
        <v>163</v>
      </c>
      <c r="B139" s="15" t="s">
        <v>155</v>
      </c>
      <c r="C139" s="16">
        <v>526000</v>
      </c>
      <c r="D139" s="16">
        <v>29000</v>
      </c>
      <c r="E139" s="16">
        <v>-106000</v>
      </c>
      <c r="F139" s="16">
        <v>603000</v>
      </c>
    </row>
    <row r="140" spans="1:6" x14ac:dyDescent="0.25">
      <c r="A140" s="14" t="s">
        <v>163</v>
      </c>
      <c r="B140" s="15" t="s">
        <v>156</v>
      </c>
      <c r="C140" s="16">
        <v>607000</v>
      </c>
      <c r="D140" s="16">
        <v>20000</v>
      </c>
      <c r="E140" s="16">
        <v>-133000</v>
      </c>
      <c r="F140" s="16">
        <v>720000</v>
      </c>
    </row>
    <row r="141" spans="1:6" x14ac:dyDescent="0.25">
      <c r="A141" s="14" t="s">
        <v>163</v>
      </c>
      <c r="B141" s="15" t="s">
        <v>157</v>
      </c>
      <c r="C141" s="16">
        <v>718000</v>
      </c>
      <c r="D141" s="16">
        <v>6000</v>
      </c>
      <c r="E141" s="16">
        <v>-135000</v>
      </c>
      <c r="F141" s="16">
        <v>848000</v>
      </c>
    </row>
    <row r="142" spans="1:6" x14ac:dyDescent="0.25">
      <c r="A142" s="14" t="s">
        <v>163</v>
      </c>
      <c r="B142" s="15" t="s">
        <v>158</v>
      </c>
      <c r="C142" s="16">
        <v>764000</v>
      </c>
      <c r="D142" s="16">
        <v>-4000</v>
      </c>
      <c r="E142" s="16">
        <v>-123000</v>
      </c>
      <c r="F142" s="16">
        <v>892000</v>
      </c>
    </row>
    <row r="143" spans="1:6" x14ac:dyDescent="0.25">
      <c r="A143" s="14" t="s">
        <v>163</v>
      </c>
      <c r="B143" s="15" t="s">
        <v>159</v>
      </c>
      <c r="C143" s="16">
        <v>750000</v>
      </c>
      <c r="D143" s="16">
        <v>-9000</v>
      </c>
      <c r="E143" s="16">
        <v>-102000</v>
      </c>
      <c r="F143" s="16">
        <v>862000</v>
      </c>
    </row>
    <row r="144" spans="1:6" x14ac:dyDescent="0.25">
      <c r="A144" s="14" t="s">
        <v>163</v>
      </c>
      <c r="B144" s="15" t="s">
        <v>160</v>
      </c>
      <c r="C144" s="16">
        <v>740000</v>
      </c>
      <c r="D144" s="16">
        <v>-10000</v>
      </c>
      <c r="E144" s="16">
        <v>-86000</v>
      </c>
      <c r="F144" s="16">
        <v>836000</v>
      </c>
    </row>
    <row r="145" spans="1:6" x14ac:dyDescent="0.25">
      <c r="A145" s="14" t="s">
        <v>163</v>
      </c>
      <c r="B145" s="15" t="s">
        <v>161</v>
      </c>
      <c r="C145" s="16">
        <v>724000</v>
      </c>
      <c r="D145" s="16">
        <v>-31000</v>
      </c>
      <c r="E145" s="16">
        <v>-86000</v>
      </c>
      <c r="F145" s="16">
        <v>842000</v>
      </c>
    </row>
    <row r="146" spans="1:6" x14ac:dyDescent="0.25">
      <c r="A146" s="14" t="s">
        <v>163</v>
      </c>
      <c r="B146" s="15" t="s">
        <v>162</v>
      </c>
      <c r="C146" s="16">
        <v>685000</v>
      </c>
      <c r="D146" s="16">
        <v>-37000</v>
      </c>
      <c r="E146" s="16">
        <v>-75000</v>
      </c>
      <c r="F146" s="16">
        <v>797000</v>
      </c>
    </row>
  </sheetData>
  <pageMargins left="0.70866141732283472" right="0.70866141732283472" top="0.74803149606299213" bottom="0.74803149606299213" header="0.31496062992125984" footer="0.31496062992125984"/>
  <pageSetup paperSize="9" scale="70" fitToHeight="0" orientation="portrait" r:id="rId1"/>
  <rowBreaks count="2" manualBreakCount="2">
    <brk id="50" max="16383" man="1"/>
    <brk id="95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B11E-2379-4CDC-9F96-224B8D76236B}">
  <dimension ref="A1:K24"/>
  <sheetViews>
    <sheetView workbookViewId="0">
      <selection activeCell="D12" sqref="D12"/>
    </sheetView>
  </sheetViews>
  <sheetFormatPr defaultColWidth="8.85546875" defaultRowHeight="15" x14ac:dyDescent="0.2"/>
  <cols>
    <col min="1" max="1" width="32.140625" style="28" customWidth="1"/>
    <col min="2" max="2" width="26.5703125" style="28" customWidth="1"/>
    <col min="3" max="3" width="24" style="28" customWidth="1"/>
    <col min="4" max="4" width="24.7109375" style="28" bestFit="1" customWidth="1"/>
    <col min="5" max="5" width="22.7109375" style="28" bestFit="1" customWidth="1"/>
    <col min="6" max="6" width="22.28515625" style="28" bestFit="1" customWidth="1"/>
    <col min="7" max="7" width="24.28515625" style="28" bestFit="1" customWidth="1"/>
    <col min="8" max="16384" width="8.85546875" style="28"/>
  </cols>
  <sheetData>
    <row r="1" spans="1:11" s="27" customFormat="1" ht="20.25" x14ac:dyDescent="0.3">
      <c r="A1" s="26" t="s">
        <v>167</v>
      </c>
    </row>
    <row r="2" spans="1:11" x14ac:dyDescent="0.2">
      <c r="A2" s="28" t="s">
        <v>168</v>
      </c>
      <c r="K2" s="29"/>
    </row>
    <row r="3" spans="1:11" x14ac:dyDescent="0.2">
      <c r="A3" s="28" t="s">
        <v>169</v>
      </c>
      <c r="B3" s="28" t="s">
        <v>170</v>
      </c>
    </row>
    <row r="4" spans="1:11" ht="30.75" x14ac:dyDescent="0.25">
      <c r="A4" s="30" t="s">
        <v>171</v>
      </c>
      <c r="B4" s="31" t="s">
        <v>172</v>
      </c>
      <c r="C4" s="31" t="s">
        <v>173</v>
      </c>
      <c r="D4" s="30" t="s">
        <v>174</v>
      </c>
      <c r="E4" s="31" t="s">
        <v>175</v>
      </c>
      <c r="F4" s="31" t="s">
        <v>176</v>
      </c>
      <c r="G4" s="30" t="s">
        <v>177</v>
      </c>
    </row>
    <row r="5" spans="1:11" ht="15.75" x14ac:dyDescent="0.25">
      <c r="A5" s="32" t="s">
        <v>178</v>
      </c>
      <c r="B5" s="33">
        <v>735.8</v>
      </c>
      <c r="C5" s="28">
        <v>474.6</v>
      </c>
      <c r="D5" s="33">
        <v>261.2</v>
      </c>
      <c r="E5" s="34"/>
      <c r="I5" s="33"/>
      <c r="J5" s="33"/>
      <c r="K5" s="33"/>
    </row>
    <row r="6" spans="1:11" ht="15.75" x14ac:dyDescent="0.25">
      <c r="A6" s="32" t="s">
        <v>179</v>
      </c>
      <c r="B6" s="33">
        <v>774.8</v>
      </c>
      <c r="C6" s="28">
        <v>473.7</v>
      </c>
      <c r="D6" s="33">
        <v>301.10000000000002</v>
      </c>
      <c r="E6" s="34"/>
      <c r="I6" s="33"/>
      <c r="J6" s="33"/>
      <c r="K6" s="33"/>
    </row>
    <row r="7" spans="1:11" ht="15.75" x14ac:dyDescent="0.25">
      <c r="A7" s="32" t="s">
        <v>180</v>
      </c>
      <c r="B7" s="33">
        <v>831.7</v>
      </c>
      <c r="C7" s="28">
        <v>501.1</v>
      </c>
      <c r="D7" s="33">
        <v>330.6</v>
      </c>
      <c r="E7" s="34"/>
      <c r="I7" s="33"/>
      <c r="J7" s="33"/>
      <c r="K7" s="33"/>
    </row>
    <row r="8" spans="1:11" ht="15.75" x14ac:dyDescent="0.25">
      <c r="A8" s="32" t="s">
        <v>181</v>
      </c>
      <c r="B8" s="33">
        <v>715.9</v>
      </c>
      <c r="C8" s="28">
        <v>510.9</v>
      </c>
      <c r="D8" s="33">
        <v>204.9</v>
      </c>
      <c r="E8" s="34"/>
      <c r="I8" s="33"/>
      <c r="J8" s="33"/>
      <c r="K8" s="33"/>
    </row>
    <row r="9" spans="1:11" ht="15.75" x14ac:dyDescent="0.25">
      <c r="A9" s="32" t="s">
        <v>182</v>
      </c>
      <c r="B9" s="33">
        <v>754.7</v>
      </c>
      <c r="C9" s="28">
        <v>527.79999999999995</v>
      </c>
      <c r="D9" s="33">
        <v>226.9</v>
      </c>
      <c r="E9" s="34"/>
      <c r="I9" s="33"/>
      <c r="J9" s="33"/>
      <c r="K9" s="33"/>
    </row>
    <row r="10" spans="1:11" ht="15.75" x14ac:dyDescent="0.25">
      <c r="A10" s="32" t="s">
        <v>183</v>
      </c>
      <c r="B10" s="33">
        <v>821.5</v>
      </c>
      <c r="C10" s="28">
        <v>590</v>
      </c>
      <c r="D10" s="33">
        <v>231.4</v>
      </c>
      <c r="E10" s="34"/>
      <c r="I10" s="33"/>
      <c r="J10" s="33"/>
      <c r="K10" s="33"/>
    </row>
    <row r="11" spans="1:11" ht="15.75" x14ac:dyDescent="0.25">
      <c r="A11" s="32" t="s">
        <v>184</v>
      </c>
      <c r="B11" s="33">
        <v>724.8</v>
      </c>
      <c r="C11" s="28">
        <v>613.4</v>
      </c>
      <c r="D11" s="33">
        <v>111.4</v>
      </c>
      <c r="E11" s="34"/>
      <c r="I11" s="33"/>
      <c r="J11" s="33"/>
      <c r="K11" s="33"/>
    </row>
    <row r="12" spans="1:11" ht="15.75" x14ac:dyDescent="0.25">
      <c r="A12" s="32" t="s">
        <v>185</v>
      </c>
      <c r="B12" s="33">
        <v>674.2</v>
      </c>
      <c r="C12" s="28">
        <v>452.7</v>
      </c>
      <c r="D12" s="33">
        <v>221.5</v>
      </c>
      <c r="E12" s="34"/>
      <c r="I12" s="33"/>
      <c r="J12" s="33"/>
      <c r="K12" s="33"/>
    </row>
    <row r="13" spans="1:11" ht="15.75" x14ac:dyDescent="0.25">
      <c r="A13" s="32" t="s">
        <v>186</v>
      </c>
      <c r="B13" s="33">
        <v>1071.2</v>
      </c>
      <c r="C13" s="28">
        <v>475.3</v>
      </c>
      <c r="D13" s="33">
        <v>595.9</v>
      </c>
      <c r="E13" s="34"/>
      <c r="I13" s="33"/>
      <c r="J13" s="33"/>
      <c r="K13" s="33"/>
    </row>
    <row r="14" spans="1:11" ht="15.75" x14ac:dyDescent="0.25">
      <c r="A14" s="32" t="s">
        <v>187</v>
      </c>
      <c r="B14" s="33">
        <v>1175.2</v>
      </c>
      <c r="C14" s="28">
        <v>505.1</v>
      </c>
      <c r="D14" s="33">
        <v>670.2</v>
      </c>
      <c r="I14" s="33"/>
      <c r="J14" s="33"/>
      <c r="K14" s="33"/>
    </row>
    <row r="15" spans="1:11" x14ac:dyDescent="0.2">
      <c r="A15" s="35">
        <v>2024</v>
      </c>
      <c r="E15" s="28">
        <v>1105.5</v>
      </c>
      <c r="F15" s="28">
        <v>506.5</v>
      </c>
      <c r="G15" s="28">
        <v>599.5</v>
      </c>
    </row>
    <row r="16" spans="1:11" x14ac:dyDescent="0.2">
      <c r="A16" s="35">
        <v>2025</v>
      </c>
      <c r="E16" s="28">
        <v>1036.5</v>
      </c>
      <c r="F16" s="28">
        <v>508</v>
      </c>
      <c r="G16" s="28">
        <v>528</v>
      </c>
    </row>
    <row r="17" spans="1:7" x14ac:dyDescent="0.2">
      <c r="A17" s="35">
        <v>2026</v>
      </c>
      <c r="B17" s="33"/>
      <c r="E17" s="28">
        <v>966.5</v>
      </c>
      <c r="F17" s="28">
        <v>509</v>
      </c>
      <c r="G17" s="28">
        <v>457.5</v>
      </c>
    </row>
    <row r="18" spans="1:7" x14ac:dyDescent="0.2">
      <c r="A18" s="35">
        <v>2027</v>
      </c>
      <c r="E18" s="28">
        <v>897.5</v>
      </c>
      <c r="F18" s="28">
        <v>511</v>
      </c>
      <c r="G18" s="28">
        <v>386</v>
      </c>
    </row>
    <row r="19" spans="1:7" x14ac:dyDescent="0.2">
      <c r="A19" s="35">
        <v>2028</v>
      </c>
      <c r="C19" s="34"/>
      <c r="E19" s="28">
        <v>827.5</v>
      </c>
      <c r="F19" s="28">
        <v>512.5</v>
      </c>
      <c r="G19" s="28">
        <v>315</v>
      </c>
    </row>
    <row r="20" spans="1:7" x14ac:dyDescent="0.2">
      <c r="A20" s="35">
        <v>2029</v>
      </c>
      <c r="E20" s="28">
        <v>827.5</v>
      </c>
      <c r="F20" s="28">
        <v>512.5</v>
      </c>
      <c r="G20" s="28">
        <v>315</v>
      </c>
    </row>
    <row r="21" spans="1:7" x14ac:dyDescent="0.2">
      <c r="A21" s="35">
        <v>2030</v>
      </c>
      <c r="E21" s="28">
        <v>827.5</v>
      </c>
      <c r="F21" s="28">
        <v>512.5</v>
      </c>
      <c r="G21" s="28">
        <v>315</v>
      </c>
    </row>
    <row r="22" spans="1:7" x14ac:dyDescent="0.2">
      <c r="A22" s="35"/>
    </row>
    <row r="24" spans="1:7" x14ac:dyDescent="0.2">
      <c r="A24" s="3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Chart Data</vt:lpstr>
      <vt:lpstr>HAVERM</vt:lpstr>
      <vt:lpstr>LTIM ye Jun24 - Table 1</vt:lpstr>
      <vt:lpstr>LTIM ye Dec23 - Table 1</vt:lpstr>
      <vt:lpstr>Pproj - Jan24</vt:lpstr>
      <vt:lpstr>Chart - MAPP &amp; RPT</vt:lpstr>
      <vt:lpstr>Chart - migration</vt:lpstr>
      <vt:lpstr>_DLX1.INC</vt:lpstr>
      <vt:lpstr>'LTIM ye Dec23 - Table 1'!Print_Titles</vt:lpstr>
      <vt:lpstr>'LTIM ye Jun24 - Table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2024-11-28T15:29:55Z</dcterms:created>
  <dcterms:modified xsi:type="dcterms:W3CDTF">2024-11-29T11:19:14Z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2024-11-28T15:32:17Z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8174c7bf-2269-41cf-94e7-7e55b7e38f73</vt:lpwstr>
  </property>
  <property fmtid="{D5CDD505-2E9C-101B-9397-08002B2CF9AE}" pid="8" name="MSIP_Label_231f5784-19ed-4d1e-9a93-4ea41014d730_ContentBits">
    <vt:lpwstr>0</vt:lpwstr>
  </property>
</Properties>
</file>