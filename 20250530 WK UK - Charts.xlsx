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chartsheets/sheet1.xml" ContentType="application/vnd.openxmlformats-officedocument.spreadsheetml.chartsheet+xml"/>
  <Override PartName="/xl/chartsheets/sheet2.xml" ContentType="application/vnd.openxmlformats-officedocument.spreadsheetml.chartsheet+xml"/>
  <Override PartName="/xl/chartsheets/sheet3.xml" ContentType="application/vnd.openxmlformats-officedocument.spreadsheetml.chartsheet+xml"/>
  <Override PartName="/xl/chartsheets/sheet4.xml" ContentType="application/vnd.openxmlformats-officedocument.spreadsheetml.chartsheet+xml"/>
  <Override PartName="/xl/chartsheets/sheet5.xml" ContentType="application/vnd.openxmlformats-officedocument.spreadsheetml.chart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theme/themeOverride1.xml" ContentType="application/vnd.openxmlformats-officedocument.themeOverride+xml"/>
  <Override PartName="/xl/drawings/drawing2.xml" ContentType="application/vnd.openxmlformats-officedocument.drawingml.chartshapes+xml"/>
  <Override PartName="/xl/drawings/drawing3.xml" ContentType="application/vnd.openxmlformats-officedocument.drawing+xml"/>
  <Override PartName="/xl/charts/chart2.xml" ContentType="application/vnd.openxmlformats-officedocument.drawingml.chart+xml"/>
  <Override PartName="/xl/theme/themeOverride2.xml" ContentType="application/vnd.openxmlformats-officedocument.themeOverride+xml"/>
  <Override PartName="/xl/drawings/drawing4.xml" ContentType="application/vnd.openxmlformats-officedocument.drawingml.chartshapes+xml"/>
  <Override PartName="/xl/drawings/drawing5.xml" ContentType="application/vnd.openxmlformats-officedocument.drawing+xml"/>
  <Override PartName="/xl/charts/chart3.xml" ContentType="application/vnd.openxmlformats-officedocument.drawingml.chart+xml"/>
  <Override PartName="/xl/theme/themeOverride3.xml" ContentType="application/vnd.openxmlformats-officedocument.themeOverride+xml"/>
  <Override PartName="/xl/drawings/drawing6.xml" ContentType="application/vnd.openxmlformats-officedocument.drawingml.chartshapes+xml"/>
  <Override PartName="/xl/drawings/drawing7.xml" ContentType="application/vnd.openxmlformats-officedocument.drawing+xml"/>
  <Override PartName="/xl/charts/chart4.xml" ContentType="application/vnd.openxmlformats-officedocument.drawingml.chart+xml"/>
  <Override PartName="/xl/theme/themeOverride4.xml" ContentType="application/vnd.openxmlformats-officedocument.themeOverride+xml"/>
  <Override PartName="/xl/drawings/drawing8.xml" ContentType="application/vnd.openxmlformats-officedocument.drawingml.chartshapes+xml"/>
  <Override PartName="/xl/drawings/drawing9.xml" ContentType="application/vnd.openxmlformats-officedocument.drawing+xml"/>
  <Override PartName="/xl/charts/chart5.xml" ContentType="application/vnd.openxmlformats-officedocument.drawingml.chart+xml"/>
  <Override PartName="/xl/theme/themeOverride5.xml" ContentType="application/vnd.openxmlformats-officedocument.themeOverride+xml"/>
  <Override PartName="/xl/drawings/drawing10.xml" ContentType="application/vnd.openxmlformats-officedocument.drawingml.chartshap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defaultThemeVersion="202300"/>
  <mc:AlternateContent xmlns:mc="http://schemas.openxmlformats.org/markup-compatibility/2006">
    <mc:Choice Requires="x15">
      <x15ac:absPath xmlns:x15ac="http://schemas.microsoft.com/office/spreadsheetml/2010/11/ac" url="Z:\UK Team\UK Weekly\"/>
    </mc:Choice>
  </mc:AlternateContent>
  <xr:revisionPtr revIDLastSave="0" documentId="13_ncr:1_{67D740FC-C9EB-4CED-88FF-FE4285613D31}" xr6:coauthVersionLast="47" xr6:coauthVersionMax="47" xr10:uidLastSave="{00000000-0000-0000-0000-000000000000}"/>
  <bookViews>
    <workbookView xWindow="-110" yWindow="-110" windowWidth="19420" windowHeight="10300" firstSheet="1" activeTab="2" xr2:uid="{932B72AA-5E18-44BB-8567-4D417E8AAE44}"/>
  </bookViews>
  <sheets>
    <sheet name="Migration reason data" sheetId="2" r:id="rId1"/>
    <sheet name="Chart Data" sheetId="3" r:id="rId2"/>
    <sheet name="POPW" sheetId="20" r:id="rId3"/>
    <sheet name="Immigration" sheetId="11" r:id="rId4"/>
    <sheet name="Net mig (grouped)" sheetId="9" r:id="rId5"/>
    <sheet name="Net mig" sheetId="7" r:id="rId6"/>
    <sheet name="Students" sheetId="18" r:id="rId7"/>
  </sheets>
  <externalReferences>
    <externalReference r:id="rId8"/>
  </externalReferences>
  <definedNames>
    <definedName name="Astartpg">#REF!</definedName>
    <definedName name="Row_A">#REF!</definedName>
    <definedName name="Row_B">#REF!</definedName>
    <definedName name="Row_C">#REF!</definedName>
    <definedName name="Row_D">#REF!</definedName>
    <definedName name="Row_E">#REF!</definedName>
    <definedName name="Row_F">#REF!</definedName>
    <definedName name="Row_G">#REF!</definedName>
    <definedName name="toolong">#REF!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M10" i="3" l="1"/>
  <c r="AM11" i="3"/>
  <c r="AM12" i="3"/>
  <c r="AM28" i="3"/>
  <c r="AM29" i="3"/>
  <c r="AM30" i="3"/>
  <c r="AG5" i="3" l="1"/>
  <c r="AG6" i="3"/>
  <c r="AG7" i="3"/>
  <c r="AG8" i="3"/>
  <c r="AG9" i="3"/>
  <c r="AG10" i="3"/>
  <c r="AG11" i="3"/>
  <c r="AG12" i="3"/>
  <c r="AG13" i="3"/>
  <c r="AG14" i="3"/>
  <c r="AG15" i="3"/>
  <c r="AG16" i="3"/>
  <c r="AG17" i="3"/>
  <c r="AG18" i="3"/>
  <c r="AG19" i="3"/>
  <c r="AG20" i="3"/>
  <c r="AG21" i="3"/>
  <c r="AG22" i="3"/>
  <c r="AG23" i="3"/>
  <c r="AG24" i="3"/>
  <c r="AG4" i="3"/>
  <c r="AF5" i="3"/>
  <c r="AF6" i="3"/>
  <c r="AF7" i="3"/>
  <c r="AF8" i="3"/>
  <c r="AF9" i="3"/>
  <c r="AF10" i="3"/>
  <c r="AF11" i="3"/>
  <c r="AF12" i="3"/>
  <c r="AF13" i="3"/>
  <c r="AF14" i="3"/>
  <c r="AF15" i="3"/>
  <c r="AF16" i="3"/>
  <c r="AF17" i="3"/>
  <c r="AF18" i="3"/>
  <c r="AF19" i="3"/>
  <c r="AF20" i="3"/>
  <c r="AF21" i="3"/>
  <c r="AF22" i="3"/>
  <c r="AF23" i="3"/>
  <c r="AF24" i="3"/>
  <c r="AF4" i="3"/>
  <c r="AE5" i="3"/>
  <c r="AE6" i="3"/>
  <c r="AE7" i="3"/>
  <c r="AE8" i="3"/>
  <c r="AE9" i="3"/>
  <c r="AE10" i="3"/>
  <c r="AE11" i="3"/>
  <c r="AE12" i="3"/>
  <c r="AE13" i="3"/>
  <c r="AE14" i="3"/>
  <c r="AE15" i="3"/>
  <c r="AE16" i="3"/>
  <c r="AE17" i="3"/>
  <c r="AE18" i="3"/>
  <c r="AE19" i="3"/>
  <c r="AE20" i="3"/>
  <c r="AE21" i="3"/>
  <c r="AE22" i="3"/>
  <c r="AE23" i="3"/>
  <c r="AE24" i="3"/>
  <c r="AE4" i="3"/>
  <c r="W30" i="3"/>
  <c r="X30" i="3"/>
  <c r="Y30" i="3"/>
  <c r="Z30" i="3"/>
  <c r="V30" i="3"/>
  <c r="AA28" i="3"/>
  <c r="Z28" i="3"/>
  <c r="Y28" i="3"/>
  <c r="X28" i="3"/>
  <c r="W28" i="3"/>
  <c r="V28" i="3"/>
  <c r="AA5" i="3"/>
  <c r="AA6" i="3"/>
  <c r="AA7" i="3"/>
  <c r="AA8" i="3"/>
  <c r="AA9" i="3"/>
  <c r="AA10" i="3"/>
  <c r="AA11" i="3"/>
  <c r="AA12" i="3"/>
  <c r="AA13" i="3"/>
  <c r="AA14" i="3"/>
  <c r="AA15" i="3"/>
  <c r="AA16" i="3"/>
  <c r="AA17" i="3"/>
  <c r="AA18" i="3"/>
  <c r="AA19" i="3"/>
  <c r="AA20" i="3"/>
  <c r="AA21" i="3"/>
  <c r="AA22" i="3"/>
  <c r="AA23" i="3"/>
  <c r="AA24" i="3"/>
  <c r="AA4" i="3"/>
  <c r="V5" i="3"/>
  <c r="W5" i="3"/>
  <c r="X5" i="3"/>
  <c r="Y5" i="3"/>
  <c r="Z5" i="3"/>
  <c r="V6" i="3"/>
  <c r="W6" i="3"/>
  <c r="X6" i="3"/>
  <c r="Y6" i="3"/>
  <c r="Z6" i="3"/>
  <c r="V7" i="3"/>
  <c r="W7" i="3"/>
  <c r="X7" i="3"/>
  <c r="Y7" i="3"/>
  <c r="Z7" i="3"/>
  <c r="V8" i="3"/>
  <c r="W8" i="3"/>
  <c r="X8" i="3"/>
  <c r="Y8" i="3"/>
  <c r="Z8" i="3"/>
  <c r="V9" i="3"/>
  <c r="W9" i="3"/>
  <c r="X9" i="3"/>
  <c r="Y9" i="3"/>
  <c r="Z9" i="3"/>
  <c r="V10" i="3"/>
  <c r="W10" i="3"/>
  <c r="X10" i="3"/>
  <c r="Y10" i="3"/>
  <c r="Z10" i="3"/>
  <c r="V11" i="3"/>
  <c r="W11" i="3"/>
  <c r="X11" i="3"/>
  <c r="Y11" i="3"/>
  <c r="Z11" i="3"/>
  <c r="V12" i="3"/>
  <c r="W12" i="3"/>
  <c r="X12" i="3"/>
  <c r="Y12" i="3"/>
  <c r="Z12" i="3"/>
  <c r="V13" i="3"/>
  <c r="W13" i="3"/>
  <c r="X13" i="3"/>
  <c r="Y13" i="3"/>
  <c r="Z13" i="3"/>
  <c r="V14" i="3"/>
  <c r="W14" i="3"/>
  <c r="X14" i="3"/>
  <c r="Y14" i="3"/>
  <c r="Z14" i="3"/>
  <c r="V15" i="3"/>
  <c r="W15" i="3"/>
  <c r="X15" i="3"/>
  <c r="Y15" i="3"/>
  <c r="Z15" i="3"/>
  <c r="V16" i="3"/>
  <c r="W16" i="3"/>
  <c r="X16" i="3"/>
  <c r="Y16" i="3"/>
  <c r="Z16" i="3"/>
  <c r="V17" i="3"/>
  <c r="W17" i="3"/>
  <c r="X17" i="3"/>
  <c r="Y17" i="3"/>
  <c r="Z17" i="3"/>
  <c r="V18" i="3"/>
  <c r="W18" i="3"/>
  <c r="X18" i="3"/>
  <c r="Y18" i="3"/>
  <c r="Z18" i="3"/>
  <c r="V19" i="3"/>
  <c r="W19" i="3"/>
  <c r="X19" i="3"/>
  <c r="Y19" i="3"/>
  <c r="Z19" i="3"/>
  <c r="V20" i="3"/>
  <c r="W20" i="3"/>
  <c r="X20" i="3"/>
  <c r="Y20" i="3"/>
  <c r="Z20" i="3"/>
  <c r="V21" i="3"/>
  <c r="W21" i="3"/>
  <c r="X21" i="3"/>
  <c r="Y21" i="3"/>
  <c r="Z21" i="3"/>
  <c r="V22" i="3"/>
  <c r="W22" i="3"/>
  <c r="X22" i="3"/>
  <c r="Y22" i="3"/>
  <c r="Z22" i="3"/>
  <c r="V23" i="3"/>
  <c r="W23" i="3"/>
  <c r="X23" i="3"/>
  <c r="Y23" i="3"/>
  <c r="Z23" i="3"/>
  <c r="V24" i="3"/>
  <c r="W24" i="3"/>
  <c r="X24" i="3"/>
  <c r="Y24" i="3"/>
  <c r="Z24" i="3"/>
  <c r="Z4" i="3"/>
  <c r="Y4" i="3"/>
  <c r="X4" i="3"/>
  <c r="W4" i="3"/>
  <c r="V4" i="3"/>
  <c r="N30" i="3"/>
  <c r="O30" i="3"/>
  <c r="P30" i="3"/>
  <c r="Q30" i="3"/>
  <c r="M30" i="3"/>
  <c r="N28" i="3"/>
  <c r="O28" i="3"/>
  <c r="P28" i="3"/>
  <c r="Q28" i="3"/>
  <c r="R28" i="3"/>
  <c r="R5" i="3"/>
  <c r="R6" i="3"/>
  <c r="R7" i="3"/>
  <c r="R8" i="3"/>
  <c r="R9" i="3"/>
  <c r="R10" i="3"/>
  <c r="R11" i="3"/>
  <c r="R12" i="3"/>
  <c r="R13" i="3"/>
  <c r="R14" i="3"/>
  <c r="R15" i="3"/>
  <c r="R16" i="3"/>
  <c r="R17" i="3"/>
  <c r="R18" i="3"/>
  <c r="R19" i="3"/>
  <c r="R20" i="3"/>
  <c r="R21" i="3"/>
  <c r="R22" i="3"/>
  <c r="R23" i="3"/>
  <c r="R24" i="3"/>
  <c r="R4" i="3"/>
  <c r="M28" i="3"/>
  <c r="M5" i="3"/>
  <c r="N5" i="3"/>
  <c r="O5" i="3"/>
  <c r="P5" i="3"/>
  <c r="Q5" i="3"/>
  <c r="M6" i="3"/>
  <c r="N6" i="3"/>
  <c r="O6" i="3"/>
  <c r="P6" i="3"/>
  <c r="Q6" i="3"/>
  <c r="M7" i="3"/>
  <c r="N7" i="3"/>
  <c r="O7" i="3"/>
  <c r="P7" i="3"/>
  <c r="Q7" i="3"/>
  <c r="M8" i="3"/>
  <c r="N8" i="3"/>
  <c r="O8" i="3"/>
  <c r="P8" i="3"/>
  <c r="Q8" i="3"/>
  <c r="M9" i="3"/>
  <c r="N9" i="3"/>
  <c r="O9" i="3"/>
  <c r="P9" i="3"/>
  <c r="Q9" i="3"/>
  <c r="M10" i="3"/>
  <c r="N10" i="3"/>
  <c r="O10" i="3"/>
  <c r="P10" i="3"/>
  <c r="Q10" i="3"/>
  <c r="M11" i="3"/>
  <c r="N11" i="3"/>
  <c r="O11" i="3"/>
  <c r="P11" i="3"/>
  <c r="Q11" i="3"/>
  <c r="M12" i="3"/>
  <c r="N12" i="3"/>
  <c r="O12" i="3"/>
  <c r="P12" i="3"/>
  <c r="Q12" i="3"/>
  <c r="M13" i="3"/>
  <c r="N13" i="3"/>
  <c r="O13" i="3"/>
  <c r="P13" i="3"/>
  <c r="Q13" i="3"/>
  <c r="M14" i="3"/>
  <c r="N14" i="3"/>
  <c r="O14" i="3"/>
  <c r="P14" i="3"/>
  <c r="Q14" i="3"/>
  <c r="M15" i="3"/>
  <c r="N15" i="3"/>
  <c r="O15" i="3"/>
  <c r="P15" i="3"/>
  <c r="Q15" i="3"/>
  <c r="M16" i="3"/>
  <c r="N16" i="3"/>
  <c r="O16" i="3"/>
  <c r="P16" i="3"/>
  <c r="Q16" i="3"/>
  <c r="M17" i="3"/>
  <c r="N17" i="3"/>
  <c r="O17" i="3"/>
  <c r="P17" i="3"/>
  <c r="Q17" i="3"/>
  <c r="M18" i="3"/>
  <c r="N18" i="3"/>
  <c r="O18" i="3"/>
  <c r="P18" i="3"/>
  <c r="Q18" i="3"/>
  <c r="M19" i="3"/>
  <c r="N19" i="3"/>
  <c r="O19" i="3"/>
  <c r="P19" i="3"/>
  <c r="Q19" i="3"/>
  <c r="M20" i="3"/>
  <c r="N20" i="3"/>
  <c r="O20" i="3"/>
  <c r="P20" i="3"/>
  <c r="Q20" i="3"/>
  <c r="M21" i="3"/>
  <c r="N21" i="3"/>
  <c r="O21" i="3"/>
  <c r="P21" i="3"/>
  <c r="Q21" i="3"/>
  <c r="M22" i="3"/>
  <c r="N22" i="3"/>
  <c r="O22" i="3"/>
  <c r="P22" i="3"/>
  <c r="Q22" i="3"/>
  <c r="M23" i="3"/>
  <c r="N23" i="3"/>
  <c r="O23" i="3"/>
  <c r="P23" i="3"/>
  <c r="Q23" i="3"/>
  <c r="M24" i="3"/>
  <c r="N24" i="3"/>
  <c r="O24" i="3"/>
  <c r="P24" i="3"/>
  <c r="Q24" i="3"/>
  <c r="Q4" i="3"/>
  <c r="P4" i="3"/>
  <c r="O4" i="3"/>
  <c r="N4" i="3"/>
  <c r="M4" i="3"/>
  <c r="F4" i="3"/>
  <c r="F5" i="3"/>
  <c r="F6" i="3"/>
  <c r="F7" i="3"/>
  <c r="F8" i="3"/>
  <c r="F9" i="3"/>
  <c r="F10" i="3"/>
  <c r="F11" i="3"/>
  <c r="F12" i="3"/>
  <c r="F13" i="3"/>
  <c r="F14" i="3"/>
  <c r="F15" i="3"/>
  <c r="F16" i="3"/>
  <c r="F17" i="3"/>
  <c r="F18" i="3"/>
  <c r="F19" i="3"/>
  <c r="F20" i="3"/>
  <c r="F21" i="3"/>
  <c r="F22" i="3"/>
  <c r="F23" i="3"/>
  <c r="F24" i="3"/>
  <c r="E4" i="3"/>
  <c r="G4" i="3"/>
  <c r="H4" i="3"/>
  <c r="E5" i="3"/>
  <c r="G5" i="3"/>
  <c r="H5" i="3"/>
  <c r="E6" i="3"/>
  <c r="G6" i="3"/>
  <c r="H6" i="3"/>
  <c r="E7" i="3"/>
  <c r="G7" i="3"/>
  <c r="H7" i="3"/>
  <c r="E8" i="3"/>
  <c r="G8" i="3"/>
  <c r="H8" i="3"/>
  <c r="E9" i="3"/>
  <c r="G9" i="3"/>
  <c r="H9" i="3"/>
  <c r="E10" i="3"/>
  <c r="G10" i="3"/>
  <c r="H10" i="3"/>
  <c r="E11" i="3"/>
  <c r="G11" i="3"/>
  <c r="H11" i="3"/>
  <c r="E12" i="3"/>
  <c r="G12" i="3"/>
  <c r="H12" i="3"/>
  <c r="E13" i="3"/>
  <c r="G13" i="3"/>
  <c r="H13" i="3"/>
  <c r="E14" i="3"/>
  <c r="G14" i="3"/>
  <c r="H14" i="3"/>
  <c r="E15" i="3"/>
  <c r="G15" i="3"/>
  <c r="H15" i="3"/>
  <c r="E16" i="3"/>
  <c r="G16" i="3"/>
  <c r="H16" i="3"/>
  <c r="E17" i="3"/>
  <c r="G17" i="3"/>
  <c r="H17" i="3"/>
  <c r="E18" i="3"/>
  <c r="G18" i="3"/>
  <c r="H18" i="3"/>
  <c r="E19" i="3"/>
  <c r="G19" i="3"/>
  <c r="H19" i="3"/>
  <c r="E20" i="3"/>
  <c r="G20" i="3"/>
  <c r="H20" i="3"/>
  <c r="E21" i="3"/>
  <c r="G21" i="3"/>
  <c r="H21" i="3"/>
  <c r="E22" i="3"/>
  <c r="G22" i="3"/>
  <c r="H22" i="3"/>
  <c r="E23" i="3"/>
  <c r="G23" i="3"/>
  <c r="H23" i="3"/>
  <c r="E24" i="3"/>
  <c r="G24" i="3"/>
  <c r="H24" i="3"/>
  <c r="D4" i="3"/>
  <c r="D5" i="3"/>
  <c r="D6" i="3"/>
  <c r="D7" i="3"/>
  <c r="D8" i="3"/>
  <c r="D9" i="3"/>
  <c r="D10" i="3"/>
  <c r="D11" i="3"/>
  <c r="D12" i="3"/>
  <c r="D13" i="3"/>
  <c r="D14" i="3"/>
  <c r="D15" i="3"/>
  <c r="D16" i="3"/>
  <c r="D17" i="3"/>
  <c r="D18" i="3"/>
  <c r="D19" i="3"/>
  <c r="D20" i="3"/>
  <c r="D21" i="3"/>
  <c r="D22" i="3"/>
  <c r="D23" i="3"/>
  <c r="D24" i="3"/>
  <c r="C4" i="3"/>
  <c r="C5" i="3"/>
  <c r="C6" i="3"/>
  <c r="C7" i="3"/>
  <c r="C8" i="3"/>
  <c r="C9" i="3"/>
  <c r="C10" i="3"/>
  <c r="C11" i="3"/>
  <c r="C12" i="3"/>
  <c r="C13" i="3"/>
  <c r="C14" i="3"/>
  <c r="C15" i="3"/>
  <c r="C16" i="3"/>
  <c r="C17" i="3"/>
  <c r="C18" i="3"/>
  <c r="C19" i="3"/>
  <c r="C20" i="3"/>
  <c r="C21" i="3"/>
  <c r="C22" i="3"/>
  <c r="C23" i="3"/>
  <c r="C24" i="3"/>
  <c r="B4" i="3"/>
  <c r="B5" i="3"/>
  <c r="B6" i="3"/>
  <c r="B7" i="3"/>
  <c r="B8" i="3"/>
  <c r="B9" i="3"/>
  <c r="B10" i="3"/>
  <c r="B11" i="3"/>
  <c r="B12" i="3"/>
  <c r="B13" i="3"/>
  <c r="B14" i="3"/>
  <c r="B15" i="3"/>
  <c r="B16" i="3"/>
  <c r="B17" i="3"/>
  <c r="B18" i="3"/>
  <c r="B19" i="3"/>
  <c r="B20" i="3"/>
  <c r="B21" i="3"/>
  <c r="B22" i="3"/>
  <c r="B23" i="3"/>
  <c r="B24" i="3"/>
  <c r="P13" i="2"/>
  <c r="P14" i="2" s="1"/>
  <c r="P15" i="2" s="1"/>
  <c r="P16" i="2" s="1"/>
  <c r="P17" i="2" s="1"/>
  <c r="P18" i="2" s="1"/>
  <c r="P19" i="2" s="1"/>
  <c r="P20" i="2" s="1"/>
  <c r="P21" i="2" s="1"/>
  <c r="P22" i="2" s="1"/>
</calcChain>
</file>

<file path=xl/sharedStrings.xml><?xml version="1.0" encoding="utf-8"?>
<sst xmlns="http://schemas.openxmlformats.org/spreadsheetml/2006/main" count="300" uniqueCount="112">
  <si>
    <t>Some shorthand is used in this table, P = provisional, R = revised, YE = Year Ending, BNO = British National (Overseas)</t>
  </si>
  <si>
    <t>Flow
[note 2]</t>
  </si>
  <si>
    <t>Period
[note 10]</t>
  </si>
  <si>
    <t>All reasons</t>
  </si>
  <si>
    <t>Work:
Main applicant</t>
  </si>
  <si>
    <t>Work: Dependant</t>
  </si>
  <si>
    <t>Study: 
Main applicant</t>
  </si>
  <si>
    <t>Study: Dependant</t>
  </si>
  <si>
    <t>Family
[definition 7]</t>
  </si>
  <si>
    <t>Humanitarian: BNO
[definition 8]</t>
  </si>
  <si>
    <t>Humanitarian: Resettlement
[definition 9]</t>
  </si>
  <si>
    <t>Humanitarian: Ukraine
[definition 10]</t>
  </si>
  <si>
    <t>Asylum
[definition 11]</t>
  </si>
  <si>
    <t>Other 
[definition 12]</t>
  </si>
  <si>
    <t>Immigration</t>
  </si>
  <si>
    <t>YE Jun 19</t>
  </si>
  <si>
    <t>YE Sep 19</t>
  </si>
  <si>
    <t>YE Dec 19</t>
  </si>
  <si>
    <t>YE Mar 20</t>
  </si>
  <si>
    <t>YE Jun 20</t>
  </si>
  <si>
    <t>YE Sep 20</t>
  </si>
  <si>
    <t>YE Dec 20</t>
  </si>
  <si>
    <t>YE Mar 21</t>
  </si>
  <si>
    <t>YE Jun 21</t>
  </si>
  <si>
    <t>YE Sep 21</t>
  </si>
  <si>
    <t>YE Dec 21</t>
  </si>
  <si>
    <t>YE Mar 22</t>
  </si>
  <si>
    <t>YE Jun 22</t>
  </si>
  <si>
    <t>YE Sep 22</t>
  </si>
  <si>
    <t>YE Dec 22</t>
  </si>
  <si>
    <t>YE Mar 23</t>
  </si>
  <si>
    <t>YE Jun 23</t>
  </si>
  <si>
    <t>YE Sep 23 R</t>
  </si>
  <si>
    <t xml:space="preserve">YE Dec 23 R </t>
  </si>
  <si>
    <t>YE Mar 24 P R</t>
  </si>
  <si>
    <t>YE Jun 24 P R</t>
  </si>
  <si>
    <t>YE Sep 24 P</t>
  </si>
  <si>
    <t>YE Dec 24 P</t>
  </si>
  <si>
    <t>Emigration</t>
  </si>
  <si>
    <t>Net migration</t>
  </si>
  <si>
    <t>Table 4: Long-term international immigration, emigration and net migration of non-EU+ nationals by reason,</t>
  </si>
  <si>
    <t xml:space="preserve">Definitions </t>
  </si>
  <si>
    <t xml:space="preserve">This worksheet contains one table. </t>
  </si>
  <si>
    <t>Definition number</t>
  </si>
  <si>
    <t>Term</t>
  </si>
  <si>
    <t>Definition</t>
  </si>
  <si>
    <t>International migrant</t>
  </si>
  <si>
    <t>Estimates are based on the UN definition of an international migrant. That is, a person who moves to a country other than that of his or her usual residence for a period of at least a year (12 months), so that the country of destination effectively becomes his or her new country of usual residence. </t>
  </si>
  <si>
    <t xml:space="preserve">British </t>
  </si>
  <si>
    <t>There are six different types of British nationality: 
British citizenship 
British Overseas Territories citizen 
British overseas citizen 
British subject 
British National (Overseas) 
British protected person 
For the purposes of our estimates, we have treated British National (Overseas) as a separate category within the non-EU+ country grouping. All other types of British nationality are included in our British nationals estimates. 
For more information, see the Types of British nationality guide on GOV.UK. 
Please also see definition 8.</t>
  </si>
  <si>
    <t xml:space="preserve">European Union+ (EU+) </t>
  </si>
  <si>
    <t>For 2012 to 2021 this category includes countries of the European Union (EU) for each given time period (excluding the UK). For year ending June 2021 onwards it covers the EU+ category.  
The EU+ category includes nationals from all EU countries and those from Norway, Iceland, Liechtenstein and Switzerland. We have included these within our EU category because people from these countries were, and still are, subject to the same immigration controls as those from the EU. For example, people from Norway, Iceland, Liechtenstein and Switzerland are able to apply for EU Settled Status. 
British nationals are not included in these numbers in any time period.</t>
  </si>
  <si>
    <t xml:space="preserve">Non-EU+ </t>
  </si>
  <si>
    <t xml:space="preserve">This category includes countries not in the EU+ category for each time period. British nationals are also excluded. </t>
  </si>
  <si>
    <t>Non-EU+ reason for migration: Work-related</t>
  </si>
  <si>
    <t>This includes work main applicants and dependants</t>
  </si>
  <si>
    <t>Non-EU+ reason for migration: Study-related</t>
  </si>
  <si>
    <t>This includes study main applicants and dependants</t>
  </si>
  <si>
    <t xml:space="preserve">Non-EU+ reason for migration: Family
</t>
  </si>
  <si>
    <t>This includes all family-related visas</t>
  </si>
  <si>
    <t xml:space="preserve">Non-EU+ reason for migration: Humanitarian: British Nationals (Overseas)
</t>
  </si>
  <si>
    <t>Someone who was a British Overseas Territories citizen by connection with Hong Kong lost that citizenship on 30 June 1997, when sovereignty returned to China. However, such a person was able to register as a British National (Overseas) (BN(O)) before 1 July 1997. For more information, see the Types of British nationality guide on GOV.UK.
On 31 January 2021, the UK launched a bespoke immigration route for BN(O) status holders and their families from Hong Kong.</t>
  </si>
  <si>
    <t xml:space="preserve">Non-EU+ reason for migration: Humanitarian: Resettlement
</t>
  </si>
  <si>
    <t xml:space="preserve">Refugees are selected by the United Nations for resettlement, and transferred to the UK with the agreement of the Home Office, where they receive refugee status on arrival. This data includes refugees on the UK Resettlement Scheme, Community Sponsorship Scheme, Mandate Resettlement Scheme, Afghan Citizens Resettlement Scheme and Afghan Relocations and Assistance Policy. </t>
  </si>
  <si>
    <t>Non-EU+ reason for migration: Humanitarian: Ukraine</t>
  </si>
  <si>
    <t>People coming to the UK on a long-term basis via a Ukraine scheme. Find out more about these on GOV.UK.</t>
  </si>
  <si>
    <t xml:space="preserve">Non-EU+ reason for migration: Asylum
</t>
  </si>
  <si>
    <t>This refers to the long-term international migration of people who have applied (that is, made a claim) for asylum within a year of their arrival in the UK. It includes people who claimed asylum after arriving in the UK via a regular route and those who claimed after arriving irregularly, for example, via small boats.</t>
  </si>
  <si>
    <t xml:space="preserve">Non-EU+ reason for migration: Other
</t>
  </si>
  <si>
    <t>"Other" reasons for immigration in table 3a and 3b refer to all reasons other than work-related, study-related, asylum or humanitarian resettlement. 
"Other" reasons for immigration in table 4 include those who arrived on administrative, settlement, visit or other visas</t>
  </si>
  <si>
    <t>Link</t>
  </si>
  <si>
    <t>Work</t>
  </si>
  <si>
    <t>Study</t>
  </si>
  <si>
    <t>Family</t>
  </si>
  <si>
    <t>Humanitarian</t>
  </si>
  <si>
    <t>Asylum</t>
  </si>
  <si>
    <t>Other</t>
  </si>
  <si>
    <t>YE Dec-19</t>
  </si>
  <si>
    <t>YE Mar-20</t>
  </si>
  <si>
    <t>YE Jun-20</t>
  </si>
  <si>
    <t>YE Sep-20</t>
  </si>
  <si>
    <t>YE Dec-20</t>
  </si>
  <si>
    <t>YE Mar-21</t>
  </si>
  <si>
    <t>YE Jun-21</t>
  </si>
  <si>
    <t>YE Sep-21</t>
  </si>
  <si>
    <t>YE Sep-24</t>
  </si>
  <si>
    <t>YE Dec-24</t>
  </si>
  <si>
    <t>YE Mar-22</t>
  </si>
  <si>
    <t>YE Jun-22</t>
  </si>
  <si>
    <t>YE Sep-22</t>
  </si>
  <si>
    <t>YE Dec-22</t>
  </si>
  <si>
    <t>YE Mar-23</t>
  </si>
  <si>
    <t>YE Jun-23</t>
  </si>
  <si>
    <t>YE Sep-23</t>
  </si>
  <si>
    <t>YE Dec-23</t>
  </si>
  <si>
    <t>YE Mar-24</t>
  </si>
  <si>
    <t>YE Jun-24</t>
  </si>
  <si>
    <t>Dependents</t>
  </si>
  <si>
    <t>Zeroline</t>
  </si>
  <si>
    <t>YE Dec-21</t>
  </si>
  <si>
    <t>Chart 1: Net migration</t>
  </si>
  <si>
    <t>tot</t>
  </si>
  <si>
    <t>Chart 2: Net migration (grouped)</t>
  </si>
  <si>
    <t>change</t>
  </si>
  <si>
    <t>%</t>
  </si>
  <si>
    <t>Chart 3: Immigration (grouped)</t>
  </si>
  <si>
    <t>Chart 4: Student flows</t>
  </si>
  <si>
    <t xml:space="preserve">Emigration </t>
  </si>
  <si>
    <t>Chart 5: POPW</t>
  </si>
  <si>
    <t>New</t>
  </si>
  <si>
    <t>Previous</t>
  </si>
  <si>
    <t>State pension increases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</si>
</sst>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b/>
      <sz val="11"/>
      <color theme="1"/>
      <name val="Aptos Narrow"/>
      <family val="2"/>
      <scheme val="minor"/>
    </font>
    <font>
      <u/>
      <sz val="11"/>
      <color theme="10"/>
      <name val="Aptos Narrow"/>
      <family val="2"/>
      <scheme val="minor"/>
    </font>
    <font>
      <b/>
      <sz val="13"/>
      <color rgb="FF000000"/>
      <name val="Calibri"/>
      <family val="2"/>
    </font>
  </fonts>
  <fills count="2">
    <fill>
      <patternFill patternType="none"/>
    </fill>
    <fill>
      <patternFill patternType="gray125"/>
    </fill>
  </fills>
  <borders count="1">
    <border>
      <left/>
      <right/>
      <top/>
      <bottom/>
      <diagonal/>
    </border>
  </borders>
  <cellStyleXfs count="3">
    <xf numFmtId="0" fontId="0" fillId="0" borderId="0"/>
    <xf numFmtId="0" fontId="2" fillId="0" borderId="0" applyNumberFormat="0" applyFill="0" applyBorder="0" applyAlignment="0" applyProtection="0"/>
    <xf numFmtId="0" fontId="3" fillId="0" borderId="0" applyNumberFormat="0" applyFill="0" applyBorder="0" applyAlignment="0" applyProtection="0"/>
  </cellStyleXfs>
  <cellXfs count="8">
    <xf numFmtId="0" fontId="0" fillId="0" borderId="0" xfId="0"/>
    <xf numFmtId="0" fontId="2" fillId="0" borderId="0" xfId="1"/>
    <xf numFmtId="0" fontId="1" fillId="0" borderId="0" xfId="0" applyFont="1"/>
    <xf numFmtId="0" fontId="0" fillId="0" borderId="0" xfId="0" applyAlignment="1">
      <alignment wrapText="1"/>
    </xf>
    <xf numFmtId="17" fontId="0" fillId="0" borderId="0" xfId="0" applyNumberFormat="1"/>
    <xf numFmtId="3" fontId="0" fillId="0" borderId="0" xfId="0" applyNumberFormat="1"/>
    <xf numFmtId="9" fontId="0" fillId="0" borderId="0" xfId="0" applyNumberFormat="1"/>
    <xf numFmtId="2" fontId="0" fillId="0" borderId="0" xfId="0" applyNumberFormat="1"/>
  </cellXfs>
  <cellStyles count="3">
    <cellStyle name="Heading 2 2" xfId="2" xr:uid="{A6CA96A4-F646-4837-A3E3-F1D64C580156}"/>
    <cellStyle name="Hyperlink" xfId="1" builtinId="8"/>
    <cellStyle name="Normal" xfId="0" builtinId="0"/>
  </cellStyles>
  <dxfs count="0"/>
  <tableStyles count="0" defaultTableStyle="TableStyleMedium2" defaultPivotStyle="PivotStyleLight16"/>
  <colors>
    <mruColors>
      <color rgb="FF7B7C77"/>
      <color rgb="FF003469"/>
      <color rgb="FFBD1B21"/>
      <color rgb="FF00ADDC"/>
      <color rgb="FFD1A21E"/>
      <color rgb="FF965793"/>
      <color rgb="FF00793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3" Type="http://schemas.openxmlformats.org/officeDocument/2006/relationships/chartsheet" Target="chartsheets/sheet1.xml"/><Relationship Id="rId7" Type="http://schemas.openxmlformats.org/officeDocument/2006/relationships/chartsheet" Target="chartsheets/sheet5.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hartsheet" Target="chartsheets/sheet4.xml"/><Relationship Id="rId11" Type="http://schemas.openxmlformats.org/officeDocument/2006/relationships/sharedStrings" Target="sharedStrings.xml"/><Relationship Id="rId5" Type="http://schemas.openxmlformats.org/officeDocument/2006/relationships/chartsheet" Target="chartsheets/sheet3.xml"/><Relationship Id="rId10" Type="http://schemas.openxmlformats.org/officeDocument/2006/relationships/styles" Target="styles.xml"/><Relationship Id="rId4" Type="http://schemas.openxmlformats.org/officeDocument/2006/relationships/chartsheet" Target="chartsheets/sheet2.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openxmlformats.org/officeDocument/2006/relationships/chartUserShapes" Target="../drawings/drawing2.xml"/><Relationship Id="rId1" Type="http://schemas.openxmlformats.org/officeDocument/2006/relationships/themeOverride" Target="../theme/themeOverride1.xml"/></Relationships>
</file>

<file path=xl/charts/_rels/chart2.xml.rels><?xml version="1.0" encoding="UTF-8" standalone="yes"?>
<Relationships xmlns="http://schemas.openxmlformats.org/package/2006/relationships"><Relationship Id="rId2" Type="http://schemas.openxmlformats.org/officeDocument/2006/relationships/chartUserShapes" Target="../drawings/drawing4.xml"/><Relationship Id="rId1" Type="http://schemas.openxmlformats.org/officeDocument/2006/relationships/themeOverride" Target="../theme/themeOverride2.xml"/></Relationships>
</file>

<file path=xl/charts/_rels/chart3.xml.rels><?xml version="1.0" encoding="UTF-8" standalone="yes"?>
<Relationships xmlns="http://schemas.openxmlformats.org/package/2006/relationships"><Relationship Id="rId2" Type="http://schemas.openxmlformats.org/officeDocument/2006/relationships/chartUserShapes" Target="../drawings/drawing6.xml"/><Relationship Id="rId1" Type="http://schemas.openxmlformats.org/officeDocument/2006/relationships/themeOverride" Target="../theme/themeOverride3.xml"/></Relationships>
</file>

<file path=xl/charts/_rels/chart4.xml.rels><?xml version="1.0" encoding="UTF-8" standalone="yes"?>
<Relationships xmlns="http://schemas.openxmlformats.org/package/2006/relationships"><Relationship Id="rId2" Type="http://schemas.openxmlformats.org/officeDocument/2006/relationships/chartUserShapes" Target="../drawings/drawing8.xml"/><Relationship Id="rId1" Type="http://schemas.openxmlformats.org/officeDocument/2006/relationships/themeOverride" Target="../theme/themeOverride4.xml"/></Relationships>
</file>

<file path=xl/charts/_rels/chart5.xml.rels><?xml version="1.0" encoding="UTF-8" standalone="yes"?>
<Relationships xmlns="http://schemas.openxmlformats.org/package/2006/relationships"><Relationship Id="rId2" Type="http://schemas.openxmlformats.org/officeDocument/2006/relationships/chartUserShapes" Target="../drawings/drawing10.xml"/><Relationship Id="rId1" Type="http://schemas.openxmlformats.org/officeDocument/2006/relationships/themeOverride" Target="../theme/themeOverrid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5.936283417061556E-2"/>
          <c:y val="0.1455057082892994"/>
          <c:w val="0.91450635978195038"/>
          <c:h val="0.71386109581292889"/>
        </c:manualLayout>
      </c:layout>
      <c:barChart>
        <c:barDir val="col"/>
        <c:grouping val="stacked"/>
        <c:varyColors val="0"/>
        <c:ser>
          <c:idx val="2"/>
          <c:order val="2"/>
          <c:tx>
            <c:strRef>
              <c:f>'Chart Data'!$AM$3</c:f>
              <c:strCache>
                <c:ptCount val="1"/>
                <c:pt idx="0">
                  <c:v>State pension increases</c:v>
                </c:pt>
              </c:strCache>
            </c:strRef>
          </c:tx>
          <c:spPr>
            <a:solidFill>
              <a:srgbClr val="7B7C77">
                <a:alpha val="70000"/>
              </a:srgbClr>
            </a:solidFill>
            <a:ln w="38100">
              <a:noFill/>
            </a:ln>
          </c:spPr>
          <c:invertIfNegative val="0"/>
          <c:cat>
            <c:numRef>
              <c:f>'Chart Data'!$AJ$4:$AJ$44</c:f>
              <c:numCache>
                <c:formatCode>General</c:formatCode>
                <c:ptCount val="4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pt idx="31">
                  <c:v>2051</c:v>
                </c:pt>
                <c:pt idx="32">
                  <c:v>2052</c:v>
                </c:pt>
                <c:pt idx="33">
                  <c:v>2053</c:v>
                </c:pt>
                <c:pt idx="34">
                  <c:v>2054</c:v>
                </c:pt>
                <c:pt idx="35">
                  <c:v>2055</c:v>
                </c:pt>
                <c:pt idx="36">
                  <c:v>2056</c:v>
                </c:pt>
                <c:pt idx="37">
                  <c:v>2057</c:v>
                </c:pt>
                <c:pt idx="38">
                  <c:v>2058</c:v>
                </c:pt>
                <c:pt idx="39">
                  <c:v>2059</c:v>
                </c:pt>
                <c:pt idx="40">
                  <c:v>2060</c:v>
                </c:pt>
              </c:numCache>
            </c:numRef>
          </c:cat>
          <c:val>
            <c:numRef>
              <c:f>'Chart Data'!$AM$4:$AM$44</c:f>
              <c:numCache>
                <c:formatCode>General</c:formatCode>
                <c:ptCount val="41"/>
                <c:pt idx="6">
                  <c:v>100000</c:v>
                </c:pt>
                <c:pt idx="7">
                  <c:v>100000</c:v>
                </c:pt>
                <c:pt idx="8">
                  <c:v>100000</c:v>
                </c:pt>
                <c:pt idx="24">
                  <c:v>100000</c:v>
                </c:pt>
                <c:pt idx="25">
                  <c:v>100000</c:v>
                </c:pt>
                <c:pt idx="26">
                  <c:v>100000</c:v>
                </c:pt>
              </c:numCache>
            </c:numRef>
          </c:val>
          <c:extLst>
            <c:ext xmlns:c16="http://schemas.microsoft.com/office/drawing/2014/chart" uri="{C3380CC4-5D6E-409C-BE32-E72D297353CC}">
              <c16:uniqueId val="{00000002-E850-417B-95DA-4ED900504230}"/>
            </c:ext>
          </c:extLst>
        </c:ser>
        <c:dLbls>
          <c:showLegendKey val="0"/>
          <c:showVal val="0"/>
          <c:showCatName val="0"/>
          <c:showSerName val="0"/>
          <c:showPercent val="0"/>
          <c:showBubbleSize val="0"/>
        </c:dLbls>
        <c:gapWidth val="0"/>
        <c:overlap val="100"/>
        <c:axId val="263607040"/>
        <c:axId val="263608576"/>
      </c:barChart>
      <c:lineChart>
        <c:grouping val="standard"/>
        <c:varyColors val="0"/>
        <c:ser>
          <c:idx val="0"/>
          <c:order val="0"/>
          <c:tx>
            <c:strRef>
              <c:f>'Chart Data'!$AK$3</c:f>
              <c:strCache>
                <c:ptCount val="1"/>
                <c:pt idx="0">
                  <c:v>New</c:v>
                </c:pt>
              </c:strCache>
            </c:strRef>
          </c:tx>
          <c:spPr>
            <a:ln w="38100">
              <a:solidFill>
                <a:srgbClr val="BD1B21"/>
              </a:solidFill>
            </a:ln>
          </c:spPr>
          <c:marker>
            <c:symbol val="none"/>
          </c:marker>
          <c:cat>
            <c:numRef>
              <c:f>'Chart Data'!$AJ$4:$AJ$44</c:f>
              <c:numCache>
                <c:formatCode>General</c:formatCode>
                <c:ptCount val="4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pt idx="31">
                  <c:v>2051</c:v>
                </c:pt>
                <c:pt idx="32">
                  <c:v>2052</c:v>
                </c:pt>
                <c:pt idx="33">
                  <c:v>2053</c:v>
                </c:pt>
                <c:pt idx="34">
                  <c:v>2054</c:v>
                </c:pt>
                <c:pt idx="35">
                  <c:v>2055</c:v>
                </c:pt>
                <c:pt idx="36">
                  <c:v>2056</c:v>
                </c:pt>
                <c:pt idx="37">
                  <c:v>2057</c:v>
                </c:pt>
                <c:pt idx="38">
                  <c:v>2058</c:v>
                </c:pt>
                <c:pt idx="39">
                  <c:v>2059</c:v>
                </c:pt>
                <c:pt idx="40">
                  <c:v>2060</c:v>
                </c:pt>
              </c:numCache>
            </c:numRef>
          </c:cat>
          <c:val>
            <c:numRef>
              <c:f>'Chart Data'!$AK$4:$AK$44</c:f>
              <c:numCache>
                <c:formatCode>0.00</c:formatCode>
                <c:ptCount val="41"/>
                <c:pt idx="0">
                  <c:v>42.6339775</c:v>
                </c:pt>
                <c:pt idx="1">
                  <c:v>42.897714999999998</c:v>
                </c:pt>
                <c:pt idx="2">
                  <c:v>43.255562500000003</c:v>
                </c:pt>
                <c:pt idx="3">
                  <c:v>43.70223</c:v>
                </c:pt>
                <c:pt idx="4">
                  <c:v>44.2304575</c:v>
                </c:pt>
                <c:pt idx="5">
                  <c:v>44.576067499999901</c:v>
                </c:pt>
                <c:pt idx="6">
                  <c:v>45.008455000000005</c:v>
                </c:pt>
                <c:pt idx="7">
                  <c:v>45.589574999999996</c:v>
                </c:pt>
                <c:pt idx="8">
                  <c:v>45.984237500000006</c:v>
                </c:pt>
                <c:pt idx="9">
                  <c:v>46.114244999999897</c:v>
                </c:pt>
                <c:pt idx="10">
                  <c:v>46.195475000000002</c:v>
                </c:pt>
                <c:pt idx="11">
                  <c:v>46.262122499999997</c:v>
                </c:pt>
                <c:pt idx="12">
                  <c:v>46.326862500000004</c:v>
                </c:pt>
                <c:pt idx="13">
                  <c:v>46.380782499999903</c:v>
                </c:pt>
                <c:pt idx="14">
                  <c:v>46.423607499999996</c:v>
                </c:pt>
                <c:pt idx="15">
                  <c:v>46.465397500000002</c:v>
                </c:pt>
                <c:pt idx="16">
                  <c:v>46.500207499999995</c:v>
                </c:pt>
                <c:pt idx="17">
                  <c:v>46.534419999999997</c:v>
                </c:pt>
                <c:pt idx="18">
                  <c:v>46.560592499999998</c:v>
                </c:pt>
                <c:pt idx="19">
                  <c:v>46.590735000000002</c:v>
                </c:pt>
                <c:pt idx="20">
                  <c:v>46.649525000000004</c:v>
                </c:pt>
                <c:pt idx="21">
                  <c:v>46.737607499999996</c:v>
                </c:pt>
                <c:pt idx="22">
                  <c:v>46.83934</c:v>
                </c:pt>
                <c:pt idx="23">
                  <c:v>46.976315</c:v>
                </c:pt>
                <c:pt idx="24">
                  <c:v>47.255745000000005</c:v>
                </c:pt>
                <c:pt idx="25">
                  <c:v>47.706117499999998</c:v>
                </c:pt>
                <c:pt idx="26">
                  <c:v>48.029722500000005</c:v>
                </c:pt>
                <c:pt idx="27">
                  <c:v>48.101912499999997</c:v>
                </c:pt>
                <c:pt idx="28">
                  <c:v>48.128367499999896</c:v>
                </c:pt>
                <c:pt idx="29">
                  <c:v>48.153760000000005</c:v>
                </c:pt>
                <c:pt idx="30">
                  <c:v>48.182627500000002</c:v>
                </c:pt>
                <c:pt idx="31">
                  <c:v>48.206315000000004</c:v>
                </c:pt>
                <c:pt idx="32">
                  <c:v>48.222357500000001</c:v>
                </c:pt>
                <c:pt idx="33">
                  <c:v>48.215154999999996</c:v>
                </c:pt>
                <c:pt idx="34">
                  <c:v>48.198839999999997</c:v>
                </c:pt>
                <c:pt idx="35">
                  <c:v>48.169487500000002</c:v>
                </c:pt>
                <c:pt idx="36">
                  <c:v>48.121254999999998</c:v>
                </c:pt>
                <c:pt idx="37">
                  <c:v>48.072160000000004</c:v>
                </c:pt>
                <c:pt idx="38">
                  <c:v>48.011772499999999</c:v>
                </c:pt>
                <c:pt idx="39">
                  <c:v>47.941452499999997</c:v>
                </c:pt>
                <c:pt idx="40">
                  <c:v>47.870822499999903</c:v>
                </c:pt>
              </c:numCache>
            </c:numRef>
          </c:val>
          <c:smooth val="0"/>
          <c:extLst>
            <c:ext xmlns:c16="http://schemas.microsoft.com/office/drawing/2014/chart" uri="{C3380CC4-5D6E-409C-BE32-E72D297353CC}">
              <c16:uniqueId val="{00000000-E850-417B-95DA-4ED900504230}"/>
            </c:ext>
          </c:extLst>
        </c:ser>
        <c:ser>
          <c:idx val="1"/>
          <c:order val="1"/>
          <c:tx>
            <c:strRef>
              <c:f>'Chart Data'!$AL$3</c:f>
              <c:strCache>
                <c:ptCount val="1"/>
                <c:pt idx="0">
                  <c:v>Previous</c:v>
                </c:pt>
              </c:strCache>
            </c:strRef>
          </c:tx>
          <c:spPr>
            <a:ln w="38100">
              <a:solidFill>
                <a:srgbClr val="003469"/>
              </a:solidFill>
            </a:ln>
          </c:spPr>
          <c:marker>
            <c:symbol val="none"/>
          </c:marker>
          <c:cat>
            <c:numRef>
              <c:f>'Chart Data'!$AJ$4:$AJ$44</c:f>
              <c:numCache>
                <c:formatCode>General</c:formatCode>
                <c:ptCount val="4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pt idx="31">
                  <c:v>2051</c:v>
                </c:pt>
                <c:pt idx="32">
                  <c:v>2052</c:v>
                </c:pt>
                <c:pt idx="33">
                  <c:v>2053</c:v>
                </c:pt>
                <c:pt idx="34">
                  <c:v>2054</c:v>
                </c:pt>
                <c:pt idx="35">
                  <c:v>2055</c:v>
                </c:pt>
                <c:pt idx="36">
                  <c:v>2056</c:v>
                </c:pt>
                <c:pt idx="37">
                  <c:v>2057</c:v>
                </c:pt>
                <c:pt idx="38">
                  <c:v>2058</c:v>
                </c:pt>
                <c:pt idx="39">
                  <c:v>2059</c:v>
                </c:pt>
                <c:pt idx="40">
                  <c:v>2060</c:v>
                </c:pt>
              </c:numCache>
            </c:numRef>
          </c:cat>
          <c:val>
            <c:numRef>
              <c:f>'Chart Data'!$AL$4:$AL$44</c:f>
              <c:numCache>
                <c:formatCode>0.00</c:formatCode>
                <c:ptCount val="41"/>
                <c:pt idx="0">
                  <c:v>42.614900500000005</c:v>
                </c:pt>
                <c:pt idx="1">
                  <c:v>42.845914999999998</c:v>
                </c:pt>
                <c:pt idx="2">
                  <c:v>43.199199999999998</c:v>
                </c:pt>
                <c:pt idx="3">
                  <c:v>43.617552000000003</c:v>
                </c:pt>
                <c:pt idx="4">
                  <c:v>44.199397000000012</c:v>
                </c:pt>
                <c:pt idx="5">
                  <c:v>44.681330000000003</c:v>
                </c:pt>
                <c:pt idx="6">
                  <c:v>45.105289786272365</c:v>
                </c:pt>
                <c:pt idx="7">
                  <c:v>45.736221927745035</c:v>
                </c:pt>
                <c:pt idx="8">
                  <c:v>46.180929210456291</c:v>
                </c:pt>
                <c:pt idx="9">
                  <c:v>46.296628380838783</c:v>
                </c:pt>
                <c:pt idx="10">
                  <c:v>46.378975551221274</c:v>
                </c:pt>
                <c:pt idx="11">
                  <c:v>46.444249721603761</c:v>
                </c:pt>
                <c:pt idx="12">
                  <c:v>46.51114689198625</c:v>
                </c:pt>
                <c:pt idx="13">
                  <c:v>46.56709806236875</c:v>
                </c:pt>
                <c:pt idx="14">
                  <c:v>46.608568232751239</c:v>
                </c:pt>
                <c:pt idx="15">
                  <c:v>46.652419403133727</c:v>
                </c:pt>
                <c:pt idx="16">
                  <c:v>46.686084573516212</c:v>
                </c:pt>
                <c:pt idx="17">
                  <c:v>46.722459743898696</c:v>
                </c:pt>
                <c:pt idx="18">
                  <c:v>46.74821291428119</c:v>
                </c:pt>
                <c:pt idx="19">
                  <c:v>46.772661084663689</c:v>
                </c:pt>
                <c:pt idx="20">
                  <c:v>46.827023255046171</c:v>
                </c:pt>
                <c:pt idx="21">
                  <c:v>46.914979425428669</c:v>
                </c:pt>
                <c:pt idx="22">
                  <c:v>47.014810595811163</c:v>
                </c:pt>
                <c:pt idx="23">
                  <c:v>47.128744766193662</c:v>
                </c:pt>
                <c:pt idx="24">
                  <c:v>47.370251295480251</c:v>
                </c:pt>
                <c:pt idx="25">
                  <c:v>47.856558794629876</c:v>
                </c:pt>
                <c:pt idx="26">
                  <c:v>48.232801947033607</c:v>
                </c:pt>
                <c:pt idx="27">
                  <c:v>48.29162465079439</c:v>
                </c:pt>
                <c:pt idx="28">
                  <c:v>48.315944821176885</c:v>
                </c:pt>
                <c:pt idx="29">
                  <c:v>48.340136991559376</c:v>
                </c:pt>
                <c:pt idx="30">
                  <c:v>48.370682161941858</c:v>
                </c:pt>
                <c:pt idx="31">
                  <c:v>48.394392332324344</c:v>
                </c:pt>
                <c:pt idx="32">
                  <c:v>48.415722502706842</c:v>
                </c:pt>
                <c:pt idx="33">
                  <c:v>48.408042673089334</c:v>
                </c:pt>
                <c:pt idx="34">
                  <c:v>48.393246843471822</c:v>
                </c:pt>
                <c:pt idx="35">
                  <c:v>48.367980013854314</c:v>
                </c:pt>
                <c:pt idx="36">
                  <c:v>48.317418184236793</c:v>
                </c:pt>
                <c:pt idx="37">
                  <c:v>48.27087735461928</c:v>
                </c:pt>
                <c:pt idx="38">
                  <c:v>48.212038525001766</c:v>
                </c:pt>
                <c:pt idx="39">
                  <c:v>48.140836695384259</c:v>
                </c:pt>
                <c:pt idx="40">
                  <c:v>48.070232865766748</c:v>
                </c:pt>
              </c:numCache>
            </c:numRef>
          </c:val>
          <c:smooth val="0"/>
          <c:extLst>
            <c:ext xmlns:c16="http://schemas.microsoft.com/office/drawing/2014/chart" uri="{C3380CC4-5D6E-409C-BE32-E72D297353CC}">
              <c16:uniqueId val="{00000001-E850-417B-95DA-4ED900504230}"/>
            </c:ext>
          </c:extLst>
        </c:ser>
        <c:dLbls>
          <c:showLegendKey val="0"/>
          <c:showVal val="0"/>
          <c:showCatName val="0"/>
          <c:showSerName val="0"/>
          <c:showPercent val="0"/>
          <c:showBubbleSize val="0"/>
        </c:dLbls>
        <c:marker val="1"/>
        <c:smooth val="0"/>
        <c:axId val="263607040"/>
        <c:axId val="263608576"/>
      </c:lineChart>
      <c:catAx>
        <c:axId val="263607040"/>
        <c:scaling>
          <c:orientation val="minMax"/>
        </c:scaling>
        <c:delete val="0"/>
        <c:axPos val="b"/>
        <c:numFmt formatCode="General" sourceLinked="0"/>
        <c:majorTickMark val="out"/>
        <c:minorTickMark val="none"/>
        <c:tickLblPos val="low"/>
        <c:spPr>
          <a:ln>
            <a:solidFill>
              <a:srgbClr val="495057"/>
            </a:solidFill>
          </a:ln>
        </c:spPr>
        <c:txPr>
          <a:bodyPr rot="0" vert="horz"/>
          <a:lstStyle/>
          <a:p>
            <a:pPr>
              <a:defRPr sz="1800" b="0" i="0" u="none" strike="noStrike" baseline="0">
                <a:solidFill>
                  <a:srgbClr val="495057"/>
                </a:solidFill>
                <a:latin typeface="Segoe UI"/>
                <a:ea typeface="Segoe UI"/>
                <a:cs typeface="Segoe UI"/>
              </a:defRPr>
            </a:pPr>
            <a:endParaRPr lang="en-US"/>
          </a:p>
        </c:txPr>
        <c:crossAx val="263608576"/>
        <c:crossesAt val="-5000000"/>
        <c:auto val="1"/>
        <c:lblAlgn val="ctr"/>
        <c:lblOffset val="100"/>
        <c:tickLblSkip val="5"/>
        <c:noMultiLvlLbl val="0"/>
      </c:catAx>
      <c:valAx>
        <c:axId val="263608576"/>
        <c:scaling>
          <c:orientation val="minMax"/>
          <c:max val="50"/>
          <c:min val="42"/>
        </c:scaling>
        <c:delete val="0"/>
        <c:axPos val="l"/>
        <c:numFmt formatCode="General" sourceLinked="0"/>
        <c:majorTickMark val="out"/>
        <c:minorTickMark val="none"/>
        <c:tickLblPos val="nextTo"/>
        <c:spPr>
          <a:ln>
            <a:solidFill>
              <a:srgbClr val="495057"/>
            </a:solidFill>
          </a:ln>
        </c:spPr>
        <c:txPr>
          <a:bodyPr rot="0" vert="horz"/>
          <a:lstStyle/>
          <a:p>
            <a:pPr>
              <a:defRPr sz="1800" b="0" i="0" u="none" strike="noStrike" baseline="0">
                <a:solidFill>
                  <a:srgbClr val="495057"/>
                </a:solidFill>
                <a:latin typeface="Segoe UI"/>
                <a:ea typeface="Segoe UI"/>
                <a:cs typeface="Segoe UI"/>
              </a:defRPr>
            </a:pPr>
            <a:endParaRPr lang="en-US"/>
          </a:p>
        </c:txPr>
        <c:crossAx val="263607040"/>
        <c:crosses val="autoZero"/>
        <c:crossBetween val="between"/>
      </c:valAx>
      <c:spPr>
        <a:noFill/>
        <a:ln w="25400">
          <a:noFill/>
        </a:ln>
      </c:spPr>
    </c:plotArea>
    <c:legend>
      <c:legendPos val="t"/>
      <c:legendEntry>
        <c:idx val="0"/>
        <c:delete val="1"/>
      </c:legendEntry>
      <c:layout>
        <c:manualLayout>
          <c:xMode val="edge"/>
          <c:yMode val="edge"/>
          <c:x val="0.18597522594743529"/>
          <c:y val="7.8340353958590708E-2"/>
          <c:w val="0.64584339853445916"/>
          <c:h val="5.6154086599288514E-2"/>
        </c:manualLayout>
      </c:layout>
      <c:overlay val="1"/>
      <c:txPr>
        <a:bodyPr/>
        <a:lstStyle/>
        <a:p>
          <a:pPr>
            <a:defRPr sz="1800">
              <a:solidFill>
                <a:srgbClr val="495057"/>
              </a:solidFill>
              <a:latin typeface="Segoe UI"/>
              <a:ea typeface="Segoe UI"/>
              <a:cs typeface="Segoe UI"/>
            </a:defRPr>
          </a:pPr>
          <a:endParaRPr lang="en-US"/>
        </a:p>
      </c:txPr>
    </c:legend>
    <c:plotVisOnly val="1"/>
    <c:dispBlanksAs val="gap"/>
    <c:showDLblsOverMax val="0"/>
  </c:chart>
  <c:spPr>
    <a:noFill/>
    <a:ln w="28575">
      <a:noFill/>
    </a:ln>
  </c:spPr>
  <c:txPr>
    <a:bodyPr/>
    <a:lstStyle/>
    <a:p>
      <a:pPr>
        <a:defRPr sz="2000" b="0" i="0" u="none" strike="noStrike" baseline="0">
          <a:solidFill>
            <a:srgbClr val="000000"/>
          </a:solidFill>
          <a:latin typeface="Arial"/>
          <a:ea typeface="Arial"/>
          <a:cs typeface="Arial"/>
        </a:defRPr>
      </a:pPr>
      <a:endParaRPr lang="en-US"/>
    </a:p>
  </c:txPr>
  <c:userShapes r:id="rId2"/>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0.1054964905404924"/>
          <c:y val="0.16062858163523513"/>
          <c:w val="0.88963076448023182"/>
          <c:h val="0.70062858163523511"/>
        </c:manualLayout>
      </c:layout>
      <c:barChart>
        <c:barDir val="col"/>
        <c:grouping val="stacked"/>
        <c:varyColors val="0"/>
        <c:ser>
          <c:idx val="0"/>
          <c:order val="0"/>
          <c:tx>
            <c:strRef>
              <c:f>'Chart Data'!$V$3</c:f>
              <c:strCache>
                <c:ptCount val="1"/>
                <c:pt idx="0">
                  <c:v>Work</c:v>
                </c:pt>
              </c:strCache>
            </c:strRef>
          </c:tx>
          <c:spPr>
            <a:solidFill>
              <a:srgbClr val="BD1B21"/>
            </a:solidFill>
          </c:spPr>
          <c:invertIfNegative val="0"/>
          <c:cat>
            <c:strRef>
              <c:f>'Chart Data'!$U$4:$U$24</c:f>
              <c:strCache>
                <c:ptCount val="21"/>
                <c:pt idx="0">
                  <c:v>YE Dec-19</c:v>
                </c:pt>
                <c:pt idx="1">
                  <c:v>YE Mar-20</c:v>
                </c:pt>
                <c:pt idx="2">
                  <c:v>YE Jun-20</c:v>
                </c:pt>
                <c:pt idx="3">
                  <c:v>YE Sep-20</c:v>
                </c:pt>
                <c:pt idx="4">
                  <c:v>YE Dec-20</c:v>
                </c:pt>
                <c:pt idx="5">
                  <c:v>YE Mar-21</c:v>
                </c:pt>
                <c:pt idx="6">
                  <c:v>YE Jun-21</c:v>
                </c:pt>
                <c:pt idx="7">
                  <c:v>YE Sep-21</c:v>
                </c:pt>
                <c:pt idx="8">
                  <c:v>YE Dec-21</c:v>
                </c:pt>
                <c:pt idx="9">
                  <c:v>YE Mar-22</c:v>
                </c:pt>
                <c:pt idx="10">
                  <c:v>YE Jun-22</c:v>
                </c:pt>
                <c:pt idx="11">
                  <c:v>YE Sep-22</c:v>
                </c:pt>
                <c:pt idx="12">
                  <c:v>YE Dec-22</c:v>
                </c:pt>
                <c:pt idx="13">
                  <c:v>YE Mar-23</c:v>
                </c:pt>
                <c:pt idx="14">
                  <c:v>YE Jun-23</c:v>
                </c:pt>
                <c:pt idx="15">
                  <c:v>YE Sep-23</c:v>
                </c:pt>
                <c:pt idx="16">
                  <c:v>YE Dec-23</c:v>
                </c:pt>
                <c:pt idx="17">
                  <c:v>YE Mar-24</c:v>
                </c:pt>
                <c:pt idx="18">
                  <c:v>YE Jun-24</c:v>
                </c:pt>
                <c:pt idx="19">
                  <c:v>YE Sep-24</c:v>
                </c:pt>
                <c:pt idx="20">
                  <c:v>YE Dec-24</c:v>
                </c:pt>
              </c:strCache>
            </c:strRef>
          </c:cat>
          <c:val>
            <c:numRef>
              <c:f>'Chart Data'!$V$4:$V$24</c:f>
              <c:numCache>
                <c:formatCode>General</c:formatCode>
                <c:ptCount val="21"/>
                <c:pt idx="0">
                  <c:v>62000</c:v>
                </c:pt>
                <c:pt idx="1">
                  <c:v>63000</c:v>
                </c:pt>
                <c:pt idx="2">
                  <c:v>49000</c:v>
                </c:pt>
                <c:pt idx="3">
                  <c:v>42000</c:v>
                </c:pt>
                <c:pt idx="4">
                  <c:v>42000</c:v>
                </c:pt>
                <c:pt idx="5">
                  <c:v>40000</c:v>
                </c:pt>
                <c:pt idx="6">
                  <c:v>55000</c:v>
                </c:pt>
                <c:pt idx="7">
                  <c:v>68000</c:v>
                </c:pt>
                <c:pt idx="8">
                  <c:v>81000</c:v>
                </c:pt>
                <c:pt idx="9">
                  <c:v>100000</c:v>
                </c:pt>
                <c:pt idx="10">
                  <c:v>117000</c:v>
                </c:pt>
                <c:pt idx="11">
                  <c:v>141000</c:v>
                </c:pt>
                <c:pt idx="12">
                  <c:v>156000</c:v>
                </c:pt>
                <c:pt idx="13">
                  <c:v>163000</c:v>
                </c:pt>
                <c:pt idx="14">
                  <c:v>189000</c:v>
                </c:pt>
                <c:pt idx="15">
                  <c:v>204000</c:v>
                </c:pt>
                <c:pt idx="16">
                  <c:v>221000</c:v>
                </c:pt>
                <c:pt idx="17">
                  <c:v>216000</c:v>
                </c:pt>
                <c:pt idx="18">
                  <c:v>188000</c:v>
                </c:pt>
                <c:pt idx="19">
                  <c:v>155000</c:v>
                </c:pt>
                <c:pt idx="20">
                  <c:v>113000</c:v>
                </c:pt>
              </c:numCache>
            </c:numRef>
          </c:val>
          <c:extLst>
            <c:ext xmlns:c16="http://schemas.microsoft.com/office/drawing/2014/chart" uri="{C3380CC4-5D6E-409C-BE32-E72D297353CC}">
              <c16:uniqueId val="{00000000-6B0F-44AF-9A7C-A03350AFC3B2}"/>
            </c:ext>
          </c:extLst>
        </c:ser>
        <c:ser>
          <c:idx val="1"/>
          <c:order val="1"/>
          <c:tx>
            <c:strRef>
              <c:f>'Chart Data'!$W$3</c:f>
              <c:strCache>
                <c:ptCount val="1"/>
                <c:pt idx="0">
                  <c:v>Study</c:v>
                </c:pt>
              </c:strCache>
            </c:strRef>
          </c:tx>
          <c:spPr>
            <a:solidFill>
              <a:srgbClr val="003469"/>
            </a:solidFill>
          </c:spPr>
          <c:invertIfNegative val="0"/>
          <c:cat>
            <c:strRef>
              <c:f>'Chart Data'!$U$4:$U$24</c:f>
              <c:strCache>
                <c:ptCount val="21"/>
                <c:pt idx="0">
                  <c:v>YE Dec-19</c:v>
                </c:pt>
                <c:pt idx="1">
                  <c:v>YE Mar-20</c:v>
                </c:pt>
                <c:pt idx="2">
                  <c:v>YE Jun-20</c:v>
                </c:pt>
                <c:pt idx="3">
                  <c:v>YE Sep-20</c:v>
                </c:pt>
                <c:pt idx="4">
                  <c:v>YE Dec-20</c:v>
                </c:pt>
                <c:pt idx="5">
                  <c:v>YE Mar-21</c:v>
                </c:pt>
                <c:pt idx="6">
                  <c:v>YE Jun-21</c:v>
                </c:pt>
                <c:pt idx="7">
                  <c:v>YE Sep-21</c:v>
                </c:pt>
                <c:pt idx="8">
                  <c:v>YE Dec-21</c:v>
                </c:pt>
                <c:pt idx="9">
                  <c:v>YE Mar-22</c:v>
                </c:pt>
                <c:pt idx="10">
                  <c:v>YE Jun-22</c:v>
                </c:pt>
                <c:pt idx="11">
                  <c:v>YE Sep-22</c:v>
                </c:pt>
                <c:pt idx="12">
                  <c:v>YE Dec-22</c:v>
                </c:pt>
                <c:pt idx="13">
                  <c:v>YE Mar-23</c:v>
                </c:pt>
                <c:pt idx="14">
                  <c:v>YE Jun-23</c:v>
                </c:pt>
                <c:pt idx="15">
                  <c:v>YE Sep-23</c:v>
                </c:pt>
                <c:pt idx="16">
                  <c:v>YE Dec-23</c:v>
                </c:pt>
                <c:pt idx="17">
                  <c:v>YE Mar-24</c:v>
                </c:pt>
                <c:pt idx="18">
                  <c:v>YE Jun-24</c:v>
                </c:pt>
                <c:pt idx="19">
                  <c:v>YE Sep-24</c:v>
                </c:pt>
                <c:pt idx="20">
                  <c:v>YE Dec-24</c:v>
                </c:pt>
              </c:strCache>
            </c:strRef>
          </c:cat>
          <c:val>
            <c:numRef>
              <c:f>'Chart Data'!$W$4:$W$24</c:f>
              <c:numCache>
                <c:formatCode>General</c:formatCode>
                <c:ptCount val="21"/>
                <c:pt idx="0">
                  <c:v>112000</c:v>
                </c:pt>
                <c:pt idx="1">
                  <c:v>124000</c:v>
                </c:pt>
                <c:pt idx="2">
                  <c:v>114000</c:v>
                </c:pt>
                <c:pt idx="3">
                  <c:v>69000</c:v>
                </c:pt>
                <c:pt idx="4">
                  <c:v>100000</c:v>
                </c:pt>
                <c:pt idx="5">
                  <c:v>109000</c:v>
                </c:pt>
                <c:pt idx="6">
                  <c:v>114000</c:v>
                </c:pt>
                <c:pt idx="7">
                  <c:v>200000</c:v>
                </c:pt>
                <c:pt idx="8">
                  <c:v>224000</c:v>
                </c:pt>
                <c:pt idx="9">
                  <c:v>254000</c:v>
                </c:pt>
                <c:pt idx="10">
                  <c:v>260000</c:v>
                </c:pt>
                <c:pt idx="11">
                  <c:v>327000</c:v>
                </c:pt>
                <c:pt idx="12">
                  <c:v>321000</c:v>
                </c:pt>
                <c:pt idx="13">
                  <c:v>297000</c:v>
                </c:pt>
                <c:pt idx="14">
                  <c:v>302000</c:v>
                </c:pt>
                <c:pt idx="15">
                  <c:v>316000</c:v>
                </c:pt>
                <c:pt idx="16">
                  <c:v>302000</c:v>
                </c:pt>
                <c:pt idx="17">
                  <c:v>303000</c:v>
                </c:pt>
                <c:pt idx="18">
                  <c:v>296000</c:v>
                </c:pt>
                <c:pt idx="19">
                  <c:v>263000</c:v>
                </c:pt>
                <c:pt idx="20">
                  <c:v>249000</c:v>
                </c:pt>
              </c:numCache>
            </c:numRef>
          </c:val>
          <c:extLst>
            <c:ext xmlns:c16="http://schemas.microsoft.com/office/drawing/2014/chart" uri="{C3380CC4-5D6E-409C-BE32-E72D297353CC}">
              <c16:uniqueId val="{00000001-6B0F-44AF-9A7C-A03350AFC3B2}"/>
            </c:ext>
          </c:extLst>
        </c:ser>
        <c:ser>
          <c:idx val="2"/>
          <c:order val="2"/>
          <c:tx>
            <c:strRef>
              <c:f>'Chart Data'!$X$3</c:f>
              <c:strCache>
                <c:ptCount val="1"/>
                <c:pt idx="0">
                  <c:v>Dependents</c:v>
                </c:pt>
              </c:strCache>
            </c:strRef>
          </c:tx>
          <c:spPr>
            <a:solidFill>
              <a:srgbClr val="D1A21E"/>
            </a:solidFill>
          </c:spPr>
          <c:invertIfNegative val="0"/>
          <c:cat>
            <c:strRef>
              <c:f>'Chart Data'!$U$4:$U$24</c:f>
              <c:strCache>
                <c:ptCount val="21"/>
                <c:pt idx="0">
                  <c:v>YE Dec-19</c:v>
                </c:pt>
                <c:pt idx="1">
                  <c:v>YE Mar-20</c:v>
                </c:pt>
                <c:pt idx="2">
                  <c:v>YE Jun-20</c:v>
                </c:pt>
                <c:pt idx="3">
                  <c:v>YE Sep-20</c:v>
                </c:pt>
                <c:pt idx="4">
                  <c:v>YE Dec-20</c:v>
                </c:pt>
                <c:pt idx="5">
                  <c:v>YE Mar-21</c:v>
                </c:pt>
                <c:pt idx="6">
                  <c:v>YE Jun-21</c:v>
                </c:pt>
                <c:pt idx="7">
                  <c:v>YE Sep-21</c:v>
                </c:pt>
                <c:pt idx="8">
                  <c:v>YE Dec-21</c:v>
                </c:pt>
                <c:pt idx="9">
                  <c:v>YE Mar-22</c:v>
                </c:pt>
                <c:pt idx="10">
                  <c:v>YE Jun-22</c:v>
                </c:pt>
                <c:pt idx="11">
                  <c:v>YE Sep-22</c:v>
                </c:pt>
                <c:pt idx="12">
                  <c:v>YE Dec-22</c:v>
                </c:pt>
                <c:pt idx="13">
                  <c:v>YE Mar-23</c:v>
                </c:pt>
                <c:pt idx="14">
                  <c:v>YE Jun-23</c:v>
                </c:pt>
                <c:pt idx="15">
                  <c:v>YE Sep-23</c:v>
                </c:pt>
                <c:pt idx="16">
                  <c:v>YE Dec-23</c:v>
                </c:pt>
                <c:pt idx="17">
                  <c:v>YE Mar-24</c:v>
                </c:pt>
                <c:pt idx="18">
                  <c:v>YE Jun-24</c:v>
                </c:pt>
                <c:pt idx="19">
                  <c:v>YE Sep-24</c:v>
                </c:pt>
                <c:pt idx="20">
                  <c:v>YE Dec-24</c:v>
                </c:pt>
              </c:strCache>
            </c:strRef>
          </c:cat>
          <c:val>
            <c:numRef>
              <c:f>'Chart Data'!$X$4:$X$24</c:f>
              <c:numCache>
                <c:formatCode>General</c:formatCode>
                <c:ptCount val="21"/>
                <c:pt idx="0">
                  <c:v>46000</c:v>
                </c:pt>
                <c:pt idx="1">
                  <c:v>50000</c:v>
                </c:pt>
                <c:pt idx="2">
                  <c:v>40000</c:v>
                </c:pt>
                <c:pt idx="3">
                  <c:v>34000</c:v>
                </c:pt>
                <c:pt idx="4">
                  <c:v>41000</c:v>
                </c:pt>
                <c:pt idx="5">
                  <c:v>45000</c:v>
                </c:pt>
                <c:pt idx="6">
                  <c:v>60000</c:v>
                </c:pt>
                <c:pt idx="7">
                  <c:v>79000</c:v>
                </c:pt>
                <c:pt idx="8">
                  <c:v>100000</c:v>
                </c:pt>
                <c:pt idx="9">
                  <c:v>129000</c:v>
                </c:pt>
                <c:pt idx="10">
                  <c:v>147000</c:v>
                </c:pt>
                <c:pt idx="11">
                  <c:v>184000</c:v>
                </c:pt>
                <c:pt idx="12">
                  <c:v>228000</c:v>
                </c:pt>
                <c:pt idx="13">
                  <c:v>242000</c:v>
                </c:pt>
                <c:pt idx="14">
                  <c:v>281000</c:v>
                </c:pt>
                <c:pt idx="15">
                  <c:v>317000</c:v>
                </c:pt>
                <c:pt idx="16">
                  <c:v>351000</c:v>
                </c:pt>
                <c:pt idx="17">
                  <c:v>356000</c:v>
                </c:pt>
                <c:pt idx="18">
                  <c:v>329000</c:v>
                </c:pt>
                <c:pt idx="19">
                  <c:v>261000</c:v>
                </c:pt>
                <c:pt idx="20">
                  <c:v>166000</c:v>
                </c:pt>
              </c:numCache>
            </c:numRef>
          </c:val>
          <c:extLst>
            <c:ext xmlns:c16="http://schemas.microsoft.com/office/drawing/2014/chart" uri="{C3380CC4-5D6E-409C-BE32-E72D297353CC}">
              <c16:uniqueId val="{00000002-6B0F-44AF-9A7C-A03350AFC3B2}"/>
            </c:ext>
          </c:extLst>
        </c:ser>
        <c:ser>
          <c:idx val="3"/>
          <c:order val="3"/>
          <c:tx>
            <c:strRef>
              <c:f>'Chart Data'!$Y$3</c:f>
              <c:strCache>
                <c:ptCount val="1"/>
                <c:pt idx="0">
                  <c:v>Humanitarian</c:v>
                </c:pt>
              </c:strCache>
            </c:strRef>
          </c:tx>
          <c:spPr>
            <a:solidFill>
              <a:srgbClr val="7B7C77"/>
            </a:solidFill>
          </c:spPr>
          <c:invertIfNegative val="0"/>
          <c:cat>
            <c:strRef>
              <c:f>'Chart Data'!$U$4:$U$24</c:f>
              <c:strCache>
                <c:ptCount val="21"/>
                <c:pt idx="0">
                  <c:v>YE Dec-19</c:v>
                </c:pt>
                <c:pt idx="1">
                  <c:v>YE Mar-20</c:v>
                </c:pt>
                <c:pt idx="2">
                  <c:v>YE Jun-20</c:v>
                </c:pt>
                <c:pt idx="3">
                  <c:v>YE Sep-20</c:v>
                </c:pt>
                <c:pt idx="4">
                  <c:v>YE Dec-20</c:v>
                </c:pt>
                <c:pt idx="5">
                  <c:v>YE Mar-21</c:v>
                </c:pt>
                <c:pt idx="6">
                  <c:v>YE Jun-21</c:v>
                </c:pt>
                <c:pt idx="7">
                  <c:v>YE Sep-21</c:v>
                </c:pt>
                <c:pt idx="8">
                  <c:v>YE Dec-21</c:v>
                </c:pt>
                <c:pt idx="9">
                  <c:v>YE Mar-22</c:v>
                </c:pt>
                <c:pt idx="10">
                  <c:v>YE Jun-22</c:v>
                </c:pt>
                <c:pt idx="11">
                  <c:v>YE Sep-22</c:v>
                </c:pt>
                <c:pt idx="12">
                  <c:v>YE Dec-22</c:v>
                </c:pt>
                <c:pt idx="13">
                  <c:v>YE Mar-23</c:v>
                </c:pt>
                <c:pt idx="14">
                  <c:v>YE Jun-23</c:v>
                </c:pt>
                <c:pt idx="15">
                  <c:v>YE Sep-23</c:v>
                </c:pt>
                <c:pt idx="16">
                  <c:v>YE Dec-23</c:v>
                </c:pt>
                <c:pt idx="17">
                  <c:v>YE Mar-24</c:v>
                </c:pt>
                <c:pt idx="18">
                  <c:v>YE Jun-24</c:v>
                </c:pt>
                <c:pt idx="19">
                  <c:v>YE Sep-24</c:v>
                </c:pt>
                <c:pt idx="20">
                  <c:v>YE Dec-24</c:v>
                </c:pt>
              </c:strCache>
            </c:strRef>
          </c:cat>
          <c:val>
            <c:numRef>
              <c:f>'Chart Data'!$Y$4:$Y$24</c:f>
              <c:numCache>
                <c:formatCode>General</c:formatCode>
                <c:ptCount val="21"/>
                <c:pt idx="0">
                  <c:v>6000</c:v>
                </c:pt>
                <c:pt idx="1">
                  <c:v>5000</c:v>
                </c:pt>
                <c:pt idx="2">
                  <c:v>4000</c:v>
                </c:pt>
                <c:pt idx="3">
                  <c:v>2000</c:v>
                </c:pt>
                <c:pt idx="4">
                  <c:v>1000</c:v>
                </c:pt>
                <c:pt idx="5">
                  <c:v>0</c:v>
                </c:pt>
                <c:pt idx="6">
                  <c:v>10000</c:v>
                </c:pt>
                <c:pt idx="7">
                  <c:v>44000</c:v>
                </c:pt>
                <c:pt idx="8">
                  <c:v>57000</c:v>
                </c:pt>
                <c:pt idx="9">
                  <c:v>76000</c:v>
                </c:pt>
                <c:pt idx="10">
                  <c:v>150000</c:v>
                </c:pt>
                <c:pt idx="11">
                  <c:v>172000</c:v>
                </c:pt>
                <c:pt idx="12">
                  <c:v>188000</c:v>
                </c:pt>
                <c:pt idx="13">
                  <c:v>187000</c:v>
                </c:pt>
                <c:pt idx="14">
                  <c:v>125000</c:v>
                </c:pt>
                <c:pt idx="15">
                  <c:v>88000</c:v>
                </c:pt>
                <c:pt idx="16">
                  <c:v>76000</c:v>
                </c:pt>
                <c:pt idx="17">
                  <c:v>70000</c:v>
                </c:pt>
                <c:pt idx="18">
                  <c:v>64000</c:v>
                </c:pt>
                <c:pt idx="19">
                  <c:v>59000</c:v>
                </c:pt>
                <c:pt idx="20">
                  <c:v>51000</c:v>
                </c:pt>
              </c:numCache>
            </c:numRef>
          </c:val>
          <c:extLst>
            <c:ext xmlns:c16="http://schemas.microsoft.com/office/drawing/2014/chart" uri="{C3380CC4-5D6E-409C-BE32-E72D297353CC}">
              <c16:uniqueId val="{00000003-6B0F-44AF-9A7C-A03350AFC3B2}"/>
            </c:ext>
          </c:extLst>
        </c:ser>
        <c:ser>
          <c:idx val="4"/>
          <c:order val="4"/>
          <c:tx>
            <c:strRef>
              <c:f>'Chart Data'!$Z$3</c:f>
              <c:strCache>
                <c:ptCount val="1"/>
                <c:pt idx="0">
                  <c:v>Other</c:v>
                </c:pt>
              </c:strCache>
            </c:strRef>
          </c:tx>
          <c:spPr>
            <a:solidFill>
              <a:srgbClr val="00ADDC"/>
            </a:solidFill>
          </c:spPr>
          <c:invertIfNegative val="0"/>
          <c:cat>
            <c:strRef>
              <c:f>'Chart Data'!$U$4:$U$24</c:f>
              <c:strCache>
                <c:ptCount val="21"/>
                <c:pt idx="0">
                  <c:v>YE Dec-19</c:v>
                </c:pt>
                <c:pt idx="1">
                  <c:v>YE Mar-20</c:v>
                </c:pt>
                <c:pt idx="2">
                  <c:v>YE Jun-20</c:v>
                </c:pt>
                <c:pt idx="3">
                  <c:v>YE Sep-20</c:v>
                </c:pt>
                <c:pt idx="4">
                  <c:v>YE Dec-20</c:v>
                </c:pt>
                <c:pt idx="5">
                  <c:v>YE Mar-21</c:v>
                </c:pt>
                <c:pt idx="6">
                  <c:v>YE Jun-21</c:v>
                </c:pt>
                <c:pt idx="7">
                  <c:v>YE Sep-21</c:v>
                </c:pt>
                <c:pt idx="8">
                  <c:v>YE Dec-21</c:v>
                </c:pt>
                <c:pt idx="9">
                  <c:v>YE Mar-22</c:v>
                </c:pt>
                <c:pt idx="10">
                  <c:v>YE Jun-22</c:v>
                </c:pt>
                <c:pt idx="11">
                  <c:v>YE Sep-22</c:v>
                </c:pt>
                <c:pt idx="12">
                  <c:v>YE Dec-22</c:v>
                </c:pt>
                <c:pt idx="13">
                  <c:v>YE Mar-23</c:v>
                </c:pt>
                <c:pt idx="14">
                  <c:v>YE Jun-23</c:v>
                </c:pt>
                <c:pt idx="15">
                  <c:v>YE Sep-23</c:v>
                </c:pt>
                <c:pt idx="16">
                  <c:v>YE Dec-23</c:v>
                </c:pt>
                <c:pt idx="17">
                  <c:v>YE Mar-24</c:v>
                </c:pt>
                <c:pt idx="18">
                  <c:v>YE Jun-24</c:v>
                </c:pt>
                <c:pt idx="19">
                  <c:v>YE Sep-24</c:v>
                </c:pt>
                <c:pt idx="20">
                  <c:v>YE Dec-24</c:v>
                </c:pt>
              </c:strCache>
            </c:strRef>
          </c:cat>
          <c:val>
            <c:numRef>
              <c:f>'Chart Data'!$Z$4:$Z$24</c:f>
              <c:numCache>
                <c:formatCode>General</c:formatCode>
                <c:ptCount val="21"/>
                <c:pt idx="0">
                  <c:v>143000</c:v>
                </c:pt>
                <c:pt idx="1">
                  <c:v>147000</c:v>
                </c:pt>
                <c:pt idx="2">
                  <c:v>123000</c:v>
                </c:pt>
                <c:pt idx="3">
                  <c:v>112000</c:v>
                </c:pt>
                <c:pt idx="4">
                  <c:v>111000</c:v>
                </c:pt>
                <c:pt idx="5">
                  <c:v>103000</c:v>
                </c:pt>
                <c:pt idx="6">
                  <c:v>133000</c:v>
                </c:pt>
                <c:pt idx="7">
                  <c:v>148000</c:v>
                </c:pt>
                <c:pt idx="8">
                  <c:v>157000</c:v>
                </c:pt>
                <c:pt idx="9">
                  <c:v>168000</c:v>
                </c:pt>
                <c:pt idx="10">
                  <c:v>170000</c:v>
                </c:pt>
                <c:pt idx="11">
                  <c:v>179000</c:v>
                </c:pt>
                <c:pt idx="12">
                  <c:v>186000</c:v>
                </c:pt>
                <c:pt idx="13">
                  <c:v>192000</c:v>
                </c:pt>
                <c:pt idx="14">
                  <c:v>197000</c:v>
                </c:pt>
                <c:pt idx="15">
                  <c:v>195000</c:v>
                </c:pt>
                <c:pt idx="16">
                  <c:v>182000</c:v>
                </c:pt>
                <c:pt idx="17">
                  <c:v>177000</c:v>
                </c:pt>
                <c:pt idx="18">
                  <c:v>179000</c:v>
                </c:pt>
                <c:pt idx="19">
                  <c:v>182000</c:v>
                </c:pt>
                <c:pt idx="20">
                  <c:v>186000</c:v>
                </c:pt>
              </c:numCache>
            </c:numRef>
          </c:val>
          <c:extLst>
            <c:ext xmlns:c16="http://schemas.microsoft.com/office/drawing/2014/chart" uri="{C3380CC4-5D6E-409C-BE32-E72D297353CC}">
              <c16:uniqueId val="{00000004-6B0F-44AF-9A7C-A03350AFC3B2}"/>
            </c:ext>
          </c:extLst>
        </c:ser>
        <c:dLbls>
          <c:showLegendKey val="0"/>
          <c:showVal val="0"/>
          <c:showCatName val="0"/>
          <c:showSerName val="0"/>
          <c:showPercent val="0"/>
          <c:showBubbleSize val="0"/>
        </c:dLbls>
        <c:gapWidth val="50"/>
        <c:overlap val="100"/>
        <c:axId val="263607040"/>
        <c:axId val="263608576"/>
      </c:barChart>
      <c:catAx>
        <c:axId val="263607040"/>
        <c:scaling>
          <c:orientation val="minMax"/>
        </c:scaling>
        <c:delete val="0"/>
        <c:axPos val="b"/>
        <c:numFmt formatCode="General" sourceLinked="0"/>
        <c:majorTickMark val="out"/>
        <c:minorTickMark val="none"/>
        <c:tickLblPos val="low"/>
        <c:spPr>
          <a:ln>
            <a:solidFill>
              <a:srgbClr val="495057"/>
            </a:solidFill>
          </a:ln>
        </c:spPr>
        <c:txPr>
          <a:bodyPr rot="0" vert="horz"/>
          <a:lstStyle/>
          <a:p>
            <a:pPr>
              <a:defRPr sz="1800" b="0" i="0" u="none" strike="noStrike" baseline="0">
                <a:solidFill>
                  <a:srgbClr val="495057"/>
                </a:solidFill>
                <a:latin typeface="Segoe UI"/>
                <a:ea typeface="Segoe UI"/>
                <a:cs typeface="Segoe UI"/>
              </a:defRPr>
            </a:pPr>
            <a:endParaRPr lang="en-US"/>
          </a:p>
        </c:txPr>
        <c:crossAx val="263608576"/>
        <c:crossesAt val="-5000000"/>
        <c:auto val="1"/>
        <c:lblAlgn val="ctr"/>
        <c:lblOffset val="100"/>
        <c:tickLblSkip val="4"/>
        <c:tickMarkSkip val="4"/>
        <c:noMultiLvlLbl val="0"/>
      </c:catAx>
      <c:valAx>
        <c:axId val="263608576"/>
        <c:scaling>
          <c:orientation val="minMax"/>
          <c:min val="0"/>
        </c:scaling>
        <c:delete val="0"/>
        <c:axPos val="l"/>
        <c:numFmt formatCode="#,##0" sourceLinked="0"/>
        <c:majorTickMark val="out"/>
        <c:minorTickMark val="none"/>
        <c:tickLblPos val="nextTo"/>
        <c:spPr>
          <a:ln>
            <a:solidFill>
              <a:srgbClr val="495057"/>
            </a:solidFill>
          </a:ln>
        </c:spPr>
        <c:txPr>
          <a:bodyPr rot="0" vert="horz"/>
          <a:lstStyle/>
          <a:p>
            <a:pPr>
              <a:defRPr sz="1800" b="0" i="0" u="none" strike="noStrike" baseline="0">
                <a:solidFill>
                  <a:srgbClr val="495057"/>
                </a:solidFill>
                <a:latin typeface="Segoe UI"/>
                <a:ea typeface="Segoe UI"/>
                <a:cs typeface="Segoe UI"/>
              </a:defRPr>
            </a:pPr>
            <a:endParaRPr lang="en-US"/>
          </a:p>
        </c:txPr>
        <c:crossAx val="263607040"/>
        <c:crosses val="autoZero"/>
        <c:crossBetween val="between"/>
        <c:majorUnit val="100000"/>
        <c:dispUnits>
          <c:builtInUnit val="thousands"/>
        </c:dispUnits>
      </c:valAx>
      <c:spPr>
        <a:noFill/>
        <a:ln w="25400">
          <a:noFill/>
        </a:ln>
      </c:spPr>
    </c:plotArea>
    <c:legend>
      <c:legendPos val="t"/>
      <c:layout>
        <c:manualLayout>
          <c:xMode val="edge"/>
          <c:yMode val="edge"/>
          <c:x val="0.11033182503770739"/>
          <c:y val="0.1558450798565113"/>
          <c:w val="0.27104072398190043"/>
          <c:h val="0.3756247860321808"/>
        </c:manualLayout>
      </c:layout>
      <c:overlay val="1"/>
      <c:txPr>
        <a:bodyPr/>
        <a:lstStyle/>
        <a:p>
          <a:pPr>
            <a:defRPr sz="1800">
              <a:solidFill>
                <a:srgbClr val="495057"/>
              </a:solidFill>
              <a:latin typeface="Segoe UI"/>
              <a:ea typeface="Segoe UI"/>
              <a:cs typeface="Segoe UI"/>
            </a:defRPr>
          </a:pPr>
          <a:endParaRPr lang="en-US"/>
        </a:p>
      </c:txPr>
    </c:legend>
    <c:plotVisOnly val="1"/>
    <c:dispBlanksAs val="gap"/>
    <c:showDLblsOverMax val="0"/>
  </c:chart>
  <c:spPr>
    <a:solidFill>
      <a:srgbClr val="FFFFFF"/>
    </a:solidFill>
    <a:ln w="28575">
      <a:noFill/>
    </a:ln>
  </c:spPr>
  <c:txPr>
    <a:bodyPr/>
    <a:lstStyle/>
    <a:p>
      <a:pPr>
        <a:defRPr sz="2000" b="0" i="0" u="none" strike="noStrike" baseline="0">
          <a:solidFill>
            <a:srgbClr val="000000"/>
          </a:solidFill>
          <a:latin typeface="Arial"/>
          <a:ea typeface="Arial"/>
          <a:cs typeface="Arial"/>
        </a:defRPr>
      </a:pPr>
      <a:endParaRPr lang="en-US"/>
    </a:p>
  </c:txPr>
  <c:userShapes r:id="rId2"/>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0.1054964905404924"/>
          <c:y val="0.16062858163523513"/>
          <c:w val="0.88963076448023182"/>
          <c:h val="0.70062858163523511"/>
        </c:manualLayout>
      </c:layout>
      <c:barChart>
        <c:barDir val="col"/>
        <c:grouping val="stacked"/>
        <c:varyColors val="0"/>
        <c:ser>
          <c:idx val="0"/>
          <c:order val="0"/>
          <c:tx>
            <c:strRef>
              <c:f>'Chart Data'!$M$3</c:f>
              <c:strCache>
                <c:ptCount val="1"/>
                <c:pt idx="0">
                  <c:v>Work</c:v>
                </c:pt>
              </c:strCache>
            </c:strRef>
          </c:tx>
          <c:spPr>
            <a:solidFill>
              <a:srgbClr val="BD1B21"/>
            </a:solidFill>
          </c:spPr>
          <c:invertIfNegative val="0"/>
          <c:cat>
            <c:strRef>
              <c:f>'Chart Data'!$L$4:$L$24</c:f>
              <c:strCache>
                <c:ptCount val="21"/>
                <c:pt idx="0">
                  <c:v>YE Dec-19</c:v>
                </c:pt>
                <c:pt idx="1">
                  <c:v>YE Mar-20</c:v>
                </c:pt>
                <c:pt idx="2">
                  <c:v>YE Jun-20</c:v>
                </c:pt>
                <c:pt idx="3">
                  <c:v>YE Sep-20</c:v>
                </c:pt>
                <c:pt idx="4">
                  <c:v>YE Dec-20</c:v>
                </c:pt>
                <c:pt idx="5">
                  <c:v>YE Mar-21</c:v>
                </c:pt>
                <c:pt idx="6">
                  <c:v>YE Jun-21</c:v>
                </c:pt>
                <c:pt idx="7">
                  <c:v>YE Sep-21</c:v>
                </c:pt>
                <c:pt idx="8">
                  <c:v>YE Dec-21</c:v>
                </c:pt>
                <c:pt idx="9">
                  <c:v>YE Mar-22</c:v>
                </c:pt>
                <c:pt idx="10">
                  <c:v>YE Jun-22</c:v>
                </c:pt>
                <c:pt idx="11">
                  <c:v>YE Sep-22</c:v>
                </c:pt>
                <c:pt idx="12">
                  <c:v>YE Dec-22</c:v>
                </c:pt>
                <c:pt idx="13">
                  <c:v>YE Mar-23</c:v>
                </c:pt>
                <c:pt idx="14">
                  <c:v>YE Jun-23</c:v>
                </c:pt>
                <c:pt idx="15">
                  <c:v>YE Sep-23</c:v>
                </c:pt>
                <c:pt idx="16">
                  <c:v>YE Dec-23</c:v>
                </c:pt>
                <c:pt idx="17">
                  <c:v>YE Mar-24</c:v>
                </c:pt>
                <c:pt idx="18">
                  <c:v>YE Jun-24</c:v>
                </c:pt>
                <c:pt idx="19">
                  <c:v>YE Sep-24</c:v>
                </c:pt>
                <c:pt idx="20">
                  <c:v>YE Dec-24</c:v>
                </c:pt>
              </c:strCache>
            </c:strRef>
          </c:cat>
          <c:val>
            <c:numRef>
              <c:f>'Chart Data'!$M$4:$M$24</c:f>
              <c:numCache>
                <c:formatCode>#,##0</c:formatCode>
                <c:ptCount val="21"/>
                <c:pt idx="0">
                  <c:v>27000</c:v>
                </c:pt>
                <c:pt idx="1">
                  <c:v>27000</c:v>
                </c:pt>
                <c:pt idx="2">
                  <c:v>17000</c:v>
                </c:pt>
                <c:pt idx="3">
                  <c:v>14000</c:v>
                </c:pt>
                <c:pt idx="4">
                  <c:v>15000</c:v>
                </c:pt>
                <c:pt idx="5">
                  <c:v>16000</c:v>
                </c:pt>
                <c:pt idx="6">
                  <c:v>31000</c:v>
                </c:pt>
                <c:pt idx="7">
                  <c:v>46000</c:v>
                </c:pt>
                <c:pt idx="8">
                  <c:v>62000</c:v>
                </c:pt>
                <c:pt idx="9">
                  <c:v>83000</c:v>
                </c:pt>
                <c:pt idx="10">
                  <c:v>100000</c:v>
                </c:pt>
                <c:pt idx="11">
                  <c:v>125000</c:v>
                </c:pt>
                <c:pt idx="12">
                  <c:v>139000</c:v>
                </c:pt>
                <c:pt idx="13">
                  <c:v>145000</c:v>
                </c:pt>
                <c:pt idx="14">
                  <c:v>169000</c:v>
                </c:pt>
                <c:pt idx="15">
                  <c:v>182000</c:v>
                </c:pt>
                <c:pt idx="16">
                  <c:v>195000</c:v>
                </c:pt>
                <c:pt idx="17">
                  <c:v>188000</c:v>
                </c:pt>
                <c:pt idx="18">
                  <c:v>159000</c:v>
                </c:pt>
                <c:pt idx="19">
                  <c:v>124000</c:v>
                </c:pt>
                <c:pt idx="20">
                  <c:v>81000</c:v>
                </c:pt>
              </c:numCache>
            </c:numRef>
          </c:val>
          <c:extLst>
            <c:ext xmlns:c16="http://schemas.microsoft.com/office/drawing/2014/chart" uri="{C3380CC4-5D6E-409C-BE32-E72D297353CC}">
              <c16:uniqueId val="{00000000-4EAC-4CB1-9A64-3DC59FE91619}"/>
            </c:ext>
          </c:extLst>
        </c:ser>
        <c:ser>
          <c:idx val="1"/>
          <c:order val="1"/>
          <c:tx>
            <c:strRef>
              <c:f>'Chart Data'!$N$3</c:f>
              <c:strCache>
                <c:ptCount val="1"/>
                <c:pt idx="0">
                  <c:v>Study</c:v>
                </c:pt>
              </c:strCache>
            </c:strRef>
          </c:tx>
          <c:spPr>
            <a:solidFill>
              <a:srgbClr val="003469"/>
            </a:solidFill>
          </c:spPr>
          <c:invertIfNegative val="0"/>
          <c:cat>
            <c:strRef>
              <c:f>'Chart Data'!$L$4:$L$24</c:f>
              <c:strCache>
                <c:ptCount val="21"/>
                <c:pt idx="0">
                  <c:v>YE Dec-19</c:v>
                </c:pt>
                <c:pt idx="1">
                  <c:v>YE Mar-20</c:v>
                </c:pt>
                <c:pt idx="2">
                  <c:v>YE Jun-20</c:v>
                </c:pt>
                <c:pt idx="3">
                  <c:v>YE Sep-20</c:v>
                </c:pt>
                <c:pt idx="4">
                  <c:v>YE Dec-20</c:v>
                </c:pt>
                <c:pt idx="5">
                  <c:v>YE Mar-21</c:v>
                </c:pt>
                <c:pt idx="6">
                  <c:v>YE Jun-21</c:v>
                </c:pt>
                <c:pt idx="7">
                  <c:v>YE Sep-21</c:v>
                </c:pt>
                <c:pt idx="8">
                  <c:v>YE Dec-21</c:v>
                </c:pt>
                <c:pt idx="9">
                  <c:v>YE Mar-22</c:v>
                </c:pt>
                <c:pt idx="10">
                  <c:v>YE Jun-22</c:v>
                </c:pt>
                <c:pt idx="11">
                  <c:v>YE Sep-22</c:v>
                </c:pt>
                <c:pt idx="12">
                  <c:v>YE Dec-22</c:v>
                </c:pt>
                <c:pt idx="13">
                  <c:v>YE Mar-23</c:v>
                </c:pt>
                <c:pt idx="14">
                  <c:v>YE Jun-23</c:v>
                </c:pt>
                <c:pt idx="15">
                  <c:v>YE Sep-23</c:v>
                </c:pt>
                <c:pt idx="16">
                  <c:v>YE Dec-23</c:v>
                </c:pt>
                <c:pt idx="17">
                  <c:v>YE Mar-24</c:v>
                </c:pt>
                <c:pt idx="18">
                  <c:v>YE Jun-24</c:v>
                </c:pt>
                <c:pt idx="19">
                  <c:v>YE Sep-24</c:v>
                </c:pt>
                <c:pt idx="20">
                  <c:v>YE Dec-24</c:v>
                </c:pt>
              </c:strCache>
            </c:strRef>
          </c:cat>
          <c:val>
            <c:numRef>
              <c:f>'Chart Data'!$N$4:$N$24</c:f>
              <c:numCache>
                <c:formatCode>#,##0</c:formatCode>
                <c:ptCount val="21"/>
                <c:pt idx="0">
                  <c:v>10000</c:v>
                </c:pt>
                <c:pt idx="1">
                  <c:v>-10000</c:v>
                </c:pt>
                <c:pt idx="2">
                  <c:v>-20000</c:v>
                </c:pt>
                <c:pt idx="3">
                  <c:v>-55000</c:v>
                </c:pt>
                <c:pt idx="4">
                  <c:v>-16000</c:v>
                </c:pt>
                <c:pt idx="5">
                  <c:v>32000</c:v>
                </c:pt>
                <c:pt idx="6">
                  <c:v>45000</c:v>
                </c:pt>
                <c:pt idx="7">
                  <c:v>149000</c:v>
                </c:pt>
                <c:pt idx="8">
                  <c:v>180000</c:v>
                </c:pt>
                <c:pt idx="9">
                  <c:v>211000</c:v>
                </c:pt>
                <c:pt idx="10">
                  <c:v>214000</c:v>
                </c:pt>
                <c:pt idx="11">
                  <c:v>271000</c:v>
                </c:pt>
                <c:pt idx="12">
                  <c:v>255000</c:v>
                </c:pt>
                <c:pt idx="13">
                  <c:v>222000</c:v>
                </c:pt>
                <c:pt idx="14">
                  <c:v>219000</c:v>
                </c:pt>
                <c:pt idx="15">
                  <c:v>219000</c:v>
                </c:pt>
                <c:pt idx="16">
                  <c:v>198000</c:v>
                </c:pt>
                <c:pt idx="17">
                  <c:v>193000</c:v>
                </c:pt>
                <c:pt idx="18">
                  <c:v>185000</c:v>
                </c:pt>
                <c:pt idx="19">
                  <c:v>149000</c:v>
                </c:pt>
                <c:pt idx="20">
                  <c:v>135000</c:v>
                </c:pt>
              </c:numCache>
            </c:numRef>
          </c:val>
          <c:extLst>
            <c:ext xmlns:c16="http://schemas.microsoft.com/office/drawing/2014/chart" uri="{C3380CC4-5D6E-409C-BE32-E72D297353CC}">
              <c16:uniqueId val="{00000001-4EAC-4CB1-9A64-3DC59FE91619}"/>
            </c:ext>
          </c:extLst>
        </c:ser>
        <c:ser>
          <c:idx val="2"/>
          <c:order val="2"/>
          <c:tx>
            <c:strRef>
              <c:f>'Chart Data'!$O$3</c:f>
              <c:strCache>
                <c:ptCount val="1"/>
                <c:pt idx="0">
                  <c:v>Dependents</c:v>
                </c:pt>
              </c:strCache>
            </c:strRef>
          </c:tx>
          <c:spPr>
            <a:solidFill>
              <a:srgbClr val="D1A21E"/>
            </a:solidFill>
          </c:spPr>
          <c:invertIfNegative val="0"/>
          <c:cat>
            <c:strRef>
              <c:f>'Chart Data'!$L$4:$L$24</c:f>
              <c:strCache>
                <c:ptCount val="21"/>
                <c:pt idx="0">
                  <c:v>YE Dec-19</c:v>
                </c:pt>
                <c:pt idx="1">
                  <c:v>YE Mar-20</c:v>
                </c:pt>
                <c:pt idx="2">
                  <c:v>YE Jun-20</c:v>
                </c:pt>
                <c:pt idx="3">
                  <c:v>YE Sep-20</c:v>
                </c:pt>
                <c:pt idx="4">
                  <c:v>YE Dec-20</c:v>
                </c:pt>
                <c:pt idx="5">
                  <c:v>YE Mar-21</c:v>
                </c:pt>
                <c:pt idx="6">
                  <c:v>YE Jun-21</c:v>
                </c:pt>
                <c:pt idx="7">
                  <c:v>YE Sep-21</c:v>
                </c:pt>
                <c:pt idx="8">
                  <c:v>YE Dec-21</c:v>
                </c:pt>
                <c:pt idx="9">
                  <c:v>YE Mar-22</c:v>
                </c:pt>
                <c:pt idx="10">
                  <c:v>YE Jun-22</c:v>
                </c:pt>
                <c:pt idx="11">
                  <c:v>YE Sep-22</c:v>
                </c:pt>
                <c:pt idx="12">
                  <c:v>YE Dec-22</c:v>
                </c:pt>
                <c:pt idx="13">
                  <c:v>YE Mar-23</c:v>
                </c:pt>
                <c:pt idx="14">
                  <c:v>YE Jun-23</c:v>
                </c:pt>
                <c:pt idx="15">
                  <c:v>YE Sep-23</c:v>
                </c:pt>
                <c:pt idx="16">
                  <c:v>YE Dec-23</c:v>
                </c:pt>
                <c:pt idx="17">
                  <c:v>YE Mar-24</c:v>
                </c:pt>
                <c:pt idx="18">
                  <c:v>YE Jun-24</c:v>
                </c:pt>
                <c:pt idx="19">
                  <c:v>YE Sep-24</c:v>
                </c:pt>
                <c:pt idx="20">
                  <c:v>YE Dec-24</c:v>
                </c:pt>
              </c:strCache>
            </c:strRef>
          </c:cat>
          <c:val>
            <c:numRef>
              <c:f>'Chart Data'!$O$4:$O$24</c:f>
              <c:numCache>
                <c:formatCode>#,##0</c:formatCode>
                <c:ptCount val="21"/>
                <c:pt idx="0">
                  <c:v>23000</c:v>
                </c:pt>
                <c:pt idx="1">
                  <c:v>24000</c:v>
                </c:pt>
                <c:pt idx="2">
                  <c:v>17000</c:v>
                </c:pt>
                <c:pt idx="3">
                  <c:v>14000</c:v>
                </c:pt>
                <c:pt idx="4">
                  <c:v>20000</c:v>
                </c:pt>
                <c:pt idx="5">
                  <c:v>25000</c:v>
                </c:pt>
                <c:pt idx="6">
                  <c:v>42000</c:v>
                </c:pt>
                <c:pt idx="7">
                  <c:v>64000</c:v>
                </c:pt>
                <c:pt idx="8">
                  <c:v>85000</c:v>
                </c:pt>
                <c:pt idx="9">
                  <c:v>115000</c:v>
                </c:pt>
                <c:pt idx="10">
                  <c:v>133000</c:v>
                </c:pt>
                <c:pt idx="11">
                  <c:v>170000</c:v>
                </c:pt>
                <c:pt idx="12">
                  <c:v>212000</c:v>
                </c:pt>
                <c:pt idx="13">
                  <c:v>225000</c:v>
                </c:pt>
                <c:pt idx="14">
                  <c:v>262000</c:v>
                </c:pt>
                <c:pt idx="15">
                  <c:v>295000</c:v>
                </c:pt>
                <c:pt idx="16">
                  <c:v>326000</c:v>
                </c:pt>
                <c:pt idx="17">
                  <c:v>327000</c:v>
                </c:pt>
                <c:pt idx="18">
                  <c:v>296000</c:v>
                </c:pt>
                <c:pt idx="19">
                  <c:v>226000</c:v>
                </c:pt>
                <c:pt idx="20">
                  <c:v>129000</c:v>
                </c:pt>
              </c:numCache>
            </c:numRef>
          </c:val>
          <c:extLst>
            <c:ext xmlns:c16="http://schemas.microsoft.com/office/drawing/2014/chart" uri="{C3380CC4-5D6E-409C-BE32-E72D297353CC}">
              <c16:uniqueId val="{00000002-4EAC-4CB1-9A64-3DC59FE91619}"/>
            </c:ext>
          </c:extLst>
        </c:ser>
        <c:ser>
          <c:idx val="3"/>
          <c:order val="3"/>
          <c:tx>
            <c:strRef>
              <c:f>'Chart Data'!$P$3</c:f>
              <c:strCache>
                <c:ptCount val="1"/>
                <c:pt idx="0">
                  <c:v>Humanitarian</c:v>
                </c:pt>
              </c:strCache>
            </c:strRef>
          </c:tx>
          <c:spPr>
            <a:solidFill>
              <a:srgbClr val="7B7C77"/>
            </a:solidFill>
          </c:spPr>
          <c:invertIfNegative val="0"/>
          <c:cat>
            <c:strRef>
              <c:f>'Chart Data'!$L$4:$L$24</c:f>
              <c:strCache>
                <c:ptCount val="21"/>
                <c:pt idx="0">
                  <c:v>YE Dec-19</c:v>
                </c:pt>
                <c:pt idx="1">
                  <c:v>YE Mar-20</c:v>
                </c:pt>
                <c:pt idx="2">
                  <c:v>YE Jun-20</c:v>
                </c:pt>
                <c:pt idx="3">
                  <c:v>YE Sep-20</c:v>
                </c:pt>
                <c:pt idx="4">
                  <c:v>YE Dec-20</c:v>
                </c:pt>
                <c:pt idx="5">
                  <c:v>YE Mar-21</c:v>
                </c:pt>
                <c:pt idx="6">
                  <c:v>YE Jun-21</c:v>
                </c:pt>
                <c:pt idx="7">
                  <c:v>YE Sep-21</c:v>
                </c:pt>
                <c:pt idx="8">
                  <c:v>YE Dec-21</c:v>
                </c:pt>
                <c:pt idx="9">
                  <c:v>YE Mar-22</c:v>
                </c:pt>
                <c:pt idx="10">
                  <c:v>YE Jun-22</c:v>
                </c:pt>
                <c:pt idx="11">
                  <c:v>YE Sep-22</c:v>
                </c:pt>
                <c:pt idx="12">
                  <c:v>YE Dec-22</c:v>
                </c:pt>
                <c:pt idx="13">
                  <c:v>YE Mar-23</c:v>
                </c:pt>
                <c:pt idx="14">
                  <c:v>YE Jun-23</c:v>
                </c:pt>
                <c:pt idx="15">
                  <c:v>YE Sep-23</c:v>
                </c:pt>
                <c:pt idx="16">
                  <c:v>YE Dec-23</c:v>
                </c:pt>
                <c:pt idx="17">
                  <c:v>YE Mar-24</c:v>
                </c:pt>
                <c:pt idx="18">
                  <c:v>YE Jun-24</c:v>
                </c:pt>
                <c:pt idx="19">
                  <c:v>YE Sep-24</c:v>
                </c:pt>
                <c:pt idx="20">
                  <c:v>YE Dec-24</c:v>
                </c:pt>
              </c:strCache>
            </c:strRef>
          </c:cat>
          <c:val>
            <c:numRef>
              <c:f>'Chart Data'!$P$4:$P$24</c:f>
              <c:numCache>
                <c:formatCode>#,##0</c:formatCode>
                <c:ptCount val="21"/>
                <c:pt idx="0">
                  <c:v>6000</c:v>
                </c:pt>
                <c:pt idx="1">
                  <c:v>5000</c:v>
                </c:pt>
                <c:pt idx="2">
                  <c:v>4000</c:v>
                </c:pt>
                <c:pt idx="3">
                  <c:v>2000</c:v>
                </c:pt>
                <c:pt idx="4">
                  <c:v>1000</c:v>
                </c:pt>
                <c:pt idx="5">
                  <c:v>0</c:v>
                </c:pt>
                <c:pt idx="6">
                  <c:v>10000</c:v>
                </c:pt>
                <c:pt idx="7">
                  <c:v>44000</c:v>
                </c:pt>
                <c:pt idx="8">
                  <c:v>57000</c:v>
                </c:pt>
                <c:pt idx="9">
                  <c:v>76000</c:v>
                </c:pt>
                <c:pt idx="10">
                  <c:v>150000</c:v>
                </c:pt>
                <c:pt idx="11">
                  <c:v>172000</c:v>
                </c:pt>
                <c:pt idx="12">
                  <c:v>188000</c:v>
                </c:pt>
                <c:pt idx="13">
                  <c:v>186000</c:v>
                </c:pt>
                <c:pt idx="14">
                  <c:v>123000</c:v>
                </c:pt>
                <c:pt idx="15">
                  <c:v>83000</c:v>
                </c:pt>
                <c:pt idx="16">
                  <c:v>70000</c:v>
                </c:pt>
                <c:pt idx="17">
                  <c:v>63000</c:v>
                </c:pt>
                <c:pt idx="18">
                  <c:v>59000</c:v>
                </c:pt>
                <c:pt idx="19">
                  <c:v>55000</c:v>
                </c:pt>
                <c:pt idx="20">
                  <c:v>50000</c:v>
                </c:pt>
              </c:numCache>
            </c:numRef>
          </c:val>
          <c:extLst>
            <c:ext xmlns:c16="http://schemas.microsoft.com/office/drawing/2014/chart" uri="{C3380CC4-5D6E-409C-BE32-E72D297353CC}">
              <c16:uniqueId val="{00000003-4EAC-4CB1-9A64-3DC59FE91619}"/>
            </c:ext>
          </c:extLst>
        </c:ser>
        <c:ser>
          <c:idx val="4"/>
          <c:order val="4"/>
          <c:tx>
            <c:strRef>
              <c:f>'Chart Data'!$Q$3</c:f>
              <c:strCache>
                <c:ptCount val="1"/>
                <c:pt idx="0">
                  <c:v>Other</c:v>
                </c:pt>
              </c:strCache>
            </c:strRef>
          </c:tx>
          <c:spPr>
            <a:solidFill>
              <a:srgbClr val="00ADDC"/>
            </a:solidFill>
          </c:spPr>
          <c:invertIfNegative val="0"/>
          <c:cat>
            <c:strRef>
              <c:f>'Chart Data'!$L$4:$L$24</c:f>
              <c:strCache>
                <c:ptCount val="21"/>
                <c:pt idx="0">
                  <c:v>YE Dec-19</c:v>
                </c:pt>
                <c:pt idx="1">
                  <c:v>YE Mar-20</c:v>
                </c:pt>
                <c:pt idx="2">
                  <c:v>YE Jun-20</c:v>
                </c:pt>
                <c:pt idx="3">
                  <c:v>YE Sep-20</c:v>
                </c:pt>
                <c:pt idx="4">
                  <c:v>YE Dec-20</c:v>
                </c:pt>
                <c:pt idx="5">
                  <c:v>YE Mar-21</c:v>
                </c:pt>
                <c:pt idx="6">
                  <c:v>YE Jun-21</c:v>
                </c:pt>
                <c:pt idx="7">
                  <c:v>YE Sep-21</c:v>
                </c:pt>
                <c:pt idx="8">
                  <c:v>YE Dec-21</c:v>
                </c:pt>
                <c:pt idx="9">
                  <c:v>YE Mar-22</c:v>
                </c:pt>
                <c:pt idx="10">
                  <c:v>YE Jun-22</c:v>
                </c:pt>
                <c:pt idx="11">
                  <c:v>YE Sep-22</c:v>
                </c:pt>
                <c:pt idx="12">
                  <c:v>YE Dec-22</c:v>
                </c:pt>
                <c:pt idx="13">
                  <c:v>YE Mar-23</c:v>
                </c:pt>
                <c:pt idx="14">
                  <c:v>YE Jun-23</c:v>
                </c:pt>
                <c:pt idx="15">
                  <c:v>YE Sep-23</c:v>
                </c:pt>
                <c:pt idx="16">
                  <c:v>YE Dec-23</c:v>
                </c:pt>
                <c:pt idx="17">
                  <c:v>YE Mar-24</c:v>
                </c:pt>
                <c:pt idx="18">
                  <c:v>YE Jun-24</c:v>
                </c:pt>
                <c:pt idx="19">
                  <c:v>YE Sep-24</c:v>
                </c:pt>
                <c:pt idx="20">
                  <c:v>YE Dec-24</c:v>
                </c:pt>
              </c:strCache>
            </c:strRef>
          </c:cat>
          <c:val>
            <c:numRef>
              <c:f>'Chart Data'!$Q$4:$Q$24</c:f>
              <c:numCache>
                <c:formatCode>#,##0</c:formatCode>
                <c:ptCount val="21"/>
                <c:pt idx="0">
                  <c:v>120000</c:v>
                </c:pt>
                <c:pt idx="1">
                  <c:v>120000</c:v>
                </c:pt>
                <c:pt idx="2">
                  <c:v>97000</c:v>
                </c:pt>
                <c:pt idx="3">
                  <c:v>85000</c:v>
                </c:pt>
                <c:pt idx="4">
                  <c:v>83000</c:v>
                </c:pt>
                <c:pt idx="5">
                  <c:v>77000</c:v>
                </c:pt>
                <c:pt idx="6">
                  <c:v>124000</c:v>
                </c:pt>
                <c:pt idx="7">
                  <c:v>138000</c:v>
                </c:pt>
                <c:pt idx="8">
                  <c:v>146000</c:v>
                </c:pt>
                <c:pt idx="9">
                  <c:v>154000</c:v>
                </c:pt>
                <c:pt idx="10">
                  <c:v>158000</c:v>
                </c:pt>
                <c:pt idx="11">
                  <c:v>164000</c:v>
                </c:pt>
                <c:pt idx="12">
                  <c:v>173000</c:v>
                </c:pt>
                <c:pt idx="13">
                  <c:v>177000</c:v>
                </c:pt>
                <c:pt idx="14">
                  <c:v>181000</c:v>
                </c:pt>
                <c:pt idx="15">
                  <c:v>179000</c:v>
                </c:pt>
                <c:pt idx="16">
                  <c:v>162000</c:v>
                </c:pt>
                <c:pt idx="17">
                  <c:v>156000</c:v>
                </c:pt>
                <c:pt idx="18">
                  <c:v>156000</c:v>
                </c:pt>
                <c:pt idx="19">
                  <c:v>154000</c:v>
                </c:pt>
                <c:pt idx="20">
                  <c:v>150000</c:v>
                </c:pt>
              </c:numCache>
            </c:numRef>
          </c:val>
          <c:extLst>
            <c:ext xmlns:c16="http://schemas.microsoft.com/office/drawing/2014/chart" uri="{C3380CC4-5D6E-409C-BE32-E72D297353CC}">
              <c16:uniqueId val="{00000004-4EAC-4CB1-9A64-3DC59FE91619}"/>
            </c:ext>
          </c:extLst>
        </c:ser>
        <c:dLbls>
          <c:showLegendKey val="0"/>
          <c:showVal val="0"/>
          <c:showCatName val="0"/>
          <c:showSerName val="0"/>
          <c:showPercent val="0"/>
          <c:showBubbleSize val="0"/>
        </c:dLbls>
        <c:gapWidth val="50"/>
        <c:overlap val="100"/>
        <c:axId val="263607040"/>
        <c:axId val="263608576"/>
      </c:barChart>
      <c:catAx>
        <c:axId val="263607040"/>
        <c:scaling>
          <c:orientation val="minMax"/>
        </c:scaling>
        <c:delete val="0"/>
        <c:axPos val="b"/>
        <c:numFmt formatCode="General" sourceLinked="0"/>
        <c:majorTickMark val="out"/>
        <c:minorTickMark val="none"/>
        <c:tickLblPos val="low"/>
        <c:spPr>
          <a:ln>
            <a:solidFill>
              <a:srgbClr val="495057"/>
            </a:solidFill>
          </a:ln>
        </c:spPr>
        <c:txPr>
          <a:bodyPr rot="0" vert="horz"/>
          <a:lstStyle/>
          <a:p>
            <a:pPr>
              <a:defRPr sz="1800" b="0" i="0" u="none" strike="noStrike" baseline="0">
                <a:solidFill>
                  <a:srgbClr val="495057"/>
                </a:solidFill>
                <a:latin typeface="Segoe UI"/>
                <a:ea typeface="Segoe UI"/>
                <a:cs typeface="Segoe UI"/>
              </a:defRPr>
            </a:pPr>
            <a:endParaRPr lang="en-US"/>
          </a:p>
        </c:txPr>
        <c:crossAx val="263608576"/>
        <c:crossesAt val="-5000000"/>
        <c:auto val="1"/>
        <c:lblAlgn val="ctr"/>
        <c:lblOffset val="100"/>
        <c:tickLblSkip val="4"/>
        <c:tickMarkSkip val="4"/>
        <c:noMultiLvlLbl val="0"/>
      </c:catAx>
      <c:valAx>
        <c:axId val="263608576"/>
        <c:scaling>
          <c:orientation val="minMax"/>
          <c:max val="1000000"/>
          <c:min val="0"/>
        </c:scaling>
        <c:delete val="0"/>
        <c:axPos val="l"/>
        <c:numFmt formatCode="#,##0" sourceLinked="0"/>
        <c:majorTickMark val="out"/>
        <c:minorTickMark val="none"/>
        <c:tickLblPos val="nextTo"/>
        <c:spPr>
          <a:ln>
            <a:solidFill>
              <a:srgbClr val="495057"/>
            </a:solidFill>
          </a:ln>
        </c:spPr>
        <c:txPr>
          <a:bodyPr rot="0" vert="horz"/>
          <a:lstStyle/>
          <a:p>
            <a:pPr>
              <a:defRPr sz="1800" b="0" i="0" u="none" strike="noStrike" baseline="0">
                <a:solidFill>
                  <a:srgbClr val="495057"/>
                </a:solidFill>
                <a:latin typeface="Segoe UI"/>
                <a:ea typeface="Segoe UI"/>
                <a:cs typeface="Segoe UI"/>
              </a:defRPr>
            </a:pPr>
            <a:endParaRPr lang="en-US"/>
          </a:p>
        </c:txPr>
        <c:crossAx val="263607040"/>
        <c:crosses val="autoZero"/>
        <c:crossBetween val="between"/>
        <c:majorUnit val="100000"/>
        <c:dispUnits>
          <c:builtInUnit val="thousands"/>
        </c:dispUnits>
      </c:valAx>
      <c:spPr>
        <a:noFill/>
        <a:ln w="25400">
          <a:noFill/>
        </a:ln>
      </c:spPr>
    </c:plotArea>
    <c:legend>
      <c:legendPos val="t"/>
      <c:layout>
        <c:manualLayout>
          <c:xMode val="edge"/>
          <c:yMode val="edge"/>
          <c:x val="0.11033182503770739"/>
          <c:y val="0.1558450798565113"/>
          <c:w val="0.27104072398190043"/>
          <c:h val="0.3756247860321808"/>
        </c:manualLayout>
      </c:layout>
      <c:overlay val="1"/>
      <c:txPr>
        <a:bodyPr/>
        <a:lstStyle/>
        <a:p>
          <a:pPr>
            <a:defRPr sz="1800">
              <a:solidFill>
                <a:srgbClr val="495057"/>
              </a:solidFill>
              <a:latin typeface="Segoe UI"/>
              <a:ea typeface="Segoe UI"/>
              <a:cs typeface="Segoe UI"/>
            </a:defRPr>
          </a:pPr>
          <a:endParaRPr lang="en-US"/>
        </a:p>
      </c:txPr>
    </c:legend>
    <c:plotVisOnly val="1"/>
    <c:dispBlanksAs val="gap"/>
    <c:showDLblsOverMax val="0"/>
  </c:chart>
  <c:spPr>
    <a:solidFill>
      <a:srgbClr val="FFFFFF"/>
    </a:solidFill>
    <a:ln w="28575">
      <a:noFill/>
    </a:ln>
  </c:spPr>
  <c:txPr>
    <a:bodyPr/>
    <a:lstStyle/>
    <a:p>
      <a:pPr>
        <a:defRPr sz="2000" b="0" i="0" u="none" strike="noStrike" baseline="0">
          <a:solidFill>
            <a:srgbClr val="000000"/>
          </a:solidFill>
          <a:latin typeface="Arial"/>
          <a:ea typeface="Arial"/>
          <a:cs typeface="Arial"/>
        </a:defRPr>
      </a:pPr>
      <a:endParaRPr lang="en-US"/>
    </a:p>
  </c:txPr>
  <c:userShapes r:id="rId2"/>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0.1054964905404924"/>
          <c:y val="0.16062858163523513"/>
          <c:w val="0.88963076448023182"/>
          <c:h val="0.70062858163523511"/>
        </c:manualLayout>
      </c:layout>
      <c:barChart>
        <c:barDir val="col"/>
        <c:grouping val="stacked"/>
        <c:varyColors val="0"/>
        <c:ser>
          <c:idx val="0"/>
          <c:order val="0"/>
          <c:tx>
            <c:strRef>
              <c:f>'Chart Data'!$B$3</c:f>
              <c:strCache>
                <c:ptCount val="1"/>
                <c:pt idx="0">
                  <c:v>Work</c:v>
                </c:pt>
              </c:strCache>
            </c:strRef>
          </c:tx>
          <c:spPr>
            <a:solidFill>
              <a:srgbClr val="BD1B21"/>
            </a:solidFill>
            <a:ln w="38100">
              <a:noFill/>
            </a:ln>
          </c:spPr>
          <c:invertIfNegative val="0"/>
          <c:cat>
            <c:strRef>
              <c:f>'Chart Data'!$A$4:$A$24</c:f>
              <c:strCache>
                <c:ptCount val="21"/>
                <c:pt idx="0">
                  <c:v>YE Dec-19</c:v>
                </c:pt>
                <c:pt idx="1">
                  <c:v>YE Mar-20</c:v>
                </c:pt>
                <c:pt idx="2">
                  <c:v>YE Jun-20</c:v>
                </c:pt>
                <c:pt idx="3">
                  <c:v>YE Sep-20</c:v>
                </c:pt>
                <c:pt idx="4">
                  <c:v>YE Dec-20</c:v>
                </c:pt>
                <c:pt idx="5">
                  <c:v>YE Mar-21</c:v>
                </c:pt>
                <c:pt idx="6">
                  <c:v>YE Jun-21</c:v>
                </c:pt>
                <c:pt idx="7">
                  <c:v>YE Sep-21</c:v>
                </c:pt>
                <c:pt idx="8">
                  <c:v>YE Dec-21</c:v>
                </c:pt>
                <c:pt idx="9">
                  <c:v>YE Mar-22</c:v>
                </c:pt>
                <c:pt idx="10">
                  <c:v>YE Jun-22</c:v>
                </c:pt>
                <c:pt idx="11">
                  <c:v>YE Sep-22</c:v>
                </c:pt>
                <c:pt idx="12">
                  <c:v>YE Dec-22</c:v>
                </c:pt>
                <c:pt idx="13">
                  <c:v>YE Mar-23</c:v>
                </c:pt>
                <c:pt idx="14">
                  <c:v>YE Jun-23</c:v>
                </c:pt>
                <c:pt idx="15">
                  <c:v>YE Sep-23</c:v>
                </c:pt>
                <c:pt idx="16">
                  <c:v>YE Dec-23</c:v>
                </c:pt>
                <c:pt idx="17">
                  <c:v>YE Mar-24</c:v>
                </c:pt>
                <c:pt idx="18">
                  <c:v>YE Jun-24</c:v>
                </c:pt>
                <c:pt idx="19">
                  <c:v>YE Sep-24</c:v>
                </c:pt>
                <c:pt idx="20">
                  <c:v>YE Dec-24</c:v>
                </c:pt>
              </c:strCache>
            </c:strRef>
          </c:cat>
          <c:val>
            <c:numRef>
              <c:f>'Chart Data'!$B$4:$B$24</c:f>
              <c:numCache>
                <c:formatCode>#,##0</c:formatCode>
                <c:ptCount val="21"/>
                <c:pt idx="0">
                  <c:v>27000</c:v>
                </c:pt>
                <c:pt idx="1">
                  <c:v>27000</c:v>
                </c:pt>
                <c:pt idx="2">
                  <c:v>17000</c:v>
                </c:pt>
                <c:pt idx="3">
                  <c:v>14000</c:v>
                </c:pt>
                <c:pt idx="4">
                  <c:v>15000</c:v>
                </c:pt>
                <c:pt idx="5">
                  <c:v>16000</c:v>
                </c:pt>
                <c:pt idx="6">
                  <c:v>31000</c:v>
                </c:pt>
                <c:pt idx="7">
                  <c:v>46000</c:v>
                </c:pt>
                <c:pt idx="8">
                  <c:v>62000</c:v>
                </c:pt>
                <c:pt idx="9">
                  <c:v>83000</c:v>
                </c:pt>
                <c:pt idx="10">
                  <c:v>100000</c:v>
                </c:pt>
                <c:pt idx="11">
                  <c:v>125000</c:v>
                </c:pt>
                <c:pt idx="12">
                  <c:v>139000</c:v>
                </c:pt>
                <c:pt idx="13">
                  <c:v>145000</c:v>
                </c:pt>
                <c:pt idx="14">
                  <c:v>169000</c:v>
                </c:pt>
                <c:pt idx="15">
                  <c:v>182000</c:v>
                </c:pt>
                <c:pt idx="16">
                  <c:v>195000</c:v>
                </c:pt>
                <c:pt idx="17">
                  <c:v>188000</c:v>
                </c:pt>
                <c:pt idx="18">
                  <c:v>159000</c:v>
                </c:pt>
                <c:pt idx="19">
                  <c:v>124000</c:v>
                </c:pt>
                <c:pt idx="20">
                  <c:v>81000</c:v>
                </c:pt>
              </c:numCache>
            </c:numRef>
          </c:val>
          <c:extLst>
            <c:ext xmlns:c16="http://schemas.microsoft.com/office/drawing/2014/chart" uri="{C3380CC4-5D6E-409C-BE32-E72D297353CC}">
              <c16:uniqueId val="{00000000-E850-417B-95DA-4ED900504230}"/>
            </c:ext>
          </c:extLst>
        </c:ser>
        <c:ser>
          <c:idx val="1"/>
          <c:order val="1"/>
          <c:tx>
            <c:strRef>
              <c:f>'Chart Data'!$C$3</c:f>
              <c:strCache>
                <c:ptCount val="1"/>
                <c:pt idx="0">
                  <c:v>Study</c:v>
                </c:pt>
              </c:strCache>
            </c:strRef>
          </c:tx>
          <c:spPr>
            <a:solidFill>
              <a:srgbClr val="003469"/>
            </a:solidFill>
            <a:ln w="38100">
              <a:noFill/>
            </a:ln>
          </c:spPr>
          <c:invertIfNegative val="0"/>
          <c:cat>
            <c:strRef>
              <c:f>'Chart Data'!$A$4:$A$24</c:f>
              <c:strCache>
                <c:ptCount val="21"/>
                <c:pt idx="0">
                  <c:v>YE Dec-19</c:v>
                </c:pt>
                <c:pt idx="1">
                  <c:v>YE Mar-20</c:v>
                </c:pt>
                <c:pt idx="2">
                  <c:v>YE Jun-20</c:v>
                </c:pt>
                <c:pt idx="3">
                  <c:v>YE Sep-20</c:v>
                </c:pt>
                <c:pt idx="4">
                  <c:v>YE Dec-20</c:v>
                </c:pt>
                <c:pt idx="5">
                  <c:v>YE Mar-21</c:v>
                </c:pt>
                <c:pt idx="6">
                  <c:v>YE Jun-21</c:v>
                </c:pt>
                <c:pt idx="7">
                  <c:v>YE Sep-21</c:v>
                </c:pt>
                <c:pt idx="8">
                  <c:v>YE Dec-21</c:v>
                </c:pt>
                <c:pt idx="9">
                  <c:v>YE Mar-22</c:v>
                </c:pt>
                <c:pt idx="10">
                  <c:v>YE Jun-22</c:v>
                </c:pt>
                <c:pt idx="11">
                  <c:v>YE Sep-22</c:v>
                </c:pt>
                <c:pt idx="12">
                  <c:v>YE Dec-22</c:v>
                </c:pt>
                <c:pt idx="13">
                  <c:v>YE Mar-23</c:v>
                </c:pt>
                <c:pt idx="14">
                  <c:v>YE Jun-23</c:v>
                </c:pt>
                <c:pt idx="15">
                  <c:v>YE Sep-23</c:v>
                </c:pt>
                <c:pt idx="16">
                  <c:v>YE Dec-23</c:v>
                </c:pt>
                <c:pt idx="17">
                  <c:v>YE Mar-24</c:v>
                </c:pt>
                <c:pt idx="18">
                  <c:v>YE Jun-24</c:v>
                </c:pt>
                <c:pt idx="19">
                  <c:v>YE Sep-24</c:v>
                </c:pt>
                <c:pt idx="20">
                  <c:v>YE Dec-24</c:v>
                </c:pt>
              </c:strCache>
            </c:strRef>
          </c:cat>
          <c:val>
            <c:numRef>
              <c:f>'Chart Data'!$C$4:$C$24</c:f>
              <c:numCache>
                <c:formatCode>#,##0</c:formatCode>
                <c:ptCount val="21"/>
                <c:pt idx="0">
                  <c:v>10000</c:v>
                </c:pt>
                <c:pt idx="1">
                  <c:v>-10000</c:v>
                </c:pt>
                <c:pt idx="2">
                  <c:v>-20000</c:v>
                </c:pt>
                <c:pt idx="3">
                  <c:v>-55000</c:v>
                </c:pt>
                <c:pt idx="4">
                  <c:v>-16000</c:v>
                </c:pt>
                <c:pt idx="5">
                  <c:v>32000</c:v>
                </c:pt>
                <c:pt idx="6">
                  <c:v>45000</c:v>
                </c:pt>
                <c:pt idx="7">
                  <c:v>149000</c:v>
                </c:pt>
                <c:pt idx="8">
                  <c:v>180000</c:v>
                </c:pt>
                <c:pt idx="9">
                  <c:v>211000</c:v>
                </c:pt>
                <c:pt idx="10">
                  <c:v>214000</c:v>
                </c:pt>
                <c:pt idx="11">
                  <c:v>271000</c:v>
                </c:pt>
                <c:pt idx="12">
                  <c:v>255000</c:v>
                </c:pt>
                <c:pt idx="13">
                  <c:v>222000</c:v>
                </c:pt>
                <c:pt idx="14">
                  <c:v>219000</c:v>
                </c:pt>
                <c:pt idx="15">
                  <c:v>219000</c:v>
                </c:pt>
                <c:pt idx="16">
                  <c:v>198000</c:v>
                </c:pt>
                <c:pt idx="17">
                  <c:v>193000</c:v>
                </c:pt>
                <c:pt idx="18">
                  <c:v>185000</c:v>
                </c:pt>
                <c:pt idx="19">
                  <c:v>149000</c:v>
                </c:pt>
                <c:pt idx="20">
                  <c:v>135000</c:v>
                </c:pt>
              </c:numCache>
            </c:numRef>
          </c:val>
          <c:extLst>
            <c:ext xmlns:c16="http://schemas.microsoft.com/office/drawing/2014/chart" uri="{C3380CC4-5D6E-409C-BE32-E72D297353CC}">
              <c16:uniqueId val="{00000001-E850-417B-95DA-4ED900504230}"/>
            </c:ext>
          </c:extLst>
        </c:ser>
        <c:ser>
          <c:idx val="2"/>
          <c:order val="2"/>
          <c:tx>
            <c:strRef>
              <c:f>'Chart Data'!$D$3</c:f>
              <c:strCache>
                <c:ptCount val="1"/>
                <c:pt idx="0">
                  <c:v>Dependents</c:v>
                </c:pt>
              </c:strCache>
            </c:strRef>
          </c:tx>
          <c:spPr>
            <a:solidFill>
              <a:srgbClr val="D1A21E"/>
            </a:solidFill>
            <a:ln w="38100">
              <a:noFill/>
            </a:ln>
          </c:spPr>
          <c:invertIfNegative val="0"/>
          <c:cat>
            <c:strRef>
              <c:f>'Chart Data'!$A$4:$A$24</c:f>
              <c:strCache>
                <c:ptCount val="21"/>
                <c:pt idx="0">
                  <c:v>YE Dec-19</c:v>
                </c:pt>
                <c:pt idx="1">
                  <c:v>YE Mar-20</c:v>
                </c:pt>
                <c:pt idx="2">
                  <c:v>YE Jun-20</c:v>
                </c:pt>
                <c:pt idx="3">
                  <c:v>YE Sep-20</c:v>
                </c:pt>
                <c:pt idx="4">
                  <c:v>YE Dec-20</c:v>
                </c:pt>
                <c:pt idx="5">
                  <c:v>YE Mar-21</c:v>
                </c:pt>
                <c:pt idx="6">
                  <c:v>YE Jun-21</c:v>
                </c:pt>
                <c:pt idx="7">
                  <c:v>YE Sep-21</c:v>
                </c:pt>
                <c:pt idx="8">
                  <c:v>YE Dec-21</c:v>
                </c:pt>
                <c:pt idx="9">
                  <c:v>YE Mar-22</c:v>
                </c:pt>
                <c:pt idx="10">
                  <c:v>YE Jun-22</c:v>
                </c:pt>
                <c:pt idx="11">
                  <c:v>YE Sep-22</c:v>
                </c:pt>
                <c:pt idx="12">
                  <c:v>YE Dec-22</c:v>
                </c:pt>
                <c:pt idx="13">
                  <c:v>YE Mar-23</c:v>
                </c:pt>
                <c:pt idx="14">
                  <c:v>YE Jun-23</c:v>
                </c:pt>
                <c:pt idx="15">
                  <c:v>YE Sep-23</c:v>
                </c:pt>
                <c:pt idx="16">
                  <c:v>YE Dec-23</c:v>
                </c:pt>
                <c:pt idx="17">
                  <c:v>YE Mar-24</c:v>
                </c:pt>
                <c:pt idx="18">
                  <c:v>YE Jun-24</c:v>
                </c:pt>
                <c:pt idx="19">
                  <c:v>YE Sep-24</c:v>
                </c:pt>
                <c:pt idx="20">
                  <c:v>YE Dec-24</c:v>
                </c:pt>
              </c:strCache>
            </c:strRef>
          </c:cat>
          <c:val>
            <c:numRef>
              <c:f>'Chart Data'!$D$4:$D$24</c:f>
              <c:numCache>
                <c:formatCode>#,##0</c:formatCode>
                <c:ptCount val="21"/>
                <c:pt idx="0">
                  <c:v>23000</c:v>
                </c:pt>
                <c:pt idx="1">
                  <c:v>24000</c:v>
                </c:pt>
                <c:pt idx="2">
                  <c:v>17000</c:v>
                </c:pt>
                <c:pt idx="3">
                  <c:v>14000</c:v>
                </c:pt>
                <c:pt idx="4">
                  <c:v>20000</c:v>
                </c:pt>
                <c:pt idx="5">
                  <c:v>25000</c:v>
                </c:pt>
                <c:pt idx="6">
                  <c:v>42000</c:v>
                </c:pt>
                <c:pt idx="7">
                  <c:v>64000</c:v>
                </c:pt>
                <c:pt idx="8">
                  <c:v>85000</c:v>
                </c:pt>
                <c:pt idx="9">
                  <c:v>115000</c:v>
                </c:pt>
                <c:pt idx="10">
                  <c:v>133000</c:v>
                </c:pt>
                <c:pt idx="11">
                  <c:v>170000</c:v>
                </c:pt>
                <c:pt idx="12">
                  <c:v>212000</c:v>
                </c:pt>
                <c:pt idx="13">
                  <c:v>225000</c:v>
                </c:pt>
                <c:pt idx="14">
                  <c:v>262000</c:v>
                </c:pt>
                <c:pt idx="15">
                  <c:v>295000</c:v>
                </c:pt>
                <c:pt idx="16">
                  <c:v>326000</c:v>
                </c:pt>
                <c:pt idx="17">
                  <c:v>327000</c:v>
                </c:pt>
                <c:pt idx="18">
                  <c:v>296000</c:v>
                </c:pt>
                <c:pt idx="19">
                  <c:v>226000</c:v>
                </c:pt>
                <c:pt idx="20">
                  <c:v>129000</c:v>
                </c:pt>
              </c:numCache>
            </c:numRef>
          </c:val>
          <c:extLst>
            <c:ext xmlns:c16="http://schemas.microsoft.com/office/drawing/2014/chart" uri="{C3380CC4-5D6E-409C-BE32-E72D297353CC}">
              <c16:uniqueId val="{00000002-E850-417B-95DA-4ED900504230}"/>
            </c:ext>
          </c:extLst>
        </c:ser>
        <c:ser>
          <c:idx val="3"/>
          <c:order val="3"/>
          <c:tx>
            <c:strRef>
              <c:f>'Chart Data'!$E$3</c:f>
              <c:strCache>
                <c:ptCount val="1"/>
                <c:pt idx="0">
                  <c:v>Family</c:v>
                </c:pt>
              </c:strCache>
            </c:strRef>
          </c:tx>
          <c:spPr>
            <a:solidFill>
              <a:srgbClr val="7B7C77"/>
            </a:solidFill>
            <a:ln w="38100">
              <a:noFill/>
            </a:ln>
          </c:spPr>
          <c:invertIfNegative val="0"/>
          <c:cat>
            <c:strRef>
              <c:f>'Chart Data'!$A$4:$A$24</c:f>
              <c:strCache>
                <c:ptCount val="21"/>
                <c:pt idx="0">
                  <c:v>YE Dec-19</c:v>
                </c:pt>
                <c:pt idx="1">
                  <c:v>YE Mar-20</c:v>
                </c:pt>
                <c:pt idx="2">
                  <c:v>YE Jun-20</c:v>
                </c:pt>
                <c:pt idx="3">
                  <c:v>YE Sep-20</c:v>
                </c:pt>
                <c:pt idx="4">
                  <c:v>YE Dec-20</c:v>
                </c:pt>
                <c:pt idx="5">
                  <c:v>YE Mar-21</c:v>
                </c:pt>
                <c:pt idx="6">
                  <c:v>YE Jun-21</c:v>
                </c:pt>
                <c:pt idx="7">
                  <c:v>YE Sep-21</c:v>
                </c:pt>
                <c:pt idx="8">
                  <c:v>YE Dec-21</c:v>
                </c:pt>
                <c:pt idx="9">
                  <c:v>YE Mar-22</c:v>
                </c:pt>
                <c:pt idx="10">
                  <c:v>YE Jun-22</c:v>
                </c:pt>
                <c:pt idx="11">
                  <c:v>YE Sep-22</c:v>
                </c:pt>
                <c:pt idx="12">
                  <c:v>YE Dec-22</c:v>
                </c:pt>
                <c:pt idx="13">
                  <c:v>YE Mar-23</c:v>
                </c:pt>
                <c:pt idx="14">
                  <c:v>YE Jun-23</c:v>
                </c:pt>
                <c:pt idx="15">
                  <c:v>YE Sep-23</c:v>
                </c:pt>
                <c:pt idx="16">
                  <c:v>YE Dec-23</c:v>
                </c:pt>
                <c:pt idx="17">
                  <c:v>YE Mar-24</c:v>
                </c:pt>
                <c:pt idx="18">
                  <c:v>YE Jun-24</c:v>
                </c:pt>
                <c:pt idx="19">
                  <c:v>YE Sep-24</c:v>
                </c:pt>
                <c:pt idx="20">
                  <c:v>YE Dec-24</c:v>
                </c:pt>
              </c:strCache>
            </c:strRef>
          </c:cat>
          <c:val>
            <c:numRef>
              <c:f>'Chart Data'!$E$4:$E$24</c:f>
              <c:numCache>
                <c:formatCode>#,##0</c:formatCode>
                <c:ptCount val="21"/>
                <c:pt idx="0">
                  <c:v>66000</c:v>
                </c:pt>
                <c:pt idx="1">
                  <c:v>69000</c:v>
                </c:pt>
                <c:pt idx="2">
                  <c:v>54000</c:v>
                </c:pt>
                <c:pt idx="3">
                  <c:v>43000</c:v>
                </c:pt>
                <c:pt idx="4">
                  <c:v>38000</c:v>
                </c:pt>
                <c:pt idx="5">
                  <c:v>32000</c:v>
                </c:pt>
                <c:pt idx="6">
                  <c:v>60000</c:v>
                </c:pt>
                <c:pt idx="7">
                  <c:v>64000</c:v>
                </c:pt>
                <c:pt idx="8">
                  <c:v>61000</c:v>
                </c:pt>
                <c:pt idx="9">
                  <c:v>62000</c:v>
                </c:pt>
                <c:pt idx="10">
                  <c:v>54000</c:v>
                </c:pt>
                <c:pt idx="11">
                  <c:v>51000</c:v>
                </c:pt>
                <c:pt idx="12">
                  <c:v>57000</c:v>
                </c:pt>
                <c:pt idx="13">
                  <c:v>64000</c:v>
                </c:pt>
                <c:pt idx="14">
                  <c:v>73000</c:v>
                </c:pt>
                <c:pt idx="15">
                  <c:v>78000</c:v>
                </c:pt>
                <c:pt idx="16">
                  <c:v>73000</c:v>
                </c:pt>
                <c:pt idx="17">
                  <c:v>67000</c:v>
                </c:pt>
                <c:pt idx="18">
                  <c:v>66000</c:v>
                </c:pt>
                <c:pt idx="19">
                  <c:v>62000</c:v>
                </c:pt>
                <c:pt idx="20">
                  <c:v>50000</c:v>
                </c:pt>
              </c:numCache>
            </c:numRef>
          </c:val>
          <c:extLst>
            <c:ext xmlns:c16="http://schemas.microsoft.com/office/drawing/2014/chart" uri="{C3380CC4-5D6E-409C-BE32-E72D297353CC}">
              <c16:uniqueId val="{00000003-E850-417B-95DA-4ED900504230}"/>
            </c:ext>
          </c:extLst>
        </c:ser>
        <c:ser>
          <c:idx val="4"/>
          <c:order val="4"/>
          <c:tx>
            <c:strRef>
              <c:f>'Chart Data'!$F$3</c:f>
              <c:strCache>
                <c:ptCount val="1"/>
                <c:pt idx="0">
                  <c:v>Humanitarian</c:v>
                </c:pt>
              </c:strCache>
            </c:strRef>
          </c:tx>
          <c:spPr>
            <a:solidFill>
              <a:srgbClr val="965793"/>
            </a:solidFill>
            <a:ln w="38100">
              <a:noFill/>
            </a:ln>
          </c:spPr>
          <c:invertIfNegative val="0"/>
          <c:cat>
            <c:strRef>
              <c:f>'Chart Data'!$A$4:$A$24</c:f>
              <c:strCache>
                <c:ptCount val="21"/>
                <c:pt idx="0">
                  <c:v>YE Dec-19</c:v>
                </c:pt>
                <c:pt idx="1">
                  <c:v>YE Mar-20</c:v>
                </c:pt>
                <c:pt idx="2">
                  <c:v>YE Jun-20</c:v>
                </c:pt>
                <c:pt idx="3">
                  <c:v>YE Sep-20</c:v>
                </c:pt>
                <c:pt idx="4">
                  <c:v>YE Dec-20</c:v>
                </c:pt>
                <c:pt idx="5">
                  <c:v>YE Mar-21</c:v>
                </c:pt>
                <c:pt idx="6">
                  <c:v>YE Jun-21</c:v>
                </c:pt>
                <c:pt idx="7">
                  <c:v>YE Sep-21</c:v>
                </c:pt>
                <c:pt idx="8">
                  <c:v>YE Dec-21</c:v>
                </c:pt>
                <c:pt idx="9">
                  <c:v>YE Mar-22</c:v>
                </c:pt>
                <c:pt idx="10">
                  <c:v>YE Jun-22</c:v>
                </c:pt>
                <c:pt idx="11">
                  <c:v>YE Sep-22</c:v>
                </c:pt>
                <c:pt idx="12">
                  <c:v>YE Dec-22</c:v>
                </c:pt>
                <c:pt idx="13">
                  <c:v>YE Mar-23</c:v>
                </c:pt>
                <c:pt idx="14">
                  <c:v>YE Jun-23</c:v>
                </c:pt>
                <c:pt idx="15">
                  <c:v>YE Sep-23</c:v>
                </c:pt>
                <c:pt idx="16">
                  <c:v>YE Dec-23</c:v>
                </c:pt>
                <c:pt idx="17">
                  <c:v>YE Mar-24</c:v>
                </c:pt>
                <c:pt idx="18">
                  <c:v>YE Jun-24</c:v>
                </c:pt>
                <c:pt idx="19">
                  <c:v>YE Sep-24</c:v>
                </c:pt>
                <c:pt idx="20">
                  <c:v>YE Dec-24</c:v>
                </c:pt>
              </c:strCache>
            </c:strRef>
          </c:cat>
          <c:val>
            <c:numRef>
              <c:f>'Chart Data'!$F$4:$F$24</c:f>
              <c:numCache>
                <c:formatCode>#,##0</c:formatCode>
                <c:ptCount val="21"/>
                <c:pt idx="0">
                  <c:v>6000</c:v>
                </c:pt>
                <c:pt idx="1">
                  <c:v>5000</c:v>
                </c:pt>
                <c:pt idx="2">
                  <c:v>4000</c:v>
                </c:pt>
                <c:pt idx="3">
                  <c:v>2000</c:v>
                </c:pt>
                <c:pt idx="4">
                  <c:v>1000</c:v>
                </c:pt>
                <c:pt idx="5">
                  <c:v>0</c:v>
                </c:pt>
                <c:pt idx="6">
                  <c:v>10000</c:v>
                </c:pt>
                <c:pt idx="7">
                  <c:v>44000</c:v>
                </c:pt>
                <c:pt idx="8">
                  <c:v>57000</c:v>
                </c:pt>
                <c:pt idx="9">
                  <c:v>76000</c:v>
                </c:pt>
                <c:pt idx="10">
                  <c:v>150000</c:v>
                </c:pt>
                <c:pt idx="11">
                  <c:v>172000</c:v>
                </c:pt>
                <c:pt idx="12">
                  <c:v>188000</c:v>
                </c:pt>
                <c:pt idx="13">
                  <c:v>186000</c:v>
                </c:pt>
                <c:pt idx="14">
                  <c:v>123000</c:v>
                </c:pt>
                <c:pt idx="15">
                  <c:v>83000</c:v>
                </c:pt>
                <c:pt idx="16">
                  <c:v>70000</c:v>
                </c:pt>
                <c:pt idx="17">
                  <c:v>63000</c:v>
                </c:pt>
                <c:pt idx="18">
                  <c:v>59000</c:v>
                </c:pt>
                <c:pt idx="19">
                  <c:v>55000</c:v>
                </c:pt>
                <c:pt idx="20">
                  <c:v>50000</c:v>
                </c:pt>
              </c:numCache>
            </c:numRef>
          </c:val>
          <c:extLst>
            <c:ext xmlns:c16="http://schemas.microsoft.com/office/drawing/2014/chart" uri="{C3380CC4-5D6E-409C-BE32-E72D297353CC}">
              <c16:uniqueId val="{00000004-E850-417B-95DA-4ED900504230}"/>
            </c:ext>
          </c:extLst>
        </c:ser>
        <c:ser>
          <c:idx val="5"/>
          <c:order val="5"/>
          <c:tx>
            <c:strRef>
              <c:f>'Chart Data'!$G$3</c:f>
              <c:strCache>
                <c:ptCount val="1"/>
                <c:pt idx="0">
                  <c:v>Asylum</c:v>
                </c:pt>
              </c:strCache>
            </c:strRef>
          </c:tx>
          <c:spPr>
            <a:solidFill>
              <a:srgbClr val="00ADDC"/>
            </a:solidFill>
            <a:ln w="38100">
              <a:noFill/>
            </a:ln>
          </c:spPr>
          <c:invertIfNegative val="0"/>
          <c:cat>
            <c:strRef>
              <c:f>'Chart Data'!$A$4:$A$24</c:f>
              <c:strCache>
                <c:ptCount val="21"/>
                <c:pt idx="0">
                  <c:v>YE Dec-19</c:v>
                </c:pt>
                <c:pt idx="1">
                  <c:v>YE Mar-20</c:v>
                </c:pt>
                <c:pt idx="2">
                  <c:v>YE Jun-20</c:v>
                </c:pt>
                <c:pt idx="3">
                  <c:v>YE Sep-20</c:v>
                </c:pt>
                <c:pt idx="4">
                  <c:v>YE Dec-20</c:v>
                </c:pt>
                <c:pt idx="5">
                  <c:v>YE Mar-21</c:v>
                </c:pt>
                <c:pt idx="6">
                  <c:v>YE Jun-21</c:v>
                </c:pt>
                <c:pt idx="7">
                  <c:v>YE Sep-21</c:v>
                </c:pt>
                <c:pt idx="8">
                  <c:v>YE Dec-21</c:v>
                </c:pt>
                <c:pt idx="9">
                  <c:v>YE Mar-22</c:v>
                </c:pt>
                <c:pt idx="10">
                  <c:v>YE Jun-22</c:v>
                </c:pt>
                <c:pt idx="11">
                  <c:v>YE Sep-22</c:v>
                </c:pt>
                <c:pt idx="12">
                  <c:v>YE Dec-22</c:v>
                </c:pt>
                <c:pt idx="13">
                  <c:v>YE Mar-23</c:v>
                </c:pt>
                <c:pt idx="14">
                  <c:v>YE Jun-23</c:v>
                </c:pt>
                <c:pt idx="15">
                  <c:v>YE Sep-23</c:v>
                </c:pt>
                <c:pt idx="16">
                  <c:v>YE Dec-23</c:v>
                </c:pt>
                <c:pt idx="17">
                  <c:v>YE Mar-24</c:v>
                </c:pt>
                <c:pt idx="18">
                  <c:v>YE Jun-24</c:v>
                </c:pt>
                <c:pt idx="19">
                  <c:v>YE Sep-24</c:v>
                </c:pt>
                <c:pt idx="20">
                  <c:v>YE Dec-24</c:v>
                </c:pt>
              </c:strCache>
            </c:strRef>
          </c:cat>
          <c:val>
            <c:numRef>
              <c:f>'Chart Data'!$G$4:$G$24</c:f>
              <c:numCache>
                <c:formatCode>#,##0</c:formatCode>
                <c:ptCount val="21"/>
                <c:pt idx="0">
                  <c:v>40000</c:v>
                </c:pt>
                <c:pt idx="1">
                  <c:v>40000</c:v>
                </c:pt>
                <c:pt idx="2">
                  <c:v>37000</c:v>
                </c:pt>
                <c:pt idx="3">
                  <c:v>36000</c:v>
                </c:pt>
                <c:pt idx="4">
                  <c:v>34000</c:v>
                </c:pt>
                <c:pt idx="5">
                  <c:v>30000</c:v>
                </c:pt>
                <c:pt idx="6">
                  <c:v>38000</c:v>
                </c:pt>
                <c:pt idx="7">
                  <c:v>46000</c:v>
                </c:pt>
                <c:pt idx="8">
                  <c:v>59000</c:v>
                </c:pt>
                <c:pt idx="9">
                  <c:v>67000</c:v>
                </c:pt>
                <c:pt idx="10">
                  <c:v>76000</c:v>
                </c:pt>
                <c:pt idx="11">
                  <c:v>86000</c:v>
                </c:pt>
                <c:pt idx="12">
                  <c:v>90000</c:v>
                </c:pt>
                <c:pt idx="13">
                  <c:v>91000</c:v>
                </c:pt>
                <c:pt idx="14">
                  <c:v>90000</c:v>
                </c:pt>
                <c:pt idx="15">
                  <c:v>86000</c:v>
                </c:pt>
                <c:pt idx="16">
                  <c:v>77000</c:v>
                </c:pt>
                <c:pt idx="17">
                  <c:v>77000</c:v>
                </c:pt>
                <c:pt idx="18">
                  <c:v>79000</c:v>
                </c:pt>
                <c:pt idx="19">
                  <c:v>81000</c:v>
                </c:pt>
                <c:pt idx="20">
                  <c:v>90000</c:v>
                </c:pt>
              </c:numCache>
            </c:numRef>
          </c:val>
          <c:extLst>
            <c:ext xmlns:c16="http://schemas.microsoft.com/office/drawing/2014/chart" uri="{C3380CC4-5D6E-409C-BE32-E72D297353CC}">
              <c16:uniqueId val="{00000005-E850-417B-95DA-4ED900504230}"/>
            </c:ext>
          </c:extLst>
        </c:ser>
        <c:ser>
          <c:idx val="6"/>
          <c:order val="6"/>
          <c:tx>
            <c:strRef>
              <c:f>'Chart Data'!$H$3</c:f>
              <c:strCache>
                <c:ptCount val="1"/>
                <c:pt idx="0">
                  <c:v>Other</c:v>
                </c:pt>
              </c:strCache>
            </c:strRef>
          </c:tx>
          <c:spPr>
            <a:solidFill>
              <a:srgbClr val="00793F"/>
            </a:solidFill>
            <a:ln w="38100">
              <a:noFill/>
            </a:ln>
          </c:spPr>
          <c:invertIfNegative val="0"/>
          <c:cat>
            <c:strRef>
              <c:f>'Chart Data'!$A$4:$A$24</c:f>
              <c:strCache>
                <c:ptCount val="21"/>
                <c:pt idx="0">
                  <c:v>YE Dec-19</c:v>
                </c:pt>
                <c:pt idx="1">
                  <c:v>YE Mar-20</c:v>
                </c:pt>
                <c:pt idx="2">
                  <c:v>YE Jun-20</c:v>
                </c:pt>
                <c:pt idx="3">
                  <c:v>YE Sep-20</c:v>
                </c:pt>
                <c:pt idx="4">
                  <c:v>YE Dec-20</c:v>
                </c:pt>
                <c:pt idx="5">
                  <c:v>YE Mar-21</c:v>
                </c:pt>
                <c:pt idx="6">
                  <c:v>YE Jun-21</c:v>
                </c:pt>
                <c:pt idx="7">
                  <c:v>YE Sep-21</c:v>
                </c:pt>
                <c:pt idx="8">
                  <c:v>YE Dec-21</c:v>
                </c:pt>
                <c:pt idx="9">
                  <c:v>YE Mar-22</c:v>
                </c:pt>
                <c:pt idx="10">
                  <c:v>YE Jun-22</c:v>
                </c:pt>
                <c:pt idx="11">
                  <c:v>YE Sep-22</c:v>
                </c:pt>
                <c:pt idx="12">
                  <c:v>YE Dec-22</c:v>
                </c:pt>
                <c:pt idx="13">
                  <c:v>YE Mar-23</c:v>
                </c:pt>
                <c:pt idx="14">
                  <c:v>YE Jun-23</c:v>
                </c:pt>
                <c:pt idx="15">
                  <c:v>YE Sep-23</c:v>
                </c:pt>
                <c:pt idx="16">
                  <c:v>YE Dec-23</c:v>
                </c:pt>
                <c:pt idx="17">
                  <c:v>YE Mar-24</c:v>
                </c:pt>
                <c:pt idx="18">
                  <c:v>YE Jun-24</c:v>
                </c:pt>
                <c:pt idx="19">
                  <c:v>YE Sep-24</c:v>
                </c:pt>
                <c:pt idx="20">
                  <c:v>YE Dec-24</c:v>
                </c:pt>
              </c:strCache>
            </c:strRef>
          </c:cat>
          <c:val>
            <c:numRef>
              <c:f>'Chart Data'!$H$4:$H$24</c:f>
              <c:numCache>
                <c:formatCode>#,##0</c:formatCode>
                <c:ptCount val="21"/>
                <c:pt idx="0">
                  <c:v>14000</c:v>
                </c:pt>
                <c:pt idx="1">
                  <c:v>11000</c:v>
                </c:pt>
                <c:pt idx="2">
                  <c:v>6000</c:v>
                </c:pt>
                <c:pt idx="3">
                  <c:v>6000</c:v>
                </c:pt>
                <c:pt idx="4">
                  <c:v>11000</c:v>
                </c:pt>
                <c:pt idx="5">
                  <c:v>15000</c:v>
                </c:pt>
                <c:pt idx="6">
                  <c:v>26000</c:v>
                </c:pt>
                <c:pt idx="7">
                  <c:v>28000</c:v>
                </c:pt>
                <c:pt idx="8">
                  <c:v>26000</c:v>
                </c:pt>
                <c:pt idx="9">
                  <c:v>25000</c:v>
                </c:pt>
                <c:pt idx="10">
                  <c:v>28000</c:v>
                </c:pt>
                <c:pt idx="11">
                  <c:v>27000</c:v>
                </c:pt>
                <c:pt idx="12">
                  <c:v>26000</c:v>
                </c:pt>
                <c:pt idx="13">
                  <c:v>22000</c:v>
                </c:pt>
                <c:pt idx="14">
                  <c:v>18000</c:v>
                </c:pt>
                <c:pt idx="15">
                  <c:v>15000</c:v>
                </c:pt>
                <c:pt idx="16">
                  <c:v>12000</c:v>
                </c:pt>
                <c:pt idx="17">
                  <c:v>12000</c:v>
                </c:pt>
                <c:pt idx="18">
                  <c:v>11000</c:v>
                </c:pt>
                <c:pt idx="19">
                  <c:v>11000</c:v>
                </c:pt>
                <c:pt idx="20">
                  <c:v>10000</c:v>
                </c:pt>
              </c:numCache>
            </c:numRef>
          </c:val>
          <c:extLst>
            <c:ext xmlns:c16="http://schemas.microsoft.com/office/drawing/2014/chart" uri="{C3380CC4-5D6E-409C-BE32-E72D297353CC}">
              <c16:uniqueId val="{00000006-E850-417B-95DA-4ED900504230}"/>
            </c:ext>
          </c:extLst>
        </c:ser>
        <c:dLbls>
          <c:showLegendKey val="0"/>
          <c:showVal val="0"/>
          <c:showCatName val="0"/>
          <c:showSerName val="0"/>
          <c:showPercent val="0"/>
          <c:showBubbleSize val="0"/>
        </c:dLbls>
        <c:gapWidth val="50"/>
        <c:overlap val="100"/>
        <c:axId val="263607040"/>
        <c:axId val="263608576"/>
      </c:barChart>
      <c:catAx>
        <c:axId val="263607040"/>
        <c:scaling>
          <c:orientation val="minMax"/>
        </c:scaling>
        <c:delete val="0"/>
        <c:axPos val="b"/>
        <c:numFmt formatCode="General" sourceLinked="0"/>
        <c:majorTickMark val="out"/>
        <c:minorTickMark val="none"/>
        <c:tickLblPos val="low"/>
        <c:spPr>
          <a:ln>
            <a:solidFill>
              <a:srgbClr val="495057"/>
            </a:solidFill>
          </a:ln>
        </c:spPr>
        <c:txPr>
          <a:bodyPr rot="0" vert="horz"/>
          <a:lstStyle/>
          <a:p>
            <a:pPr>
              <a:defRPr sz="1800" b="0" i="0" u="none" strike="noStrike" baseline="0">
                <a:solidFill>
                  <a:srgbClr val="495057"/>
                </a:solidFill>
                <a:latin typeface="Segoe UI"/>
                <a:ea typeface="Segoe UI"/>
                <a:cs typeface="Segoe UI"/>
              </a:defRPr>
            </a:pPr>
            <a:endParaRPr lang="en-US"/>
          </a:p>
        </c:txPr>
        <c:crossAx val="263608576"/>
        <c:crossesAt val="-5000000"/>
        <c:auto val="1"/>
        <c:lblAlgn val="ctr"/>
        <c:lblOffset val="100"/>
        <c:tickLblSkip val="4"/>
        <c:tickMarkSkip val="4"/>
        <c:noMultiLvlLbl val="0"/>
      </c:catAx>
      <c:valAx>
        <c:axId val="263608576"/>
        <c:scaling>
          <c:orientation val="minMax"/>
          <c:max val="1000000"/>
          <c:min val="-100000"/>
        </c:scaling>
        <c:delete val="0"/>
        <c:axPos val="l"/>
        <c:numFmt formatCode="General" sourceLinked="0"/>
        <c:majorTickMark val="out"/>
        <c:minorTickMark val="none"/>
        <c:tickLblPos val="nextTo"/>
        <c:spPr>
          <a:ln>
            <a:solidFill>
              <a:srgbClr val="495057"/>
            </a:solidFill>
          </a:ln>
        </c:spPr>
        <c:txPr>
          <a:bodyPr rot="0" vert="horz"/>
          <a:lstStyle/>
          <a:p>
            <a:pPr>
              <a:defRPr sz="1800" b="0" i="0" u="none" strike="noStrike" baseline="0">
                <a:solidFill>
                  <a:srgbClr val="495057"/>
                </a:solidFill>
                <a:latin typeface="Segoe UI"/>
                <a:ea typeface="Segoe UI"/>
                <a:cs typeface="Segoe UI"/>
              </a:defRPr>
            </a:pPr>
            <a:endParaRPr lang="en-US"/>
          </a:p>
        </c:txPr>
        <c:crossAx val="263607040"/>
        <c:crosses val="autoZero"/>
        <c:crossBetween val="between"/>
        <c:dispUnits>
          <c:builtInUnit val="thousands"/>
        </c:dispUnits>
      </c:valAx>
      <c:spPr>
        <a:noFill/>
        <a:ln w="25400">
          <a:noFill/>
        </a:ln>
      </c:spPr>
    </c:plotArea>
    <c:legend>
      <c:legendPos val="t"/>
      <c:layout>
        <c:manualLayout>
          <c:xMode val="edge"/>
          <c:yMode val="edge"/>
          <c:x val="0.11033182503770739"/>
          <c:y val="0.1558450798565113"/>
          <c:w val="0.27104072398190043"/>
          <c:h val="0.3756247860321808"/>
        </c:manualLayout>
      </c:layout>
      <c:overlay val="1"/>
      <c:txPr>
        <a:bodyPr/>
        <a:lstStyle/>
        <a:p>
          <a:pPr>
            <a:defRPr sz="1800">
              <a:solidFill>
                <a:srgbClr val="495057"/>
              </a:solidFill>
              <a:latin typeface="Segoe UI"/>
              <a:ea typeface="Segoe UI"/>
              <a:cs typeface="Segoe UI"/>
            </a:defRPr>
          </a:pPr>
          <a:endParaRPr lang="en-US"/>
        </a:p>
      </c:txPr>
    </c:legend>
    <c:plotVisOnly val="1"/>
    <c:dispBlanksAs val="gap"/>
    <c:showDLblsOverMax val="0"/>
  </c:chart>
  <c:spPr>
    <a:solidFill>
      <a:srgbClr val="FFFFFF"/>
    </a:solidFill>
    <a:ln w="28575">
      <a:noFill/>
    </a:ln>
  </c:spPr>
  <c:txPr>
    <a:bodyPr/>
    <a:lstStyle/>
    <a:p>
      <a:pPr>
        <a:defRPr sz="2000" b="0" i="0" u="none" strike="noStrike" baseline="0">
          <a:solidFill>
            <a:srgbClr val="000000"/>
          </a:solidFill>
          <a:latin typeface="Arial"/>
          <a:ea typeface="Arial"/>
          <a:cs typeface="Arial"/>
        </a:defRPr>
      </a:pPr>
      <a:endParaRPr lang="en-US"/>
    </a:p>
  </c:txPr>
  <c:userShapes r:id="rId2"/>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xMode val="edge"/>
          <c:yMode val="edge"/>
          <c:x val="0"/>
          <c:y val="0.12479361113881987"/>
          <c:w val="1"/>
          <c:h val="0.80926766011234696"/>
        </c:manualLayout>
      </c:layout>
      <c:lineChart>
        <c:grouping val="standard"/>
        <c:varyColors val="0"/>
        <c:ser>
          <c:idx val="0"/>
          <c:order val="0"/>
          <c:tx>
            <c:strRef>
              <c:f>'Chart Data'!$AE$3</c:f>
              <c:strCache>
                <c:ptCount val="1"/>
                <c:pt idx="0">
                  <c:v>Immigration</c:v>
                </c:pt>
              </c:strCache>
            </c:strRef>
          </c:tx>
          <c:spPr>
            <a:ln w="38100">
              <a:solidFill>
                <a:srgbClr val="BD1B21"/>
              </a:solidFill>
            </a:ln>
          </c:spPr>
          <c:marker>
            <c:symbol val="none"/>
          </c:marker>
          <c:cat>
            <c:strRef>
              <c:f>'Chart Data'!$AD$4:$AD$24</c:f>
              <c:strCache>
                <c:ptCount val="21"/>
                <c:pt idx="0">
                  <c:v>YE Dec-19</c:v>
                </c:pt>
                <c:pt idx="1">
                  <c:v>YE Mar-20</c:v>
                </c:pt>
                <c:pt idx="2">
                  <c:v>YE Jun-20</c:v>
                </c:pt>
                <c:pt idx="3">
                  <c:v>YE Sep-20</c:v>
                </c:pt>
                <c:pt idx="4">
                  <c:v>YE Dec-20</c:v>
                </c:pt>
                <c:pt idx="5">
                  <c:v>YE Mar-21</c:v>
                </c:pt>
                <c:pt idx="6">
                  <c:v>YE Jun-21</c:v>
                </c:pt>
                <c:pt idx="7">
                  <c:v>YE Sep-21</c:v>
                </c:pt>
                <c:pt idx="8">
                  <c:v>YE Dec-21</c:v>
                </c:pt>
                <c:pt idx="9">
                  <c:v>YE Mar-22</c:v>
                </c:pt>
                <c:pt idx="10">
                  <c:v>YE Jun-22</c:v>
                </c:pt>
                <c:pt idx="11">
                  <c:v>YE Sep-22</c:v>
                </c:pt>
                <c:pt idx="12">
                  <c:v>YE Dec-22</c:v>
                </c:pt>
                <c:pt idx="13">
                  <c:v>YE Mar-23</c:v>
                </c:pt>
                <c:pt idx="14">
                  <c:v>YE Jun-23</c:v>
                </c:pt>
                <c:pt idx="15">
                  <c:v>YE Sep-23</c:v>
                </c:pt>
                <c:pt idx="16">
                  <c:v>YE Dec-23</c:v>
                </c:pt>
                <c:pt idx="17">
                  <c:v>YE Mar-24</c:v>
                </c:pt>
                <c:pt idx="18">
                  <c:v>YE Jun-24</c:v>
                </c:pt>
                <c:pt idx="19">
                  <c:v>YE Sep-24</c:v>
                </c:pt>
                <c:pt idx="20">
                  <c:v>YE Dec-24</c:v>
                </c:pt>
              </c:strCache>
            </c:strRef>
          </c:cat>
          <c:val>
            <c:numRef>
              <c:f>'Chart Data'!$AE$4:$AE$24</c:f>
              <c:numCache>
                <c:formatCode>#,##0</c:formatCode>
                <c:ptCount val="21"/>
                <c:pt idx="0">
                  <c:v>112000</c:v>
                </c:pt>
                <c:pt idx="1">
                  <c:v>124000</c:v>
                </c:pt>
                <c:pt idx="2">
                  <c:v>114000</c:v>
                </c:pt>
                <c:pt idx="3">
                  <c:v>69000</c:v>
                </c:pt>
                <c:pt idx="4">
                  <c:v>100000</c:v>
                </c:pt>
                <c:pt idx="5">
                  <c:v>109000</c:v>
                </c:pt>
                <c:pt idx="6">
                  <c:v>114000</c:v>
                </c:pt>
                <c:pt idx="7">
                  <c:v>200000</c:v>
                </c:pt>
                <c:pt idx="8">
                  <c:v>224000</c:v>
                </c:pt>
                <c:pt idx="9">
                  <c:v>254000</c:v>
                </c:pt>
                <c:pt idx="10">
                  <c:v>260000</c:v>
                </c:pt>
                <c:pt idx="11">
                  <c:v>327000</c:v>
                </c:pt>
                <c:pt idx="12">
                  <c:v>321000</c:v>
                </c:pt>
                <c:pt idx="13">
                  <c:v>297000</c:v>
                </c:pt>
                <c:pt idx="14">
                  <c:v>302000</c:v>
                </c:pt>
                <c:pt idx="15">
                  <c:v>316000</c:v>
                </c:pt>
                <c:pt idx="16">
                  <c:v>302000</c:v>
                </c:pt>
                <c:pt idx="17">
                  <c:v>303000</c:v>
                </c:pt>
                <c:pt idx="18">
                  <c:v>296000</c:v>
                </c:pt>
                <c:pt idx="19">
                  <c:v>263000</c:v>
                </c:pt>
                <c:pt idx="20">
                  <c:v>249000</c:v>
                </c:pt>
              </c:numCache>
            </c:numRef>
          </c:val>
          <c:smooth val="0"/>
          <c:extLst>
            <c:ext xmlns:c16="http://schemas.microsoft.com/office/drawing/2014/chart" uri="{C3380CC4-5D6E-409C-BE32-E72D297353CC}">
              <c16:uniqueId val="{00000000-E850-417B-95DA-4ED900504230}"/>
            </c:ext>
          </c:extLst>
        </c:ser>
        <c:ser>
          <c:idx val="1"/>
          <c:order val="1"/>
          <c:tx>
            <c:strRef>
              <c:f>'Chart Data'!$AF$3</c:f>
              <c:strCache>
                <c:ptCount val="1"/>
                <c:pt idx="0">
                  <c:v>Emigration </c:v>
                </c:pt>
              </c:strCache>
            </c:strRef>
          </c:tx>
          <c:spPr>
            <a:ln w="38100">
              <a:solidFill>
                <a:srgbClr val="003469"/>
              </a:solidFill>
            </a:ln>
          </c:spPr>
          <c:marker>
            <c:symbol val="none"/>
          </c:marker>
          <c:cat>
            <c:strRef>
              <c:f>'Chart Data'!$AD$4:$AD$24</c:f>
              <c:strCache>
                <c:ptCount val="21"/>
                <c:pt idx="0">
                  <c:v>YE Dec-19</c:v>
                </c:pt>
                <c:pt idx="1">
                  <c:v>YE Mar-20</c:v>
                </c:pt>
                <c:pt idx="2">
                  <c:v>YE Jun-20</c:v>
                </c:pt>
                <c:pt idx="3">
                  <c:v>YE Sep-20</c:v>
                </c:pt>
                <c:pt idx="4">
                  <c:v>YE Dec-20</c:v>
                </c:pt>
                <c:pt idx="5">
                  <c:v>YE Mar-21</c:v>
                </c:pt>
                <c:pt idx="6">
                  <c:v>YE Jun-21</c:v>
                </c:pt>
                <c:pt idx="7">
                  <c:v>YE Sep-21</c:v>
                </c:pt>
                <c:pt idx="8">
                  <c:v>YE Dec-21</c:v>
                </c:pt>
                <c:pt idx="9">
                  <c:v>YE Mar-22</c:v>
                </c:pt>
                <c:pt idx="10">
                  <c:v>YE Jun-22</c:v>
                </c:pt>
                <c:pt idx="11">
                  <c:v>YE Sep-22</c:v>
                </c:pt>
                <c:pt idx="12">
                  <c:v>YE Dec-22</c:v>
                </c:pt>
                <c:pt idx="13">
                  <c:v>YE Mar-23</c:v>
                </c:pt>
                <c:pt idx="14">
                  <c:v>YE Jun-23</c:v>
                </c:pt>
                <c:pt idx="15">
                  <c:v>YE Sep-23</c:v>
                </c:pt>
                <c:pt idx="16">
                  <c:v>YE Dec-23</c:v>
                </c:pt>
                <c:pt idx="17">
                  <c:v>YE Mar-24</c:v>
                </c:pt>
                <c:pt idx="18">
                  <c:v>YE Jun-24</c:v>
                </c:pt>
                <c:pt idx="19">
                  <c:v>YE Sep-24</c:v>
                </c:pt>
                <c:pt idx="20">
                  <c:v>YE Dec-24</c:v>
                </c:pt>
              </c:strCache>
            </c:strRef>
          </c:cat>
          <c:val>
            <c:numRef>
              <c:f>'Chart Data'!$AF$4:$AF$24</c:f>
              <c:numCache>
                <c:formatCode>#,##0</c:formatCode>
                <c:ptCount val="21"/>
                <c:pt idx="0">
                  <c:v>101000</c:v>
                </c:pt>
                <c:pt idx="1">
                  <c:v>134000</c:v>
                </c:pt>
                <c:pt idx="2">
                  <c:v>134000</c:v>
                </c:pt>
                <c:pt idx="3">
                  <c:v>124000</c:v>
                </c:pt>
                <c:pt idx="4">
                  <c:v>116000</c:v>
                </c:pt>
                <c:pt idx="5">
                  <c:v>77000</c:v>
                </c:pt>
                <c:pt idx="6">
                  <c:v>69000</c:v>
                </c:pt>
                <c:pt idx="7">
                  <c:v>50000</c:v>
                </c:pt>
                <c:pt idx="8">
                  <c:v>45000</c:v>
                </c:pt>
                <c:pt idx="9">
                  <c:v>43000</c:v>
                </c:pt>
                <c:pt idx="10">
                  <c:v>46000</c:v>
                </c:pt>
                <c:pt idx="11">
                  <c:v>56000</c:v>
                </c:pt>
                <c:pt idx="12">
                  <c:v>66000</c:v>
                </c:pt>
                <c:pt idx="13">
                  <c:v>75000</c:v>
                </c:pt>
                <c:pt idx="14">
                  <c:v>83000</c:v>
                </c:pt>
                <c:pt idx="15">
                  <c:v>97000</c:v>
                </c:pt>
                <c:pt idx="16">
                  <c:v>103000</c:v>
                </c:pt>
                <c:pt idx="17">
                  <c:v>110000</c:v>
                </c:pt>
                <c:pt idx="18">
                  <c:v>111000</c:v>
                </c:pt>
                <c:pt idx="19">
                  <c:v>114000</c:v>
                </c:pt>
                <c:pt idx="20">
                  <c:v>115000</c:v>
                </c:pt>
              </c:numCache>
            </c:numRef>
          </c:val>
          <c:smooth val="0"/>
          <c:extLst>
            <c:ext xmlns:c16="http://schemas.microsoft.com/office/drawing/2014/chart" uri="{C3380CC4-5D6E-409C-BE32-E72D297353CC}">
              <c16:uniqueId val="{00000001-E850-417B-95DA-4ED900504230}"/>
            </c:ext>
          </c:extLst>
        </c:ser>
        <c:ser>
          <c:idx val="2"/>
          <c:order val="2"/>
          <c:tx>
            <c:strRef>
              <c:f>'Chart Data'!$AG$3</c:f>
              <c:strCache>
                <c:ptCount val="1"/>
                <c:pt idx="0">
                  <c:v>Net migration</c:v>
                </c:pt>
              </c:strCache>
            </c:strRef>
          </c:tx>
          <c:spPr>
            <a:ln w="38100">
              <a:solidFill>
                <a:srgbClr val="D1A21E"/>
              </a:solidFill>
            </a:ln>
          </c:spPr>
          <c:marker>
            <c:symbol val="none"/>
          </c:marker>
          <c:cat>
            <c:strRef>
              <c:f>'Chart Data'!$AD$4:$AD$24</c:f>
              <c:strCache>
                <c:ptCount val="21"/>
                <c:pt idx="0">
                  <c:v>YE Dec-19</c:v>
                </c:pt>
                <c:pt idx="1">
                  <c:v>YE Mar-20</c:v>
                </c:pt>
                <c:pt idx="2">
                  <c:v>YE Jun-20</c:v>
                </c:pt>
                <c:pt idx="3">
                  <c:v>YE Sep-20</c:v>
                </c:pt>
                <c:pt idx="4">
                  <c:v>YE Dec-20</c:v>
                </c:pt>
                <c:pt idx="5">
                  <c:v>YE Mar-21</c:v>
                </c:pt>
                <c:pt idx="6">
                  <c:v>YE Jun-21</c:v>
                </c:pt>
                <c:pt idx="7">
                  <c:v>YE Sep-21</c:v>
                </c:pt>
                <c:pt idx="8">
                  <c:v>YE Dec-21</c:v>
                </c:pt>
                <c:pt idx="9">
                  <c:v>YE Mar-22</c:v>
                </c:pt>
                <c:pt idx="10">
                  <c:v>YE Jun-22</c:v>
                </c:pt>
                <c:pt idx="11">
                  <c:v>YE Sep-22</c:v>
                </c:pt>
                <c:pt idx="12">
                  <c:v>YE Dec-22</c:v>
                </c:pt>
                <c:pt idx="13">
                  <c:v>YE Mar-23</c:v>
                </c:pt>
                <c:pt idx="14">
                  <c:v>YE Jun-23</c:v>
                </c:pt>
                <c:pt idx="15">
                  <c:v>YE Sep-23</c:v>
                </c:pt>
                <c:pt idx="16">
                  <c:v>YE Dec-23</c:v>
                </c:pt>
                <c:pt idx="17">
                  <c:v>YE Mar-24</c:v>
                </c:pt>
                <c:pt idx="18">
                  <c:v>YE Jun-24</c:v>
                </c:pt>
                <c:pt idx="19">
                  <c:v>YE Sep-24</c:v>
                </c:pt>
                <c:pt idx="20">
                  <c:v>YE Dec-24</c:v>
                </c:pt>
              </c:strCache>
            </c:strRef>
          </c:cat>
          <c:val>
            <c:numRef>
              <c:f>'Chart Data'!$AG$4:$AG$24</c:f>
              <c:numCache>
                <c:formatCode>#,##0</c:formatCode>
                <c:ptCount val="21"/>
                <c:pt idx="0">
                  <c:v>10000</c:v>
                </c:pt>
                <c:pt idx="1">
                  <c:v>-10000</c:v>
                </c:pt>
                <c:pt idx="2">
                  <c:v>-20000</c:v>
                </c:pt>
                <c:pt idx="3">
                  <c:v>-55000</c:v>
                </c:pt>
                <c:pt idx="4">
                  <c:v>-16000</c:v>
                </c:pt>
                <c:pt idx="5">
                  <c:v>32000</c:v>
                </c:pt>
                <c:pt idx="6">
                  <c:v>45000</c:v>
                </c:pt>
                <c:pt idx="7">
                  <c:v>149000</c:v>
                </c:pt>
                <c:pt idx="8">
                  <c:v>180000</c:v>
                </c:pt>
                <c:pt idx="9">
                  <c:v>211000</c:v>
                </c:pt>
                <c:pt idx="10">
                  <c:v>214000</c:v>
                </c:pt>
                <c:pt idx="11">
                  <c:v>271000</c:v>
                </c:pt>
                <c:pt idx="12">
                  <c:v>255000</c:v>
                </c:pt>
                <c:pt idx="13">
                  <c:v>222000</c:v>
                </c:pt>
                <c:pt idx="14">
                  <c:v>219000</c:v>
                </c:pt>
                <c:pt idx="15">
                  <c:v>219000</c:v>
                </c:pt>
                <c:pt idx="16">
                  <c:v>198000</c:v>
                </c:pt>
                <c:pt idx="17">
                  <c:v>193000</c:v>
                </c:pt>
                <c:pt idx="18">
                  <c:v>185000</c:v>
                </c:pt>
                <c:pt idx="19">
                  <c:v>149000</c:v>
                </c:pt>
                <c:pt idx="20">
                  <c:v>135000</c:v>
                </c:pt>
              </c:numCache>
            </c:numRef>
          </c:val>
          <c:smooth val="0"/>
          <c:extLst>
            <c:ext xmlns:c16="http://schemas.microsoft.com/office/drawing/2014/chart" uri="{C3380CC4-5D6E-409C-BE32-E72D297353CC}">
              <c16:uniqueId val="{00000002-E850-417B-95DA-4ED900504230}"/>
            </c:ext>
          </c:extLst>
        </c:ser>
        <c:dLbls>
          <c:showLegendKey val="0"/>
          <c:showVal val="0"/>
          <c:showCatName val="0"/>
          <c:showSerName val="0"/>
          <c:showPercent val="0"/>
          <c:showBubbleSize val="0"/>
        </c:dLbls>
        <c:smooth val="0"/>
        <c:axId val="263607040"/>
        <c:axId val="263608576"/>
      </c:lineChart>
      <c:catAx>
        <c:axId val="263607040"/>
        <c:scaling>
          <c:orientation val="minMax"/>
        </c:scaling>
        <c:delete val="0"/>
        <c:axPos val="b"/>
        <c:numFmt formatCode="General" sourceLinked="0"/>
        <c:majorTickMark val="out"/>
        <c:minorTickMark val="none"/>
        <c:tickLblPos val="low"/>
        <c:spPr>
          <a:ln>
            <a:solidFill>
              <a:srgbClr val="495057"/>
            </a:solidFill>
          </a:ln>
        </c:spPr>
        <c:txPr>
          <a:bodyPr rot="0" vert="horz"/>
          <a:lstStyle/>
          <a:p>
            <a:pPr>
              <a:defRPr sz="1800" b="0" i="0" u="none" strike="noStrike" baseline="0">
                <a:solidFill>
                  <a:srgbClr val="495057"/>
                </a:solidFill>
                <a:latin typeface="Segoe UI"/>
                <a:ea typeface="Segoe UI"/>
                <a:cs typeface="Segoe UI"/>
              </a:defRPr>
            </a:pPr>
            <a:endParaRPr lang="en-US"/>
          </a:p>
        </c:txPr>
        <c:crossAx val="263608576"/>
        <c:crossesAt val="-5000000"/>
        <c:auto val="1"/>
        <c:lblAlgn val="ctr"/>
        <c:lblOffset val="100"/>
        <c:tickLblSkip val="4"/>
        <c:tickMarkSkip val="4"/>
        <c:noMultiLvlLbl val="0"/>
      </c:catAx>
      <c:valAx>
        <c:axId val="263608576"/>
        <c:scaling>
          <c:orientation val="minMax"/>
        </c:scaling>
        <c:delete val="0"/>
        <c:axPos val="l"/>
        <c:numFmt formatCode="General" sourceLinked="0"/>
        <c:majorTickMark val="out"/>
        <c:minorTickMark val="none"/>
        <c:tickLblPos val="nextTo"/>
        <c:spPr>
          <a:ln>
            <a:solidFill>
              <a:srgbClr val="495057"/>
            </a:solidFill>
          </a:ln>
        </c:spPr>
        <c:txPr>
          <a:bodyPr rot="0" vert="horz"/>
          <a:lstStyle/>
          <a:p>
            <a:pPr>
              <a:defRPr sz="1800" b="0" i="0" u="none" strike="noStrike" baseline="0">
                <a:solidFill>
                  <a:srgbClr val="495057"/>
                </a:solidFill>
                <a:latin typeface="Segoe UI"/>
                <a:ea typeface="Segoe UI"/>
                <a:cs typeface="Segoe UI"/>
              </a:defRPr>
            </a:pPr>
            <a:endParaRPr lang="en-US"/>
          </a:p>
        </c:txPr>
        <c:crossAx val="263607040"/>
        <c:crosses val="autoZero"/>
        <c:crossBetween val="midCat"/>
        <c:dispUnits>
          <c:builtInUnit val="thousands"/>
          <c:dispUnitsLbl/>
        </c:dispUnits>
      </c:valAx>
      <c:spPr>
        <a:noFill/>
        <a:ln w="25400">
          <a:noFill/>
        </a:ln>
      </c:spPr>
    </c:plotArea>
    <c:legend>
      <c:legendPos val="t"/>
      <c:layout>
        <c:manualLayout>
          <c:xMode val="edge"/>
          <c:yMode val="edge"/>
          <c:x val="0.17331097519876718"/>
          <c:y val="7.2669324532906476E-2"/>
          <c:w val="0.67266437943219015"/>
          <c:h val="5.6167546812492461E-2"/>
        </c:manualLayout>
      </c:layout>
      <c:overlay val="1"/>
      <c:txPr>
        <a:bodyPr/>
        <a:lstStyle/>
        <a:p>
          <a:pPr>
            <a:defRPr sz="1800">
              <a:solidFill>
                <a:srgbClr val="495057"/>
              </a:solidFill>
              <a:latin typeface="Segoe UI"/>
              <a:ea typeface="Segoe UI"/>
              <a:cs typeface="Segoe UI"/>
            </a:defRPr>
          </a:pPr>
          <a:endParaRPr lang="en-US"/>
        </a:p>
      </c:txPr>
    </c:legend>
    <c:plotVisOnly val="1"/>
    <c:dispBlanksAs val="gap"/>
    <c:showDLblsOverMax val="0"/>
  </c:chart>
  <c:spPr>
    <a:noFill/>
    <a:ln w="28575">
      <a:noFill/>
    </a:ln>
  </c:spPr>
  <c:txPr>
    <a:bodyPr/>
    <a:lstStyle/>
    <a:p>
      <a:pPr>
        <a:defRPr sz="2000" b="0" i="0" u="none" strike="noStrike" baseline="0">
          <a:solidFill>
            <a:srgbClr val="000000"/>
          </a:solidFill>
          <a:latin typeface="Arial"/>
          <a:ea typeface="Arial"/>
          <a:cs typeface="Arial"/>
        </a:defRPr>
      </a:pPr>
      <a:endParaRPr lang="en-US"/>
    </a:p>
  </c:txPr>
  <c:userShapes r:id="rId2"/>
</c:chartSpace>
</file>

<file path=xl/chart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chartsheets/_rels/sheet2.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chartsheets/_rels/sheet3.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3.bin"/></Relationships>
</file>

<file path=xl/chartsheets/_rels/sheet4.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4.bin"/></Relationships>
</file>

<file path=xl/chartsheets/_rels/sheet5.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5.bin"/></Relationships>
</file>

<file path=xl/chartsheets/sheet1.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DCA14722-5E99-4013-969E-33F8F13A0EA6}">
  <sheetPr/>
  <sheetViews>
    <sheetView tabSelected="1" zoomScale="55" workbookViewId="0"/>
  </sheetViews>
  <pageMargins left="1.1811023622047201" right="1.1811023622047201" top="0.39370078740157499" bottom="0.39370078740157499" header="0.78740157480314998" footer="0.78740157480314998"/>
  <pageSetup paperSize="9" orientation="landscape" r:id="rId1"/>
  <drawing r:id="rId2"/>
</chartsheet>
</file>

<file path=xl/chartsheets/sheet2.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ED0B5DE3-9BD4-4B62-907B-FF89373A1EEB}">
  <sheetPr/>
  <sheetViews>
    <sheetView zoomScale="55" workbookViewId="0"/>
  </sheetViews>
  <pageMargins left="1.1811023622047201" right="1.1811023622047201" top="0.39370078740157499" bottom="0.39370078740157499" header="0.78740157480314998" footer="0.78740157480314998"/>
  <pageSetup paperSize="9" orientation="landscape" r:id="rId1"/>
  <drawing r:id="rId2"/>
</chartsheet>
</file>

<file path=xl/chartsheets/sheet3.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12006F2B-6A38-4C16-94D8-9D254CD4AF49}">
  <sheetPr/>
  <sheetViews>
    <sheetView zoomScale="55" workbookViewId="0"/>
  </sheetViews>
  <pageMargins left="1.1811023622047201" right="1.1811023622047201" top="0.39370078740157499" bottom="0.39370078740157499" header="0.78740157480314998" footer="0.78740157480314998"/>
  <pageSetup paperSize="9" orientation="landscape" r:id="rId1"/>
  <drawing r:id="rId2"/>
</chartsheet>
</file>

<file path=xl/chartsheets/sheet4.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7BF8D3-4629-4DF5-ACDA-B3A622EC5E8B}">
  <sheetPr/>
  <sheetViews>
    <sheetView zoomScale="55" workbookViewId="0"/>
  </sheetViews>
  <pageMargins left="1.1811023622047201" right="1.1811023622047201" top="0.39370078740157499" bottom="0.39370078740157499" header="0.78740157480314998" footer="0.78740157480314998"/>
  <pageSetup paperSize="9" orientation="landscape" r:id="rId1"/>
  <drawing r:id="rId2"/>
</chartsheet>
</file>

<file path=xl/chartsheets/sheet5.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A10D083F-001B-496D-92DB-342C08C2FA01}">
  <sheetPr/>
  <sheetViews>
    <sheetView zoomScale="70" workbookViewId="0"/>
  </sheetViews>
  <pageMargins left="1.1811023622047201" right="1.1811023622047201" top="0.39370078740157499" bottom="0.39370078740157499" header="0.78740157480314998" footer="0.78740157480314998"/>
  <pageSetup paperSize="9" orientation="landscape" r:id="rId1"/>
  <drawing r:id="rId2"/>
</chartsheet>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5.xml.rels><?xml version="1.0" encoding="UTF-8" standalone="yes"?>
<Relationships xmlns="http://schemas.openxmlformats.org/package/2006/relationships"><Relationship Id="rId1" Type="http://schemas.openxmlformats.org/officeDocument/2006/relationships/chart" Target="../charts/chart3.xml"/></Relationships>
</file>

<file path=xl/drawings/_rels/drawing7.xml.rels><?xml version="1.0" encoding="UTF-8" standalone="yes"?>
<Relationships xmlns="http://schemas.openxmlformats.org/package/2006/relationships"><Relationship Id="rId1" Type="http://schemas.openxmlformats.org/officeDocument/2006/relationships/chart" Target="../charts/chart4.xml"/></Relationships>
</file>

<file path=xl/drawings/_rels/drawing9.xml.rels><?xml version="1.0" encoding="UTF-8" standalone="yes"?>
<Relationships xmlns="http://schemas.openxmlformats.org/package/2006/relationships"><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absoluteAnchor>
    <xdr:pos x="0" y="0"/>
    <xdr:ext cx="8420100" cy="6718300"/>
    <xdr:graphicFrame macro="">
      <xdr:nvGraphicFramePr>
        <xdr:cNvPr id="2" name="Chart 1">
          <a:extLst>
            <a:ext uri="{FF2B5EF4-FFF2-40B4-BE49-F238E27FC236}">
              <a16:creationId xmlns:a16="http://schemas.microsoft.com/office/drawing/2014/main" id="{736AAF42-8809-D5D7-586A-5FD7A15412EE}"/>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2.xml><?xml version="1.0" encoding="utf-8"?>
<c:userShapes xmlns:c="http://schemas.openxmlformats.org/drawingml/2006/chart">
  <cdr:relSizeAnchor xmlns:cdr="http://schemas.openxmlformats.org/drawingml/2006/chartDrawing">
    <cdr:from>
      <cdr:x>0</cdr:x>
      <cdr:y>0.00807</cdr:y>
    </cdr:from>
    <cdr:to>
      <cdr:x>1</cdr:x>
      <cdr:y>0.08882</cdr:y>
    </cdr:to>
    <cdr:sp macro="" textlink="">
      <cdr:nvSpPr>
        <cdr:cNvPr id="2" name="TextBox 1">
          <a:extLst xmlns:a="http://schemas.openxmlformats.org/drawingml/2006/main">
            <a:ext uri="{FF2B5EF4-FFF2-40B4-BE49-F238E27FC236}">
              <a16:creationId xmlns:a16="http://schemas.microsoft.com/office/drawing/2014/main" id="{05B613AF-D9FB-E2F5-B35E-9B1F1710A8D1}"/>
            </a:ext>
          </a:extLst>
        </cdr:cNvPr>
        <cdr:cNvSpPr txBox="1"/>
      </cdr:nvSpPr>
      <cdr:spPr>
        <a:xfrm xmlns:a="http://schemas.openxmlformats.org/drawingml/2006/main">
          <a:off x="50800" y="50800"/>
          <a:ext cx="8890000" cy="5080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2400" b="0">
              <a:solidFill>
                <a:srgbClr val="495057"/>
              </a:solidFill>
              <a:latin typeface="Segoe UI" panose="020B0502040204020203" pitchFamily="34" charset="0"/>
              <a:cs typeface="Segoe UI" panose="020B0502040204020203" pitchFamily="34" charset="0"/>
            </a:rPr>
            <a:t>UK: Working age population projections</a:t>
          </a:r>
        </a:p>
      </cdr:txBody>
    </cdr:sp>
  </cdr:relSizeAnchor>
  <cdr:relSizeAnchor xmlns:cdr="http://schemas.openxmlformats.org/drawingml/2006/chartDrawing">
    <cdr:from>
      <cdr:x>0</cdr:x>
      <cdr:y>0.93924</cdr:y>
    </cdr:from>
    <cdr:to>
      <cdr:x>1</cdr:x>
      <cdr:y>1</cdr:y>
    </cdr:to>
    <cdr:sp macro="" textlink="">
      <cdr:nvSpPr>
        <cdr:cNvPr id="3" name="Rectangle 2">
          <a:extLst xmlns:a="http://schemas.openxmlformats.org/drawingml/2006/main">
            <a:ext uri="{FF2B5EF4-FFF2-40B4-BE49-F238E27FC236}">
              <a16:creationId xmlns:a16="http://schemas.microsoft.com/office/drawing/2014/main" id="{373EA9C8-892E-119A-6BF2-12E9D77D2B17}"/>
            </a:ext>
          </a:extLst>
        </cdr:cNvPr>
        <cdr:cNvSpPr/>
      </cdr:nvSpPr>
      <cdr:spPr>
        <a:xfrm xmlns:a="http://schemas.openxmlformats.org/drawingml/2006/main">
          <a:off x="50800" y="5909243"/>
          <a:ext cx="8664408" cy="382270"/>
        </a:xfrm>
        <a:prstGeom xmlns:a="http://schemas.openxmlformats.org/drawingml/2006/main" prst="rect">
          <a:avLst/>
        </a:prstGeom>
        <a:noFill xmlns:a="http://schemas.openxmlformats.org/drawingml/2006/main"/>
        <a:ln xmlns:a="http://schemas.openxmlformats.org/drawingml/2006/main" w="25400" cap="flat" cmpd="sng" algn="ctr">
          <a:noFill/>
          <a:prstDash val="solid"/>
        </a:ln>
        <a:effectLst xmlns:a="http://schemas.openxmlformats.org/drawingml/2006/main"/>
        <a:extLst xmlns:a="http://schemas.openxmlformats.org/drawingml/2006/main">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25400" cap="flat" cmpd="sng" algn="ctr">
              <a:solidFill>
                <a:schemeClr val="accent1">
                  <a:shade val="15000"/>
                </a:schemeClr>
              </a:solidFill>
              <a:prstDash val="solid"/>
            </a14:hiddenLine>
          </a:ext>
        </a:extLst>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pPr algn="l"/>
          <a:r>
            <a:rPr lang="en-US" sz="1600" b="0" i="0" u="none" strike="noStrike" baseline="0">
              <a:solidFill>
                <a:srgbClr val="495057"/>
              </a:solidFill>
              <a:latin typeface="Segoe UI" panose="020B0502040204020203" pitchFamily="34" charset="0"/>
            </a:rPr>
            <a:t>Source: Oxford Economics, ONS</a:t>
          </a:r>
        </a:p>
      </cdr:txBody>
    </cdr:sp>
  </cdr:relSizeAnchor>
  <cdr:relSizeAnchor xmlns:cdr="http://schemas.openxmlformats.org/drawingml/2006/chartDrawing">
    <cdr:from>
      <cdr:x>0</cdr:x>
      <cdr:y>0.07563</cdr:y>
    </cdr:from>
    <cdr:to>
      <cdr:x>1</cdr:x>
      <cdr:y>0.12668</cdr:y>
    </cdr:to>
    <cdr:sp macro="" textlink="">
      <cdr:nvSpPr>
        <cdr:cNvPr id="6" name="TextBox 5">
          <a:extLst xmlns:a="http://schemas.openxmlformats.org/drawingml/2006/main">
            <a:ext uri="{FF2B5EF4-FFF2-40B4-BE49-F238E27FC236}">
              <a16:creationId xmlns:a16="http://schemas.microsoft.com/office/drawing/2014/main" id="{0FD59DC3-097D-B2F6-494D-98D3479D5774}"/>
            </a:ext>
          </a:extLst>
        </cdr:cNvPr>
        <cdr:cNvSpPr txBox="1"/>
      </cdr:nvSpPr>
      <cdr:spPr>
        <a:xfrm xmlns:a="http://schemas.openxmlformats.org/drawingml/2006/main">
          <a:off x="50800" y="508000"/>
          <a:ext cx="8890000" cy="3429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1800" b="0">
              <a:solidFill>
                <a:srgbClr val="495057"/>
              </a:solidFill>
              <a:latin typeface="Segoe UI" panose="020B0502040204020203" pitchFamily="34" charset="0"/>
              <a:cs typeface="Segoe UI" panose="020B0502040204020203" pitchFamily="34" charset="0"/>
            </a:rPr>
            <a:t>Millions</a:t>
          </a:r>
        </a:p>
      </cdr:txBody>
    </cdr:sp>
  </cdr:relSizeAnchor>
  <cdr:relSizeAnchor xmlns:cdr="http://schemas.openxmlformats.org/drawingml/2006/chartDrawing">
    <cdr:from>
      <cdr:x>0.18977</cdr:x>
      <cdr:y>0.68465</cdr:y>
    </cdr:from>
    <cdr:to>
      <cdr:x>0.66773</cdr:x>
      <cdr:y>0.8547</cdr:y>
    </cdr:to>
    <cdr:sp macro="" textlink="">
      <cdr:nvSpPr>
        <cdr:cNvPr id="7" name="TextBox 1">
          <a:extLst xmlns:a="http://schemas.openxmlformats.org/drawingml/2006/main">
            <a:ext uri="{FF2B5EF4-FFF2-40B4-BE49-F238E27FC236}">
              <a16:creationId xmlns:a16="http://schemas.microsoft.com/office/drawing/2014/main" id="{66AE1080-0918-DE78-D313-8296C30E0F8D}"/>
            </a:ext>
          </a:extLst>
        </cdr:cNvPr>
        <cdr:cNvSpPr txBox="1"/>
      </cdr:nvSpPr>
      <cdr:spPr>
        <a:xfrm xmlns:a="http://schemas.openxmlformats.org/drawingml/2006/main">
          <a:off x="1597891" y="4599709"/>
          <a:ext cx="4024471" cy="1142419"/>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en-GB" sz="1600">
              <a:solidFill>
                <a:srgbClr val="495057"/>
              </a:solidFill>
              <a:latin typeface="Segoe UI" panose="020B0502040204020203" pitchFamily="34" charset="0"/>
              <a:cs typeface="Segoe UI" panose="020B0502040204020203" pitchFamily="34" charset="0"/>
            </a:rPr>
            <a:t>Increases in state pension</a:t>
          </a:r>
          <a:r>
            <a:rPr lang="en-GB" sz="1600" baseline="0">
              <a:solidFill>
                <a:srgbClr val="495057"/>
              </a:solidFill>
              <a:latin typeface="Segoe UI" panose="020B0502040204020203" pitchFamily="34" charset="0"/>
              <a:cs typeface="Segoe UI" panose="020B0502040204020203" pitchFamily="34" charset="0"/>
            </a:rPr>
            <a:t> age</a:t>
          </a:r>
          <a:endParaRPr lang="en-GB" sz="1600">
            <a:solidFill>
              <a:srgbClr val="495057"/>
            </a:solidFill>
            <a:latin typeface="Segoe UI" panose="020B0502040204020203" pitchFamily="34" charset="0"/>
            <a:cs typeface="Segoe UI" panose="020B0502040204020203" pitchFamily="34" charset="0"/>
          </a:endParaRPr>
        </a:p>
      </cdr:txBody>
    </cdr:sp>
  </cdr:relSizeAnchor>
  <cdr:relSizeAnchor xmlns:cdr="http://schemas.openxmlformats.org/drawingml/2006/chartDrawing">
    <cdr:from>
      <cdr:x>0.27202</cdr:x>
      <cdr:y>0.76992</cdr:y>
    </cdr:from>
    <cdr:to>
      <cdr:x>0.3617</cdr:x>
      <cdr:y>0.76992</cdr:y>
    </cdr:to>
    <cdr:cxnSp macro="">
      <cdr:nvCxnSpPr>
        <cdr:cNvPr id="15" name="Straight Arrow Connector 14">
          <a:extLst xmlns:a="http://schemas.openxmlformats.org/drawingml/2006/main">
            <a:ext uri="{FF2B5EF4-FFF2-40B4-BE49-F238E27FC236}">
              <a16:creationId xmlns:a16="http://schemas.microsoft.com/office/drawing/2014/main" id="{05F77890-6133-1943-52DA-8B0FBCB0C5A8}"/>
            </a:ext>
          </a:extLst>
        </cdr:cNvPr>
        <cdr:cNvCxnSpPr/>
      </cdr:nvCxnSpPr>
      <cdr:spPr>
        <a:xfrm xmlns:a="http://schemas.openxmlformats.org/drawingml/2006/main" flipH="1">
          <a:off x="2290397" y="5172530"/>
          <a:ext cx="755157" cy="0"/>
        </a:xfrm>
        <a:prstGeom xmlns:a="http://schemas.openxmlformats.org/drawingml/2006/main" prst="straightConnector1">
          <a:avLst/>
        </a:prstGeom>
        <a:ln xmlns:a="http://schemas.openxmlformats.org/drawingml/2006/main" w="12700">
          <a:solidFill>
            <a:srgbClr val="495057"/>
          </a:solidFill>
          <a:tailEnd type="triangle" w="lg" len="med"/>
        </a:ln>
        <a:effectLst xmlns:a="http://schemas.openxmlformats.org/drawingml/2006/main"/>
      </cdr:spPr>
      <cdr:style>
        <a:lnRef xmlns:a="http://schemas.openxmlformats.org/drawingml/2006/main" idx="2">
          <a:schemeClr val="accent1"/>
        </a:lnRef>
        <a:fillRef xmlns:a="http://schemas.openxmlformats.org/drawingml/2006/main" idx="0">
          <a:schemeClr val="accent1"/>
        </a:fillRef>
        <a:effectRef xmlns:a="http://schemas.openxmlformats.org/drawingml/2006/main" idx="1">
          <a:schemeClr val="accent1"/>
        </a:effectRef>
        <a:fontRef xmlns:a="http://schemas.openxmlformats.org/drawingml/2006/main" idx="minor">
          <a:schemeClr val="tx1"/>
        </a:fontRef>
      </cdr:style>
    </cdr:cxnSp>
  </cdr:relSizeAnchor>
  <cdr:relSizeAnchor xmlns:cdr="http://schemas.openxmlformats.org/drawingml/2006/chartDrawing">
    <cdr:from>
      <cdr:x>0.49164</cdr:x>
      <cdr:y>0.77198</cdr:y>
    </cdr:from>
    <cdr:to>
      <cdr:x>0.58133</cdr:x>
      <cdr:y>0.77198</cdr:y>
    </cdr:to>
    <cdr:cxnSp macro="">
      <cdr:nvCxnSpPr>
        <cdr:cNvPr id="18" name="Straight Arrow Connector 17">
          <a:extLst xmlns:a="http://schemas.openxmlformats.org/drawingml/2006/main">
            <a:ext uri="{FF2B5EF4-FFF2-40B4-BE49-F238E27FC236}">
              <a16:creationId xmlns:a16="http://schemas.microsoft.com/office/drawing/2014/main" id="{C33B93CD-30DF-7F11-B33B-30D84554CC86}"/>
            </a:ext>
          </a:extLst>
        </cdr:cNvPr>
        <cdr:cNvCxnSpPr/>
      </cdr:nvCxnSpPr>
      <cdr:spPr>
        <a:xfrm xmlns:a="http://schemas.openxmlformats.org/drawingml/2006/main">
          <a:off x="4139682" y="5186363"/>
          <a:ext cx="755157" cy="0"/>
        </a:xfrm>
        <a:prstGeom xmlns:a="http://schemas.openxmlformats.org/drawingml/2006/main" prst="straightConnector1">
          <a:avLst/>
        </a:prstGeom>
        <a:ln xmlns:a="http://schemas.openxmlformats.org/drawingml/2006/main" w="12700">
          <a:solidFill>
            <a:srgbClr val="495057"/>
          </a:solidFill>
          <a:tailEnd type="triangle" w="lg" len="med"/>
        </a:ln>
        <a:effectLst xmlns:a="http://schemas.openxmlformats.org/drawingml/2006/main"/>
      </cdr:spPr>
      <cdr:style>
        <a:lnRef xmlns:a="http://schemas.openxmlformats.org/drawingml/2006/main" idx="2">
          <a:schemeClr val="accent1"/>
        </a:lnRef>
        <a:fillRef xmlns:a="http://schemas.openxmlformats.org/drawingml/2006/main" idx="0">
          <a:schemeClr val="accent1"/>
        </a:fillRef>
        <a:effectRef xmlns:a="http://schemas.openxmlformats.org/drawingml/2006/main" idx="1">
          <a:schemeClr val="accent1"/>
        </a:effectRef>
        <a:fontRef xmlns:a="http://schemas.openxmlformats.org/drawingml/2006/main" idx="minor">
          <a:schemeClr val="tx1"/>
        </a:fontRef>
      </cdr:style>
    </cdr:cxnSp>
  </cdr:relSizeAnchor>
</c:userShapes>
</file>

<file path=xl/drawings/drawing3.xml><?xml version="1.0" encoding="utf-8"?>
<xdr:wsDr xmlns:xdr="http://schemas.openxmlformats.org/drawingml/2006/spreadsheetDrawing" xmlns:a="http://schemas.openxmlformats.org/drawingml/2006/main">
  <xdr:absoluteAnchor>
    <xdr:pos x="0" y="0"/>
    <xdr:ext cx="8428182" cy="6742545"/>
    <xdr:graphicFrame macro="">
      <xdr:nvGraphicFramePr>
        <xdr:cNvPr id="2" name="Chart 1">
          <a:extLst>
            <a:ext uri="{FF2B5EF4-FFF2-40B4-BE49-F238E27FC236}">
              <a16:creationId xmlns:a16="http://schemas.microsoft.com/office/drawing/2014/main" id="{85D9FB45-A99C-4B1F-1BFE-AC63C8635967}"/>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4.xml><?xml version="1.0" encoding="utf-8"?>
<c:userShapes xmlns:c="http://schemas.openxmlformats.org/drawingml/2006/chart">
  <cdr:relSizeAnchor xmlns:cdr="http://schemas.openxmlformats.org/drawingml/2006/chartDrawing">
    <cdr:from>
      <cdr:x>0</cdr:x>
      <cdr:y>0.00807</cdr:y>
    </cdr:from>
    <cdr:to>
      <cdr:x>1</cdr:x>
      <cdr:y>0.08882</cdr:y>
    </cdr:to>
    <cdr:sp macro="" textlink="">
      <cdr:nvSpPr>
        <cdr:cNvPr id="2" name="TextBox 1">
          <a:extLst xmlns:a="http://schemas.openxmlformats.org/drawingml/2006/main">
            <a:ext uri="{FF2B5EF4-FFF2-40B4-BE49-F238E27FC236}">
              <a16:creationId xmlns:a16="http://schemas.microsoft.com/office/drawing/2014/main" id="{30F68BAE-31CE-E891-13D8-296DE50231FA}"/>
            </a:ext>
          </a:extLst>
        </cdr:cNvPr>
        <cdr:cNvSpPr txBox="1"/>
      </cdr:nvSpPr>
      <cdr:spPr>
        <a:xfrm xmlns:a="http://schemas.openxmlformats.org/drawingml/2006/main">
          <a:off x="50800" y="50800"/>
          <a:ext cx="8890000" cy="5080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2400" b="0">
              <a:solidFill>
                <a:srgbClr val="495057"/>
              </a:solidFill>
              <a:latin typeface="Segoe UI" panose="020B0502040204020203" pitchFamily="34" charset="0"/>
              <a:cs typeface="Segoe UI" panose="020B0502040204020203" pitchFamily="34" charset="0"/>
            </a:rPr>
            <a:t>UK: Immigration of non-EU+ nationals, by reason</a:t>
          </a:r>
        </a:p>
      </cdr:txBody>
    </cdr:sp>
  </cdr:relSizeAnchor>
  <cdr:relSizeAnchor xmlns:cdr="http://schemas.openxmlformats.org/drawingml/2006/chartDrawing">
    <cdr:from>
      <cdr:x>0</cdr:x>
      <cdr:y>0.93924</cdr:y>
    </cdr:from>
    <cdr:to>
      <cdr:x>1</cdr:x>
      <cdr:y>1</cdr:y>
    </cdr:to>
    <cdr:sp macro="" textlink="">
      <cdr:nvSpPr>
        <cdr:cNvPr id="3" name="Rectangle 2">
          <a:extLst xmlns:a="http://schemas.openxmlformats.org/drawingml/2006/main">
            <a:ext uri="{FF2B5EF4-FFF2-40B4-BE49-F238E27FC236}">
              <a16:creationId xmlns:a16="http://schemas.microsoft.com/office/drawing/2014/main" id="{23DCA559-42A4-C940-1C65-2A3EDFCB2EAE}"/>
            </a:ext>
          </a:extLst>
        </cdr:cNvPr>
        <cdr:cNvSpPr/>
      </cdr:nvSpPr>
      <cdr:spPr>
        <a:xfrm xmlns:a="http://schemas.openxmlformats.org/drawingml/2006/main">
          <a:off x="50800" y="5909243"/>
          <a:ext cx="8664408" cy="382270"/>
        </a:xfrm>
        <a:prstGeom xmlns:a="http://schemas.openxmlformats.org/drawingml/2006/main" prst="rect">
          <a:avLst/>
        </a:prstGeom>
        <a:noFill xmlns:a="http://schemas.openxmlformats.org/drawingml/2006/main"/>
        <a:ln xmlns:a="http://schemas.openxmlformats.org/drawingml/2006/main" w="25400" cap="flat" cmpd="sng" algn="ctr">
          <a:noFill/>
          <a:prstDash val="solid"/>
        </a:ln>
        <a:effectLst xmlns:a="http://schemas.openxmlformats.org/drawingml/2006/main"/>
        <a:extLst xmlns:a="http://schemas.openxmlformats.org/drawingml/2006/main">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25400" cap="flat" cmpd="sng" algn="ctr">
              <a:solidFill>
                <a:schemeClr val="accent1">
                  <a:shade val="15000"/>
                </a:schemeClr>
              </a:solidFill>
              <a:prstDash val="solid"/>
            </a14:hiddenLine>
          </a:ext>
        </a:extLst>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pPr algn="l"/>
          <a:r>
            <a:rPr lang="en-US" sz="1600" b="0" i="0" u="none" strike="noStrike" baseline="0">
              <a:solidFill>
                <a:srgbClr val="495057"/>
              </a:solidFill>
              <a:latin typeface="Segoe UI" panose="020B0502040204020203" pitchFamily="34" charset="0"/>
            </a:rPr>
            <a:t>Source: ONS</a:t>
          </a:r>
        </a:p>
      </cdr:txBody>
    </cdr:sp>
  </cdr:relSizeAnchor>
  <cdr:relSizeAnchor xmlns:cdr="http://schemas.openxmlformats.org/drawingml/2006/chartDrawing">
    <cdr:from>
      <cdr:x>0</cdr:x>
      <cdr:y>0.07563</cdr:y>
    </cdr:from>
    <cdr:to>
      <cdr:x>1</cdr:x>
      <cdr:y>0.12668</cdr:y>
    </cdr:to>
    <cdr:sp macro="" textlink="">
      <cdr:nvSpPr>
        <cdr:cNvPr id="6" name="TextBox 5">
          <a:extLst xmlns:a="http://schemas.openxmlformats.org/drawingml/2006/main">
            <a:ext uri="{FF2B5EF4-FFF2-40B4-BE49-F238E27FC236}">
              <a16:creationId xmlns:a16="http://schemas.microsoft.com/office/drawing/2014/main" id="{CD1E34B5-1E3A-B7E9-595B-3ABF54E03579}"/>
            </a:ext>
          </a:extLst>
        </cdr:cNvPr>
        <cdr:cNvSpPr txBox="1"/>
      </cdr:nvSpPr>
      <cdr:spPr>
        <a:xfrm xmlns:a="http://schemas.openxmlformats.org/drawingml/2006/main">
          <a:off x="50800" y="508000"/>
          <a:ext cx="8890000" cy="3429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1800" b="0">
              <a:solidFill>
                <a:srgbClr val="495057"/>
              </a:solidFill>
              <a:latin typeface="Segoe UI" panose="020B0502040204020203" pitchFamily="34" charset="0"/>
              <a:cs typeface="Segoe UI" panose="020B0502040204020203" pitchFamily="34" charset="0"/>
            </a:rPr>
            <a:t>Thousands</a:t>
          </a:r>
        </a:p>
      </cdr:txBody>
    </cdr:sp>
  </cdr:relSizeAnchor>
</c:userShapes>
</file>

<file path=xl/drawings/drawing5.xml><?xml version="1.0" encoding="utf-8"?>
<xdr:wsDr xmlns:xdr="http://schemas.openxmlformats.org/drawingml/2006/spreadsheetDrawing" xmlns:a="http://schemas.openxmlformats.org/drawingml/2006/main">
  <xdr:absoluteAnchor>
    <xdr:pos x="0" y="0"/>
    <xdr:ext cx="8428182" cy="6742545"/>
    <xdr:graphicFrame macro="">
      <xdr:nvGraphicFramePr>
        <xdr:cNvPr id="2" name="Chart 1">
          <a:extLst>
            <a:ext uri="{FF2B5EF4-FFF2-40B4-BE49-F238E27FC236}">
              <a16:creationId xmlns:a16="http://schemas.microsoft.com/office/drawing/2014/main" id="{E934EBB8-8251-C3CD-E7B8-FFF643AB1061}"/>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6.xml><?xml version="1.0" encoding="utf-8"?>
<c:userShapes xmlns:c="http://schemas.openxmlformats.org/drawingml/2006/chart">
  <cdr:relSizeAnchor xmlns:cdr="http://schemas.openxmlformats.org/drawingml/2006/chartDrawing">
    <cdr:from>
      <cdr:x>0</cdr:x>
      <cdr:y>0.00807</cdr:y>
    </cdr:from>
    <cdr:to>
      <cdr:x>1</cdr:x>
      <cdr:y>0.08882</cdr:y>
    </cdr:to>
    <cdr:sp macro="" textlink="">
      <cdr:nvSpPr>
        <cdr:cNvPr id="2" name="TextBox 1">
          <a:extLst xmlns:a="http://schemas.openxmlformats.org/drawingml/2006/main">
            <a:ext uri="{FF2B5EF4-FFF2-40B4-BE49-F238E27FC236}">
              <a16:creationId xmlns:a16="http://schemas.microsoft.com/office/drawing/2014/main" id="{30F68BAE-31CE-E891-13D8-296DE50231FA}"/>
            </a:ext>
          </a:extLst>
        </cdr:cNvPr>
        <cdr:cNvSpPr txBox="1"/>
      </cdr:nvSpPr>
      <cdr:spPr>
        <a:xfrm xmlns:a="http://schemas.openxmlformats.org/drawingml/2006/main">
          <a:off x="50800" y="50800"/>
          <a:ext cx="8890000" cy="5080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2400" b="0">
              <a:solidFill>
                <a:srgbClr val="495057"/>
              </a:solidFill>
              <a:latin typeface="Segoe UI" panose="020B0502040204020203" pitchFamily="34" charset="0"/>
              <a:cs typeface="Segoe UI" panose="020B0502040204020203" pitchFamily="34" charset="0"/>
            </a:rPr>
            <a:t>UK: Net migration of non-EU+ nationals, by reason</a:t>
          </a:r>
        </a:p>
      </cdr:txBody>
    </cdr:sp>
  </cdr:relSizeAnchor>
  <cdr:relSizeAnchor xmlns:cdr="http://schemas.openxmlformats.org/drawingml/2006/chartDrawing">
    <cdr:from>
      <cdr:x>0</cdr:x>
      <cdr:y>0.93924</cdr:y>
    </cdr:from>
    <cdr:to>
      <cdr:x>1</cdr:x>
      <cdr:y>1</cdr:y>
    </cdr:to>
    <cdr:sp macro="" textlink="">
      <cdr:nvSpPr>
        <cdr:cNvPr id="3" name="Rectangle 2">
          <a:extLst xmlns:a="http://schemas.openxmlformats.org/drawingml/2006/main">
            <a:ext uri="{FF2B5EF4-FFF2-40B4-BE49-F238E27FC236}">
              <a16:creationId xmlns:a16="http://schemas.microsoft.com/office/drawing/2014/main" id="{23DCA559-42A4-C940-1C65-2A3EDFCB2EAE}"/>
            </a:ext>
          </a:extLst>
        </cdr:cNvPr>
        <cdr:cNvSpPr/>
      </cdr:nvSpPr>
      <cdr:spPr>
        <a:xfrm xmlns:a="http://schemas.openxmlformats.org/drawingml/2006/main">
          <a:off x="50800" y="5909243"/>
          <a:ext cx="8664408" cy="382270"/>
        </a:xfrm>
        <a:prstGeom xmlns:a="http://schemas.openxmlformats.org/drawingml/2006/main" prst="rect">
          <a:avLst/>
        </a:prstGeom>
        <a:noFill xmlns:a="http://schemas.openxmlformats.org/drawingml/2006/main"/>
        <a:ln xmlns:a="http://schemas.openxmlformats.org/drawingml/2006/main" w="25400" cap="flat" cmpd="sng" algn="ctr">
          <a:noFill/>
          <a:prstDash val="solid"/>
        </a:ln>
        <a:effectLst xmlns:a="http://schemas.openxmlformats.org/drawingml/2006/main"/>
        <a:extLst xmlns:a="http://schemas.openxmlformats.org/drawingml/2006/main">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25400" cap="flat" cmpd="sng" algn="ctr">
              <a:solidFill>
                <a:schemeClr val="accent1">
                  <a:shade val="15000"/>
                </a:schemeClr>
              </a:solidFill>
              <a:prstDash val="solid"/>
            </a14:hiddenLine>
          </a:ext>
        </a:extLst>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pPr algn="l"/>
          <a:r>
            <a:rPr lang="en-US" sz="1600" b="0" i="0" u="none" strike="noStrike" baseline="0">
              <a:solidFill>
                <a:srgbClr val="495057"/>
              </a:solidFill>
              <a:latin typeface="Segoe UI" panose="020B0502040204020203" pitchFamily="34" charset="0"/>
            </a:rPr>
            <a:t>Source: ONS</a:t>
          </a:r>
        </a:p>
      </cdr:txBody>
    </cdr:sp>
  </cdr:relSizeAnchor>
  <cdr:relSizeAnchor xmlns:cdr="http://schemas.openxmlformats.org/drawingml/2006/chartDrawing">
    <cdr:from>
      <cdr:x>0</cdr:x>
      <cdr:y>0.07563</cdr:y>
    </cdr:from>
    <cdr:to>
      <cdr:x>1</cdr:x>
      <cdr:y>0.12668</cdr:y>
    </cdr:to>
    <cdr:sp macro="" textlink="">
      <cdr:nvSpPr>
        <cdr:cNvPr id="6" name="TextBox 5">
          <a:extLst xmlns:a="http://schemas.openxmlformats.org/drawingml/2006/main">
            <a:ext uri="{FF2B5EF4-FFF2-40B4-BE49-F238E27FC236}">
              <a16:creationId xmlns:a16="http://schemas.microsoft.com/office/drawing/2014/main" id="{CD1E34B5-1E3A-B7E9-595B-3ABF54E03579}"/>
            </a:ext>
          </a:extLst>
        </cdr:cNvPr>
        <cdr:cNvSpPr txBox="1"/>
      </cdr:nvSpPr>
      <cdr:spPr>
        <a:xfrm xmlns:a="http://schemas.openxmlformats.org/drawingml/2006/main">
          <a:off x="50800" y="508000"/>
          <a:ext cx="8890000" cy="3429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1800" b="0">
              <a:solidFill>
                <a:srgbClr val="495057"/>
              </a:solidFill>
              <a:latin typeface="Segoe UI" panose="020B0502040204020203" pitchFamily="34" charset="0"/>
              <a:cs typeface="Segoe UI" panose="020B0502040204020203" pitchFamily="34" charset="0"/>
            </a:rPr>
            <a:t>Thousands</a:t>
          </a:r>
        </a:p>
      </cdr:txBody>
    </cdr:sp>
  </cdr:relSizeAnchor>
</c:userShapes>
</file>

<file path=xl/drawings/drawing7.xml><?xml version="1.0" encoding="utf-8"?>
<xdr:wsDr xmlns:xdr="http://schemas.openxmlformats.org/drawingml/2006/spreadsheetDrawing" xmlns:a="http://schemas.openxmlformats.org/drawingml/2006/main">
  <xdr:absoluteAnchor>
    <xdr:pos x="0" y="0"/>
    <xdr:ext cx="8428182" cy="6742545"/>
    <xdr:graphicFrame macro="">
      <xdr:nvGraphicFramePr>
        <xdr:cNvPr id="2" name="Chart 1">
          <a:extLst>
            <a:ext uri="{FF2B5EF4-FFF2-40B4-BE49-F238E27FC236}">
              <a16:creationId xmlns:a16="http://schemas.microsoft.com/office/drawing/2014/main" id="{D459C7DF-D5B1-2595-484D-AA34551D5D13}"/>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8.xml><?xml version="1.0" encoding="utf-8"?>
<c:userShapes xmlns:c="http://schemas.openxmlformats.org/drawingml/2006/chart">
  <cdr:relSizeAnchor xmlns:cdr="http://schemas.openxmlformats.org/drawingml/2006/chartDrawing">
    <cdr:from>
      <cdr:x>0</cdr:x>
      <cdr:y>0.00807</cdr:y>
    </cdr:from>
    <cdr:to>
      <cdr:x>1</cdr:x>
      <cdr:y>0.08882</cdr:y>
    </cdr:to>
    <cdr:sp macro="" textlink="">
      <cdr:nvSpPr>
        <cdr:cNvPr id="2" name="TextBox 1">
          <a:extLst xmlns:a="http://schemas.openxmlformats.org/drawingml/2006/main">
            <a:ext uri="{FF2B5EF4-FFF2-40B4-BE49-F238E27FC236}">
              <a16:creationId xmlns:a16="http://schemas.microsoft.com/office/drawing/2014/main" id="{30F68BAE-31CE-E891-13D8-296DE50231FA}"/>
            </a:ext>
          </a:extLst>
        </cdr:cNvPr>
        <cdr:cNvSpPr txBox="1"/>
      </cdr:nvSpPr>
      <cdr:spPr>
        <a:xfrm xmlns:a="http://schemas.openxmlformats.org/drawingml/2006/main">
          <a:off x="50800" y="50800"/>
          <a:ext cx="8890000" cy="5080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2400" b="0">
              <a:solidFill>
                <a:srgbClr val="495057"/>
              </a:solidFill>
              <a:latin typeface="Segoe UI" panose="020B0502040204020203" pitchFamily="34" charset="0"/>
              <a:cs typeface="Segoe UI" panose="020B0502040204020203" pitchFamily="34" charset="0"/>
            </a:rPr>
            <a:t>UK: Net migration of non-EU+ nationals, by reason</a:t>
          </a:r>
        </a:p>
      </cdr:txBody>
    </cdr:sp>
  </cdr:relSizeAnchor>
  <cdr:relSizeAnchor xmlns:cdr="http://schemas.openxmlformats.org/drawingml/2006/chartDrawing">
    <cdr:from>
      <cdr:x>0</cdr:x>
      <cdr:y>0.93924</cdr:y>
    </cdr:from>
    <cdr:to>
      <cdr:x>1</cdr:x>
      <cdr:y>1</cdr:y>
    </cdr:to>
    <cdr:sp macro="" textlink="">
      <cdr:nvSpPr>
        <cdr:cNvPr id="3" name="Rectangle 2">
          <a:extLst xmlns:a="http://schemas.openxmlformats.org/drawingml/2006/main">
            <a:ext uri="{FF2B5EF4-FFF2-40B4-BE49-F238E27FC236}">
              <a16:creationId xmlns:a16="http://schemas.microsoft.com/office/drawing/2014/main" id="{23DCA559-42A4-C940-1C65-2A3EDFCB2EAE}"/>
            </a:ext>
          </a:extLst>
        </cdr:cNvPr>
        <cdr:cNvSpPr/>
      </cdr:nvSpPr>
      <cdr:spPr>
        <a:xfrm xmlns:a="http://schemas.openxmlformats.org/drawingml/2006/main">
          <a:off x="50800" y="5909243"/>
          <a:ext cx="8664408" cy="382270"/>
        </a:xfrm>
        <a:prstGeom xmlns:a="http://schemas.openxmlformats.org/drawingml/2006/main" prst="rect">
          <a:avLst/>
        </a:prstGeom>
        <a:noFill xmlns:a="http://schemas.openxmlformats.org/drawingml/2006/main"/>
        <a:ln xmlns:a="http://schemas.openxmlformats.org/drawingml/2006/main" w="25400" cap="flat" cmpd="sng" algn="ctr">
          <a:noFill/>
          <a:prstDash val="solid"/>
        </a:ln>
        <a:effectLst xmlns:a="http://schemas.openxmlformats.org/drawingml/2006/main"/>
        <a:extLst xmlns:a="http://schemas.openxmlformats.org/drawingml/2006/main">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25400" cap="flat" cmpd="sng" algn="ctr">
              <a:solidFill>
                <a:schemeClr val="accent1">
                  <a:shade val="15000"/>
                </a:schemeClr>
              </a:solidFill>
              <a:prstDash val="solid"/>
            </a14:hiddenLine>
          </a:ext>
        </a:extLst>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pPr algn="l"/>
          <a:r>
            <a:rPr lang="en-US" sz="1600" b="0" i="0" u="none" strike="noStrike" baseline="0">
              <a:solidFill>
                <a:srgbClr val="495057"/>
              </a:solidFill>
              <a:latin typeface="Segoe UI" panose="020B0502040204020203" pitchFamily="34" charset="0"/>
            </a:rPr>
            <a:t>Source: ONS</a:t>
          </a:r>
        </a:p>
      </cdr:txBody>
    </cdr:sp>
  </cdr:relSizeAnchor>
  <cdr:relSizeAnchor xmlns:cdr="http://schemas.openxmlformats.org/drawingml/2006/chartDrawing">
    <cdr:from>
      <cdr:x>0</cdr:x>
      <cdr:y>0.07563</cdr:y>
    </cdr:from>
    <cdr:to>
      <cdr:x>1</cdr:x>
      <cdr:y>0.12668</cdr:y>
    </cdr:to>
    <cdr:sp macro="" textlink="">
      <cdr:nvSpPr>
        <cdr:cNvPr id="6" name="TextBox 5">
          <a:extLst xmlns:a="http://schemas.openxmlformats.org/drawingml/2006/main">
            <a:ext uri="{FF2B5EF4-FFF2-40B4-BE49-F238E27FC236}">
              <a16:creationId xmlns:a16="http://schemas.microsoft.com/office/drawing/2014/main" id="{CD1E34B5-1E3A-B7E9-595B-3ABF54E03579}"/>
            </a:ext>
          </a:extLst>
        </cdr:cNvPr>
        <cdr:cNvSpPr txBox="1"/>
      </cdr:nvSpPr>
      <cdr:spPr>
        <a:xfrm xmlns:a="http://schemas.openxmlformats.org/drawingml/2006/main">
          <a:off x="50800" y="508000"/>
          <a:ext cx="8890000" cy="3429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1800" b="0">
              <a:solidFill>
                <a:srgbClr val="495057"/>
              </a:solidFill>
              <a:latin typeface="Segoe UI" panose="020B0502040204020203" pitchFamily="34" charset="0"/>
              <a:cs typeface="Segoe UI" panose="020B0502040204020203" pitchFamily="34" charset="0"/>
            </a:rPr>
            <a:t>Thousands</a:t>
          </a:r>
        </a:p>
      </cdr:txBody>
    </cdr:sp>
  </cdr:relSizeAnchor>
</c:userShapes>
</file>

<file path=xl/drawings/drawing9.xml><?xml version="1.0" encoding="utf-8"?>
<xdr:wsDr xmlns:xdr="http://schemas.openxmlformats.org/drawingml/2006/spreadsheetDrawing" xmlns:a="http://schemas.openxmlformats.org/drawingml/2006/main">
  <xdr:absoluteAnchor>
    <xdr:pos x="0" y="0"/>
    <xdr:ext cx="8415986" cy="6716690"/>
    <xdr:graphicFrame macro="">
      <xdr:nvGraphicFramePr>
        <xdr:cNvPr id="2" name="Chart 1">
          <a:extLst>
            <a:ext uri="{FF2B5EF4-FFF2-40B4-BE49-F238E27FC236}">
              <a16:creationId xmlns:a16="http://schemas.microsoft.com/office/drawing/2014/main" id="{90CC9FA4-A8BF-149C-7067-B503D87852A2}"/>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10.xml><?xml version="1.0" encoding="utf-8"?>
<c:userShapes xmlns:c="http://schemas.openxmlformats.org/drawingml/2006/chart">
  <cdr:relSizeAnchor xmlns:cdr="http://schemas.openxmlformats.org/drawingml/2006/chartDrawing">
    <cdr:from>
      <cdr:x>0</cdr:x>
      <cdr:y>0.00807</cdr:y>
    </cdr:from>
    <cdr:to>
      <cdr:x>1</cdr:x>
      <cdr:y>0.08882</cdr:y>
    </cdr:to>
    <cdr:sp macro="" textlink="">
      <cdr:nvSpPr>
        <cdr:cNvPr id="2" name="TextBox 1">
          <a:extLst xmlns:a="http://schemas.openxmlformats.org/drawingml/2006/main">
            <a:ext uri="{FF2B5EF4-FFF2-40B4-BE49-F238E27FC236}">
              <a16:creationId xmlns:a16="http://schemas.microsoft.com/office/drawing/2014/main" id="{961C748F-C6BC-5ED1-1B2D-812F823CB61F}"/>
            </a:ext>
          </a:extLst>
        </cdr:cNvPr>
        <cdr:cNvSpPr txBox="1"/>
      </cdr:nvSpPr>
      <cdr:spPr>
        <a:xfrm xmlns:a="http://schemas.openxmlformats.org/drawingml/2006/main">
          <a:off x="50800" y="50800"/>
          <a:ext cx="8890000" cy="5080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2400" b="0">
              <a:solidFill>
                <a:srgbClr val="495057"/>
              </a:solidFill>
              <a:latin typeface="Segoe UI" panose="020B0502040204020203" pitchFamily="34" charset="0"/>
              <a:cs typeface="Segoe UI" panose="020B0502040204020203" pitchFamily="34" charset="0"/>
            </a:rPr>
            <a:t>UK: Net migration</a:t>
          </a:r>
          <a:r>
            <a:rPr lang="en-GB" sz="2400" b="0" baseline="0">
              <a:solidFill>
                <a:srgbClr val="495057"/>
              </a:solidFill>
              <a:latin typeface="Segoe UI" panose="020B0502040204020203" pitchFamily="34" charset="0"/>
              <a:cs typeface="Segoe UI" panose="020B0502040204020203" pitchFamily="34" charset="0"/>
            </a:rPr>
            <a:t> from non-EU+ students</a:t>
          </a:r>
          <a:endParaRPr lang="en-GB" sz="2400" b="0">
            <a:solidFill>
              <a:srgbClr val="495057"/>
            </a:solidFill>
            <a:latin typeface="Segoe UI" panose="020B0502040204020203" pitchFamily="34" charset="0"/>
            <a:cs typeface="Segoe UI" panose="020B0502040204020203" pitchFamily="34" charset="0"/>
          </a:endParaRPr>
        </a:p>
      </cdr:txBody>
    </cdr:sp>
  </cdr:relSizeAnchor>
  <cdr:relSizeAnchor xmlns:cdr="http://schemas.openxmlformats.org/drawingml/2006/chartDrawing">
    <cdr:from>
      <cdr:x>0</cdr:x>
      <cdr:y>0.93924</cdr:y>
    </cdr:from>
    <cdr:to>
      <cdr:x>1</cdr:x>
      <cdr:y>1</cdr:y>
    </cdr:to>
    <cdr:sp macro="" textlink="">
      <cdr:nvSpPr>
        <cdr:cNvPr id="3" name="Rectangle 2">
          <a:extLst xmlns:a="http://schemas.openxmlformats.org/drawingml/2006/main">
            <a:ext uri="{FF2B5EF4-FFF2-40B4-BE49-F238E27FC236}">
              <a16:creationId xmlns:a16="http://schemas.microsoft.com/office/drawing/2014/main" id="{D721FEAF-6099-0748-D6BB-DAEB841F1EAA}"/>
            </a:ext>
          </a:extLst>
        </cdr:cNvPr>
        <cdr:cNvSpPr/>
      </cdr:nvSpPr>
      <cdr:spPr>
        <a:xfrm xmlns:a="http://schemas.openxmlformats.org/drawingml/2006/main">
          <a:off x="50800" y="5909243"/>
          <a:ext cx="8664408" cy="382270"/>
        </a:xfrm>
        <a:prstGeom xmlns:a="http://schemas.openxmlformats.org/drawingml/2006/main" prst="rect">
          <a:avLst/>
        </a:prstGeom>
        <a:noFill xmlns:a="http://schemas.openxmlformats.org/drawingml/2006/main"/>
        <a:ln xmlns:a="http://schemas.openxmlformats.org/drawingml/2006/main" w="25400" cap="flat" cmpd="sng" algn="ctr">
          <a:noFill/>
          <a:prstDash val="solid"/>
        </a:ln>
        <a:effectLst xmlns:a="http://schemas.openxmlformats.org/drawingml/2006/main"/>
        <a:extLst xmlns:a="http://schemas.openxmlformats.org/drawingml/2006/main">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25400" cap="flat" cmpd="sng" algn="ctr">
              <a:solidFill>
                <a:schemeClr val="accent1">
                  <a:shade val="15000"/>
                </a:schemeClr>
              </a:solidFill>
              <a:prstDash val="solid"/>
            </a14:hiddenLine>
          </a:ext>
        </a:extLst>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pPr algn="l"/>
          <a:r>
            <a:rPr lang="en-US" sz="1600" b="0" i="0" u="none" strike="noStrike" baseline="0">
              <a:solidFill>
                <a:srgbClr val="495057"/>
              </a:solidFill>
              <a:latin typeface="Segoe UI" panose="020B0502040204020203" pitchFamily="34" charset="0"/>
            </a:rPr>
            <a:t>Source: ONS</a:t>
          </a:r>
        </a:p>
      </cdr:txBody>
    </cdr:sp>
  </cdr:relSizeAnchor>
  <cdr:relSizeAnchor xmlns:cdr="http://schemas.openxmlformats.org/drawingml/2006/chartDrawing">
    <cdr:from>
      <cdr:x>0</cdr:x>
      <cdr:y>0.07563</cdr:y>
    </cdr:from>
    <cdr:to>
      <cdr:x>1</cdr:x>
      <cdr:y>0.12668</cdr:y>
    </cdr:to>
    <cdr:sp macro="" textlink="">
      <cdr:nvSpPr>
        <cdr:cNvPr id="6" name="TextBox 5">
          <a:extLst xmlns:a="http://schemas.openxmlformats.org/drawingml/2006/main">
            <a:ext uri="{FF2B5EF4-FFF2-40B4-BE49-F238E27FC236}">
              <a16:creationId xmlns:a16="http://schemas.microsoft.com/office/drawing/2014/main" id="{EBBAA17C-4527-4D6A-9C31-28C0BCF090B0}"/>
            </a:ext>
          </a:extLst>
        </cdr:cNvPr>
        <cdr:cNvSpPr txBox="1"/>
      </cdr:nvSpPr>
      <cdr:spPr>
        <a:xfrm xmlns:a="http://schemas.openxmlformats.org/drawingml/2006/main">
          <a:off x="50800" y="508000"/>
          <a:ext cx="8890000" cy="3429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1800" b="0">
              <a:solidFill>
                <a:srgbClr val="495057"/>
              </a:solidFill>
              <a:latin typeface="Segoe UI" panose="020B0502040204020203" pitchFamily="34" charset="0"/>
              <a:cs typeface="Segoe UI" panose="020B0502040204020203" pitchFamily="34" charset="0"/>
            </a:rPr>
            <a:t>Thousands</a:t>
          </a:r>
        </a:p>
      </cdr:txBody>
    </cdr:sp>
  </cdr:relSizeAnchor>
</c:userShapes>
</file>

<file path=xl/externalLinks/_rels/externalLink1.xml.rels><?xml version="1.0" encoding="UTF-8" standalone="yes"?>
<Relationships xmlns="http://schemas.openxmlformats.org/package/2006/relationships"><Relationship Id="rId2" Type="http://schemas.openxmlformats.org/officeDocument/2006/relationships/externalLinkPath" Target="file:///Z:\UK%20Team\UK%20Weekly\20250131%20WK%20UK%20-%20Charts.xlsx" TargetMode="External"/><Relationship Id="rId1" Type="http://schemas.openxmlformats.org/officeDocument/2006/relationships/externalLinkPath" Target="20250131%20WK%20UK%20-%20Chart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hart - POP"/>
      <sheetName val="Chart - Migration"/>
      <sheetName val="Chart - Natural change"/>
      <sheetName val="Chart - ONS population"/>
      <sheetName val="Chart - ONS migration"/>
      <sheetName val="Chart - ONS natural change"/>
      <sheetName val="Chart - ONS mig &amp; nat cha"/>
      <sheetName val="Chart - ONS births"/>
      <sheetName val="Chart Data"/>
      <sheetName val="Chart - Population OE &amp; ONS"/>
      <sheetName val="Chart - POPW OE &amp; ONS (2)"/>
      <sheetName val="Chart - POPW OE &amp; ONS"/>
      <sheetName val="Calculations"/>
      <sheetName val="Migration variants"/>
      <sheetName val="2022-based principal"/>
      <sheetName val="2022-based low"/>
      <sheetName val="2021-based principal"/>
      <sheetName val="2020-based principal"/>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ow r="2">
          <cell r="AF2" t="str">
            <v>OE (new)</v>
          </cell>
          <cell r="AG2" t="str">
            <v>ONS (new)</v>
          </cell>
          <cell r="AH2" t="str">
            <v>OE (old)</v>
          </cell>
          <cell r="AI2" t="str">
            <v>ONS (old)</v>
          </cell>
        </row>
        <row r="3">
          <cell r="AE3">
            <v>2020</v>
          </cell>
          <cell r="AF3">
            <v>42614.900500000003</v>
          </cell>
          <cell r="AH3">
            <v>42614.900500000003</v>
          </cell>
          <cell r="AI3">
            <v>42614.900500000003</v>
          </cell>
        </row>
        <row r="4">
          <cell r="AE4">
            <v>2021</v>
          </cell>
          <cell r="AF4">
            <v>42845.915000000001</v>
          </cell>
          <cell r="AH4">
            <v>42845.915000000001</v>
          </cell>
          <cell r="AI4">
            <v>42845.915000000001</v>
          </cell>
        </row>
        <row r="5">
          <cell r="AE5">
            <v>2022</v>
          </cell>
          <cell r="AF5">
            <v>43199.199999999997</v>
          </cell>
          <cell r="AG5">
            <v>43198.555999999997</v>
          </cell>
          <cell r="AH5">
            <v>43199.199999999997</v>
          </cell>
          <cell r="AI5">
            <v>43199.199999999997</v>
          </cell>
        </row>
        <row r="6">
          <cell r="AE6">
            <v>2023</v>
          </cell>
          <cell r="AF6">
            <v>43617.552000000003</v>
          </cell>
          <cell r="AG6">
            <v>43917.531000000003</v>
          </cell>
          <cell r="AH6">
            <v>43617.552000000003</v>
          </cell>
          <cell r="AI6">
            <v>43617.552000000003</v>
          </cell>
        </row>
        <row r="7">
          <cell r="AE7">
            <v>2024</v>
          </cell>
          <cell r="AF7">
            <v>44199.397000000012</v>
          </cell>
          <cell r="AG7">
            <v>44500.020000000004</v>
          </cell>
          <cell r="AH7">
            <v>44484.053030766227</v>
          </cell>
          <cell r="AI7">
            <v>44364.505999999994</v>
          </cell>
        </row>
        <row r="8">
          <cell r="AE8">
            <v>2025</v>
          </cell>
          <cell r="AF8">
            <v>44681.33</v>
          </cell>
          <cell r="AG8">
            <v>44981.953000000001</v>
          </cell>
          <cell r="AH8">
            <v>44862.592295538838</v>
          </cell>
          <cell r="AI8">
            <v>44764.259999999995</v>
          </cell>
        </row>
        <row r="9">
          <cell r="AE9">
            <v>2026</v>
          </cell>
          <cell r="AF9">
            <v>45105.289786272362</v>
          </cell>
          <cell r="AG9">
            <v>45495.340207650268</v>
          </cell>
          <cell r="AH9">
            <v>45281.521466483529</v>
          </cell>
          <cell r="AI9">
            <v>45214.791136612024</v>
          </cell>
          <cell r="AJ9">
            <v>100000</v>
          </cell>
        </row>
        <row r="10">
          <cell r="AE10">
            <v>2027</v>
          </cell>
          <cell r="AF10">
            <v>45736.221927745035</v>
          </cell>
          <cell r="AG10">
            <v>46199.298887671233</v>
          </cell>
          <cell r="AH10">
            <v>45904.154591512241</v>
          </cell>
          <cell r="AI10">
            <v>45879.42242465754</v>
          </cell>
          <cell r="AJ10">
            <v>100000</v>
          </cell>
        </row>
        <row r="11">
          <cell r="AE11">
            <v>2028</v>
          </cell>
          <cell r="AF11">
            <v>46180.929210456292</v>
          </cell>
          <cell r="AG11">
            <v>46700.663</v>
          </cell>
          <cell r="AH11">
            <v>46332.655476738677</v>
          </cell>
          <cell r="AI11">
            <v>46359.850000000006</v>
          </cell>
          <cell r="AJ11">
            <v>100000</v>
          </cell>
        </row>
        <row r="12">
          <cell r="AE12">
            <v>2029</v>
          </cell>
          <cell r="AF12">
            <v>46296.628380838782</v>
          </cell>
          <cell r="AG12">
            <v>46873.019</v>
          </cell>
          <cell r="AH12">
            <v>46430.74578662264</v>
          </cell>
          <cell r="AI12">
            <v>46509.866999999998</v>
          </cell>
        </row>
        <row r="13">
          <cell r="AE13">
            <v>2030</v>
          </cell>
          <cell r="AF13">
            <v>46378.975551221272</v>
          </cell>
          <cell r="AG13">
            <v>47012.023000000001</v>
          </cell>
          <cell r="AH13">
            <v>46495.167096506608</v>
          </cell>
          <cell r="AI13">
            <v>46626.214999999997</v>
          </cell>
        </row>
        <row r="14">
          <cell r="AE14">
            <v>2031</v>
          </cell>
          <cell r="AF14">
            <v>46444.249721603759</v>
          </cell>
          <cell r="AG14">
            <v>47133.953999999998</v>
          </cell>
          <cell r="AH14">
            <v>46541.490406390578</v>
          </cell>
          <cell r="AI14">
            <v>46724.464999999997</v>
          </cell>
        </row>
        <row r="15">
          <cell r="AE15">
            <v>2032</v>
          </cell>
          <cell r="AF15">
            <v>46511.146891986253</v>
          </cell>
          <cell r="AG15">
            <v>47257.508000000002</v>
          </cell>
          <cell r="AH15">
            <v>46587.435716274551</v>
          </cell>
          <cell r="AI15">
            <v>46822.337</v>
          </cell>
        </row>
        <row r="16">
          <cell r="AE16">
            <v>2033</v>
          </cell>
          <cell r="AF16">
            <v>46567.09806236875</v>
          </cell>
          <cell r="AG16">
            <v>47370.116000000002</v>
          </cell>
          <cell r="AH16">
            <v>46621.511026158529</v>
          </cell>
          <cell r="AI16">
            <v>46908.339000000007</v>
          </cell>
        </row>
        <row r="17">
          <cell r="AE17">
            <v>2034</v>
          </cell>
          <cell r="AF17">
            <v>46608.56823275124</v>
          </cell>
          <cell r="AG17">
            <v>47468.243000000002</v>
          </cell>
          <cell r="AH17">
            <v>46639.529336042498</v>
          </cell>
          <cell r="AI17">
            <v>46978.284000000007</v>
          </cell>
        </row>
        <row r="18">
          <cell r="AE18">
            <v>2035</v>
          </cell>
          <cell r="AF18">
            <v>46652.419403133725</v>
          </cell>
          <cell r="AG18">
            <v>47568.751000000004</v>
          </cell>
          <cell r="AH18">
            <v>46656.564645926461</v>
          </cell>
          <cell r="AI18">
            <v>47047.245999999999</v>
          </cell>
        </row>
        <row r="19">
          <cell r="AE19">
            <v>2036</v>
          </cell>
          <cell r="AF19">
            <v>46686.084573516215</v>
          </cell>
          <cell r="AG19">
            <v>47659.073000000004</v>
          </cell>
          <cell r="AH19">
            <v>46664.336955810439</v>
          </cell>
          <cell r="AI19">
            <v>47106.945000000007</v>
          </cell>
        </row>
        <row r="20">
          <cell r="AE20">
            <v>2037</v>
          </cell>
          <cell r="AF20">
            <v>46722.459743898697</v>
          </cell>
          <cell r="AG20">
            <v>47752.104999999996</v>
          </cell>
          <cell r="AH20">
            <v>46670.410265694409</v>
          </cell>
          <cell r="AI20">
            <v>47164.945000000007</v>
          </cell>
        </row>
        <row r="21">
          <cell r="AE21">
            <v>2038</v>
          </cell>
          <cell r="AF21">
            <v>46748.21291428119</v>
          </cell>
          <cell r="AG21">
            <v>47834.514999999999</v>
          </cell>
          <cell r="AH21">
            <v>46671.474575578381</v>
          </cell>
          <cell r="AI21">
            <v>47217.936000000009</v>
          </cell>
        </row>
        <row r="22">
          <cell r="AE22">
            <v>2039</v>
          </cell>
          <cell r="AF22">
            <v>46772.66108466369</v>
          </cell>
          <cell r="AG22">
            <v>47915.62</v>
          </cell>
          <cell r="AH22">
            <v>46673.661885462345</v>
          </cell>
          <cell r="AI22">
            <v>47272.05</v>
          </cell>
        </row>
        <row r="23">
          <cell r="AE23">
            <v>2040</v>
          </cell>
          <cell r="AF23">
            <v>46827.023255046173</v>
          </cell>
          <cell r="AG23">
            <v>48026.638999999996</v>
          </cell>
          <cell r="AH23">
            <v>46752.706195346305</v>
          </cell>
          <cell r="AI23">
            <v>47403.020999999993</v>
          </cell>
        </row>
        <row r="24">
          <cell r="AE24">
            <v>2041</v>
          </cell>
          <cell r="AF24">
            <v>46914.979425428668</v>
          </cell>
          <cell r="AG24">
            <v>48171.252</v>
          </cell>
          <cell r="AH24">
            <v>46869.51750523028</v>
          </cell>
          <cell r="AI24">
            <v>47571.758999999998</v>
          </cell>
        </row>
        <row r="25">
          <cell r="AE25">
            <v>2042</v>
          </cell>
          <cell r="AF25">
            <v>47014.810595811163</v>
          </cell>
          <cell r="AG25">
            <v>48327.740000000005</v>
          </cell>
          <cell r="AH25">
            <v>46998.435815114251</v>
          </cell>
          <cell r="AI25">
            <v>47752.603999999999</v>
          </cell>
        </row>
        <row r="26">
          <cell r="AE26">
            <v>2043</v>
          </cell>
          <cell r="AF26">
            <v>47128.74476619366</v>
          </cell>
          <cell r="AG26">
            <v>48498.331000000006</v>
          </cell>
          <cell r="AH26">
            <v>47142.266124998219</v>
          </cell>
          <cell r="AI26">
            <v>47948.360999999997</v>
          </cell>
        </row>
        <row r="27">
          <cell r="AE27">
            <v>2044</v>
          </cell>
          <cell r="AF27">
            <v>47370.251295480251</v>
          </cell>
          <cell r="AG27">
            <v>48796.494358904107</v>
          </cell>
          <cell r="AH27">
            <v>47414.700632142463</v>
          </cell>
          <cell r="AI27">
            <v>48272.722197260271</v>
          </cell>
          <cell r="AJ27">
            <v>100000</v>
          </cell>
        </row>
        <row r="28">
          <cell r="AE28">
            <v>2045</v>
          </cell>
          <cell r="AF28">
            <v>47856.558794629877</v>
          </cell>
          <cell r="AG28">
            <v>49339.458687671235</v>
          </cell>
          <cell r="AH28">
            <v>47932.917380382605</v>
          </cell>
          <cell r="AI28">
            <v>48842.865635616443</v>
          </cell>
          <cell r="AJ28">
            <v>100000</v>
          </cell>
        </row>
        <row r="29">
          <cell r="AE29">
            <v>2046</v>
          </cell>
          <cell r="AF29">
            <v>48232.801947033608</v>
          </cell>
          <cell r="AG29">
            <v>49772.296999999999</v>
          </cell>
          <cell r="AH29">
            <v>48340.088572037712</v>
          </cell>
          <cell r="AI29">
            <v>49301.910000000011</v>
          </cell>
          <cell r="AJ29">
            <v>100000</v>
          </cell>
        </row>
        <row r="30">
          <cell r="AE30">
            <v>2047</v>
          </cell>
          <cell r="AF30">
            <v>48291.624650794387</v>
          </cell>
          <cell r="AG30">
            <v>49887.751000000004</v>
          </cell>
          <cell r="AH30">
            <v>48428.709039964735</v>
          </cell>
          <cell r="AI30">
            <v>49442.434999999998</v>
          </cell>
        </row>
        <row r="31">
          <cell r="AE31">
            <v>2048</v>
          </cell>
          <cell r="AF31">
            <v>48315.944821176883</v>
          </cell>
          <cell r="AG31">
            <v>49968.728000000003</v>
          </cell>
          <cell r="AH31">
            <v>48482.09034984871</v>
          </cell>
          <cell r="AI31">
            <v>49547.743000000002</v>
          </cell>
        </row>
        <row r="32">
          <cell r="AE32">
            <v>2049</v>
          </cell>
          <cell r="AF32">
            <v>48340.136991559375</v>
          </cell>
          <cell r="AG32">
            <v>50049.577000000005</v>
          </cell>
          <cell r="AH32">
            <v>48535.571659732675</v>
          </cell>
          <cell r="AI32">
            <v>49653.150999999998</v>
          </cell>
        </row>
        <row r="33">
          <cell r="AE33">
            <v>2050</v>
          </cell>
          <cell r="AF33">
            <v>48370.682161941855</v>
          </cell>
          <cell r="AG33">
            <v>50136.778999999995</v>
          </cell>
          <cell r="AH33">
            <v>48593.633969616647</v>
          </cell>
          <cell r="AI33">
            <v>49763.14</v>
          </cell>
        </row>
        <row r="34">
          <cell r="AE34">
            <v>2051</v>
          </cell>
          <cell r="AF34">
            <v>48394.392332324343</v>
          </cell>
          <cell r="AG34">
            <v>50217.145999999993</v>
          </cell>
          <cell r="AH34">
            <v>48645.648279500623</v>
          </cell>
          <cell r="AI34">
            <v>49867.081000000006</v>
          </cell>
        </row>
        <row r="35">
          <cell r="AE35">
            <v>2052</v>
          </cell>
          <cell r="AF35">
            <v>48415.722502706842</v>
          </cell>
          <cell r="AG35">
            <v>50295.133000000002</v>
          </cell>
          <cell r="AH35">
            <v>48696.219589384586</v>
          </cell>
          <cell r="AI35">
            <v>49969.578999999998</v>
          </cell>
        </row>
        <row r="36">
          <cell r="AE36">
            <v>2053</v>
          </cell>
          <cell r="AF36">
            <v>48408.04267308933</v>
          </cell>
          <cell r="AG36">
            <v>50344.11</v>
          </cell>
          <cell r="AH36">
            <v>48719.27889926856</v>
          </cell>
          <cell r="AI36">
            <v>50044.565000000002</v>
          </cell>
        </row>
        <row r="37">
          <cell r="AE37">
            <v>2054</v>
          </cell>
          <cell r="AF37">
            <v>48393.246843471825</v>
          </cell>
          <cell r="AG37">
            <v>50385.971000000005</v>
          </cell>
          <cell r="AH37">
            <v>48736.911209152524</v>
          </cell>
          <cell r="AI37">
            <v>50114.123999999996</v>
          </cell>
        </row>
        <row r="38">
          <cell r="AE38">
            <v>2055</v>
          </cell>
          <cell r="AF38">
            <v>48367.980013854314</v>
          </cell>
          <cell r="AG38">
            <v>50417.361000000004</v>
          </cell>
          <cell r="AH38">
            <v>48744.977519036496</v>
          </cell>
          <cell r="AI38">
            <v>50174.116999999998</v>
          </cell>
        </row>
        <row r="39">
          <cell r="AE39">
            <v>2056</v>
          </cell>
          <cell r="AF39">
            <v>48317.418184236791</v>
          </cell>
          <cell r="AG39">
            <v>50423.455999999998</v>
          </cell>
          <cell r="AH39">
            <v>48729.947828920464</v>
          </cell>
          <cell r="AI39">
            <v>50211.013999999996</v>
          </cell>
        </row>
        <row r="40">
          <cell r="AE40">
            <v>2057</v>
          </cell>
          <cell r="AF40">
            <v>48270.877354619282</v>
          </cell>
          <cell r="AG40">
            <v>50433.572</v>
          </cell>
          <cell r="AH40">
            <v>48719.333138804439</v>
          </cell>
          <cell r="AI40">
            <v>50252.326000000001</v>
          </cell>
        </row>
        <row r="41">
          <cell r="AE41">
            <v>2058</v>
          </cell>
          <cell r="AF41">
            <v>48212.038525001764</v>
          </cell>
          <cell r="AG41">
            <v>50431.39</v>
          </cell>
          <cell r="AH41">
            <v>48696.308448688411</v>
          </cell>
          <cell r="AI41">
            <v>50281.228000000003</v>
          </cell>
        </row>
        <row r="42">
          <cell r="AE42">
            <v>2059</v>
          </cell>
          <cell r="AF42">
            <v>48140.836695384256</v>
          </cell>
          <cell r="AG42">
            <v>50416.845000000001</v>
          </cell>
          <cell r="AH42">
            <v>48661.887758572375</v>
          </cell>
          <cell r="AI42">
            <v>50298.733999999997</v>
          </cell>
        </row>
        <row r="43">
          <cell r="AE43">
            <v>2060</v>
          </cell>
          <cell r="AF43">
            <v>48070.232865766746</v>
          </cell>
          <cell r="AG43">
            <v>50402.898000000001</v>
          </cell>
          <cell r="AH43">
            <v>48629.518068456346</v>
          </cell>
          <cell r="AI43">
            <v>50318.290999999997</v>
          </cell>
        </row>
      </sheetData>
      <sheetData sheetId="13" refreshError="1"/>
      <sheetData sheetId="14" refreshError="1"/>
      <sheetData sheetId="15" refreshError="1"/>
      <sheetData sheetId="16" refreshError="1"/>
      <sheetData sheetId="17"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eme/themeOverride1.xml><?xml version="1.0" encoding="utf-8"?>
<a:themeOverride xmlns:a="http://schemas.openxmlformats.org/drawingml/2006/main">
  <a:clrScheme name="Stein Brothers">
    <a:dk1>
      <a:sysClr val="windowText" lastClr="000000"/>
    </a:dk1>
    <a:lt1>
      <a:sysClr val="window" lastClr="FFFFFF"/>
    </a:lt1>
    <a:dk2>
      <a:srgbClr val="0A3E7A"/>
    </a:dk2>
    <a:lt2>
      <a:srgbClr val="707173"/>
    </a:lt2>
    <a:accent1>
      <a:srgbClr val="4F81BD"/>
    </a:accent1>
    <a:accent2>
      <a:srgbClr val="8A2529"/>
    </a:accent2>
    <a:accent3>
      <a:srgbClr val="9BBB59"/>
    </a:accent3>
    <a:accent4>
      <a:srgbClr val="8064A2"/>
    </a:accent4>
    <a:accent5>
      <a:srgbClr val="4BACC6"/>
    </a:accent5>
    <a:accent6>
      <a:srgbClr val="F79646"/>
    </a:accent6>
    <a:hlink>
      <a:srgbClr val="0000FF"/>
    </a:hlink>
    <a:folHlink>
      <a:srgbClr val="800080"/>
    </a:folHlink>
  </a:clrScheme>
  <a:fontScheme name="Stein Brothers">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2.xml><?xml version="1.0" encoding="utf-8"?>
<a:themeOverride xmlns:a="http://schemas.openxmlformats.org/drawingml/2006/main">
  <a:clrScheme name="Stein Brothers">
    <a:dk1>
      <a:sysClr val="windowText" lastClr="000000"/>
    </a:dk1>
    <a:lt1>
      <a:sysClr val="window" lastClr="FFFFFF"/>
    </a:lt1>
    <a:dk2>
      <a:srgbClr val="0A3E7A"/>
    </a:dk2>
    <a:lt2>
      <a:srgbClr val="707173"/>
    </a:lt2>
    <a:accent1>
      <a:srgbClr val="4F81BD"/>
    </a:accent1>
    <a:accent2>
      <a:srgbClr val="8A2529"/>
    </a:accent2>
    <a:accent3>
      <a:srgbClr val="9BBB59"/>
    </a:accent3>
    <a:accent4>
      <a:srgbClr val="8064A2"/>
    </a:accent4>
    <a:accent5>
      <a:srgbClr val="4BACC6"/>
    </a:accent5>
    <a:accent6>
      <a:srgbClr val="F79646"/>
    </a:accent6>
    <a:hlink>
      <a:srgbClr val="0000FF"/>
    </a:hlink>
    <a:folHlink>
      <a:srgbClr val="800080"/>
    </a:folHlink>
  </a:clrScheme>
  <a:fontScheme name="Stein Brothers">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3.xml><?xml version="1.0" encoding="utf-8"?>
<a:themeOverride xmlns:a="http://schemas.openxmlformats.org/drawingml/2006/main">
  <a:clrScheme name="Stein Brothers">
    <a:dk1>
      <a:sysClr val="windowText" lastClr="000000"/>
    </a:dk1>
    <a:lt1>
      <a:sysClr val="window" lastClr="FFFFFF"/>
    </a:lt1>
    <a:dk2>
      <a:srgbClr val="0A3E7A"/>
    </a:dk2>
    <a:lt2>
      <a:srgbClr val="707173"/>
    </a:lt2>
    <a:accent1>
      <a:srgbClr val="4F81BD"/>
    </a:accent1>
    <a:accent2>
      <a:srgbClr val="8A2529"/>
    </a:accent2>
    <a:accent3>
      <a:srgbClr val="9BBB59"/>
    </a:accent3>
    <a:accent4>
      <a:srgbClr val="8064A2"/>
    </a:accent4>
    <a:accent5>
      <a:srgbClr val="4BACC6"/>
    </a:accent5>
    <a:accent6>
      <a:srgbClr val="F79646"/>
    </a:accent6>
    <a:hlink>
      <a:srgbClr val="0000FF"/>
    </a:hlink>
    <a:folHlink>
      <a:srgbClr val="800080"/>
    </a:folHlink>
  </a:clrScheme>
  <a:fontScheme name="Stein Brothers">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4.xml><?xml version="1.0" encoding="utf-8"?>
<a:themeOverride xmlns:a="http://schemas.openxmlformats.org/drawingml/2006/main">
  <a:clrScheme name="Stein Brothers">
    <a:dk1>
      <a:sysClr val="windowText" lastClr="000000"/>
    </a:dk1>
    <a:lt1>
      <a:sysClr val="window" lastClr="FFFFFF"/>
    </a:lt1>
    <a:dk2>
      <a:srgbClr val="0A3E7A"/>
    </a:dk2>
    <a:lt2>
      <a:srgbClr val="707173"/>
    </a:lt2>
    <a:accent1>
      <a:srgbClr val="4F81BD"/>
    </a:accent1>
    <a:accent2>
      <a:srgbClr val="8A2529"/>
    </a:accent2>
    <a:accent3>
      <a:srgbClr val="9BBB59"/>
    </a:accent3>
    <a:accent4>
      <a:srgbClr val="8064A2"/>
    </a:accent4>
    <a:accent5>
      <a:srgbClr val="4BACC6"/>
    </a:accent5>
    <a:accent6>
      <a:srgbClr val="F79646"/>
    </a:accent6>
    <a:hlink>
      <a:srgbClr val="0000FF"/>
    </a:hlink>
    <a:folHlink>
      <a:srgbClr val="800080"/>
    </a:folHlink>
  </a:clrScheme>
  <a:fontScheme name="Stein Brothers">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5.xml><?xml version="1.0" encoding="utf-8"?>
<a:themeOverride xmlns:a="http://schemas.openxmlformats.org/drawingml/2006/main">
  <a:clrScheme name="Stein Brothers">
    <a:dk1>
      <a:sysClr val="windowText" lastClr="000000"/>
    </a:dk1>
    <a:lt1>
      <a:sysClr val="window" lastClr="FFFFFF"/>
    </a:lt1>
    <a:dk2>
      <a:srgbClr val="0A3E7A"/>
    </a:dk2>
    <a:lt2>
      <a:srgbClr val="707173"/>
    </a:lt2>
    <a:accent1>
      <a:srgbClr val="4F81BD"/>
    </a:accent1>
    <a:accent2>
      <a:srgbClr val="8A2529"/>
    </a:accent2>
    <a:accent3>
      <a:srgbClr val="9BBB59"/>
    </a:accent3>
    <a:accent4>
      <a:srgbClr val="8064A2"/>
    </a:accent4>
    <a:accent5>
      <a:srgbClr val="4BACC6"/>
    </a:accent5>
    <a:accent6>
      <a:srgbClr val="F79646"/>
    </a:accent6>
    <a:hlink>
      <a:srgbClr val="0000FF"/>
    </a:hlink>
    <a:folHlink>
      <a:srgbClr val="800080"/>
    </a:folHlink>
  </a:clrScheme>
  <a:fontScheme name="Stein Brothers">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worksheets/_rels/sheet1.xml.rels><?xml version="1.0" encoding="UTF-8" standalone="yes"?>
<Relationships xmlns="http://schemas.openxmlformats.org/package/2006/relationships"><Relationship Id="rId1" Type="http://schemas.openxmlformats.org/officeDocument/2006/relationships/hyperlink" Target="https://www.ons.gov.uk/peoplepopulationandcommunity/populationandmigration/internationalmigration/datasets/longterminternationalimmigrationemigrationandnetmigrationflowsprovisiona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CD5E54-4E2C-4C85-A5DD-5D2572255D08}">
  <dimension ref="A1:R76"/>
  <sheetViews>
    <sheetView workbookViewId="0">
      <pane xSplit="2" ySplit="5" topLeftCell="C48" activePane="bottomRight" state="frozen"/>
      <selection pane="topRight" activeCell="C1" sqref="C1"/>
      <selection pane="bottomLeft" activeCell="A6" sqref="A6"/>
      <selection pane="bottomRight" activeCell="F6" sqref="F6:F28"/>
    </sheetView>
  </sheetViews>
  <sheetFormatPr defaultRowHeight="14.5" x14ac:dyDescent="0.35"/>
  <cols>
    <col min="1" max="3" width="11.1796875" customWidth="1"/>
    <col min="4" max="4" width="11.453125" customWidth="1"/>
    <col min="5" max="5" width="13" customWidth="1"/>
    <col min="6" max="8" width="11.1796875" customWidth="1"/>
    <col min="9" max="9" width="13.81640625" customWidth="1"/>
    <col min="10" max="10" width="13.90625" customWidth="1"/>
    <col min="11" max="11" width="15" customWidth="1"/>
    <col min="12" max="13" width="12.81640625" customWidth="1"/>
    <col min="16" max="16" width="11.6328125" customWidth="1"/>
  </cols>
  <sheetData>
    <row r="1" spans="1:18" x14ac:dyDescent="0.35">
      <c r="A1" s="2" t="s">
        <v>40</v>
      </c>
    </row>
    <row r="2" spans="1:18" x14ac:dyDescent="0.35">
      <c r="M2" s="1" t="s">
        <v>70</v>
      </c>
    </row>
    <row r="3" spans="1:18" x14ac:dyDescent="0.35">
      <c r="A3" t="s">
        <v>0</v>
      </c>
    </row>
    <row r="5" spans="1:18" s="3" customFormat="1" ht="61" customHeight="1" x14ac:dyDescent="0.35">
      <c r="A5" s="3" t="s">
        <v>1</v>
      </c>
      <c r="B5" s="3" t="s">
        <v>2</v>
      </c>
      <c r="C5" s="3" t="s">
        <v>3</v>
      </c>
      <c r="D5" s="3" t="s">
        <v>4</v>
      </c>
      <c r="E5" s="3" t="s">
        <v>5</v>
      </c>
      <c r="F5" s="3" t="s">
        <v>6</v>
      </c>
      <c r="G5" s="3" t="s">
        <v>7</v>
      </c>
      <c r="H5" s="3" t="s">
        <v>8</v>
      </c>
      <c r="I5" s="3" t="s">
        <v>9</v>
      </c>
      <c r="J5" s="3" t="s">
        <v>10</v>
      </c>
      <c r="K5" s="3" t="s">
        <v>11</v>
      </c>
      <c r="L5" s="3" t="s">
        <v>12</v>
      </c>
      <c r="M5" s="3" t="s">
        <v>13</v>
      </c>
    </row>
    <row r="6" spans="1:18" x14ac:dyDescent="0.35">
      <c r="A6" t="s">
        <v>14</v>
      </c>
      <c r="B6" t="s">
        <v>15</v>
      </c>
      <c r="C6">
        <v>347000</v>
      </c>
      <c r="D6">
        <v>56000</v>
      </c>
      <c r="E6">
        <v>33000</v>
      </c>
      <c r="F6">
        <v>119000</v>
      </c>
      <c r="G6">
        <v>7000</v>
      </c>
      <c r="H6">
        <v>65000</v>
      </c>
      <c r="I6">
        <v>0</v>
      </c>
      <c r="J6">
        <v>6000</v>
      </c>
      <c r="K6">
        <v>0</v>
      </c>
      <c r="L6">
        <v>39000</v>
      </c>
      <c r="M6">
        <v>22000</v>
      </c>
    </row>
    <row r="7" spans="1:18" x14ac:dyDescent="0.35">
      <c r="A7" t="s">
        <v>14</v>
      </c>
      <c r="B7" t="s">
        <v>16</v>
      </c>
      <c r="C7">
        <v>351000</v>
      </c>
      <c r="D7">
        <v>59000</v>
      </c>
      <c r="E7">
        <v>35000</v>
      </c>
      <c r="F7">
        <v>109000</v>
      </c>
      <c r="G7">
        <v>8000</v>
      </c>
      <c r="H7">
        <v>71000</v>
      </c>
      <c r="I7">
        <v>0</v>
      </c>
      <c r="J7">
        <v>6000</v>
      </c>
      <c r="K7">
        <v>0</v>
      </c>
      <c r="L7">
        <v>41000</v>
      </c>
      <c r="M7">
        <v>22000</v>
      </c>
    </row>
    <row r="8" spans="1:18" x14ac:dyDescent="0.35">
      <c r="A8" t="s">
        <v>14</v>
      </c>
      <c r="B8" t="s">
        <v>17</v>
      </c>
      <c r="C8">
        <v>368000</v>
      </c>
      <c r="D8">
        <v>62000</v>
      </c>
      <c r="E8">
        <v>37000</v>
      </c>
      <c r="F8">
        <v>112000</v>
      </c>
      <c r="G8">
        <v>9000</v>
      </c>
      <c r="H8">
        <v>78000</v>
      </c>
      <c r="I8">
        <v>0</v>
      </c>
      <c r="J8">
        <v>6000</v>
      </c>
      <c r="K8">
        <v>0</v>
      </c>
      <c r="L8">
        <v>42000</v>
      </c>
      <c r="M8">
        <v>23000</v>
      </c>
      <c r="P8" t="s">
        <v>41</v>
      </c>
    </row>
    <row r="9" spans="1:18" x14ac:dyDescent="0.35">
      <c r="A9" t="s">
        <v>14</v>
      </c>
      <c r="B9" t="s">
        <v>18</v>
      </c>
      <c r="C9">
        <v>388000</v>
      </c>
      <c r="D9">
        <v>63000</v>
      </c>
      <c r="E9">
        <v>39000</v>
      </c>
      <c r="F9">
        <v>124000</v>
      </c>
      <c r="G9">
        <v>11000</v>
      </c>
      <c r="H9">
        <v>82000</v>
      </c>
      <c r="I9">
        <v>0</v>
      </c>
      <c r="J9">
        <v>5000</v>
      </c>
      <c r="K9">
        <v>0</v>
      </c>
      <c r="L9">
        <v>42000</v>
      </c>
      <c r="M9">
        <v>23000</v>
      </c>
      <c r="P9" t="s">
        <v>42</v>
      </c>
    </row>
    <row r="10" spans="1:18" x14ac:dyDescent="0.35">
      <c r="A10" t="s">
        <v>14</v>
      </c>
      <c r="B10" t="s">
        <v>19</v>
      </c>
      <c r="C10">
        <v>331000</v>
      </c>
      <c r="D10">
        <v>49000</v>
      </c>
      <c r="E10">
        <v>30000</v>
      </c>
      <c r="F10">
        <v>114000</v>
      </c>
      <c r="G10">
        <v>10000</v>
      </c>
      <c r="H10">
        <v>68000</v>
      </c>
      <c r="I10">
        <v>0</v>
      </c>
      <c r="J10">
        <v>4000</v>
      </c>
      <c r="K10">
        <v>0</v>
      </c>
      <c r="L10">
        <v>38000</v>
      </c>
      <c r="M10">
        <v>17000</v>
      </c>
      <c r="P10" t="s">
        <v>43</v>
      </c>
      <c r="Q10" t="s">
        <v>44</v>
      </c>
      <c r="R10" t="s">
        <v>45</v>
      </c>
    </row>
    <row r="11" spans="1:18" x14ac:dyDescent="0.35">
      <c r="A11" t="s">
        <v>14</v>
      </c>
      <c r="B11" t="s">
        <v>20</v>
      </c>
      <c r="C11">
        <v>260000</v>
      </c>
      <c r="D11">
        <v>42000</v>
      </c>
      <c r="E11">
        <v>26000</v>
      </c>
      <c r="F11">
        <v>69000</v>
      </c>
      <c r="G11">
        <v>8000</v>
      </c>
      <c r="H11">
        <v>59000</v>
      </c>
      <c r="I11">
        <v>0</v>
      </c>
      <c r="J11">
        <v>2000</v>
      </c>
      <c r="K11">
        <v>0</v>
      </c>
      <c r="L11">
        <v>37000</v>
      </c>
      <c r="M11">
        <v>16000</v>
      </c>
      <c r="P11">
        <v>1</v>
      </c>
      <c r="Q11" t="s">
        <v>46</v>
      </c>
      <c r="R11" t="s">
        <v>47</v>
      </c>
    </row>
    <row r="12" spans="1:18" x14ac:dyDescent="0.35">
      <c r="A12" t="s">
        <v>14</v>
      </c>
      <c r="B12" t="s">
        <v>21</v>
      </c>
      <c r="C12">
        <v>294000</v>
      </c>
      <c r="D12">
        <v>42000</v>
      </c>
      <c r="E12">
        <v>29000</v>
      </c>
      <c r="F12">
        <v>100000</v>
      </c>
      <c r="G12">
        <v>12000</v>
      </c>
      <c r="H12">
        <v>56000</v>
      </c>
      <c r="I12">
        <v>0</v>
      </c>
      <c r="J12">
        <v>1000</v>
      </c>
      <c r="K12">
        <v>0</v>
      </c>
      <c r="L12">
        <v>35000</v>
      </c>
      <c r="M12">
        <v>20000</v>
      </c>
      <c r="P12">
        <v>2</v>
      </c>
      <c r="Q12" t="s">
        <v>48</v>
      </c>
      <c r="R12" t="s">
        <v>49</v>
      </c>
    </row>
    <row r="13" spans="1:18" x14ac:dyDescent="0.35">
      <c r="A13" t="s">
        <v>14</v>
      </c>
      <c r="B13" t="s">
        <v>22</v>
      </c>
      <c r="C13">
        <v>297000</v>
      </c>
      <c r="D13">
        <v>40000</v>
      </c>
      <c r="E13">
        <v>30000</v>
      </c>
      <c r="F13">
        <v>109000</v>
      </c>
      <c r="G13">
        <v>15000</v>
      </c>
      <c r="H13">
        <v>51000</v>
      </c>
      <c r="I13">
        <v>0</v>
      </c>
      <c r="J13">
        <v>0</v>
      </c>
      <c r="K13">
        <v>0</v>
      </c>
      <c r="L13">
        <v>31000</v>
      </c>
      <c r="M13">
        <v>21000</v>
      </c>
      <c r="P13">
        <f>P12+1</f>
        <v>3</v>
      </c>
      <c r="Q13" t="s">
        <v>50</v>
      </c>
      <c r="R13" t="s">
        <v>51</v>
      </c>
    </row>
    <row r="14" spans="1:18" x14ac:dyDescent="0.35">
      <c r="A14" t="s">
        <v>14</v>
      </c>
      <c r="B14" t="s">
        <v>23</v>
      </c>
      <c r="C14">
        <v>371000</v>
      </c>
      <c r="D14">
        <v>55000</v>
      </c>
      <c r="E14">
        <v>41000</v>
      </c>
      <c r="F14">
        <v>114000</v>
      </c>
      <c r="G14">
        <v>19000</v>
      </c>
      <c r="H14">
        <v>67000</v>
      </c>
      <c r="I14">
        <v>9000</v>
      </c>
      <c r="J14">
        <v>1000</v>
      </c>
      <c r="K14">
        <v>0</v>
      </c>
      <c r="L14">
        <v>38000</v>
      </c>
      <c r="M14">
        <v>28000</v>
      </c>
      <c r="P14">
        <f t="shared" ref="P14:P22" si="0">P13+1</f>
        <v>4</v>
      </c>
      <c r="Q14" t="s">
        <v>52</v>
      </c>
      <c r="R14" t="s">
        <v>53</v>
      </c>
    </row>
    <row r="15" spans="1:18" x14ac:dyDescent="0.35">
      <c r="A15" t="s">
        <v>14</v>
      </c>
      <c r="B15" t="s">
        <v>24</v>
      </c>
      <c r="C15">
        <v>539000</v>
      </c>
      <c r="D15">
        <v>68000</v>
      </c>
      <c r="E15">
        <v>52000</v>
      </c>
      <c r="F15">
        <v>200000</v>
      </c>
      <c r="G15">
        <v>27000</v>
      </c>
      <c r="H15">
        <v>72000</v>
      </c>
      <c r="I15">
        <v>28000</v>
      </c>
      <c r="J15">
        <v>16000</v>
      </c>
      <c r="K15">
        <v>0</v>
      </c>
      <c r="L15">
        <v>46000</v>
      </c>
      <c r="M15">
        <v>30000</v>
      </c>
      <c r="P15">
        <f t="shared" si="0"/>
        <v>5</v>
      </c>
      <c r="Q15" t="s">
        <v>54</v>
      </c>
      <c r="R15" t="s">
        <v>55</v>
      </c>
    </row>
    <row r="16" spans="1:18" x14ac:dyDescent="0.35">
      <c r="A16" t="s">
        <v>14</v>
      </c>
      <c r="B16" t="s">
        <v>25</v>
      </c>
      <c r="C16">
        <v>617000</v>
      </c>
      <c r="D16">
        <v>81000</v>
      </c>
      <c r="E16">
        <v>62000</v>
      </c>
      <c r="F16">
        <v>224000</v>
      </c>
      <c r="G16">
        <v>38000</v>
      </c>
      <c r="H16">
        <v>70000</v>
      </c>
      <c r="I16">
        <v>39000</v>
      </c>
      <c r="J16">
        <v>18000</v>
      </c>
      <c r="K16">
        <v>0</v>
      </c>
      <c r="L16">
        <v>59000</v>
      </c>
      <c r="M16">
        <v>28000</v>
      </c>
      <c r="P16">
        <f t="shared" si="0"/>
        <v>6</v>
      </c>
      <c r="Q16" t="s">
        <v>56</v>
      </c>
      <c r="R16" t="s">
        <v>57</v>
      </c>
    </row>
    <row r="17" spans="1:18" x14ac:dyDescent="0.35">
      <c r="A17" t="s">
        <v>14</v>
      </c>
      <c r="B17" t="s">
        <v>26</v>
      </c>
      <c r="C17">
        <v>727000</v>
      </c>
      <c r="D17">
        <v>100000</v>
      </c>
      <c r="E17">
        <v>75000</v>
      </c>
      <c r="F17">
        <v>254000</v>
      </c>
      <c r="G17">
        <v>54000</v>
      </c>
      <c r="H17">
        <v>72000</v>
      </c>
      <c r="I17">
        <v>50000</v>
      </c>
      <c r="J17">
        <v>19000</v>
      </c>
      <c r="K17">
        <v>7000</v>
      </c>
      <c r="L17">
        <v>68000</v>
      </c>
      <c r="M17">
        <v>28000</v>
      </c>
      <c r="P17">
        <f t="shared" si="0"/>
        <v>7</v>
      </c>
      <c r="Q17" t="s">
        <v>58</v>
      </c>
      <c r="R17" t="s">
        <v>59</v>
      </c>
    </row>
    <row r="18" spans="1:18" x14ac:dyDescent="0.35">
      <c r="A18" t="s">
        <v>14</v>
      </c>
      <c r="B18" t="s">
        <v>27</v>
      </c>
      <c r="C18">
        <v>845000</v>
      </c>
      <c r="D18">
        <v>117000</v>
      </c>
      <c r="E18">
        <v>88000</v>
      </c>
      <c r="F18">
        <v>260000</v>
      </c>
      <c r="G18">
        <v>59000</v>
      </c>
      <c r="H18">
        <v>64000</v>
      </c>
      <c r="I18">
        <v>57000</v>
      </c>
      <c r="J18">
        <v>20000</v>
      </c>
      <c r="K18">
        <v>73000</v>
      </c>
      <c r="L18">
        <v>76000</v>
      </c>
      <c r="M18">
        <v>30000</v>
      </c>
      <c r="P18">
        <f t="shared" si="0"/>
        <v>8</v>
      </c>
      <c r="Q18" t="s">
        <v>60</v>
      </c>
      <c r="R18" t="s">
        <v>61</v>
      </c>
    </row>
    <row r="19" spans="1:18" x14ac:dyDescent="0.35">
      <c r="A19" t="s">
        <v>14</v>
      </c>
      <c r="B19" t="s">
        <v>28</v>
      </c>
      <c r="C19">
        <v>1003000</v>
      </c>
      <c r="D19">
        <v>141000</v>
      </c>
      <c r="E19">
        <v>106000</v>
      </c>
      <c r="F19">
        <v>327000</v>
      </c>
      <c r="G19">
        <v>78000</v>
      </c>
      <c r="H19">
        <v>62000</v>
      </c>
      <c r="I19">
        <v>56000</v>
      </c>
      <c r="J19">
        <v>7000</v>
      </c>
      <c r="K19">
        <v>109000</v>
      </c>
      <c r="L19">
        <v>87000</v>
      </c>
      <c r="M19">
        <v>30000</v>
      </c>
      <c r="P19">
        <f t="shared" si="0"/>
        <v>9</v>
      </c>
      <c r="Q19" t="s">
        <v>62</v>
      </c>
      <c r="R19" t="s">
        <v>63</v>
      </c>
    </row>
    <row r="20" spans="1:18" x14ac:dyDescent="0.35">
      <c r="A20" t="s">
        <v>14</v>
      </c>
      <c r="B20" t="s">
        <v>29</v>
      </c>
      <c r="C20">
        <v>1078000</v>
      </c>
      <c r="D20">
        <v>156000</v>
      </c>
      <c r="E20">
        <v>124000</v>
      </c>
      <c r="F20">
        <v>321000</v>
      </c>
      <c r="G20">
        <v>104000</v>
      </c>
      <c r="H20">
        <v>68000</v>
      </c>
      <c r="I20">
        <v>56000</v>
      </c>
      <c r="J20">
        <v>6000</v>
      </c>
      <c r="K20">
        <v>126000</v>
      </c>
      <c r="L20">
        <v>90000</v>
      </c>
      <c r="M20">
        <v>28000</v>
      </c>
      <c r="P20">
        <f t="shared" si="0"/>
        <v>10</v>
      </c>
      <c r="Q20" t="s">
        <v>64</v>
      </c>
      <c r="R20" t="s">
        <v>65</v>
      </c>
    </row>
    <row r="21" spans="1:18" x14ac:dyDescent="0.35">
      <c r="A21" t="s">
        <v>14</v>
      </c>
      <c r="B21" t="s">
        <v>30</v>
      </c>
      <c r="C21">
        <v>1083000</v>
      </c>
      <c r="D21">
        <v>163000</v>
      </c>
      <c r="E21">
        <v>134000</v>
      </c>
      <c r="F21">
        <v>297000</v>
      </c>
      <c r="G21">
        <v>108000</v>
      </c>
      <c r="H21">
        <v>75000</v>
      </c>
      <c r="I21">
        <v>53000</v>
      </c>
      <c r="J21">
        <v>4000</v>
      </c>
      <c r="K21">
        <v>130000</v>
      </c>
      <c r="L21">
        <v>92000</v>
      </c>
      <c r="M21">
        <v>25000</v>
      </c>
      <c r="P21">
        <f t="shared" si="0"/>
        <v>11</v>
      </c>
      <c r="Q21" t="s">
        <v>66</v>
      </c>
      <c r="R21" t="s">
        <v>67</v>
      </c>
    </row>
    <row r="22" spans="1:18" x14ac:dyDescent="0.35">
      <c r="A22" t="s">
        <v>14</v>
      </c>
      <c r="B22" t="s">
        <v>31</v>
      </c>
      <c r="C22">
        <v>1095000</v>
      </c>
      <c r="D22">
        <v>189000</v>
      </c>
      <c r="E22">
        <v>166000</v>
      </c>
      <c r="F22">
        <v>302000</v>
      </c>
      <c r="G22">
        <v>115000</v>
      </c>
      <c r="H22">
        <v>85000</v>
      </c>
      <c r="I22">
        <v>48000</v>
      </c>
      <c r="J22">
        <v>3000</v>
      </c>
      <c r="K22">
        <v>74000</v>
      </c>
      <c r="L22">
        <v>91000</v>
      </c>
      <c r="M22">
        <v>21000</v>
      </c>
      <c r="P22">
        <f t="shared" si="0"/>
        <v>12</v>
      </c>
      <c r="Q22" t="s">
        <v>68</v>
      </c>
      <c r="R22" t="s">
        <v>69</v>
      </c>
    </row>
    <row r="23" spans="1:18" x14ac:dyDescent="0.35">
      <c r="A23" t="s">
        <v>14</v>
      </c>
      <c r="B23" t="s">
        <v>32</v>
      </c>
      <c r="C23">
        <v>1119000</v>
      </c>
      <c r="D23">
        <v>204000</v>
      </c>
      <c r="E23">
        <v>194000</v>
      </c>
      <c r="F23">
        <v>316000</v>
      </c>
      <c r="G23">
        <v>123000</v>
      </c>
      <c r="H23">
        <v>89000</v>
      </c>
      <c r="I23">
        <v>41000</v>
      </c>
      <c r="J23">
        <v>2000</v>
      </c>
      <c r="K23">
        <v>45000</v>
      </c>
      <c r="L23">
        <v>88000</v>
      </c>
      <c r="M23">
        <v>18000</v>
      </c>
    </row>
    <row r="24" spans="1:18" x14ac:dyDescent="0.35">
      <c r="A24" t="s">
        <v>14</v>
      </c>
      <c r="B24" t="s">
        <v>33</v>
      </c>
      <c r="C24">
        <v>1132000</v>
      </c>
      <c r="D24">
        <v>221000</v>
      </c>
      <c r="E24">
        <v>230000</v>
      </c>
      <c r="F24">
        <v>302000</v>
      </c>
      <c r="G24">
        <v>121000</v>
      </c>
      <c r="H24">
        <v>86000</v>
      </c>
      <c r="I24">
        <v>35000</v>
      </c>
      <c r="J24">
        <v>4000</v>
      </c>
      <c r="K24">
        <v>37000</v>
      </c>
      <c r="L24">
        <v>80000</v>
      </c>
      <c r="M24">
        <v>16000</v>
      </c>
    </row>
    <row r="25" spans="1:18" x14ac:dyDescent="0.35">
      <c r="A25" t="s">
        <v>14</v>
      </c>
      <c r="B25" t="s">
        <v>34</v>
      </c>
      <c r="C25">
        <v>1122000</v>
      </c>
      <c r="D25">
        <v>216000</v>
      </c>
      <c r="E25">
        <v>256000</v>
      </c>
      <c r="F25">
        <v>303000</v>
      </c>
      <c r="G25">
        <v>100000</v>
      </c>
      <c r="H25">
        <v>81000</v>
      </c>
      <c r="I25">
        <v>31000</v>
      </c>
      <c r="J25">
        <v>7000</v>
      </c>
      <c r="K25">
        <v>32000</v>
      </c>
      <c r="L25">
        <v>81000</v>
      </c>
      <c r="M25">
        <v>15000</v>
      </c>
    </row>
    <row r="26" spans="1:18" x14ac:dyDescent="0.35">
      <c r="A26" t="s">
        <v>14</v>
      </c>
      <c r="B26" t="s">
        <v>35</v>
      </c>
      <c r="C26">
        <v>1057000</v>
      </c>
      <c r="D26">
        <v>188000</v>
      </c>
      <c r="E26">
        <v>243000</v>
      </c>
      <c r="F26">
        <v>296000</v>
      </c>
      <c r="G26">
        <v>86000</v>
      </c>
      <c r="H26">
        <v>81000</v>
      </c>
      <c r="I26">
        <v>27000</v>
      </c>
      <c r="J26">
        <v>8000</v>
      </c>
      <c r="K26">
        <v>29000</v>
      </c>
      <c r="L26">
        <v>83000</v>
      </c>
      <c r="M26">
        <v>15000</v>
      </c>
    </row>
    <row r="27" spans="1:18" x14ac:dyDescent="0.35">
      <c r="A27" t="s">
        <v>14</v>
      </c>
      <c r="B27" t="s">
        <v>36</v>
      </c>
      <c r="C27">
        <v>919000</v>
      </c>
      <c r="D27">
        <v>155000</v>
      </c>
      <c r="E27">
        <v>207000</v>
      </c>
      <c r="F27">
        <v>263000</v>
      </c>
      <c r="G27">
        <v>54000</v>
      </c>
      <c r="H27">
        <v>81000</v>
      </c>
      <c r="I27">
        <v>23000</v>
      </c>
      <c r="J27">
        <v>10000</v>
      </c>
      <c r="K27">
        <v>26000</v>
      </c>
      <c r="L27">
        <v>86000</v>
      </c>
      <c r="M27">
        <v>15000</v>
      </c>
    </row>
    <row r="28" spans="1:18" x14ac:dyDescent="0.35">
      <c r="A28" t="s">
        <v>14</v>
      </c>
      <c r="B28" t="s">
        <v>37</v>
      </c>
      <c r="C28">
        <v>766000</v>
      </c>
      <c r="D28">
        <v>113000</v>
      </c>
      <c r="E28">
        <v>149000</v>
      </c>
      <c r="F28">
        <v>249000</v>
      </c>
      <c r="G28">
        <v>17000</v>
      </c>
      <c r="H28">
        <v>76000</v>
      </c>
      <c r="I28">
        <v>21000</v>
      </c>
      <c r="J28">
        <v>8000</v>
      </c>
      <c r="K28">
        <v>22000</v>
      </c>
      <c r="L28">
        <v>95000</v>
      </c>
      <c r="M28">
        <v>15000</v>
      </c>
    </row>
    <row r="30" spans="1:18" x14ac:dyDescent="0.35">
      <c r="A30" t="s">
        <v>38</v>
      </c>
      <c r="B30" t="s">
        <v>15</v>
      </c>
      <c r="C30">
        <v>167000</v>
      </c>
      <c r="D30">
        <v>30000</v>
      </c>
      <c r="E30">
        <v>14000</v>
      </c>
      <c r="F30">
        <v>96000</v>
      </c>
      <c r="G30">
        <v>7000</v>
      </c>
      <c r="H30">
        <v>10000</v>
      </c>
      <c r="I30">
        <v>0</v>
      </c>
      <c r="J30">
        <v>0</v>
      </c>
      <c r="K30">
        <v>0</v>
      </c>
      <c r="L30">
        <v>2000</v>
      </c>
      <c r="M30">
        <v>8000</v>
      </c>
    </row>
    <row r="31" spans="1:18" x14ac:dyDescent="0.35">
      <c r="A31" t="s">
        <v>38</v>
      </c>
      <c r="B31" t="s">
        <v>16</v>
      </c>
      <c r="C31">
        <v>180000</v>
      </c>
      <c r="D31">
        <v>36000</v>
      </c>
      <c r="E31">
        <v>16000</v>
      </c>
      <c r="F31">
        <v>100000</v>
      </c>
      <c r="G31">
        <v>7000</v>
      </c>
      <c r="H31">
        <v>11000</v>
      </c>
      <c r="I31">
        <v>0</v>
      </c>
      <c r="J31">
        <v>0</v>
      </c>
      <c r="K31">
        <v>0</v>
      </c>
      <c r="L31">
        <v>2000</v>
      </c>
      <c r="M31">
        <v>8000</v>
      </c>
    </row>
    <row r="32" spans="1:18" x14ac:dyDescent="0.35">
      <c r="A32" t="s">
        <v>38</v>
      </c>
      <c r="B32" t="s">
        <v>17</v>
      </c>
      <c r="C32">
        <v>182000</v>
      </c>
      <c r="D32">
        <v>35000</v>
      </c>
      <c r="E32">
        <v>17000</v>
      </c>
      <c r="F32">
        <v>101000</v>
      </c>
      <c r="G32">
        <v>7000</v>
      </c>
      <c r="H32">
        <v>11000</v>
      </c>
      <c r="I32">
        <v>0</v>
      </c>
      <c r="J32">
        <v>0</v>
      </c>
      <c r="K32">
        <v>0</v>
      </c>
      <c r="L32">
        <v>2000</v>
      </c>
      <c r="M32">
        <v>9000</v>
      </c>
    </row>
    <row r="33" spans="1:13" x14ac:dyDescent="0.35">
      <c r="A33" t="s">
        <v>38</v>
      </c>
      <c r="B33" t="s">
        <v>18</v>
      </c>
      <c r="C33">
        <v>222000</v>
      </c>
      <c r="D33">
        <v>36000</v>
      </c>
      <c r="E33">
        <v>18000</v>
      </c>
      <c r="F33">
        <v>134000</v>
      </c>
      <c r="G33">
        <v>8000</v>
      </c>
      <c r="H33">
        <v>13000</v>
      </c>
      <c r="I33">
        <v>0</v>
      </c>
      <c r="J33">
        <v>0</v>
      </c>
      <c r="K33">
        <v>0</v>
      </c>
      <c r="L33">
        <v>2000</v>
      </c>
      <c r="M33">
        <v>11000</v>
      </c>
    </row>
    <row r="34" spans="1:13" x14ac:dyDescent="0.35">
      <c r="A34" t="s">
        <v>38</v>
      </c>
      <c r="B34" t="s">
        <v>19</v>
      </c>
      <c r="C34">
        <v>216000</v>
      </c>
      <c r="D34">
        <v>33000</v>
      </c>
      <c r="E34">
        <v>15000</v>
      </c>
      <c r="F34">
        <v>134000</v>
      </c>
      <c r="G34">
        <v>8000</v>
      </c>
      <c r="H34">
        <v>14000</v>
      </c>
      <c r="I34">
        <v>0</v>
      </c>
      <c r="J34">
        <v>0</v>
      </c>
      <c r="K34">
        <v>0</v>
      </c>
      <c r="L34">
        <v>1000</v>
      </c>
      <c r="M34">
        <v>11000</v>
      </c>
    </row>
    <row r="35" spans="1:13" x14ac:dyDescent="0.35">
      <c r="A35" t="s">
        <v>38</v>
      </c>
      <c r="B35" t="s">
        <v>20</v>
      </c>
      <c r="C35">
        <v>199000</v>
      </c>
      <c r="D35">
        <v>28000</v>
      </c>
      <c r="E35">
        <v>14000</v>
      </c>
      <c r="F35">
        <v>124000</v>
      </c>
      <c r="G35">
        <v>7000</v>
      </c>
      <c r="H35">
        <v>16000</v>
      </c>
      <c r="I35">
        <v>0</v>
      </c>
      <c r="J35">
        <v>0</v>
      </c>
      <c r="K35">
        <v>0</v>
      </c>
      <c r="L35">
        <v>1000</v>
      </c>
      <c r="M35">
        <v>10000</v>
      </c>
    </row>
    <row r="36" spans="1:13" x14ac:dyDescent="0.35">
      <c r="A36" t="s">
        <v>38</v>
      </c>
      <c r="B36" t="s">
        <v>21</v>
      </c>
      <c r="C36">
        <v>192000</v>
      </c>
      <c r="D36">
        <v>28000</v>
      </c>
      <c r="E36">
        <v>15000</v>
      </c>
      <c r="F36">
        <v>116000</v>
      </c>
      <c r="G36">
        <v>6000</v>
      </c>
      <c r="H36">
        <v>18000</v>
      </c>
      <c r="I36">
        <v>0</v>
      </c>
      <c r="J36">
        <v>0</v>
      </c>
      <c r="K36">
        <v>0</v>
      </c>
      <c r="L36">
        <v>1000</v>
      </c>
      <c r="M36">
        <v>9000</v>
      </c>
    </row>
    <row r="37" spans="1:13" x14ac:dyDescent="0.35">
      <c r="A37" t="s">
        <v>38</v>
      </c>
      <c r="B37" t="s">
        <v>22</v>
      </c>
      <c r="C37">
        <v>147000</v>
      </c>
      <c r="D37">
        <v>24000</v>
      </c>
      <c r="E37">
        <v>14000</v>
      </c>
      <c r="F37">
        <v>77000</v>
      </c>
      <c r="G37">
        <v>6000</v>
      </c>
      <c r="H37">
        <v>18000</v>
      </c>
      <c r="I37">
        <v>0</v>
      </c>
      <c r="J37">
        <v>0</v>
      </c>
      <c r="K37">
        <v>0</v>
      </c>
      <c r="L37">
        <v>1000</v>
      </c>
      <c r="M37">
        <v>6000</v>
      </c>
    </row>
    <row r="38" spans="1:13" x14ac:dyDescent="0.35">
      <c r="A38" t="s">
        <v>38</v>
      </c>
      <c r="B38" t="s">
        <v>23</v>
      </c>
      <c r="C38">
        <v>120000</v>
      </c>
      <c r="D38">
        <v>24000</v>
      </c>
      <c r="E38">
        <v>13000</v>
      </c>
      <c r="F38">
        <v>69000</v>
      </c>
      <c r="G38">
        <v>5000</v>
      </c>
      <c r="H38">
        <v>7000</v>
      </c>
      <c r="I38">
        <v>0</v>
      </c>
      <c r="J38">
        <v>0</v>
      </c>
      <c r="K38">
        <v>0</v>
      </c>
      <c r="L38">
        <v>0</v>
      </c>
      <c r="M38">
        <v>2000</v>
      </c>
    </row>
    <row r="39" spans="1:13" x14ac:dyDescent="0.35">
      <c r="A39" t="s">
        <v>38</v>
      </c>
      <c r="B39" t="s">
        <v>24</v>
      </c>
      <c r="C39">
        <v>97000</v>
      </c>
      <c r="D39">
        <v>21000</v>
      </c>
      <c r="E39">
        <v>11000</v>
      </c>
      <c r="F39">
        <v>50000</v>
      </c>
      <c r="G39">
        <v>5000</v>
      </c>
      <c r="H39">
        <v>8000</v>
      </c>
      <c r="I39">
        <v>0</v>
      </c>
      <c r="J39">
        <v>0</v>
      </c>
      <c r="K39">
        <v>0</v>
      </c>
      <c r="L39">
        <v>0</v>
      </c>
      <c r="M39">
        <v>2000</v>
      </c>
    </row>
    <row r="40" spans="1:13" x14ac:dyDescent="0.35">
      <c r="A40" t="s">
        <v>38</v>
      </c>
      <c r="B40" t="s">
        <v>25</v>
      </c>
      <c r="C40">
        <v>89000</v>
      </c>
      <c r="D40">
        <v>19000</v>
      </c>
      <c r="E40">
        <v>10000</v>
      </c>
      <c r="F40">
        <v>45000</v>
      </c>
      <c r="G40">
        <v>5000</v>
      </c>
      <c r="H40">
        <v>8000</v>
      </c>
      <c r="I40">
        <v>0</v>
      </c>
      <c r="J40">
        <v>0</v>
      </c>
      <c r="K40">
        <v>0</v>
      </c>
      <c r="L40">
        <v>0</v>
      </c>
      <c r="M40">
        <v>2000</v>
      </c>
    </row>
    <row r="41" spans="1:13" x14ac:dyDescent="0.35">
      <c r="A41" t="s">
        <v>38</v>
      </c>
      <c r="B41" t="s">
        <v>26</v>
      </c>
      <c r="C41">
        <v>86000</v>
      </c>
      <c r="D41">
        <v>18000</v>
      </c>
      <c r="E41">
        <v>9000</v>
      </c>
      <c r="F41">
        <v>43000</v>
      </c>
      <c r="G41">
        <v>4000</v>
      </c>
      <c r="H41">
        <v>9000</v>
      </c>
      <c r="I41">
        <v>0</v>
      </c>
      <c r="J41">
        <v>0</v>
      </c>
      <c r="K41">
        <v>0</v>
      </c>
      <c r="L41">
        <v>1000</v>
      </c>
      <c r="M41">
        <v>2000</v>
      </c>
    </row>
    <row r="42" spans="1:13" x14ac:dyDescent="0.35">
      <c r="A42" t="s">
        <v>38</v>
      </c>
      <c r="B42" t="s">
        <v>27</v>
      </c>
      <c r="C42">
        <v>90000</v>
      </c>
      <c r="D42">
        <v>17000</v>
      </c>
      <c r="E42">
        <v>9000</v>
      </c>
      <c r="F42">
        <v>46000</v>
      </c>
      <c r="G42">
        <v>5000</v>
      </c>
      <c r="H42">
        <v>10000</v>
      </c>
      <c r="I42">
        <v>0</v>
      </c>
      <c r="J42">
        <v>0</v>
      </c>
      <c r="K42">
        <v>0</v>
      </c>
      <c r="L42">
        <v>1000</v>
      </c>
      <c r="M42">
        <v>2000</v>
      </c>
    </row>
    <row r="43" spans="1:13" x14ac:dyDescent="0.35">
      <c r="A43" t="s">
        <v>38</v>
      </c>
      <c r="B43" t="s">
        <v>28</v>
      </c>
      <c r="C43">
        <v>101000</v>
      </c>
      <c r="D43">
        <v>16000</v>
      </c>
      <c r="E43">
        <v>10000</v>
      </c>
      <c r="F43">
        <v>56000</v>
      </c>
      <c r="G43">
        <v>5000</v>
      </c>
      <c r="H43">
        <v>11000</v>
      </c>
      <c r="I43">
        <v>0</v>
      </c>
      <c r="J43">
        <v>0</v>
      </c>
      <c r="K43">
        <v>0</v>
      </c>
      <c r="L43">
        <v>1000</v>
      </c>
      <c r="M43">
        <v>2000</v>
      </c>
    </row>
    <row r="44" spans="1:13" x14ac:dyDescent="0.35">
      <c r="A44" t="s">
        <v>38</v>
      </c>
      <c r="B44" t="s">
        <v>29</v>
      </c>
      <c r="C44">
        <v>113000</v>
      </c>
      <c r="D44">
        <v>17000</v>
      </c>
      <c r="E44">
        <v>10000</v>
      </c>
      <c r="F44">
        <v>66000</v>
      </c>
      <c r="G44">
        <v>6000</v>
      </c>
      <c r="H44">
        <v>11000</v>
      </c>
      <c r="I44">
        <v>0</v>
      </c>
      <c r="J44">
        <v>0</v>
      </c>
      <c r="K44">
        <v>0</v>
      </c>
      <c r="L44">
        <v>1000</v>
      </c>
      <c r="M44">
        <v>2000</v>
      </c>
    </row>
    <row r="45" spans="1:13" x14ac:dyDescent="0.35">
      <c r="A45" t="s">
        <v>38</v>
      </c>
      <c r="B45" t="s">
        <v>30</v>
      </c>
      <c r="C45">
        <v>126000</v>
      </c>
      <c r="D45">
        <v>18000</v>
      </c>
      <c r="E45">
        <v>11000</v>
      </c>
      <c r="F45">
        <v>75000</v>
      </c>
      <c r="G45">
        <v>7000</v>
      </c>
      <c r="H45">
        <v>11000</v>
      </c>
      <c r="I45">
        <v>0</v>
      </c>
      <c r="J45">
        <v>0</v>
      </c>
      <c r="K45">
        <v>0</v>
      </c>
      <c r="L45">
        <v>1000</v>
      </c>
      <c r="M45">
        <v>3000</v>
      </c>
    </row>
    <row r="46" spans="1:13" x14ac:dyDescent="0.35">
      <c r="A46" t="s">
        <v>38</v>
      </c>
      <c r="B46" t="s">
        <v>31</v>
      </c>
      <c r="C46">
        <v>141000</v>
      </c>
      <c r="D46">
        <v>20000</v>
      </c>
      <c r="E46">
        <v>12000</v>
      </c>
      <c r="F46">
        <v>83000</v>
      </c>
      <c r="G46">
        <v>8000</v>
      </c>
      <c r="H46">
        <v>12000</v>
      </c>
      <c r="I46">
        <v>0</v>
      </c>
      <c r="J46">
        <v>0</v>
      </c>
      <c r="K46">
        <v>1000</v>
      </c>
      <c r="L46">
        <v>1000</v>
      </c>
      <c r="M46">
        <v>3000</v>
      </c>
    </row>
    <row r="47" spans="1:13" x14ac:dyDescent="0.35">
      <c r="A47" t="s">
        <v>38</v>
      </c>
      <c r="B47" t="s">
        <v>32</v>
      </c>
      <c r="C47">
        <v>162000</v>
      </c>
      <c r="D47">
        <v>23000</v>
      </c>
      <c r="E47">
        <v>13000</v>
      </c>
      <c r="F47">
        <v>97000</v>
      </c>
      <c r="G47">
        <v>9000</v>
      </c>
      <c r="H47">
        <v>12000</v>
      </c>
      <c r="I47">
        <v>1000</v>
      </c>
      <c r="J47">
        <v>0</v>
      </c>
      <c r="K47">
        <v>4000</v>
      </c>
      <c r="L47">
        <v>2000</v>
      </c>
      <c r="M47">
        <v>3000</v>
      </c>
    </row>
    <row r="48" spans="1:13" x14ac:dyDescent="0.35">
      <c r="A48" t="s">
        <v>38</v>
      </c>
      <c r="B48" t="s">
        <v>33</v>
      </c>
      <c r="C48">
        <v>180000</v>
      </c>
      <c r="D48">
        <v>26000</v>
      </c>
      <c r="E48">
        <v>15000</v>
      </c>
      <c r="F48">
        <v>103000</v>
      </c>
      <c r="G48">
        <v>10000</v>
      </c>
      <c r="H48">
        <v>13000</v>
      </c>
      <c r="I48">
        <v>1000</v>
      </c>
      <c r="J48">
        <v>0</v>
      </c>
      <c r="K48">
        <v>6000</v>
      </c>
      <c r="L48">
        <v>3000</v>
      </c>
      <c r="M48">
        <v>4000</v>
      </c>
    </row>
    <row r="49" spans="1:13" x14ac:dyDescent="0.35">
      <c r="A49" t="s">
        <v>38</v>
      </c>
      <c r="B49" t="s">
        <v>34</v>
      </c>
      <c r="C49">
        <v>195000</v>
      </c>
      <c r="D49">
        <v>28000</v>
      </c>
      <c r="E49">
        <v>16000</v>
      </c>
      <c r="F49">
        <v>110000</v>
      </c>
      <c r="G49">
        <v>14000</v>
      </c>
      <c r="H49">
        <v>14000</v>
      </c>
      <c r="I49">
        <v>1000</v>
      </c>
      <c r="J49">
        <v>0</v>
      </c>
      <c r="K49">
        <v>6000</v>
      </c>
      <c r="L49">
        <v>3000</v>
      </c>
      <c r="M49">
        <v>4000</v>
      </c>
    </row>
    <row r="50" spans="1:13" x14ac:dyDescent="0.35">
      <c r="A50" t="s">
        <v>38</v>
      </c>
      <c r="B50" t="s">
        <v>35</v>
      </c>
      <c r="C50">
        <v>201000</v>
      </c>
      <c r="D50">
        <v>29000</v>
      </c>
      <c r="E50">
        <v>16000</v>
      </c>
      <c r="F50">
        <v>111000</v>
      </c>
      <c r="G50">
        <v>16000</v>
      </c>
      <c r="H50">
        <v>15000</v>
      </c>
      <c r="I50">
        <v>1000</v>
      </c>
      <c r="J50">
        <v>0</v>
      </c>
      <c r="K50">
        <v>5000</v>
      </c>
      <c r="L50">
        <v>4000</v>
      </c>
      <c r="M50">
        <v>4000</v>
      </c>
    </row>
    <row r="51" spans="1:13" x14ac:dyDescent="0.35">
      <c r="A51" t="s">
        <v>38</v>
      </c>
      <c r="B51" t="s">
        <v>36</v>
      </c>
      <c r="C51">
        <v>211000</v>
      </c>
      <c r="D51">
        <v>31000</v>
      </c>
      <c r="E51">
        <v>17000</v>
      </c>
      <c r="F51">
        <v>114000</v>
      </c>
      <c r="G51">
        <v>18000</v>
      </c>
      <c r="H51">
        <v>19000</v>
      </c>
      <c r="I51">
        <v>1000</v>
      </c>
      <c r="J51">
        <v>0</v>
      </c>
      <c r="K51">
        <v>3000</v>
      </c>
      <c r="L51">
        <v>5000</v>
      </c>
      <c r="M51">
        <v>4000</v>
      </c>
    </row>
    <row r="52" spans="1:13" x14ac:dyDescent="0.35">
      <c r="A52" t="s">
        <v>38</v>
      </c>
      <c r="B52" t="s">
        <v>37</v>
      </c>
      <c r="C52">
        <v>222000</v>
      </c>
      <c r="D52">
        <v>32000</v>
      </c>
      <c r="E52">
        <v>17000</v>
      </c>
      <c r="F52">
        <v>115000</v>
      </c>
      <c r="G52">
        <v>20000</v>
      </c>
      <c r="H52">
        <v>26000</v>
      </c>
      <c r="I52">
        <v>1000</v>
      </c>
      <c r="J52">
        <v>0</v>
      </c>
      <c r="K52">
        <v>1000</v>
      </c>
      <c r="L52">
        <v>5000</v>
      </c>
      <c r="M52">
        <v>5000</v>
      </c>
    </row>
    <row r="54" spans="1:13" x14ac:dyDescent="0.35">
      <c r="A54" t="s">
        <v>39</v>
      </c>
      <c r="B54" t="s">
        <v>15</v>
      </c>
      <c r="C54">
        <v>179000</v>
      </c>
      <c r="D54">
        <v>26000</v>
      </c>
      <c r="E54">
        <v>19000</v>
      </c>
      <c r="F54">
        <v>23000</v>
      </c>
      <c r="G54">
        <v>0</v>
      </c>
      <c r="H54">
        <v>55000</v>
      </c>
      <c r="I54">
        <v>0</v>
      </c>
      <c r="J54">
        <v>6000</v>
      </c>
      <c r="K54">
        <v>0</v>
      </c>
      <c r="L54">
        <v>36000</v>
      </c>
      <c r="M54">
        <v>14000</v>
      </c>
    </row>
    <row r="55" spans="1:13" x14ac:dyDescent="0.35">
      <c r="A55" t="s">
        <v>39</v>
      </c>
      <c r="B55" t="s">
        <v>16</v>
      </c>
      <c r="C55">
        <v>171000</v>
      </c>
      <c r="D55">
        <v>24000</v>
      </c>
      <c r="E55">
        <v>19000</v>
      </c>
      <c r="F55">
        <v>9000</v>
      </c>
      <c r="G55">
        <v>1000</v>
      </c>
      <c r="H55">
        <v>60000</v>
      </c>
      <c r="I55">
        <v>0</v>
      </c>
      <c r="J55">
        <v>6000</v>
      </c>
      <c r="K55">
        <v>0</v>
      </c>
      <c r="L55">
        <v>39000</v>
      </c>
      <c r="M55">
        <v>14000</v>
      </c>
    </row>
    <row r="56" spans="1:13" x14ac:dyDescent="0.35">
      <c r="A56" t="s">
        <v>39</v>
      </c>
      <c r="B56" t="s">
        <v>17</v>
      </c>
      <c r="C56">
        <v>186000</v>
      </c>
      <c r="D56">
        <v>27000</v>
      </c>
      <c r="E56">
        <v>21000</v>
      </c>
      <c r="F56">
        <v>10000</v>
      </c>
      <c r="G56">
        <v>2000</v>
      </c>
      <c r="H56">
        <v>66000</v>
      </c>
      <c r="I56">
        <v>0</v>
      </c>
      <c r="J56">
        <v>6000</v>
      </c>
      <c r="K56">
        <v>0</v>
      </c>
      <c r="L56">
        <v>40000</v>
      </c>
      <c r="M56">
        <v>14000</v>
      </c>
    </row>
    <row r="57" spans="1:13" x14ac:dyDescent="0.35">
      <c r="A57" t="s">
        <v>39</v>
      </c>
      <c r="B57" t="s">
        <v>18</v>
      </c>
      <c r="C57">
        <v>166000</v>
      </c>
      <c r="D57">
        <v>27000</v>
      </c>
      <c r="E57">
        <v>21000</v>
      </c>
      <c r="F57">
        <v>-10000</v>
      </c>
      <c r="G57">
        <v>3000</v>
      </c>
      <c r="H57">
        <v>69000</v>
      </c>
      <c r="I57">
        <v>0</v>
      </c>
      <c r="J57">
        <v>5000</v>
      </c>
      <c r="K57">
        <v>0</v>
      </c>
      <c r="L57">
        <v>40000</v>
      </c>
      <c r="M57">
        <v>11000</v>
      </c>
    </row>
    <row r="58" spans="1:13" x14ac:dyDescent="0.35">
      <c r="A58" t="s">
        <v>39</v>
      </c>
      <c r="B58" t="s">
        <v>19</v>
      </c>
      <c r="C58">
        <v>115000</v>
      </c>
      <c r="D58">
        <v>17000</v>
      </c>
      <c r="E58">
        <v>15000</v>
      </c>
      <c r="F58">
        <v>-20000</v>
      </c>
      <c r="G58">
        <v>2000</v>
      </c>
      <c r="H58">
        <v>54000</v>
      </c>
      <c r="I58">
        <v>0</v>
      </c>
      <c r="J58">
        <v>4000</v>
      </c>
      <c r="K58">
        <v>0</v>
      </c>
      <c r="L58">
        <v>37000</v>
      </c>
      <c r="M58">
        <v>6000</v>
      </c>
    </row>
    <row r="59" spans="1:13" x14ac:dyDescent="0.35">
      <c r="A59" t="s">
        <v>39</v>
      </c>
      <c r="B59" t="s">
        <v>20</v>
      </c>
      <c r="C59">
        <v>60000</v>
      </c>
      <c r="D59">
        <v>14000</v>
      </c>
      <c r="E59">
        <v>12000</v>
      </c>
      <c r="F59">
        <v>-55000</v>
      </c>
      <c r="G59">
        <v>2000</v>
      </c>
      <c r="H59">
        <v>43000</v>
      </c>
      <c r="I59">
        <v>0</v>
      </c>
      <c r="J59">
        <v>2000</v>
      </c>
      <c r="K59">
        <v>0</v>
      </c>
      <c r="L59">
        <v>36000</v>
      </c>
      <c r="M59">
        <v>6000</v>
      </c>
    </row>
    <row r="60" spans="1:13" x14ac:dyDescent="0.35">
      <c r="A60" t="s">
        <v>39</v>
      </c>
      <c r="B60" t="s">
        <v>21</v>
      </c>
      <c r="C60">
        <v>101000</v>
      </c>
      <c r="D60">
        <v>15000</v>
      </c>
      <c r="E60">
        <v>14000</v>
      </c>
      <c r="F60">
        <v>-16000</v>
      </c>
      <c r="G60">
        <v>6000</v>
      </c>
      <c r="H60">
        <v>38000</v>
      </c>
      <c r="I60">
        <v>0</v>
      </c>
      <c r="J60">
        <v>1000</v>
      </c>
      <c r="K60">
        <v>0</v>
      </c>
      <c r="L60">
        <v>34000</v>
      </c>
      <c r="M60">
        <v>11000</v>
      </c>
    </row>
    <row r="61" spans="1:13" x14ac:dyDescent="0.35">
      <c r="A61" t="s">
        <v>39</v>
      </c>
      <c r="B61" t="s">
        <v>22</v>
      </c>
      <c r="C61">
        <v>150000</v>
      </c>
      <c r="D61">
        <v>16000</v>
      </c>
      <c r="E61">
        <v>16000</v>
      </c>
      <c r="F61">
        <v>32000</v>
      </c>
      <c r="G61">
        <v>9000</v>
      </c>
      <c r="H61">
        <v>32000</v>
      </c>
      <c r="I61">
        <v>0</v>
      </c>
      <c r="J61">
        <v>0</v>
      </c>
      <c r="K61">
        <v>0</v>
      </c>
      <c r="L61">
        <v>30000</v>
      </c>
      <c r="M61">
        <v>15000</v>
      </c>
    </row>
    <row r="62" spans="1:13" x14ac:dyDescent="0.35">
      <c r="A62" t="s">
        <v>39</v>
      </c>
      <c r="B62" t="s">
        <v>23</v>
      </c>
      <c r="C62">
        <v>251000</v>
      </c>
      <c r="D62">
        <v>31000</v>
      </c>
      <c r="E62">
        <v>28000</v>
      </c>
      <c r="F62">
        <v>45000</v>
      </c>
      <c r="G62">
        <v>14000</v>
      </c>
      <c r="H62">
        <v>60000</v>
      </c>
      <c r="I62">
        <v>9000</v>
      </c>
      <c r="J62">
        <v>1000</v>
      </c>
      <c r="K62">
        <v>0</v>
      </c>
      <c r="L62">
        <v>38000</v>
      </c>
      <c r="M62">
        <v>26000</v>
      </c>
    </row>
    <row r="63" spans="1:13" x14ac:dyDescent="0.35">
      <c r="A63" t="s">
        <v>39</v>
      </c>
      <c r="B63" t="s">
        <v>24</v>
      </c>
      <c r="C63">
        <v>441000</v>
      </c>
      <c r="D63">
        <v>46000</v>
      </c>
      <c r="E63">
        <v>41000</v>
      </c>
      <c r="F63">
        <v>149000</v>
      </c>
      <c r="G63">
        <v>23000</v>
      </c>
      <c r="H63">
        <v>64000</v>
      </c>
      <c r="I63">
        <v>28000</v>
      </c>
      <c r="J63">
        <v>16000</v>
      </c>
      <c r="K63">
        <v>0</v>
      </c>
      <c r="L63">
        <v>46000</v>
      </c>
      <c r="M63">
        <v>28000</v>
      </c>
    </row>
    <row r="64" spans="1:13" x14ac:dyDescent="0.35">
      <c r="A64" t="s">
        <v>39</v>
      </c>
      <c r="B64" t="s">
        <v>25</v>
      </c>
      <c r="C64">
        <v>529000</v>
      </c>
      <c r="D64">
        <v>62000</v>
      </c>
      <c r="E64">
        <v>52000</v>
      </c>
      <c r="F64">
        <v>180000</v>
      </c>
      <c r="G64">
        <v>33000</v>
      </c>
      <c r="H64">
        <v>61000</v>
      </c>
      <c r="I64">
        <v>39000</v>
      </c>
      <c r="J64">
        <v>18000</v>
      </c>
      <c r="K64">
        <v>0</v>
      </c>
      <c r="L64">
        <v>59000</v>
      </c>
      <c r="M64">
        <v>26000</v>
      </c>
    </row>
    <row r="65" spans="1:13" x14ac:dyDescent="0.35">
      <c r="A65" t="s">
        <v>39</v>
      </c>
      <c r="B65" t="s">
        <v>26</v>
      </c>
      <c r="C65">
        <v>640000</v>
      </c>
      <c r="D65">
        <v>83000</v>
      </c>
      <c r="E65">
        <v>66000</v>
      </c>
      <c r="F65">
        <v>211000</v>
      </c>
      <c r="G65">
        <v>49000</v>
      </c>
      <c r="H65">
        <v>62000</v>
      </c>
      <c r="I65">
        <v>50000</v>
      </c>
      <c r="J65">
        <v>19000</v>
      </c>
      <c r="K65">
        <v>7000</v>
      </c>
      <c r="L65">
        <v>67000</v>
      </c>
      <c r="M65">
        <v>25000</v>
      </c>
    </row>
    <row r="66" spans="1:13" x14ac:dyDescent="0.35">
      <c r="A66" t="s">
        <v>39</v>
      </c>
      <c r="B66" t="s">
        <v>27</v>
      </c>
      <c r="C66">
        <v>754000</v>
      </c>
      <c r="D66">
        <v>100000</v>
      </c>
      <c r="E66">
        <v>78000</v>
      </c>
      <c r="F66">
        <v>214000</v>
      </c>
      <c r="G66">
        <v>55000</v>
      </c>
      <c r="H66">
        <v>54000</v>
      </c>
      <c r="I66">
        <v>57000</v>
      </c>
      <c r="J66">
        <v>20000</v>
      </c>
      <c r="K66">
        <v>73000</v>
      </c>
      <c r="L66">
        <v>76000</v>
      </c>
      <c r="M66">
        <v>28000</v>
      </c>
    </row>
    <row r="67" spans="1:13" x14ac:dyDescent="0.35">
      <c r="A67" t="s">
        <v>39</v>
      </c>
      <c r="B67" t="s">
        <v>28</v>
      </c>
      <c r="C67">
        <v>902000</v>
      </c>
      <c r="D67">
        <v>125000</v>
      </c>
      <c r="E67">
        <v>97000</v>
      </c>
      <c r="F67">
        <v>271000</v>
      </c>
      <c r="G67">
        <v>73000</v>
      </c>
      <c r="H67">
        <v>51000</v>
      </c>
      <c r="I67">
        <v>56000</v>
      </c>
      <c r="J67">
        <v>7000</v>
      </c>
      <c r="K67">
        <v>109000</v>
      </c>
      <c r="L67">
        <v>86000</v>
      </c>
      <c r="M67">
        <v>27000</v>
      </c>
    </row>
    <row r="68" spans="1:13" x14ac:dyDescent="0.35">
      <c r="A68" t="s">
        <v>39</v>
      </c>
      <c r="B68" t="s">
        <v>29</v>
      </c>
      <c r="C68">
        <v>965000</v>
      </c>
      <c r="D68">
        <v>139000</v>
      </c>
      <c r="E68">
        <v>114000</v>
      </c>
      <c r="F68">
        <v>255000</v>
      </c>
      <c r="G68">
        <v>98000</v>
      </c>
      <c r="H68">
        <v>57000</v>
      </c>
      <c r="I68">
        <v>56000</v>
      </c>
      <c r="J68">
        <v>6000</v>
      </c>
      <c r="K68">
        <v>126000</v>
      </c>
      <c r="L68">
        <v>90000</v>
      </c>
      <c r="M68">
        <v>26000</v>
      </c>
    </row>
    <row r="69" spans="1:13" x14ac:dyDescent="0.35">
      <c r="A69" t="s">
        <v>39</v>
      </c>
      <c r="B69" t="s">
        <v>30</v>
      </c>
      <c r="C69">
        <v>957000</v>
      </c>
      <c r="D69">
        <v>145000</v>
      </c>
      <c r="E69">
        <v>124000</v>
      </c>
      <c r="F69">
        <v>222000</v>
      </c>
      <c r="G69">
        <v>101000</v>
      </c>
      <c r="H69">
        <v>64000</v>
      </c>
      <c r="I69">
        <v>52000</v>
      </c>
      <c r="J69">
        <v>4000</v>
      </c>
      <c r="K69">
        <v>130000</v>
      </c>
      <c r="L69">
        <v>91000</v>
      </c>
      <c r="M69">
        <v>22000</v>
      </c>
    </row>
    <row r="70" spans="1:13" x14ac:dyDescent="0.35">
      <c r="A70" t="s">
        <v>39</v>
      </c>
      <c r="B70" t="s">
        <v>31</v>
      </c>
      <c r="C70">
        <v>954000</v>
      </c>
      <c r="D70">
        <v>169000</v>
      </c>
      <c r="E70">
        <v>155000</v>
      </c>
      <c r="F70">
        <v>219000</v>
      </c>
      <c r="G70">
        <v>107000</v>
      </c>
      <c r="H70">
        <v>73000</v>
      </c>
      <c r="I70">
        <v>48000</v>
      </c>
      <c r="J70">
        <v>3000</v>
      </c>
      <c r="K70">
        <v>72000</v>
      </c>
      <c r="L70">
        <v>90000</v>
      </c>
      <c r="M70">
        <v>18000</v>
      </c>
    </row>
    <row r="71" spans="1:13" x14ac:dyDescent="0.35">
      <c r="A71" t="s">
        <v>39</v>
      </c>
      <c r="B71" t="s">
        <v>32</v>
      </c>
      <c r="C71">
        <v>957000</v>
      </c>
      <c r="D71">
        <v>182000</v>
      </c>
      <c r="E71">
        <v>181000</v>
      </c>
      <c r="F71">
        <v>219000</v>
      </c>
      <c r="G71">
        <v>114000</v>
      </c>
      <c r="H71">
        <v>78000</v>
      </c>
      <c r="I71">
        <v>40000</v>
      </c>
      <c r="J71">
        <v>2000</v>
      </c>
      <c r="K71">
        <v>41000</v>
      </c>
      <c r="L71">
        <v>86000</v>
      </c>
      <c r="M71">
        <v>15000</v>
      </c>
    </row>
    <row r="72" spans="1:13" x14ac:dyDescent="0.35">
      <c r="A72" t="s">
        <v>39</v>
      </c>
      <c r="B72" t="s">
        <v>33</v>
      </c>
      <c r="C72">
        <v>952000</v>
      </c>
      <c r="D72">
        <v>195000</v>
      </c>
      <c r="E72">
        <v>215000</v>
      </c>
      <c r="F72">
        <v>198000</v>
      </c>
      <c r="G72">
        <v>111000</v>
      </c>
      <c r="H72">
        <v>73000</v>
      </c>
      <c r="I72">
        <v>35000</v>
      </c>
      <c r="J72">
        <v>4000</v>
      </c>
      <c r="K72">
        <v>31000</v>
      </c>
      <c r="L72">
        <v>77000</v>
      </c>
      <c r="M72">
        <v>12000</v>
      </c>
    </row>
    <row r="73" spans="1:13" x14ac:dyDescent="0.35">
      <c r="A73" t="s">
        <v>39</v>
      </c>
      <c r="B73" t="s">
        <v>34</v>
      </c>
      <c r="C73">
        <v>927000</v>
      </c>
      <c r="D73">
        <v>188000</v>
      </c>
      <c r="E73">
        <v>240000</v>
      </c>
      <c r="F73">
        <v>193000</v>
      </c>
      <c r="G73">
        <v>87000</v>
      </c>
      <c r="H73">
        <v>67000</v>
      </c>
      <c r="I73">
        <v>30000</v>
      </c>
      <c r="J73">
        <v>7000</v>
      </c>
      <c r="K73">
        <v>26000</v>
      </c>
      <c r="L73">
        <v>77000</v>
      </c>
      <c r="M73">
        <v>12000</v>
      </c>
    </row>
    <row r="74" spans="1:13" x14ac:dyDescent="0.35">
      <c r="A74" t="s">
        <v>39</v>
      </c>
      <c r="B74" t="s">
        <v>35</v>
      </c>
      <c r="C74">
        <v>856000</v>
      </c>
      <c r="D74">
        <v>159000</v>
      </c>
      <c r="E74">
        <v>226000</v>
      </c>
      <c r="F74">
        <v>185000</v>
      </c>
      <c r="G74">
        <v>70000</v>
      </c>
      <c r="H74">
        <v>66000</v>
      </c>
      <c r="I74">
        <v>26000</v>
      </c>
      <c r="J74">
        <v>8000</v>
      </c>
      <c r="K74">
        <v>25000</v>
      </c>
      <c r="L74">
        <v>79000</v>
      </c>
      <c r="M74">
        <v>11000</v>
      </c>
    </row>
    <row r="75" spans="1:13" x14ac:dyDescent="0.35">
      <c r="A75" t="s">
        <v>39</v>
      </c>
      <c r="B75" t="s">
        <v>36</v>
      </c>
      <c r="C75">
        <v>709000</v>
      </c>
      <c r="D75">
        <v>124000</v>
      </c>
      <c r="E75">
        <v>190000</v>
      </c>
      <c r="F75">
        <v>149000</v>
      </c>
      <c r="G75">
        <v>36000</v>
      </c>
      <c r="H75">
        <v>62000</v>
      </c>
      <c r="I75">
        <v>22000</v>
      </c>
      <c r="J75">
        <v>10000</v>
      </c>
      <c r="K75">
        <v>23000</v>
      </c>
      <c r="L75">
        <v>81000</v>
      </c>
      <c r="M75">
        <v>11000</v>
      </c>
    </row>
    <row r="76" spans="1:13" x14ac:dyDescent="0.35">
      <c r="A76" t="s">
        <v>39</v>
      </c>
      <c r="B76" t="s">
        <v>37</v>
      </c>
      <c r="C76">
        <v>544000</v>
      </c>
      <c r="D76">
        <v>81000</v>
      </c>
      <c r="E76">
        <v>132000</v>
      </c>
      <c r="F76">
        <v>135000</v>
      </c>
      <c r="G76">
        <v>-3000</v>
      </c>
      <c r="H76">
        <v>50000</v>
      </c>
      <c r="I76">
        <v>21000</v>
      </c>
      <c r="J76">
        <v>8000</v>
      </c>
      <c r="K76">
        <v>21000</v>
      </c>
      <c r="L76">
        <v>90000</v>
      </c>
      <c r="M76">
        <v>10000</v>
      </c>
    </row>
  </sheetData>
  <hyperlinks>
    <hyperlink ref="M2" r:id="rId1" xr:uid="{11B61575-2DEA-4C2C-BEC4-5935FDD6CC9D}"/>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154DBD-FF8B-4FD0-93A1-8A5A7B209809}">
  <dimension ref="A1:AM44"/>
  <sheetViews>
    <sheetView workbookViewId="0">
      <pane xSplit="1" ySplit="3" topLeftCell="AD4" activePane="bottomRight" state="frozen"/>
      <selection pane="topRight" activeCell="B1" sqref="B1"/>
      <selection pane="bottomLeft" activeCell="A4" sqref="A4"/>
      <selection pane="bottomRight" activeCell="AL7" sqref="AL7"/>
    </sheetView>
  </sheetViews>
  <sheetFormatPr defaultRowHeight="14.5" x14ac:dyDescent="0.35"/>
  <cols>
    <col min="1" max="1" width="11.54296875" bestFit="1" customWidth="1"/>
    <col min="10" max="11" width="2.26953125" customWidth="1"/>
    <col min="19" max="20" width="2.26953125" customWidth="1"/>
    <col min="28" max="29" width="2.26953125" customWidth="1"/>
    <col min="30" max="30" width="12.90625" customWidth="1"/>
    <col min="34" max="35" width="2.26953125" customWidth="1"/>
  </cols>
  <sheetData>
    <row r="1" spans="1:39" x14ac:dyDescent="0.35">
      <c r="A1" s="2" t="s">
        <v>100</v>
      </c>
      <c r="L1" s="2" t="s">
        <v>102</v>
      </c>
      <c r="U1" s="2" t="s">
        <v>105</v>
      </c>
      <c r="AD1" s="2" t="s">
        <v>106</v>
      </c>
      <c r="AJ1" s="2" t="s">
        <v>108</v>
      </c>
    </row>
    <row r="3" spans="1:39" x14ac:dyDescent="0.35">
      <c r="B3" t="s">
        <v>71</v>
      </c>
      <c r="C3" t="s">
        <v>72</v>
      </c>
      <c r="D3" t="s">
        <v>97</v>
      </c>
      <c r="E3" t="s">
        <v>73</v>
      </c>
      <c r="F3" t="s">
        <v>74</v>
      </c>
      <c r="G3" t="s">
        <v>75</v>
      </c>
      <c r="H3" t="s">
        <v>76</v>
      </c>
      <c r="I3" t="s">
        <v>98</v>
      </c>
      <c r="M3" t="s">
        <v>71</v>
      </c>
      <c r="N3" t="s">
        <v>72</v>
      </c>
      <c r="O3" t="s">
        <v>97</v>
      </c>
      <c r="P3" t="s">
        <v>74</v>
      </c>
      <c r="Q3" t="s">
        <v>76</v>
      </c>
      <c r="R3" t="s">
        <v>101</v>
      </c>
      <c r="V3" t="s">
        <v>71</v>
      </c>
      <c r="W3" t="s">
        <v>72</v>
      </c>
      <c r="X3" t="s">
        <v>97</v>
      </c>
      <c r="Y3" t="s">
        <v>74</v>
      </c>
      <c r="Z3" t="s">
        <v>76</v>
      </c>
      <c r="AA3" t="s">
        <v>101</v>
      </c>
      <c r="AE3" t="s">
        <v>14</v>
      </c>
      <c r="AF3" t="s">
        <v>107</v>
      </c>
      <c r="AG3" t="s">
        <v>39</v>
      </c>
      <c r="AK3" t="s">
        <v>109</v>
      </c>
      <c r="AL3" t="s">
        <v>110</v>
      </c>
      <c r="AM3" t="s">
        <v>111</v>
      </c>
    </row>
    <row r="4" spans="1:39" x14ac:dyDescent="0.35">
      <c r="A4" t="s">
        <v>77</v>
      </c>
      <c r="B4" s="5">
        <f>'Migration reason data'!D56</f>
        <v>27000</v>
      </c>
      <c r="C4" s="5">
        <f>'Migration reason data'!F56</f>
        <v>10000</v>
      </c>
      <c r="D4" s="5">
        <f>'Migration reason data'!E56+'Migration reason data'!G56</f>
        <v>23000</v>
      </c>
      <c r="E4" s="5">
        <f>'Migration reason data'!H56</f>
        <v>66000</v>
      </c>
      <c r="F4" s="5">
        <f>'Migration reason data'!I56+'Migration reason data'!J56+'Migration reason data'!K56</f>
        <v>6000</v>
      </c>
      <c r="G4" s="5">
        <f>'Migration reason data'!L56</f>
        <v>40000</v>
      </c>
      <c r="H4" s="5">
        <f>'Migration reason data'!M56</f>
        <v>14000</v>
      </c>
      <c r="I4">
        <v>0</v>
      </c>
      <c r="L4" t="s">
        <v>77</v>
      </c>
      <c r="M4" s="5">
        <f>'Migration reason data'!D56</f>
        <v>27000</v>
      </c>
      <c r="N4" s="5">
        <f>'Migration reason data'!F56</f>
        <v>10000</v>
      </c>
      <c r="O4" s="5">
        <f>'Migration reason data'!E56+'Migration reason data'!G56</f>
        <v>23000</v>
      </c>
      <c r="P4" s="5">
        <f>'Migration reason data'!I56+'Migration reason data'!J56+'Migration reason data'!K56</f>
        <v>6000</v>
      </c>
      <c r="Q4" s="5">
        <f>E4+G4+H4</f>
        <v>120000</v>
      </c>
      <c r="R4" s="5">
        <f>SUM(M4:Q4)</f>
        <v>186000</v>
      </c>
      <c r="U4" t="s">
        <v>77</v>
      </c>
      <c r="V4">
        <f>'Migration reason data'!D8</f>
        <v>62000</v>
      </c>
      <c r="W4">
        <f>'Migration reason data'!F8</f>
        <v>112000</v>
      </c>
      <c r="X4">
        <f>'Migration reason data'!E8+'Migration reason data'!G8</f>
        <v>46000</v>
      </c>
      <c r="Y4">
        <f>'Migration reason data'!I8+'Migration reason data'!J8+'Migration reason data'!K8</f>
        <v>6000</v>
      </c>
      <c r="Z4">
        <f>'Migration reason data'!H8+'Migration reason data'!L8+'Migration reason data'!M8</f>
        <v>143000</v>
      </c>
      <c r="AA4">
        <f>SUM(V4:Z4)</f>
        <v>369000</v>
      </c>
      <c r="AD4" t="s">
        <v>77</v>
      </c>
      <c r="AE4" s="5">
        <f>'Migration reason data'!F8</f>
        <v>112000</v>
      </c>
      <c r="AF4" s="5">
        <f>'Migration reason data'!F32</f>
        <v>101000</v>
      </c>
      <c r="AG4" s="5">
        <f>'Migration reason data'!F56</f>
        <v>10000</v>
      </c>
      <c r="AJ4">
        <v>2020</v>
      </c>
      <c r="AK4" s="7">
        <v>42.6339775</v>
      </c>
      <c r="AL4" s="7">
        <v>42.614900500000005</v>
      </c>
    </row>
    <row r="5" spans="1:39" x14ac:dyDescent="0.35">
      <c r="A5" t="s">
        <v>78</v>
      </c>
      <c r="B5" s="5">
        <f>'Migration reason data'!D57</f>
        <v>27000</v>
      </c>
      <c r="C5" s="5">
        <f>'Migration reason data'!F57</f>
        <v>-10000</v>
      </c>
      <c r="D5" s="5">
        <f>'Migration reason data'!E57+'Migration reason data'!G57</f>
        <v>24000</v>
      </c>
      <c r="E5" s="5">
        <f>'Migration reason data'!H57</f>
        <v>69000</v>
      </c>
      <c r="F5" s="5">
        <f>'Migration reason data'!I57+'Migration reason data'!J57+'Migration reason data'!K57</f>
        <v>5000</v>
      </c>
      <c r="G5" s="5">
        <f>'Migration reason data'!L57</f>
        <v>40000</v>
      </c>
      <c r="H5" s="5">
        <f>'Migration reason data'!M57</f>
        <v>11000</v>
      </c>
      <c r="I5">
        <v>0</v>
      </c>
      <c r="L5" t="s">
        <v>78</v>
      </c>
      <c r="M5" s="5">
        <f>'Migration reason data'!D57</f>
        <v>27000</v>
      </c>
      <c r="N5" s="5">
        <f>'Migration reason data'!F57</f>
        <v>-10000</v>
      </c>
      <c r="O5" s="5">
        <f>'Migration reason data'!E57+'Migration reason data'!G57</f>
        <v>24000</v>
      </c>
      <c r="P5" s="5">
        <f>'Migration reason data'!I57+'Migration reason data'!J57+'Migration reason data'!K57</f>
        <v>5000</v>
      </c>
      <c r="Q5" s="5">
        <f t="shared" ref="Q5:Q24" si="0">E5+G5+H5</f>
        <v>120000</v>
      </c>
      <c r="R5" s="5">
        <f t="shared" ref="R5:R24" si="1">SUM(M5:Q5)</f>
        <v>166000</v>
      </c>
      <c r="U5" t="s">
        <v>78</v>
      </c>
      <c r="V5">
        <f>'Migration reason data'!D9</f>
        <v>63000</v>
      </c>
      <c r="W5">
        <f>'Migration reason data'!F9</f>
        <v>124000</v>
      </c>
      <c r="X5">
        <f>'Migration reason data'!E9+'Migration reason data'!G9</f>
        <v>50000</v>
      </c>
      <c r="Y5">
        <f>'Migration reason data'!I9+'Migration reason data'!J9+'Migration reason data'!K9</f>
        <v>5000</v>
      </c>
      <c r="Z5">
        <f>'Migration reason data'!H9+'Migration reason data'!L9+'Migration reason data'!M9</f>
        <v>147000</v>
      </c>
      <c r="AA5">
        <f>SUM(V5:Z5)</f>
        <v>389000</v>
      </c>
      <c r="AD5" t="s">
        <v>78</v>
      </c>
      <c r="AE5" s="5">
        <f>'Migration reason data'!F9</f>
        <v>124000</v>
      </c>
      <c r="AF5" s="5">
        <f>'Migration reason data'!F33</f>
        <v>134000</v>
      </c>
      <c r="AG5" s="5">
        <f>'Migration reason data'!F57</f>
        <v>-10000</v>
      </c>
      <c r="AJ5">
        <v>2021</v>
      </c>
      <c r="AK5" s="7">
        <v>42.897714999999998</v>
      </c>
      <c r="AL5" s="7">
        <v>42.845914999999998</v>
      </c>
    </row>
    <row r="6" spans="1:39" x14ac:dyDescent="0.35">
      <c r="A6" t="s">
        <v>79</v>
      </c>
      <c r="B6" s="5">
        <f>'Migration reason data'!D58</f>
        <v>17000</v>
      </c>
      <c r="C6" s="5">
        <f>'Migration reason data'!F58</f>
        <v>-20000</v>
      </c>
      <c r="D6" s="5">
        <f>'Migration reason data'!E58+'Migration reason data'!G58</f>
        <v>17000</v>
      </c>
      <c r="E6" s="5">
        <f>'Migration reason data'!H58</f>
        <v>54000</v>
      </c>
      <c r="F6" s="5">
        <f>'Migration reason data'!I58+'Migration reason data'!J58+'Migration reason data'!K58</f>
        <v>4000</v>
      </c>
      <c r="G6" s="5">
        <f>'Migration reason data'!L58</f>
        <v>37000</v>
      </c>
      <c r="H6" s="5">
        <f>'Migration reason data'!M58</f>
        <v>6000</v>
      </c>
      <c r="I6">
        <v>0</v>
      </c>
      <c r="L6" t="s">
        <v>79</v>
      </c>
      <c r="M6" s="5">
        <f>'Migration reason data'!D58</f>
        <v>17000</v>
      </c>
      <c r="N6" s="5">
        <f>'Migration reason data'!F58</f>
        <v>-20000</v>
      </c>
      <c r="O6" s="5">
        <f>'Migration reason data'!E58+'Migration reason data'!G58</f>
        <v>17000</v>
      </c>
      <c r="P6" s="5">
        <f>'Migration reason data'!I58+'Migration reason data'!J58+'Migration reason data'!K58</f>
        <v>4000</v>
      </c>
      <c r="Q6" s="5">
        <f t="shared" si="0"/>
        <v>97000</v>
      </c>
      <c r="R6" s="5">
        <f t="shared" si="1"/>
        <v>115000</v>
      </c>
      <c r="U6" t="s">
        <v>79</v>
      </c>
      <c r="V6">
        <f>'Migration reason data'!D10</f>
        <v>49000</v>
      </c>
      <c r="W6">
        <f>'Migration reason data'!F10</f>
        <v>114000</v>
      </c>
      <c r="X6">
        <f>'Migration reason data'!E10+'Migration reason data'!G10</f>
        <v>40000</v>
      </c>
      <c r="Y6">
        <f>'Migration reason data'!I10+'Migration reason data'!J10+'Migration reason data'!K10</f>
        <v>4000</v>
      </c>
      <c r="Z6">
        <f>'Migration reason data'!H10+'Migration reason data'!L10+'Migration reason data'!M10</f>
        <v>123000</v>
      </c>
      <c r="AA6">
        <f>SUM(V6:Z6)</f>
        <v>330000</v>
      </c>
      <c r="AD6" t="s">
        <v>79</v>
      </c>
      <c r="AE6" s="5">
        <f>'Migration reason data'!F10</f>
        <v>114000</v>
      </c>
      <c r="AF6" s="5">
        <f>'Migration reason data'!F34</f>
        <v>134000</v>
      </c>
      <c r="AG6" s="5">
        <f>'Migration reason data'!F58</f>
        <v>-20000</v>
      </c>
      <c r="AJ6">
        <v>2022</v>
      </c>
      <c r="AK6" s="7">
        <v>43.255562500000003</v>
      </c>
      <c r="AL6" s="7">
        <v>43.199199999999998</v>
      </c>
    </row>
    <row r="7" spans="1:39" x14ac:dyDescent="0.35">
      <c r="A7" t="s">
        <v>80</v>
      </c>
      <c r="B7" s="5">
        <f>'Migration reason data'!D59</f>
        <v>14000</v>
      </c>
      <c r="C7" s="5">
        <f>'Migration reason data'!F59</f>
        <v>-55000</v>
      </c>
      <c r="D7" s="5">
        <f>'Migration reason data'!E59+'Migration reason data'!G59</f>
        <v>14000</v>
      </c>
      <c r="E7" s="5">
        <f>'Migration reason data'!H59</f>
        <v>43000</v>
      </c>
      <c r="F7" s="5">
        <f>'Migration reason data'!I59+'Migration reason data'!J59+'Migration reason data'!K59</f>
        <v>2000</v>
      </c>
      <c r="G7" s="5">
        <f>'Migration reason data'!L59</f>
        <v>36000</v>
      </c>
      <c r="H7" s="5">
        <f>'Migration reason data'!M59</f>
        <v>6000</v>
      </c>
      <c r="I7">
        <v>0</v>
      </c>
      <c r="L7" t="s">
        <v>80</v>
      </c>
      <c r="M7" s="5">
        <f>'Migration reason data'!D59</f>
        <v>14000</v>
      </c>
      <c r="N7" s="5">
        <f>'Migration reason data'!F59</f>
        <v>-55000</v>
      </c>
      <c r="O7" s="5">
        <f>'Migration reason data'!E59+'Migration reason data'!G59</f>
        <v>14000</v>
      </c>
      <c r="P7" s="5">
        <f>'Migration reason data'!I59+'Migration reason data'!J59+'Migration reason data'!K59</f>
        <v>2000</v>
      </c>
      <c r="Q7" s="5">
        <f t="shared" si="0"/>
        <v>85000</v>
      </c>
      <c r="R7" s="5">
        <f t="shared" si="1"/>
        <v>60000</v>
      </c>
      <c r="U7" t="s">
        <v>80</v>
      </c>
      <c r="V7">
        <f>'Migration reason data'!D11</f>
        <v>42000</v>
      </c>
      <c r="W7">
        <f>'Migration reason data'!F11</f>
        <v>69000</v>
      </c>
      <c r="X7">
        <f>'Migration reason data'!E11+'Migration reason data'!G11</f>
        <v>34000</v>
      </c>
      <c r="Y7">
        <f>'Migration reason data'!I11+'Migration reason data'!J11+'Migration reason data'!K11</f>
        <v>2000</v>
      </c>
      <c r="Z7">
        <f>'Migration reason data'!H11+'Migration reason data'!L11+'Migration reason data'!M11</f>
        <v>112000</v>
      </c>
      <c r="AA7">
        <f>SUM(V7:Z7)</f>
        <v>259000</v>
      </c>
      <c r="AD7" t="s">
        <v>80</v>
      </c>
      <c r="AE7" s="5">
        <f>'Migration reason data'!F11</f>
        <v>69000</v>
      </c>
      <c r="AF7" s="5">
        <f>'Migration reason data'!F35</f>
        <v>124000</v>
      </c>
      <c r="AG7" s="5">
        <f>'Migration reason data'!F59</f>
        <v>-55000</v>
      </c>
      <c r="AJ7">
        <v>2023</v>
      </c>
      <c r="AK7" s="7">
        <v>43.70223</v>
      </c>
      <c r="AL7" s="7">
        <v>43.617552000000003</v>
      </c>
    </row>
    <row r="8" spans="1:39" x14ac:dyDescent="0.35">
      <c r="A8" t="s">
        <v>81</v>
      </c>
      <c r="B8" s="5">
        <f>'Migration reason data'!D60</f>
        <v>15000</v>
      </c>
      <c r="C8" s="5">
        <f>'Migration reason data'!F60</f>
        <v>-16000</v>
      </c>
      <c r="D8" s="5">
        <f>'Migration reason data'!E60+'Migration reason data'!G60</f>
        <v>20000</v>
      </c>
      <c r="E8" s="5">
        <f>'Migration reason data'!H60</f>
        <v>38000</v>
      </c>
      <c r="F8" s="5">
        <f>'Migration reason data'!I60+'Migration reason data'!J60+'Migration reason data'!K60</f>
        <v>1000</v>
      </c>
      <c r="G8" s="5">
        <f>'Migration reason data'!L60</f>
        <v>34000</v>
      </c>
      <c r="H8" s="5">
        <f>'Migration reason data'!M60</f>
        <v>11000</v>
      </c>
      <c r="I8">
        <v>0</v>
      </c>
      <c r="L8" t="s">
        <v>81</v>
      </c>
      <c r="M8" s="5">
        <f>'Migration reason data'!D60</f>
        <v>15000</v>
      </c>
      <c r="N8" s="5">
        <f>'Migration reason data'!F60</f>
        <v>-16000</v>
      </c>
      <c r="O8" s="5">
        <f>'Migration reason data'!E60+'Migration reason data'!G60</f>
        <v>20000</v>
      </c>
      <c r="P8" s="5">
        <f>'Migration reason data'!I60+'Migration reason data'!J60+'Migration reason data'!K60</f>
        <v>1000</v>
      </c>
      <c r="Q8" s="5">
        <f t="shared" si="0"/>
        <v>83000</v>
      </c>
      <c r="R8" s="5">
        <f t="shared" si="1"/>
        <v>103000</v>
      </c>
      <c r="U8" t="s">
        <v>81</v>
      </c>
      <c r="V8">
        <f>'Migration reason data'!D12</f>
        <v>42000</v>
      </c>
      <c r="W8">
        <f>'Migration reason data'!F12</f>
        <v>100000</v>
      </c>
      <c r="X8">
        <f>'Migration reason data'!E12+'Migration reason data'!G12</f>
        <v>41000</v>
      </c>
      <c r="Y8">
        <f>'Migration reason data'!I12+'Migration reason data'!J12+'Migration reason data'!K12</f>
        <v>1000</v>
      </c>
      <c r="Z8">
        <f>'Migration reason data'!H12+'Migration reason data'!L12+'Migration reason data'!M12</f>
        <v>111000</v>
      </c>
      <c r="AA8">
        <f>SUM(V8:Z8)</f>
        <v>295000</v>
      </c>
      <c r="AD8" t="s">
        <v>81</v>
      </c>
      <c r="AE8" s="5">
        <f>'Migration reason data'!F12</f>
        <v>100000</v>
      </c>
      <c r="AF8" s="5">
        <f>'Migration reason data'!F36</f>
        <v>116000</v>
      </c>
      <c r="AG8" s="5">
        <f>'Migration reason data'!F60</f>
        <v>-16000</v>
      </c>
      <c r="AJ8">
        <v>2024</v>
      </c>
      <c r="AK8" s="7">
        <v>44.2304575</v>
      </c>
      <c r="AL8" s="7">
        <v>44.199397000000012</v>
      </c>
    </row>
    <row r="9" spans="1:39" x14ac:dyDescent="0.35">
      <c r="A9" t="s">
        <v>82</v>
      </c>
      <c r="B9" s="5">
        <f>'Migration reason data'!D61</f>
        <v>16000</v>
      </c>
      <c r="C9" s="5">
        <f>'Migration reason data'!F61</f>
        <v>32000</v>
      </c>
      <c r="D9" s="5">
        <f>'Migration reason data'!E61+'Migration reason data'!G61</f>
        <v>25000</v>
      </c>
      <c r="E9" s="5">
        <f>'Migration reason data'!H61</f>
        <v>32000</v>
      </c>
      <c r="F9" s="5">
        <f>'Migration reason data'!I61+'Migration reason data'!J61+'Migration reason data'!K61</f>
        <v>0</v>
      </c>
      <c r="G9" s="5">
        <f>'Migration reason data'!L61</f>
        <v>30000</v>
      </c>
      <c r="H9" s="5">
        <f>'Migration reason data'!M61</f>
        <v>15000</v>
      </c>
      <c r="I9">
        <v>0</v>
      </c>
      <c r="L9" t="s">
        <v>82</v>
      </c>
      <c r="M9" s="5">
        <f>'Migration reason data'!D61</f>
        <v>16000</v>
      </c>
      <c r="N9" s="5">
        <f>'Migration reason data'!F61</f>
        <v>32000</v>
      </c>
      <c r="O9" s="5">
        <f>'Migration reason data'!E61+'Migration reason data'!G61</f>
        <v>25000</v>
      </c>
      <c r="P9" s="5">
        <f>'Migration reason data'!I61+'Migration reason data'!J61+'Migration reason data'!K61</f>
        <v>0</v>
      </c>
      <c r="Q9" s="5">
        <f t="shared" si="0"/>
        <v>77000</v>
      </c>
      <c r="R9" s="5">
        <f t="shared" si="1"/>
        <v>150000</v>
      </c>
      <c r="U9" t="s">
        <v>82</v>
      </c>
      <c r="V9">
        <f>'Migration reason data'!D13</f>
        <v>40000</v>
      </c>
      <c r="W9">
        <f>'Migration reason data'!F13</f>
        <v>109000</v>
      </c>
      <c r="X9">
        <f>'Migration reason data'!E13+'Migration reason data'!G13</f>
        <v>45000</v>
      </c>
      <c r="Y9">
        <f>'Migration reason data'!I13+'Migration reason data'!J13+'Migration reason data'!K13</f>
        <v>0</v>
      </c>
      <c r="Z9">
        <f>'Migration reason data'!H13+'Migration reason data'!L13+'Migration reason data'!M13</f>
        <v>103000</v>
      </c>
      <c r="AA9">
        <f>SUM(V9:Z9)</f>
        <v>297000</v>
      </c>
      <c r="AD9" t="s">
        <v>82</v>
      </c>
      <c r="AE9" s="5">
        <f>'Migration reason data'!F13</f>
        <v>109000</v>
      </c>
      <c r="AF9" s="5">
        <f>'Migration reason data'!F37</f>
        <v>77000</v>
      </c>
      <c r="AG9" s="5">
        <f>'Migration reason data'!F61</f>
        <v>32000</v>
      </c>
      <c r="AJ9">
        <v>2025</v>
      </c>
      <c r="AK9" s="7">
        <v>44.576067499999901</v>
      </c>
      <c r="AL9" s="7">
        <v>44.681330000000003</v>
      </c>
    </row>
    <row r="10" spans="1:39" x14ac:dyDescent="0.35">
      <c r="A10" t="s">
        <v>83</v>
      </c>
      <c r="B10" s="5">
        <f>'Migration reason data'!D62</f>
        <v>31000</v>
      </c>
      <c r="C10" s="5">
        <f>'Migration reason data'!F62</f>
        <v>45000</v>
      </c>
      <c r="D10" s="5">
        <f>'Migration reason data'!E62+'Migration reason data'!G62</f>
        <v>42000</v>
      </c>
      <c r="E10" s="5">
        <f>'Migration reason data'!H62</f>
        <v>60000</v>
      </c>
      <c r="F10" s="5">
        <f>'Migration reason data'!I62+'Migration reason data'!J62+'Migration reason data'!K62</f>
        <v>10000</v>
      </c>
      <c r="G10" s="5">
        <f>'Migration reason data'!L62</f>
        <v>38000</v>
      </c>
      <c r="H10" s="5">
        <f>'Migration reason data'!M62</f>
        <v>26000</v>
      </c>
      <c r="I10">
        <v>0</v>
      </c>
      <c r="L10" t="s">
        <v>83</v>
      </c>
      <c r="M10" s="5">
        <f>'Migration reason data'!D62</f>
        <v>31000</v>
      </c>
      <c r="N10" s="5">
        <f>'Migration reason data'!F62</f>
        <v>45000</v>
      </c>
      <c r="O10" s="5">
        <f>'Migration reason data'!E62+'Migration reason data'!G62</f>
        <v>42000</v>
      </c>
      <c r="P10" s="5">
        <f>'Migration reason data'!I62+'Migration reason data'!J62+'Migration reason data'!K62</f>
        <v>10000</v>
      </c>
      <c r="Q10" s="5">
        <f t="shared" si="0"/>
        <v>124000</v>
      </c>
      <c r="R10" s="5">
        <f t="shared" si="1"/>
        <v>252000</v>
      </c>
      <c r="U10" t="s">
        <v>83</v>
      </c>
      <c r="V10">
        <f>'Migration reason data'!D14</f>
        <v>55000</v>
      </c>
      <c r="W10">
        <f>'Migration reason data'!F14</f>
        <v>114000</v>
      </c>
      <c r="X10">
        <f>'Migration reason data'!E14+'Migration reason data'!G14</f>
        <v>60000</v>
      </c>
      <c r="Y10">
        <f>'Migration reason data'!I14+'Migration reason data'!J14+'Migration reason data'!K14</f>
        <v>10000</v>
      </c>
      <c r="Z10">
        <f>'Migration reason data'!H14+'Migration reason data'!L14+'Migration reason data'!M14</f>
        <v>133000</v>
      </c>
      <c r="AA10">
        <f>SUM(V10:Z10)</f>
        <v>372000</v>
      </c>
      <c r="AD10" t="s">
        <v>83</v>
      </c>
      <c r="AE10" s="5">
        <f>'Migration reason data'!F14</f>
        <v>114000</v>
      </c>
      <c r="AF10" s="5">
        <f>'Migration reason data'!F38</f>
        <v>69000</v>
      </c>
      <c r="AG10" s="5">
        <f>'Migration reason data'!F62</f>
        <v>45000</v>
      </c>
      <c r="AJ10">
        <v>2026</v>
      </c>
      <c r="AK10" s="7">
        <v>45.008455000000005</v>
      </c>
      <c r="AL10" s="7">
        <v>45.105289786272365</v>
      </c>
      <c r="AM10">
        <f>[1]Calculations!AJ9</f>
        <v>100000</v>
      </c>
    </row>
    <row r="11" spans="1:39" x14ac:dyDescent="0.35">
      <c r="A11" t="s">
        <v>84</v>
      </c>
      <c r="B11" s="5">
        <f>'Migration reason data'!D63</f>
        <v>46000</v>
      </c>
      <c r="C11" s="5">
        <f>'Migration reason data'!F63</f>
        <v>149000</v>
      </c>
      <c r="D11" s="5">
        <f>'Migration reason data'!E63+'Migration reason data'!G63</f>
        <v>64000</v>
      </c>
      <c r="E11" s="5">
        <f>'Migration reason data'!H63</f>
        <v>64000</v>
      </c>
      <c r="F11" s="5">
        <f>'Migration reason data'!I63+'Migration reason data'!J63+'Migration reason data'!K63</f>
        <v>44000</v>
      </c>
      <c r="G11" s="5">
        <f>'Migration reason data'!L63</f>
        <v>46000</v>
      </c>
      <c r="H11" s="5">
        <f>'Migration reason data'!M63</f>
        <v>28000</v>
      </c>
      <c r="I11">
        <v>0</v>
      </c>
      <c r="L11" t="s">
        <v>84</v>
      </c>
      <c r="M11" s="5">
        <f>'Migration reason data'!D63</f>
        <v>46000</v>
      </c>
      <c r="N11" s="5">
        <f>'Migration reason data'!F63</f>
        <v>149000</v>
      </c>
      <c r="O11" s="5">
        <f>'Migration reason data'!E63+'Migration reason data'!G63</f>
        <v>64000</v>
      </c>
      <c r="P11" s="5">
        <f>'Migration reason data'!I63+'Migration reason data'!J63+'Migration reason data'!K63</f>
        <v>44000</v>
      </c>
      <c r="Q11" s="5">
        <f t="shared" si="0"/>
        <v>138000</v>
      </c>
      <c r="R11" s="5">
        <f t="shared" si="1"/>
        <v>441000</v>
      </c>
      <c r="U11" t="s">
        <v>84</v>
      </c>
      <c r="V11">
        <f>'Migration reason data'!D15</f>
        <v>68000</v>
      </c>
      <c r="W11">
        <f>'Migration reason data'!F15</f>
        <v>200000</v>
      </c>
      <c r="X11">
        <f>'Migration reason data'!E15+'Migration reason data'!G15</f>
        <v>79000</v>
      </c>
      <c r="Y11">
        <f>'Migration reason data'!I15+'Migration reason data'!J15+'Migration reason data'!K15</f>
        <v>44000</v>
      </c>
      <c r="Z11">
        <f>'Migration reason data'!H15+'Migration reason data'!L15+'Migration reason data'!M15</f>
        <v>148000</v>
      </c>
      <c r="AA11">
        <f>SUM(V11:Z11)</f>
        <v>539000</v>
      </c>
      <c r="AD11" t="s">
        <v>84</v>
      </c>
      <c r="AE11" s="5">
        <f>'Migration reason data'!F15</f>
        <v>200000</v>
      </c>
      <c r="AF11" s="5">
        <f>'Migration reason data'!F39</f>
        <v>50000</v>
      </c>
      <c r="AG11" s="5">
        <f>'Migration reason data'!F63</f>
        <v>149000</v>
      </c>
      <c r="AJ11">
        <v>2027</v>
      </c>
      <c r="AK11" s="7">
        <v>45.589574999999996</v>
      </c>
      <c r="AL11" s="7">
        <v>45.736221927745035</v>
      </c>
      <c r="AM11">
        <f>[1]Calculations!AJ10</f>
        <v>100000</v>
      </c>
    </row>
    <row r="12" spans="1:39" x14ac:dyDescent="0.35">
      <c r="A12" t="s">
        <v>99</v>
      </c>
      <c r="B12" s="5">
        <f>'Migration reason data'!D64</f>
        <v>62000</v>
      </c>
      <c r="C12" s="5">
        <f>'Migration reason data'!F64</f>
        <v>180000</v>
      </c>
      <c r="D12" s="5">
        <f>'Migration reason data'!E64+'Migration reason data'!G64</f>
        <v>85000</v>
      </c>
      <c r="E12" s="5">
        <f>'Migration reason data'!H64</f>
        <v>61000</v>
      </c>
      <c r="F12" s="5">
        <f>'Migration reason data'!I64+'Migration reason data'!J64+'Migration reason data'!K64</f>
        <v>57000</v>
      </c>
      <c r="G12" s="5">
        <f>'Migration reason data'!L64</f>
        <v>59000</v>
      </c>
      <c r="H12" s="5">
        <f>'Migration reason data'!M64</f>
        <v>26000</v>
      </c>
      <c r="I12">
        <v>0</v>
      </c>
      <c r="L12" t="s">
        <v>99</v>
      </c>
      <c r="M12" s="5">
        <f>'Migration reason data'!D64</f>
        <v>62000</v>
      </c>
      <c r="N12" s="5">
        <f>'Migration reason data'!F64</f>
        <v>180000</v>
      </c>
      <c r="O12" s="5">
        <f>'Migration reason data'!E64+'Migration reason data'!G64</f>
        <v>85000</v>
      </c>
      <c r="P12" s="5">
        <f>'Migration reason data'!I64+'Migration reason data'!J64+'Migration reason data'!K64</f>
        <v>57000</v>
      </c>
      <c r="Q12" s="5">
        <f t="shared" si="0"/>
        <v>146000</v>
      </c>
      <c r="R12" s="5">
        <f t="shared" si="1"/>
        <v>530000</v>
      </c>
      <c r="U12" t="s">
        <v>99</v>
      </c>
      <c r="V12">
        <f>'Migration reason data'!D16</f>
        <v>81000</v>
      </c>
      <c r="W12">
        <f>'Migration reason data'!F16</f>
        <v>224000</v>
      </c>
      <c r="X12">
        <f>'Migration reason data'!E16+'Migration reason data'!G16</f>
        <v>100000</v>
      </c>
      <c r="Y12">
        <f>'Migration reason data'!I16+'Migration reason data'!J16+'Migration reason data'!K16</f>
        <v>57000</v>
      </c>
      <c r="Z12">
        <f>'Migration reason data'!H16+'Migration reason data'!L16+'Migration reason data'!M16</f>
        <v>157000</v>
      </c>
      <c r="AA12">
        <f>SUM(V12:Z12)</f>
        <v>619000</v>
      </c>
      <c r="AD12" t="s">
        <v>99</v>
      </c>
      <c r="AE12" s="5">
        <f>'Migration reason data'!F16</f>
        <v>224000</v>
      </c>
      <c r="AF12" s="5">
        <f>'Migration reason data'!F40</f>
        <v>45000</v>
      </c>
      <c r="AG12" s="5">
        <f>'Migration reason data'!F64</f>
        <v>180000</v>
      </c>
      <c r="AJ12">
        <v>2028</v>
      </c>
      <c r="AK12" s="7">
        <v>45.984237500000006</v>
      </c>
      <c r="AL12" s="7">
        <v>46.180929210456291</v>
      </c>
      <c r="AM12">
        <f>[1]Calculations!AJ11</f>
        <v>100000</v>
      </c>
    </row>
    <row r="13" spans="1:39" x14ac:dyDescent="0.35">
      <c r="A13" t="s">
        <v>87</v>
      </c>
      <c r="B13" s="5">
        <f>'Migration reason data'!D65</f>
        <v>83000</v>
      </c>
      <c r="C13" s="5">
        <f>'Migration reason data'!F65</f>
        <v>211000</v>
      </c>
      <c r="D13" s="5">
        <f>'Migration reason data'!E65+'Migration reason data'!G65</f>
        <v>115000</v>
      </c>
      <c r="E13" s="5">
        <f>'Migration reason data'!H65</f>
        <v>62000</v>
      </c>
      <c r="F13" s="5">
        <f>'Migration reason data'!I65+'Migration reason data'!J65+'Migration reason data'!K65</f>
        <v>76000</v>
      </c>
      <c r="G13" s="5">
        <f>'Migration reason data'!L65</f>
        <v>67000</v>
      </c>
      <c r="H13" s="5">
        <f>'Migration reason data'!M65</f>
        <v>25000</v>
      </c>
      <c r="I13">
        <v>0</v>
      </c>
      <c r="L13" t="s">
        <v>87</v>
      </c>
      <c r="M13" s="5">
        <f>'Migration reason data'!D65</f>
        <v>83000</v>
      </c>
      <c r="N13" s="5">
        <f>'Migration reason data'!F65</f>
        <v>211000</v>
      </c>
      <c r="O13" s="5">
        <f>'Migration reason data'!E65+'Migration reason data'!G65</f>
        <v>115000</v>
      </c>
      <c r="P13" s="5">
        <f>'Migration reason data'!I65+'Migration reason data'!J65+'Migration reason data'!K65</f>
        <v>76000</v>
      </c>
      <c r="Q13" s="5">
        <f t="shared" si="0"/>
        <v>154000</v>
      </c>
      <c r="R13" s="5">
        <f t="shared" si="1"/>
        <v>639000</v>
      </c>
      <c r="U13" t="s">
        <v>87</v>
      </c>
      <c r="V13">
        <f>'Migration reason data'!D17</f>
        <v>100000</v>
      </c>
      <c r="W13">
        <f>'Migration reason data'!F17</f>
        <v>254000</v>
      </c>
      <c r="X13">
        <f>'Migration reason data'!E17+'Migration reason data'!G17</f>
        <v>129000</v>
      </c>
      <c r="Y13">
        <f>'Migration reason data'!I17+'Migration reason data'!J17+'Migration reason data'!K17</f>
        <v>76000</v>
      </c>
      <c r="Z13">
        <f>'Migration reason data'!H17+'Migration reason data'!L17+'Migration reason data'!M17</f>
        <v>168000</v>
      </c>
      <c r="AA13">
        <f>SUM(V13:Z13)</f>
        <v>727000</v>
      </c>
      <c r="AD13" t="s">
        <v>87</v>
      </c>
      <c r="AE13" s="5">
        <f>'Migration reason data'!F17</f>
        <v>254000</v>
      </c>
      <c r="AF13" s="5">
        <f>'Migration reason data'!F41</f>
        <v>43000</v>
      </c>
      <c r="AG13" s="5">
        <f>'Migration reason data'!F65</f>
        <v>211000</v>
      </c>
      <c r="AJ13">
        <v>2029</v>
      </c>
      <c r="AK13" s="7">
        <v>46.114244999999897</v>
      </c>
      <c r="AL13" s="7">
        <v>46.296628380838783</v>
      </c>
    </row>
    <row r="14" spans="1:39" x14ac:dyDescent="0.35">
      <c r="A14" t="s">
        <v>88</v>
      </c>
      <c r="B14" s="5">
        <f>'Migration reason data'!D66</f>
        <v>100000</v>
      </c>
      <c r="C14" s="5">
        <f>'Migration reason data'!F66</f>
        <v>214000</v>
      </c>
      <c r="D14" s="5">
        <f>'Migration reason data'!E66+'Migration reason data'!G66</f>
        <v>133000</v>
      </c>
      <c r="E14" s="5">
        <f>'Migration reason data'!H66</f>
        <v>54000</v>
      </c>
      <c r="F14" s="5">
        <f>'Migration reason data'!I66+'Migration reason data'!J66+'Migration reason data'!K66</f>
        <v>150000</v>
      </c>
      <c r="G14" s="5">
        <f>'Migration reason data'!L66</f>
        <v>76000</v>
      </c>
      <c r="H14" s="5">
        <f>'Migration reason data'!M66</f>
        <v>28000</v>
      </c>
      <c r="I14">
        <v>0</v>
      </c>
      <c r="L14" t="s">
        <v>88</v>
      </c>
      <c r="M14" s="5">
        <f>'Migration reason data'!D66</f>
        <v>100000</v>
      </c>
      <c r="N14" s="5">
        <f>'Migration reason data'!F66</f>
        <v>214000</v>
      </c>
      <c r="O14" s="5">
        <f>'Migration reason data'!E66+'Migration reason data'!G66</f>
        <v>133000</v>
      </c>
      <c r="P14" s="5">
        <f>'Migration reason data'!I66+'Migration reason data'!J66+'Migration reason data'!K66</f>
        <v>150000</v>
      </c>
      <c r="Q14" s="5">
        <f t="shared" si="0"/>
        <v>158000</v>
      </c>
      <c r="R14" s="5">
        <f t="shared" si="1"/>
        <v>755000</v>
      </c>
      <c r="U14" t="s">
        <v>88</v>
      </c>
      <c r="V14">
        <f>'Migration reason data'!D18</f>
        <v>117000</v>
      </c>
      <c r="W14">
        <f>'Migration reason data'!F18</f>
        <v>260000</v>
      </c>
      <c r="X14">
        <f>'Migration reason data'!E18+'Migration reason data'!G18</f>
        <v>147000</v>
      </c>
      <c r="Y14">
        <f>'Migration reason data'!I18+'Migration reason data'!J18+'Migration reason data'!K18</f>
        <v>150000</v>
      </c>
      <c r="Z14">
        <f>'Migration reason data'!H18+'Migration reason data'!L18+'Migration reason data'!M18</f>
        <v>170000</v>
      </c>
      <c r="AA14">
        <f>SUM(V14:Z14)</f>
        <v>844000</v>
      </c>
      <c r="AD14" t="s">
        <v>88</v>
      </c>
      <c r="AE14" s="5">
        <f>'Migration reason data'!F18</f>
        <v>260000</v>
      </c>
      <c r="AF14" s="5">
        <f>'Migration reason data'!F42</f>
        <v>46000</v>
      </c>
      <c r="AG14" s="5">
        <f>'Migration reason data'!F66</f>
        <v>214000</v>
      </c>
      <c r="AJ14">
        <v>2030</v>
      </c>
      <c r="AK14" s="7">
        <v>46.195475000000002</v>
      </c>
      <c r="AL14" s="7">
        <v>46.378975551221274</v>
      </c>
    </row>
    <row r="15" spans="1:39" x14ac:dyDescent="0.35">
      <c r="A15" t="s">
        <v>89</v>
      </c>
      <c r="B15" s="5">
        <f>'Migration reason data'!D67</f>
        <v>125000</v>
      </c>
      <c r="C15" s="5">
        <f>'Migration reason data'!F67</f>
        <v>271000</v>
      </c>
      <c r="D15" s="5">
        <f>'Migration reason data'!E67+'Migration reason data'!G67</f>
        <v>170000</v>
      </c>
      <c r="E15" s="5">
        <f>'Migration reason data'!H67</f>
        <v>51000</v>
      </c>
      <c r="F15" s="5">
        <f>'Migration reason data'!I67+'Migration reason data'!J67+'Migration reason data'!K67</f>
        <v>172000</v>
      </c>
      <c r="G15" s="5">
        <f>'Migration reason data'!L67</f>
        <v>86000</v>
      </c>
      <c r="H15" s="5">
        <f>'Migration reason data'!M67</f>
        <v>27000</v>
      </c>
      <c r="I15">
        <v>0</v>
      </c>
      <c r="L15" t="s">
        <v>89</v>
      </c>
      <c r="M15" s="5">
        <f>'Migration reason data'!D67</f>
        <v>125000</v>
      </c>
      <c r="N15" s="5">
        <f>'Migration reason data'!F67</f>
        <v>271000</v>
      </c>
      <c r="O15" s="5">
        <f>'Migration reason data'!E67+'Migration reason data'!G67</f>
        <v>170000</v>
      </c>
      <c r="P15" s="5">
        <f>'Migration reason data'!I67+'Migration reason data'!J67+'Migration reason data'!K67</f>
        <v>172000</v>
      </c>
      <c r="Q15" s="5">
        <f t="shared" si="0"/>
        <v>164000</v>
      </c>
      <c r="R15" s="5">
        <f t="shared" si="1"/>
        <v>902000</v>
      </c>
      <c r="U15" t="s">
        <v>89</v>
      </c>
      <c r="V15">
        <f>'Migration reason data'!D19</f>
        <v>141000</v>
      </c>
      <c r="W15">
        <f>'Migration reason data'!F19</f>
        <v>327000</v>
      </c>
      <c r="X15">
        <f>'Migration reason data'!E19+'Migration reason data'!G19</f>
        <v>184000</v>
      </c>
      <c r="Y15">
        <f>'Migration reason data'!I19+'Migration reason data'!J19+'Migration reason data'!K19</f>
        <v>172000</v>
      </c>
      <c r="Z15">
        <f>'Migration reason data'!H19+'Migration reason data'!L19+'Migration reason data'!M19</f>
        <v>179000</v>
      </c>
      <c r="AA15">
        <f>SUM(V15:Z15)</f>
        <v>1003000</v>
      </c>
      <c r="AD15" t="s">
        <v>89</v>
      </c>
      <c r="AE15" s="5">
        <f>'Migration reason data'!F19</f>
        <v>327000</v>
      </c>
      <c r="AF15" s="5">
        <f>'Migration reason data'!F43</f>
        <v>56000</v>
      </c>
      <c r="AG15" s="5">
        <f>'Migration reason data'!F67</f>
        <v>271000</v>
      </c>
      <c r="AJ15">
        <v>2031</v>
      </c>
      <c r="AK15" s="7">
        <v>46.262122499999997</v>
      </c>
      <c r="AL15" s="7">
        <v>46.444249721603761</v>
      </c>
    </row>
    <row r="16" spans="1:39" x14ac:dyDescent="0.35">
      <c r="A16" t="s">
        <v>90</v>
      </c>
      <c r="B16" s="5">
        <f>'Migration reason data'!D68</f>
        <v>139000</v>
      </c>
      <c r="C16" s="5">
        <f>'Migration reason data'!F68</f>
        <v>255000</v>
      </c>
      <c r="D16" s="5">
        <f>'Migration reason data'!E68+'Migration reason data'!G68</f>
        <v>212000</v>
      </c>
      <c r="E16" s="5">
        <f>'Migration reason data'!H68</f>
        <v>57000</v>
      </c>
      <c r="F16" s="5">
        <f>'Migration reason data'!I68+'Migration reason data'!J68+'Migration reason data'!K68</f>
        <v>188000</v>
      </c>
      <c r="G16" s="5">
        <f>'Migration reason data'!L68</f>
        <v>90000</v>
      </c>
      <c r="H16" s="5">
        <f>'Migration reason data'!M68</f>
        <v>26000</v>
      </c>
      <c r="I16">
        <v>0</v>
      </c>
      <c r="L16" t="s">
        <v>90</v>
      </c>
      <c r="M16" s="5">
        <f>'Migration reason data'!D68</f>
        <v>139000</v>
      </c>
      <c r="N16" s="5">
        <f>'Migration reason data'!F68</f>
        <v>255000</v>
      </c>
      <c r="O16" s="5">
        <f>'Migration reason data'!E68+'Migration reason data'!G68</f>
        <v>212000</v>
      </c>
      <c r="P16" s="5">
        <f>'Migration reason data'!I68+'Migration reason data'!J68+'Migration reason data'!K68</f>
        <v>188000</v>
      </c>
      <c r="Q16" s="5">
        <f t="shared" si="0"/>
        <v>173000</v>
      </c>
      <c r="R16" s="5">
        <f t="shared" si="1"/>
        <v>967000</v>
      </c>
      <c r="U16" t="s">
        <v>90</v>
      </c>
      <c r="V16">
        <f>'Migration reason data'!D20</f>
        <v>156000</v>
      </c>
      <c r="W16">
        <f>'Migration reason data'!F20</f>
        <v>321000</v>
      </c>
      <c r="X16">
        <f>'Migration reason data'!E20+'Migration reason data'!G20</f>
        <v>228000</v>
      </c>
      <c r="Y16">
        <f>'Migration reason data'!I20+'Migration reason data'!J20+'Migration reason data'!K20</f>
        <v>188000</v>
      </c>
      <c r="Z16">
        <f>'Migration reason data'!H20+'Migration reason data'!L20+'Migration reason data'!M20</f>
        <v>186000</v>
      </c>
      <c r="AA16">
        <f>SUM(V16:Z16)</f>
        <v>1079000</v>
      </c>
      <c r="AD16" t="s">
        <v>90</v>
      </c>
      <c r="AE16" s="5">
        <f>'Migration reason data'!F20</f>
        <v>321000</v>
      </c>
      <c r="AF16" s="5">
        <f>'Migration reason data'!F44</f>
        <v>66000</v>
      </c>
      <c r="AG16" s="5">
        <f>'Migration reason data'!F68</f>
        <v>255000</v>
      </c>
      <c r="AJ16">
        <v>2032</v>
      </c>
      <c r="AK16" s="7">
        <v>46.326862500000004</v>
      </c>
      <c r="AL16" s="7">
        <v>46.51114689198625</v>
      </c>
    </row>
    <row r="17" spans="1:39" x14ac:dyDescent="0.35">
      <c r="A17" t="s">
        <v>91</v>
      </c>
      <c r="B17" s="5">
        <f>'Migration reason data'!D69</f>
        <v>145000</v>
      </c>
      <c r="C17" s="5">
        <f>'Migration reason data'!F69</f>
        <v>222000</v>
      </c>
      <c r="D17" s="5">
        <f>'Migration reason data'!E69+'Migration reason data'!G69</f>
        <v>225000</v>
      </c>
      <c r="E17" s="5">
        <f>'Migration reason data'!H69</f>
        <v>64000</v>
      </c>
      <c r="F17" s="5">
        <f>'Migration reason data'!I69+'Migration reason data'!J69+'Migration reason data'!K69</f>
        <v>186000</v>
      </c>
      <c r="G17" s="5">
        <f>'Migration reason data'!L69</f>
        <v>91000</v>
      </c>
      <c r="H17" s="5">
        <f>'Migration reason data'!M69</f>
        <v>22000</v>
      </c>
      <c r="I17">
        <v>0</v>
      </c>
      <c r="L17" t="s">
        <v>91</v>
      </c>
      <c r="M17" s="5">
        <f>'Migration reason data'!D69</f>
        <v>145000</v>
      </c>
      <c r="N17" s="5">
        <f>'Migration reason data'!F69</f>
        <v>222000</v>
      </c>
      <c r="O17" s="5">
        <f>'Migration reason data'!E69+'Migration reason data'!G69</f>
        <v>225000</v>
      </c>
      <c r="P17" s="5">
        <f>'Migration reason data'!I69+'Migration reason data'!J69+'Migration reason data'!K69</f>
        <v>186000</v>
      </c>
      <c r="Q17" s="5">
        <f t="shared" si="0"/>
        <v>177000</v>
      </c>
      <c r="R17" s="5">
        <f t="shared" si="1"/>
        <v>955000</v>
      </c>
      <c r="U17" t="s">
        <v>91</v>
      </c>
      <c r="V17">
        <f>'Migration reason data'!D21</f>
        <v>163000</v>
      </c>
      <c r="W17">
        <f>'Migration reason data'!F21</f>
        <v>297000</v>
      </c>
      <c r="X17">
        <f>'Migration reason data'!E21+'Migration reason data'!G21</f>
        <v>242000</v>
      </c>
      <c r="Y17">
        <f>'Migration reason data'!I21+'Migration reason data'!J21+'Migration reason data'!K21</f>
        <v>187000</v>
      </c>
      <c r="Z17">
        <f>'Migration reason data'!H21+'Migration reason data'!L21+'Migration reason data'!M21</f>
        <v>192000</v>
      </c>
      <c r="AA17">
        <f>SUM(V17:Z17)</f>
        <v>1081000</v>
      </c>
      <c r="AD17" t="s">
        <v>91</v>
      </c>
      <c r="AE17" s="5">
        <f>'Migration reason data'!F21</f>
        <v>297000</v>
      </c>
      <c r="AF17" s="5">
        <f>'Migration reason data'!F45</f>
        <v>75000</v>
      </c>
      <c r="AG17" s="5">
        <f>'Migration reason data'!F69</f>
        <v>222000</v>
      </c>
      <c r="AJ17">
        <v>2033</v>
      </c>
      <c r="AK17" s="7">
        <v>46.380782499999903</v>
      </c>
      <c r="AL17" s="7">
        <v>46.56709806236875</v>
      </c>
    </row>
    <row r="18" spans="1:39" x14ac:dyDescent="0.35">
      <c r="A18" t="s">
        <v>92</v>
      </c>
      <c r="B18" s="5">
        <f>'Migration reason data'!D70</f>
        <v>169000</v>
      </c>
      <c r="C18" s="5">
        <f>'Migration reason data'!F70</f>
        <v>219000</v>
      </c>
      <c r="D18" s="5">
        <f>'Migration reason data'!E70+'Migration reason data'!G70</f>
        <v>262000</v>
      </c>
      <c r="E18" s="5">
        <f>'Migration reason data'!H70</f>
        <v>73000</v>
      </c>
      <c r="F18" s="5">
        <f>'Migration reason data'!I70+'Migration reason data'!J70+'Migration reason data'!K70</f>
        <v>123000</v>
      </c>
      <c r="G18" s="5">
        <f>'Migration reason data'!L70</f>
        <v>90000</v>
      </c>
      <c r="H18" s="5">
        <f>'Migration reason data'!M70</f>
        <v>18000</v>
      </c>
      <c r="I18">
        <v>0</v>
      </c>
      <c r="L18" t="s">
        <v>92</v>
      </c>
      <c r="M18" s="5">
        <f>'Migration reason data'!D70</f>
        <v>169000</v>
      </c>
      <c r="N18" s="5">
        <f>'Migration reason data'!F70</f>
        <v>219000</v>
      </c>
      <c r="O18" s="5">
        <f>'Migration reason data'!E70+'Migration reason data'!G70</f>
        <v>262000</v>
      </c>
      <c r="P18" s="5">
        <f>'Migration reason data'!I70+'Migration reason data'!J70+'Migration reason data'!K70</f>
        <v>123000</v>
      </c>
      <c r="Q18" s="5">
        <f t="shared" si="0"/>
        <v>181000</v>
      </c>
      <c r="R18" s="5">
        <f t="shared" si="1"/>
        <v>954000</v>
      </c>
      <c r="U18" t="s">
        <v>92</v>
      </c>
      <c r="V18">
        <f>'Migration reason data'!D22</f>
        <v>189000</v>
      </c>
      <c r="W18">
        <f>'Migration reason data'!F22</f>
        <v>302000</v>
      </c>
      <c r="X18">
        <f>'Migration reason data'!E22+'Migration reason data'!G22</f>
        <v>281000</v>
      </c>
      <c r="Y18">
        <f>'Migration reason data'!I22+'Migration reason data'!J22+'Migration reason data'!K22</f>
        <v>125000</v>
      </c>
      <c r="Z18">
        <f>'Migration reason data'!H22+'Migration reason data'!L22+'Migration reason data'!M22</f>
        <v>197000</v>
      </c>
      <c r="AA18">
        <f>SUM(V18:Z18)</f>
        <v>1094000</v>
      </c>
      <c r="AD18" t="s">
        <v>92</v>
      </c>
      <c r="AE18" s="5">
        <f>'Migration reason data'!F22</f>
        <v>302000</v>
      </c>
      <c r="AF18" s="5">
        <f>'Migration reason data'!F46</f>
        <v>83000</v>
      </c>
      <c r="AG18" s="5">
        <f>'Migration reason data'!F70</f>
        <v>219000</v>
      </c>
      <c r="AJ18">
        <v>2034</v>
      </c>
      <c r="AK18" s="7">
        <v>46.423607499999996</v>
      </c>
      <c r="AL18" s="7">
        <v>46.608568232751239</v>
      </c>
    </row>
    <row r="19" spans="1:39" x14ac:dyDescent="0.35">
      <c r="A19" t="s">
        <v>93</v>
      </c>
      <c r="B19" s="5">
        <f>'Migration reason data'!D71</f>
        <v>182000</v>
      </c>
      <c r="C19" s="5">
        <f>'Migration reason data'!F71</f>
        <v>219000</v>
      </c>
      <c r="D19" s="5">
        <f>'Migration reason data'!E71+'Migration reason data'!G71</f>
        <v>295000</v>
      </c>
      <c r="E19" s="5">
        <f>'Migration reason data'!H71</f>
        <v>78000</v>
      </c>
      <c r="F19" s="5">
        <f>'Migration reason data'!I71+'Migration reason data'!J71+'Migration reason data'!K71</f>
        <v>83000</v>
      </c>
      <c r="G19" s="5">
        <f>'Migration reason data'!L71</f>
        <v>86000</v>
      </c>
      <c r="H19" s="5">
        <f>'Migration reason data'!M71</f>
        <v>15000</v>
      </c>
      <c r="I19">
        <v>0</v>
      </c>
      <c r="L19" t="s">
        <v>93</v>
      </c>
      <c r="M19" s="5">
        <f>'Migration reason data'!D71</f>
        <v>182000</v>
      </c>
      <c r="N19" s="5">
        <f>'Migration reason data'!F71</f>
        <v>219000</v>
      </c>
      <c r="O19" s="5">
        <f>'Migration reason data'!E71+'Migration reason data'!G71</f>
        <v>295000</v>
      </c>
      <c r="P19" s="5">
        <f>'Migration reason data'!I71+'Migration reason data'!J71+'Migration reason data'!K71</f>
        <v>83000</v>
      </c>
      <c r="Q19" s="5">
        <f t="shared" si="0"/>
        <v>179000</v>
      </c>
      <c r="R19" s="5">
        <f t="shared" si="1"/>
        <v>958000</v>
      </c>
      <c r="U19" t="s">
        <v>93</v>
      </c>
      <c r="V19">
        <f>'Migration reason data'!D23</f>
        <v>204000</v>
      </c>
      <c r="W19">
        <f>'Migration reason data'!F23</f>
        <v>316000</v>
      </c>
      <c r="X19">
        <f>'Migration reason data'!E23+'Migration reason data'!G23</f>
        <v>317000</v>
      </c>
      <c r="Y19">
        <f>'Migration reason data'!I23+'Migration reason data'!J23+'Migration reason data'!K23</f>
        <v>88000</v>
      </c>
      <c r="Z19">
        <f>'Migration reason data'!H23+'Migration reason data'!L23+'Migration reason data'!M23</f>
        <v>195000</v>
      </c>
      <c r="AA19">
        <f>SUM(V19:Z19)</f>
        <v>1120000</v>
      </c>
      <c r="AD19" t="s">
        <v>93</v>
      </c>
      <c r="AE19" s="5">
        <f>'Migration reason data'!F23</f>
        <v>316000</v>
      </c>
      <c r="AF19" s="5">
        <f>'Migration reason data'!F47</f>
        <v>97000</v>
      </c>
      <c r="AG19" s="5">
        <f>'Migration reason data'!F71</f>
        <v>219000</v>
      </c>
      <c r="AJ19">
        <v>2035</v>
      </c>
      <c r="AK19" s="7">
        <v>46.465397500000002</v>
      </c>
      <c r="AL19" s="7">
        <v>46.652419403133727</v>
      </c>
    </row>
    <row r="20" spans="1:39" x14ac:dyDescent="0.35">
      <c r="A20" t="s">
        <v>94</v>
      </c>
      <c r="B20" s="5">
        <f>'Migration reason data'!D72</f>
        <v>195000</v>
      </c>
      <c r="C20" s="5">
        <f>'Migration reason data'!F72</f>
        <v>198000</v>
      </c>
      <c r="D20" s="5">
        <f>'Migration reason data'!E72+'Migration reason data'!G72</f>
        <v>326000</v>
      </c>
      <c r="E20" s="5">
        <f>'Migration reason data'!H72</f>
        <v>73000</v>
      </c>
      <c r="F20" s="5">
        <f>'Migration reason data'!I72+'Migration reason data'!J72+'Migration reason data'!K72</f>
        <v>70000</v>
      </c>
      <c r="G20" s="5">
        <f>'Migration reason data'!L72</f>
        <v>77000</v>
      </c>
      <c r="H20" s="5">
        <f>'Migration reason data'!M72</f>
        <v>12000</v>
      </c>
      <c r="I20">
        <v>0</v>
      </c>
      <c r="L20" t="s">
        <v>94</v>
      </c>
      <c r="M20" s="5">
        <f>'Migration reason data'!D72</f>
        <v>195000</v>
      </c>
      <c r="N20" s="5">
        <f>'Migration reason data'!F72</f>
        <v>198000</v>
      </c>
      <c r="O20" s="5">
        <f>'Migration reason data'!E72+'Migration reason data'!G72</f>
        <v>326000</v>
      </c>
      <c r="P20" s="5">
        <f>'Migration reason data'!I72+'Migration reason data'!J72+'Migration reason data'!K72</f>
        <v>70000</v>
      </c>
      <c r="Q20" s="5">
        <f t="shared" si="0"/>
        <v>162000</v>
      </c>
      <c r="R20" s="5">
        <f t="shared" si="1"/>
        <v>951000</v>
      </c>
      <c r="U20" t="s">
        <v>94</v>
      </c>
      <c r="V20">
        <f>'Migration reason data'!D24</f>
        <v>221000</v>
      </c>
      <c r="W20">
        <f>'Migration reason data'!F24</f>
        <v>302000</v>
      </c>
      <c r="X20">
        <f>'Migration reason data'!E24+'Migration reason data'!G24</f>
        <v>351000</v>
      </c>
      <c r="Y20">
        <f>'Migration reason data'!I24+'Migration reason data'!J24+'Migration reason data'!K24</f>
        <v>76000</v>
      </c>
      <c r="Z20">
        <f>'Migration reason data'!H24+'Migration reason data'!L24+'Migration reason data'!M24</f>
        <v>182000</v>
      </c>
      <c r="AA20">
        <f>SUM(V20:Z20)</f>
        <v>1132000</v>
      </c>
      <c r="AD20" t="s">
        <v>94</v>
      </c>
      <c r="AE20" s="5">
        <f>'Migration reason data'!F24</f>
        <v>302000</v>
      </c>
      <c r="AF20" s="5">
        <f>'Migration reason data'!F48</f>
        <v>103000</v>
      </c>
      <c r="AG20" s="5">
        <f>'Migration reason data'!F72</f>
        <v>198000</v>
      </c>
      <c r="AJ20">
        <v>2036</v>
      </c>
      <c r="AK20" s="7">
        <v>46.500207499999995</v>
      </c>
      <c r="AL20" s="7">
        <v>46.686084573516212</v>
      </c>
    </row>
    <row r="21" spans="1:39" x14ac:dyDescent="0.35">
      <c r="A21" t="s">
        <v>95</v>
      </c>
      <c r="B21" s="5">
        <f>'Migration reason data'!D73</f>
        <v>188000</v>
      </c>
      <c r="C21" s="5">
        <f>'Migration reason data'!F73</f>
        <v>193000</v>
      </c>
      <c r="D21" s="5">
        <f>'Migration reason data'!E73+'Migration reason data'!G73</f>
        <v>327000</v>
      </c>
      <c r="E21" s="5">
        <f>'Migration reason data'!H73</f>
        <v>67000</v>
      </c>
      <c r="F21" s="5">
        <f>'Migration reason data'!I73+'Migration reason data'!J73+'Migration reason data'!K73</f>
        <v>63000</v>
      </c>
      <c r="G21" s="5">
        <f>'Migration reason data'!L73</f>
        <v>77000</v>
      </c>
      <c r="H21" s="5">
        <f>'Migration reason data'!M73</f>
        <v>12000</v>
      </c>
      <c r="I21">
        <v>0</v>
      </c>
      <c r="L21" t="s">
        <v>95</v>
      </c>
      <c r="M21" s="5">
        <f>'Migration reason data'!D73</f>
        <v>188000</v>
      </c>
      <c r="N21" s="5">
        <f>'Migration reason data'!F73</f>
        <v>193000</v>
      </c>
      <c r="O21" s="5">
        <f>'Migration reason data'!E73+'Migration reason data'!G73</f>
        <v>327000</v>
      </c>
      <c r="P21" s="5">
        <f>'Migration reason data'!I73+'Migration reason data'!J73+'Migration reason data'!K73</f>
        <v>63000</v>
      </c>
      <c r="Q21" s="5">
        <f t="shared" si="0"/>
        <v>156000</v>
      </c>
      <c r="R21" s="5">
        <f t="shared" si="1"/>
        <v>927000</v>
      </c>
      <c r="U21" t="s">
        <v>95</v>
      </c>
      <c r="V21">
        <f>'Migration reason data'!D25</f>
        <v>216000</v>
      </c>
      <c r="W21">
        <f>'Migration reason data'!F25</f>
        <v>303000</v>
      </c>
      <c r="X21">
        <f>'Migration reason data'!E25+'Migration reason data'!G25</f>
        <v>356000</v>
      </c>
      <c r="Y21">
        <f>'Migration reason data'!I25+'Migration reason data'!J25+'Migration reason data'!K25</f>
        <v>70000</v>
      </c>
      <c r="Z21">
        <f>'Migration reason data'!H25+'Migration reason data'!L25+'Migration reason data'!M25</f>
        <v>177000</v>
      </c>
      <c r="AA21">
        <f>SUM(V21:Z21)</f>
        <v>1122000</v>
      </c>
      <c r="AD21" t="s">
        <v>95</v>
      </c>
      <c r="AE21" s="5">
        <f>'Migration reason data'!F25</f>
        <v>303000</v>
      </c>
      <c r="AF21" s="5">
        <f>'Migration reason data'!F49</f>
        <v>110000</v>
      </c>
      <c r="AG21" s="5">
        <f>'Migration reason data'!F73</f>
        <v>193000</v>
      </c>
      <c r="AJ21">
        <v>2037</v>
      </c>
      <c r="AK21" s="7">
        <v>46.534419999999997</v>
      </c>
      <c r="AL21" s="7">
        <v>46.722459743898696</v>
      </c>
    </row>
    <row r="22" spans="1:39" x14ac:dyDescent="0.35">
      <c r="A22" t="s">
        <v>96</v>
      </c>
      <c r="B22" s="5">
        <f>'Migration reason data'!D74</f>
        <v>159000</v>
      </c>
      <c r="C22" s="5">
        <f>'Migration reason data'!F74</f>
        <v>185000</v>
      </c>
      <c r="D22" s="5">
        <f>'Migration reason data'!E74+'Migration reason data'!G74</f>
        <v>296000</v>
      </c>
      <c r="E22" s="5">
        <f>'Migration reason data'!H74</f>
        <v>66000</v>
      </c>
      <c r="F22" s="5">
        <f>'Migration reason data'!I74+'Migration reason data'!J74+'Migration reason data'!K74</f>
        <v>59000</v>
      </c>
      <c r="G22" s="5">
        <f>'Migration reason data'!L74</f>
        <v>79000</v>
      </c>
      <c r="H22" s="5">
        <f>'Migration reason data'!M74</f>
        <v>11000</v>
      </c>
      <c r="I22">
        <v>0</v>
      </c>
      <c r="L22" t="s">
        <v>96</v>
      </c>
      <c r="M22" s="5">
        <f>'Migration reason data'!D74</f>
        <v>159000</v>
      </c>
      <c r="N22" s="5">
        <f>'Migration reason data'!F74</f>
        <v>185000</v>
      </c>
      <c r="O22" s="5">
        <f>'Migration reason data'!E74+'Migration reason data'!G74</f>
        <v>296000</v>
      </c>
      <c r="P22" s="5">
        <f>'Migration reason data'!I74+'Migration reason data'!J74+'Migration reason data'!K74</f>
        <v>59000</v>
      </c>
      <c r="Q22" s="5">
        <f t="shared" si="0"/>
        <v>156000</v>
      </c>
      <c r="R22" s="5">
        <f t="shared" si="1"/>
        <v>855000</v>
      </c>
      <c r="U22" t="s">
        <v>96</v>
      </c>
      <c r="V22">
        <f>'Migration reason data'!D26</f>
        <v>188000</v>
      </c>
      <c r="W22">
        <f>'Migration reason data'!F26</f>
        <v>296000</v>
      </c>
      <c r="X22">
        <f>'Migration reason data'!E26+'Migration reason data'!G26</f>
        <v>329000</v>
      </c>
      <c r="Y22">
        <f>'Migration reason data'!I26+'Migration reason data'!J26+'Migration reason data'!K26</f>
        <v>64000</v>
      </c>
      <c r="Z22">
        <f>'Migration reason data'!H26+'Migration reason data'!L26+'Migration reason data'!M26</f>
        <v>179000</v>
      </c>
      <c r="AA22">
        <f>SUM(V22:Z22)</f>
        <v>1056000</v>
      </c>
      <c r="AD22" t="s">
        <v>96</v>
      </c>
      <c r="AE22" s="5">
        <f>'Migration reason data'!F26</f>
        <v>296000</v>
      </c>
      <c r="AF22" s="5">
        <f>'Migration reason data'!F50</f>
        <v>111000</v>
      </c>
      <c r="AG22" s="5">
        <f>'Migration reason data'!F74</f>
        <v>185000</v>
      </c>
      <c r="AJ22">
        <v>2038</v>
      </c>
      <c r="AK22" s="7">
        <v>46.560592499999998</v>
      </c>
      <c r="AL22" s="7">
        <v>46.74821291428119</v>
      </c>
    </row>
    <row r="23" spans="1:39" x14ac:dyDescent="0.35">
      <c r="A23" t="s">
        <v>85</v>
      </c>
      <c r="B23" s="5">
        <f>'Migration reason data'!D75</f>
        <v>124000</v>
      </c>
      <c r="C23" s="5">
        <f>'Migration reason data'!F75</f>
        <v>149000</v>
      </c>
      <c r="D23" s="5">
        <f>'Migration reason data'!E75+'Migration reason data'!G75</f>
        <v>226000</v>
      </c>
      <c r="E23" s="5">
        <f>'Migration reason data'!H75</f>
        <v>62000</v>
      </c>
      <c r="F23" s="5">
        <f>'Migration reason data'!I75+'Migration reason data'!J75+'Migration reason data'!K75</f>
        <v>55000</v>
      </c>
      <c r="G23" s="5">
        <f>'Migration reason data'!L75</f>
        <v>81000</v>
      </c>
      <c r="H23" s="5">
        <f>'Migration reason data'!M75</f>
        <v>11000</v>
      </c>
      <c r="I23">
        <v>0</v>
      </c>
      <c r="L23" t="s">
        <v>85</v>
      </c>
      <c r="M23" s="5">
        <f>'Migration reason data'!D75</f>
        <v>124000</v>
      </c>
      <c r="N23" s="5">
        <f>'Migration reason data'!F75</f>
        <v>149000</v>
      </c>
      <c r="O23" s="5">
        <f>'Migration reason data'!E75+'Migration reason data'!G75</f>
        <v>226000</v>
      </c>
      <c r="P23" s="5">
        <f>'Migration reason data'!I75+'Migration reason data'!J75+'Migration reason data'!K75</f>
        <v>55000</v>
      </c>
      <c r="Q23" s="5">
        <f t="shared" si="0"/>
        <v>154000</v>
      </c>
      <c r="R23" s="5">
        <f t="shared" si="1"/>
        <v>708000</v>
      </c>
      <c r="U23" t="s">
        <v>85</v>
      </c>
      <c r="V23">
        <f>'Migration reason data'!D27</f>
        <v>155000</v>
      </c>
      <c r="W23">
        <f>'Migration reason data'!F27</f>
        <v>263000</v>
      </c>
      <c r="X23">
        <f>'Migration reason data'!E27+'Migration reason data'!G27</f>
        <v>261000</v>
      </c>
      <c r="Y23">
        <f>'Migration reason data'!I27+'Migration reason data'!J27+'Migration reason data'!K27</f>
        <v>59000</v>
      </c>
      <c r="Z23">
        <f>'Migration reason data'!H27+'Migration reason data'!L27+'Migration reason data'!M27</f>
        <v>182000</v>
      </c>
      <c r="AA23">
        <f>SUM(V23:Z23)</f>
        <v>920000</v>
      </c>
      <c r="AD23" t="s">
        <v>85</v>
      </c>
      <c r="AE23" s="5">
        <f>'Migration reason data'!F27</f>
        <v>263000</v>
      </c>
      <c r="AF23" s="5">
        <f>'Migration reason data'!F51</f>
        <v>114000</v>
      </c>
      <c r="AG23" s="5">
        <f>'Migration reason data'!F75</f>
        <v>149000</v>
      </c>
      <c r="AJ23">
        <v>2039</v>
      </c>
      <c r="AK23" s="7">
        <v>46.590735000000002</v>
      </c>
      <c r="AL23" s="7">
        <v>46.772661084663689</v>
      </c>
    </row>
    <row r="24" spans="1:39" x14ac:dyDescent="0.35">
      <c r="A24" t="s">
        <v>86</v>
      </c>
      <c r="B24" s="5">
        <f>'Migration reason data'!D76</f>
        <v>81000</v>
      </c>
      <c r="C24" s="5">
        <f>'Migration reason data'!F76</f>
        <v>135000</v>
      </c>
      <c r="D24" s="5">
        <f>'Migration reason data'!E76+'Migration reason data'!G76</f>
        <v>129000</v>
      </c>
      <c r="E24" s="5">
        <f>'Migration reason data'!H76</f>
        <v>50000</v>
      </c>
      <c r="F24" s="5">
        <f>'Migration reason data'!I76+'Migration reason data'!J76+'Migration reason data'!K76</f>
        <v>50000</v>
      </c>
      <c r="G24" s="5">
        <f>'Migration reason data'!L76</f>
        <v>90000</v>
      </c>
      <c r="H24" s="5">
        <f>'Migration reason data'!M76</f>
        <v>10000</v>
      </c>
      <c r="I24">
        <v>0</v>
      </c>
      <c r="L24" t="s">
        <v>86</v>
      </c>
      <c r="M24" s="5">
        <f>'Migration reason data'!D76</f>
        <v>81000</v>
      </c>
      <c r="N24" s="5">
        <f>'Migration reason data'!F76</f>
        <v>135000</v>
      </c>
      <c r="O24" s="5">
        <f>'Migration reason data'!E76+'Migration reason data'!G76</f>
        <v>129000</v>
      </c>
      <c r="P24" s="5">
        <f>'Migration reason data'!I76+'Migration reason data'!J76+'Migration reason data'!K76</f>
        <v>50000</v>
      </c>
      <c r="Q24" s="5">
        <f t="shared" si="0"/>
        <v>150000</v>
      </c>
      <c r="R24" s="5">
        <f t="shared" si="1"/>
        <v>545000</v>
      </c>
      <c r="U24" t="s">
        <v>86</v>
      </c>
      <c r="V24">
        <f>'Migration reason data'!D28</f>
        <v>113000</v>
      </c>
      <c r="W24">
        <f>'Migration reason data'!F28</f>
        <v>249000</v>
      </c>
      <c r="X24">
        <f>'Migration reason data'!E28+'Migration reason data'!G28</f>
        <v>166000</v>
      </c>
      <c r="Y24">
        <f>'Migration reason data'!I28+'Migration reason data'!J28+'Migration reason data'!K28</f>
        <v>51000</v>
      </c>
      <c r="Z24">
        <f>'Migration reason data'!H28+'Migration reason data'!L28+'Migration reason data'!M28</f>
        <v>186000</v>
      </c>
      <c r="AA24">
        <f>SUM(V24:Z24)</f>
        <v>765000</v>
      </c>
      <c r="AD24" t="s">
        <v>86</v>
      </c>
      <c r="AE24" s="5">
        <f>'Migration reason data'!F28</f>
        <v>249000</v>
      </c>
      <c r="AF24" s="5">
        <f>'Migration reason data'!F52</f>
        <v>115000</v>
      </c>
      <c r="AG24" s="5">
        <f>'Migration reason data'!F76</f>
        <v>135000</v>
      </c>
      <c r="AJ24">
        <v>2040</v>
      </c>
      <c r="AK24" s="7">
        <v>46.649525000000004</v>
      </c>
      <c r="AL24" s="7">
        <v>46.827023255046171</v>
      </c>
    </row>
    <row r="25" spans="1:39" x14ac:dyDescent="0.35">
      <c r="AJ25">
        <v>2041</v>
      </c>
      <c r="AK25" s="7">
        <v>46.737607499999996</v>
      </c>
      <c r="AL25" s="7">
        <v>46.914979425428669</v>
      </c>
    </row>
    <row r="26" spans="1:39" x14ac:dyDescent="0.35">
      <c r="AJ26">
        <v>2042</v>
      </c>
      <c r="AK26" s="7">
        <v>46.83934</v>
      </c>
      <c r="AL26" s="7">
        <v>47.014810595811163</v>
      </c>
    </row>
    <row r="27" spans="1:39" x14ac:dyDescent="0.35">
      <c r="A27" s="4"/>
      <c r="AJ27">
        <v>2043</v>
      </c>
      <c r="AK27" s="7">
        <v>46.976315</v>
      </c>
      <c r="AL27" s="7">
        <v>47.128744766193662</v>
      </c>
    </row>
    <row r="28" spans="1:39" x14ac:dyDescent="0.35">
      <c r="A28" s="4"/>
      <c r="L28" t="s">
        <v>103</v>
      </c>
      <c r="M28" s="5">
        <f>M24-M16</f>
        <v>-58000</v>
      </c>
      <c r="N28" s="5">
        <f t="shared" ref="N28:R28" si="2">N24-N16</f>
        <v>-120000</v>
      </c>
      <c r="O28" s="5">
        <f t="shared" si="2"/>
        <v>-83000</v>
      </c>
      <c r="P28" s="5">
        <f t="shared" si="2"/>
        <v>-138000</v>
      </c>
      <c r="Q28" s="5">
        <f t="shared" si="2"/>
        <v>-23000</v>
      </c>
      <c r="R28" s="5">
        <f t="shared" si="2"/>
        <v>-422000</v>
      </c>
      <c r="V28" s="5">
        <f>V24-V16</f>
        <v>-43000</v>
      </c>
      <c r="W28" s="5">
        <f t="shared" ref="W28:AA28" si="3">W24-W16</f>
        <v>-72000</v>
      </c>
      <c r="X28" s="5">
        <f t="shared" si="3"/>
        <v>-62000</v>
      </c>
      <c r="Y28" s="5">
        <f t="shared" si="3"/>
        <v>-137000</v>
      </c>
      <c r="Z28" s="5">
        <f t="shared" si="3"/>
        <v>0</v>
      </c>
      <c r="AA28" s="5">
        <f t="shared" si="3"/>
        <v>-314000</v>
      </c>
      <c r="AJ28">
        <v>2044</v>
      </c>
      <c r="AK28" s="7">
        <v>47.255745000000005</v>
      </c>
      <c r="AL28" s="7">
        <v>47.370251295480251</v>
      </c>
      <c r="AM28">
        <f>[1]Calculations!AJ27</f>
        <v>100000</v>
      </c>
    </row>
    <row r="29" spans="1:39" x14ac:dyDescent="0.35">
      <c r="A29" s="4"/>
      <c r="AJ29">
        <v>2045</v>
      </c>
      <c r="AK29" s="7">
        <v>47.706117499999998</v>
      </c>
      <c r="AL29" s="7">
        <v>47.856558794629876</v>
      </c>
      <c r="AM29">
        <f>[1]Calculations!AJ28</f>
        <v>100000</v>
      </c>
    </row>
    <row r="30" spans="1:39" x14ac:dyDescent="0.35">
      <c r="A30" s="4"/>
      <c r="L30" t="s">
        <v>104</v>
      </c>
      <c r="M30" s="6">
        <f>M28/$R$28</f>
        <v>0.13744075829383887</v>
      </c>
      <c r="N30" s="6">
        <f t="shared" ref="N30:R30" si="4">N28/$R$28</f>
        <v>0.28436018957345971</v>
      </c>
      <c r="O30" s="6">
        <f t="shared" si="4"/>
        <v>0.19668246445497631</v>
      </c>
      <c r="P30" s="6">
        <f t="shared" si="4"/>
        <v>0.32701421800947866</v>
      </c>
      <c r="Q30" s="6">
        <f t="shared" si="4"/>
        <v>5.4502369668246446E-2</v>
      </c>
      <c r="R30" s="6"/>
      <c r="V30" s="6">
        <f>V28/$AA$28</f>
        <v>0.13694267515923567</v>
      </c>
      <c r="W30" s="6">
        <f t="shared" ref="W30:Z30" si="5">W28/$AA$28</f>
        <v>0.22929936305732485</v>
      </c>
      <c r="X30" s="6">
        <f t="shared" si="5"/>
        <v>0.19745222929936307</v>
      </c>
      <c r="Y30" s="6">
        <f t="shared" si="5"/>
        <v>0.43630573248407645</v>
      </c>
      <c r="Z30" s="6">
        <f t="shared" si="5"/>
        <v>0</v>
      </c>
      <c r="AJ30">
        <v>2046</v>
      </c>
      <c r="AK30" s="7">
        <v>48.029722500000005</v>
      </c>
      <c r="AL30" s="7">
        <v>48.232801947033607</v>
      </c>
      <c r="AM30">
        <f>[1]Calculations!AJ29</f>
        <v>100000</v>
      </c>
    </row>
    <row r="31" spans="1:39" x14ac:dyDescent="0.35">
      <c r="A31" s="4"/>
      <c r="AJ31">
        <v>2047</v>
      </c>
      <c r="AK31" s="7">
        <v>48.101912499999997</v>
      </c>
      <c r="AL31" s="7">
        <v>48.29162465079439</v>
      </c>
    </row>
    <row r="32" spans="1:39" x14ac:dyDescent="0.35">
      <c r="A32" s="4"/>
      <c r="AJ32">
        <v>2048</v>
      </c>
      <c r="AK32" s="7">
        <v>48.128367499999896</v>
      </c>
      <c r="AL32" s="7">
        <v>48.315944821176885</v>
      </c>
    </row>
    <row r="33" spans="1:38" x14ac:dyDescent="0.35">
      <c r="A33" s="4"/>
      <c r="AJ33">
        <v>2049</v>
      </c>
      <c r="AK33" s="7">
        <v>48.153760000000005</v>
      </c>
      <c r="AL33" s="7">
        <v>48.340136991559376</v>
      </c>
    </row>
    <row r="34" spans="1:38" x14ac:dyDescent="0.35">
      <c r="A34" s="4"/>
      <c r="AJ34">
        <v>2050</v>
      </c>
      <c r="AK34" s="7">
        <v>48.182627500000002</v>
      </c>
      <c r="AL34" s="7">
        <v>48.370682161941858</v>
      </c>
    </row>
    <row r="35" spans="1:38" x14ac:dyDescent="0.35">
      <c r="AJ35">
        <v>2051</v>
      </c>
      <c r="AK35" s="7">
        <v>48.206315000000004</v>
      </c>
      <c r="AL35" s="7">
        <v>48.394392332324344</v>
      </c>
    </row>
    <row r="36" spans="1:38" x14ac:dyDescent="0.35">
      <c r="AJ36">
        <v>2052</v>
      </c>
      <c r="AK36" s="7">
        <v>48.222357500000001</v>
      </c>
      <c r="AL36" s="7">
        <v>48.415722502706842</v>
      </c>
    </row>
    <row r="37" spans="1:38" x14ac:dyDescent="0.35">
      <c r="AJ37">
        <v>2053</v>
      </c>
      <c r="AK37" s="7">
        <v>48.215154999999996</v>
      </c>
      <c r="AL37" s="7">
        <v>48.408042673089334</v>
      </c>
    </row>
    <row r="38" spans="1:38" x14ac:dyDescent="0.35">
      <c r="AJ38">
        <v>2054</v>
      </c>
      <c r="AK38" s="7">
        <v>48.198839999999997</v>
      </c>
      <c r="AL38" s="7">
        <v>48.393246843471822</v>
      </c>
    </row>
    <row r="39" spans="1:38" x14ac:dyDescent="0.35">
      <c r="AJ39">
        <v>2055</v>
      </c>
      <c r="AK39" s="7">
        <v>48.169487500000002</v>
      </c>
      <c r="AL39" s="7">
        <v>48.367980013854314</v>
      </c>
    </row>
    <row r="40" spans="1:38" x14ac:dyDescent="0.35">
      <c r="AJ40">
        <v>2056</v>
      </c>
      <c r="AK40" s="7">
        <v>48.121254999999998</v>
      </c>
      <c r="AL40" s="7">
        <v>48.317418184236793</v>
      </c>
    </row>
    <row r="41" spans="1:38" x14ac:dyDescent="0.35">
      <c r="AJ41">
        <v>2057</v>
      </c>
      <c r="AK41" s="7">
        <v>48.072160000000004</v>
      </c>
      <c r="AL41" s="7">
        <v>48.27087735461928</v>
      </c>
    </row>
    <row r="42" spans="1:38" x14ac:dyDescent="0.35">
      <c r="AJ42">
        <v>2058</v>
      </c>
      <c r="AK42" s="7">
        <v>48.011772499999999</v>
      </c>
      <c r="AL42" s="7">
        <v>48.212038525001766</v>
      </c>
    </row>
    <row r="43" spans="1:38" x14ac:dyDescent="0.35">
      <c r="AJ43">
        <v>2059</v>
      </c>
      <c r="AK43" s="7">
        <v>47.941452499999997</v>
      </c>
      <c r="AL43" s="7">
        <v>48.140836695384259</v>
      </c>
    </row>
    <row r="44" spans="1:38" x14ac:dyDescent="0.35">
      <c r="AJ44">
        <v>2060</v>
      </c>
      <c r="AK44" s="7">
        <v>47.870822499999903</v>
      </c>
      <c r="AL44" s="7">
        <v>48.070232865766748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Charts</vt:lpstr>
      </vt:variant>
      <vt:variant>
        <vt:i4>5</vt:i4>
      </vt:variant>
    </vt:vector>
  </HeadingPairs>
  <TitlesOfParts>
    <vt:vector size="7" baseType="lpstr">
      <vt:lpstr>Migration reason data</vt:lpstr>
      <vt:lpstr>Chart Data</vt:lpstr>
      <vt:lpstr>POPW</vt:lpstr>
      <vt:lpstr>Immigration</vt:lpstr>
      <vt:lpstr>Net mig (grouped)</vt:lpstr>
      <vt:lpstr>Net mig</vt:lpstr>
      <vt:lpstr>Students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Edward Allenby</dc:creator>
  <cp:lastModifiedBy>Edward Allenby</cp:lastModifiedBy>
  <dcterms:created xsi:type="dcterms:W3CDTF">2025-05-29T23:17:39Z</dcterms:created>
  <dcterms:modified xsi:type="dcterms:W3CDTF">2025-05-30T08:51:44Z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231f5784-19ed-4d1e-9a93-4ea41014d730_Enabled">
    <vt:lpwstr>true</vt:lpwstr>
  </property>
  <property fmtid="{D5CDD505-2E9C-101B-9397-08002B2CF9AE}" pid="3" name="MSIP_Label_231f5784-19ed-4d1e-9a93-4ea41014d730_SetDate">
    <vt:lpwstr>2025-05-30T00:13:16Z</vt:lpwstr>
  </property>
  <property fmtid="{D5CDD505-2E9C-101B-9397-08002B2CF9AE}" pid="4" name="MSIP_Label_231f5784-19ed-4d1e-9a93-4ea41014d730_Method">
    <vt:lpwstr>Privileged</vt:lpwstr>
  </property>
  <property fmtid="{D5CDD505-2E9C-101B-9397-08002B2CF9AE}" pid="5" name="MSIP_Label_231f5784-19ed-4d1e-9a93-4ea41014d730_Name">
    <vt:lpwstr>External</vt:lpwstr>
  </property>
  <property fmtid="{D5CDD505-2E9C-101B-9397-08002B2CF9AE}" pid="6" name="MSIP_Label_231f5784-19ed-4d1e-9a93-4ea41014d730_SiteId">
    <vt:lpwstr>2c277f63-6743-4f98-ac15-4851e55c0cc7</vt:lpwstr>
  </property>
  <property fmtid="{D5CDD505-2E9C-101B-9397-08002B2CF9AE}" pid="7" name="MSIP_Label_231f5784-19ed-4d1e-9a93-4ea41014d730_ActionId">
    <vt:lpwstr>b89f28dc-9ae4-47f6-8355-c868d6d76843</vt:lpwstr>
  </property>
  <property fmtid="{D5CDD505-2E9C-101B-9397-08002B2CF9AE}" pid="8" name="MSIP_Label_231f5784-19ed-4d1e-9a93-4ea41014d730_ContentBits">
    <vt:lpwstr>0</vt:lpwstr>
  </property>
</Properties>
</file>