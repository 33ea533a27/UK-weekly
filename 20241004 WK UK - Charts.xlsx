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xecon-my.sharepoint.com/personal/eallenby_oxfordeconomics_com/Documents/Documents/2024-10/Weekly 1/"/>
    </mc:Choice>
  </mc:AlternateContent>
  <xr:revisionPtr revIDLastSave="276" documentId="8_{B05566FA-8CB3-4547-A4EE-27C59462058D}" xr6:coauthVersionLast="47" xr6:coauthVersionMax="47" xr10:uidLastSave="{E9AB8380-6E71-463D-9C12-DC03F28E4641}"/>
  <bookViews>
    <workbookView xWindow="13455" yWindow="-16320" windowWidth="29040" windowHeight="15720" activeTab="4" xr2:uid="{AC3AB8A5-9F96-4D24-AE70-BD78039CCCAD}"/>
  </bookViews>
  <sheets>
    <sheet name="Old PESR" sheetId="1" r:id="rId1"/>
    <sheet name="Haver Q" sheetId="2" r:id="rId2"/>
    <sheet name="Haver M" sheetId="9" r:id="rId3"/>
    <sheet name="Chart2" sheetId="10" r:id="rId4"/>
    <sheet name="Chart data" sheetId="3" r:id="rId5"/>
  </sheets>
  <definedNames>
    <definedName name="_DLX1.INC">'Haver Q'!$A$3:$N$8</definedName>
    <definedName name="_DLX2.INC">'Haver M'!$A$3:$G$8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6" i="3" l="1"/>
  <c r="L96" i="3"/>
  <c r="K96" i="3"/>
  <c r="J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4" i="3"/>
  <c r="B61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4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4" i="1"/>
  <c r="D59" i="3" l="1"/>
  <c r="D51" i="3"/>
  <c r="D43" i="3"/>
  <c r="D35" i="3"/>
  <c r="D27" i="3"/>
  <c r="D19" i="3"/>
  <c r="D11" i="3"/>
  <c r="D8" i="3"/>
  <c r="D55" i="3"/>
  <c r="D47" i="3"/>
  <c r="D39" i="3"/>
  <c r="D31" i="3"/>
  <c r="D23" i="3"/>
  <c r="D15" i="3"/>
  <c r="D7" i="3"/>
  <c r="D48" i="3"/>
  <c r="D40" i="3"/>
  <c r="D16" i="3"/>
  <c r="D54" i="3"/>
  <c r="D46" i="3"/>
  <c r="D38" i="3"/>
  <c r="D30" i="3"/>
  <c r="D22" i="3"/>
  <c r="D14" i="3"/>
  <c r="D6" i="3"/>
  <c r="D24" i="3"/>
  <c r="C9" i="3"/>
  <c r="D53" i="3"/>
  <c r="D45" i="3"/>
  <c r="D37" i="3"/>
  <c r="D29" i="3"/>
  <c r="D21" i="3"/>
  <c r="D13" i="3"/>
  <c r="D5" i="3"/>
  <c r="D56" i="3"/>
  <c r="D32" i="3"/>
  <c r="D60" i="3"/>
  <c r="D52" i="3"/>
  <c r="D44" i="3"/>
  <c r="D36" i="3"/>
  <c r="D28" i="3"/>
  <c r="D20" i="3"/>
  <c r="D12" i="3"/>
  <c r="D61" i="3"/>
  <c r="C38" i="3"/>
  <c r="D58" i="3"/>
  <c r="D10" i="3"/>
  <c r="C37" i="3"/>
  <c r="D57" i="3"/>
  <c r="D33" i="3"/>
  <c r="C56" i="3"/>
  <c r="C48" i="3"/>
  <c r="C40" i="3"/>
  <c r="C32" i="3"/>
  <c r="C24" i="3"/>
  <c r="C16" i="3"/>
  <c r="C8" i="3"/>
  <c r="C46" i="3"/>
  <c r="C14" i="3"/>
  <c r="D34" i="3"/>
  <c r="C53" i="3"/>
  <c r="C21" i="3"/>
  <c r="D41" i="3"/>
  <c r="C55" i="3"/>
  <c r="C47" i="3"/>
  <c r="C39" i="3"/>
  <c r="C31" i="3"/>
  <c r="C23" i="3"/>
  <c r="C15" i="3"/>
  <c r="C7" i="3"/>
  <c r="C30" i="3"/>
  <c r="D50" i="3"/>
  <c r="D18" i="3"/>
  <c r="C45" i="3"/>
  <c r="C13" i="3"/>
  <c r="D9" i="3"/>
  <c r="C60" i="3"/>
  <c r="C52" i="3"/>
  <c r="C44" i="3"/>
  <c r="C36" i="3"/>
  <c r="C28" i="3"/>
  <c r="C20" i="3"/>
  <c r="C12" i="3"/>
  <c r="C22" i="3"/>
  <c r="D42" i="3"/>
  <c r="C29" i="3"/>
  <c r="C5" i="3"/>
  <c r="D17" i="3"/>
  <c r="C59" i="3"/>
  <c r="C51" i="3"/>
  <c r="C43" i="3"/>
  <c r="C35" i="3"/>
  <c r="C27" i="3"/>
  <c r="C19" i="3"/>
  <c r="C11" i="3"/>
  <c r="C61" i="3"/>
  <c r="D25" i="3"/>
  <c r="C58" i="3"/>
  <c r="C50" i="3"/>
  <c r="C42" i="3"/>
  <c r="C34" i="3"/>
  <c r="C26" i="3"/>
  <c r="C18" i="3"/>
  <c r="C10" i="3"/>
  <c r="D4" i="3"/>
  <c r="C54" i="3"/>
  <c r="C6" i="3"/>
  <c r="D26" i="3"/>
  <c r="C4" i="3"/>
  <c r="D49" i="3"/>
  <c r="C57" i="3"/>
  <c r="C49" i="3"/>
  <c r="C41" i="3"/>
  <c r="C33" i="3"/>
  <c r="C25" i="3"/>
  <c r="C17" i="3"/>
</calcChain>
</file>

<file path=xl/sharedStrings.xml><?xml version="1.0" encoding="utf-8"?>
<sst xmlns="http://schemas.openxmlformats.org/spreadsheetml/2006/main" count="362" uniqueCount="340">
  <si>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</si>
  <si>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</si>
  <si>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</si>
  <si>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</si>
  <si>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</si>
  <si>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</si>
  <si>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</si>
  <si>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</si>
  <si>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</si>
  <si>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</si>
  <si>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</si>
  <si>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</si>
  <si>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</si>
  <si>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</si>
  <si>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</si>
  <si>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</si>
  <si>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</si>
  <si>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</si>
  <si>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</si>
  <si>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</si>
  <si>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</si>
  <si>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</si>
  <si>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</si>
  <si>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</si>
  <si>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</si>
  <si>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Date</t>
  </si>
  <si>
    <t>HH &amp; NPISH saving ratio</t>
  </si>
  <si>
    <t>Old</t>
  </si>
  <si>
    <t>Average</t>
  </si>
  <si>
    <t>NRJSQ@UK</t>
  </si>
  <si>
    <t>20001 !Q</t>
  </si>
  <si>
    <t>20001</t>
  </si>
  <si>
    <t>.DTLM</t>
  </si>
  <si>
    <t>.LSOURCE</t>
  </si>
  <si>
    <t>.TN</t>
  </si>
  <si>
    <t>.T1</t>
  </si>
  <si>
    <t>.DESC</t>
  </si>
  <si>
    <t>Sep-30-2024 10:02</t>
  </si>
  <si>
    <t>Office for National Statistics</t>
  </si>
  <si>
    <t>Q2-2024</t>
  </si>
  <si>
    <t>Q1-1963</t>
  </si>
  <si>
    <t>UK: HH &amp; NPISH: Saving Ratio (SA, %)</t>
  </si>
  <si>
    <t>20002</t>
  </si>
  <si>
    <t>20003</t>
  </si>
  <si>
    <t>20004</t>
  </si>
  <si>
    <t>20011</t>
  </si>
  <si>
    <t>20012</t>
  </si>
  <si>
    <t>20013</t>
  </si>
  <si>
    <t>20014</t>
  </si>
  <si>
    <t>20021</t>
  </si>
  <si>
    <t>20022</t>
  </si>
  <si>
    <t>20023</t>
  </si>
  <si>
    <t>20024</t>
  </si>
  <si>
    <t>20031</t>
  </si>
  <si>
    <t>20032</t>
  </si>
  <si>
    <t>20033</t>
  </si>
  <si>
    <t>20034</t>
  </si>
  <si>
    <t>20041</t>
  </si>
  <si>
    <t>20042</t>
  </si>
  <si>
    <t>20043</t>
  </si>
  <si>
    <t>20044</t>
  </si>
  <si>
    <t>20051</t>
  </si>
  <si>
    <t>20052</t>
  </si>
  <si>
    <t>20053</t>
  </si>
  <si>
    <t>20054</t>
  </si>
  <si>
    <t>20061</t>
  </si>
  <si>
    <t>20062</t>
  </si>
  <si>
    <t>20063</t>
  </si>
  <si>
    <t>20064</t>
  </si>
  <si>
    <t>20071</t>
  </si>
  <si>
    <t>20072</t>
  </si>
  <si>
    <t>20073</t>
  </si>
  <si>
    <t>20074</t>
  </si>
  <si>
    <t>20081</t>
  </si>
  <si>
    <t>20082</t>
  </si>
  <si>
    <t>20083</t>
  </si>
  <si>
    <t>20084</t>
  </si>
  <si>
    <t>20091</t>
  </si>
  <si>
    <t>20092</t>
  </si>
  <si>
    <t>20093</t>
  </si>
  <si>
    <t>20094</t>
  </si>
  <si>
    <t>20101</t>
  </si>
  <si>
    <t>20102</t>
  </si>
  <si>
    <t>20103</t>
  </si>
  <si>
    <t>20104</t>
  </si>
  <si>
    <t>20111</t>
  </si>
  <si>
    <t>20112</t>
  </si>
  <si>
    <t>20113</t>
  </si>
  <si>
    <t>20114</t>
  </si>
  <si>
    <t>20121</t>
  </si>
  <si>
    <t>20122</t>
  </si>
  <si>
    <t>20123</t>
  </si>
  <si>
    <t>20124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</si>
  <si>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</si>
  <si>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</si>
  <si>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</si>
  <si>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</si>
  <si>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</si>
  <si>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</si>
  <si>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</si>
  <si>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</si>
  <si>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20151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</si>
  <si>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</si>
  <si>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</si>
  <si>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</si>
  <si>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</si>
  <si>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</si>
  <si>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</si>
  <si>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</si>
  <si>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</si>
  <si>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</si>
  <si>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</si>
  <si>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</si>
  <si>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</si>
  <si>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</si>
  <si>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</si>
  <si>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</si>
  <si>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</si>
  <si>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</si>
  <si>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</si>
  <si>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</si>
  <si>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</si>
  <si>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</si>
  <si>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</si>
  <si>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</si>
  <si>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</si>
  <si>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</si>
  <si>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</si>
  <si>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</si>
  <si>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</si>
  <si>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</si>
  <si>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</si>
  <si>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</si>
  <si>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20231</t>
  </si>
  <si>
    <t>20232</t>
  </si>
  <si>
    <t>20233</t>
  </si>
  <si>
    <t>20234</t>
  </si>
  <si>
    <t>20241</t>
  </si>
  <si>
    <t>20242</t>
  </si>
  <si>
    <t>Previous estimate</t>
  </si>
  <si>
    <t>Bluebook revisions</t>
  </si>
  <si>
    <t>New estimate of excess savings</t>
  </si>
  <si>
    <t>2010-2019 average</t>
  </si>
  <si>
    <t>Prices - past year</t>
  </si>
  <si>
    <t>Prices - next year</t>
  </si>
  <si>
    <t>Wages - past year</t>
  </si>
  <si>
    <t>Wages - next year</t>
  </si>
  <si>
    <t>UNVDPE1@UK</t>
  </si>
  <si>
    <t>UNVDPE3@UK</t>
  </si>
  <si>
    <t>UNVDWR@UK</t>
  </si>
  <si>
    <t>UNVDWE@UK</t>
  </si>
  <si>
    <t>201001 !M</t>
  </si>
  <si>
    <t>201001</t>
  </si>
  <si>
    <t>Oct-03-2024 09:34</t>
  </si>
  <si>
    <t>Bank of England</t>
  </si>
  <si>
    <t>Sep-2024</t>
  </si>
  <si>
    <t>Jan-2017</t>
  </si>
  <si>
    <t>UK: BoE DMP: Expected Price Growth Over the Next Year: Single Month (%)</t>
  </si>
  <si>
    <t>UK: BoE DMP: Expected Price Growth Over the Next Year: 3 Month Average (%)</t>
  </si>
  <si>
    <t>Aug-2017</t>
  </si>
  <si>
    <t>UK: BoE DMP: Realized Wage Growth Over the Past Year:  Single Month (%)</t>
  </si>
  <si>
    <t>UK: BoE DMP: Expected Wage Growth Over the Next Year: Single Month (%)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</si>
  <si>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</si>
  <si>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</si>
  <si>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</si>
  <si>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</si>
  <si>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</si>
  <si>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</si>
  <si>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</si>
  <si>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</si>
  <si>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</si>
  <si>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</si>
  <si>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</si>
  <si>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</si>
  <si>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</si>
  <si>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</si>
  <si>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</si>
  <si>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</si>
  <si>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</si>
  <si>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</si>
  <si>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</si>
  <si>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</si>
  <si>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</si>
  <si>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</si>
  <si>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</si>
  <si>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</si>
  <si>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</si>
  <si>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</si>
  <si>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</si>
  <si>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</si>
  <si>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</si>
  <si>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</si>
  <si>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</si>
  <si>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</si>
  <si>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</si>
  <si>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</si>
  <si>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</si>
  <si>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</si>
  <si>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</si>
  <si>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</si>
  <si>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</si>
  <si>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</si>
  <si>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</si>
  <si>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</si>
  <si>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</si>
  <si>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</si>
  <si>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</si>
  <si>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</si>
  <si>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</si>
  <si>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</si>
  <si>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</si>
  <si>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</si>
  <si>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</si>
  <si>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</si>
  <si>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</si>
  <si>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</si>
  <si>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</si>
  <si>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</si>
  <si>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</si>
  <si>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</si>
  <si>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</si>
  <si>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</si>
  <si>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</si>
  <si>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</si>
  <si>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</si>
  <si>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</si>
  <si>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</si>
  <si>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</si>
  <si>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</si>
  <si>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</si>
  <si>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</si>
  <si>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</si>
  <si>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</si>
  <si>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</si>
  <si>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</si>
  <si>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</si>
  <si>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</si>
  <si>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</si>
  <si>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</si>
  <si>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</si>
  <si>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</si>
  <si>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</si>
  <si>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</si>
  <si>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</si>
  <si>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</si>
  <si>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</si>
  <si>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</si>
  <si>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</si>
  <si>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</si>
  <si>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</si>
  <si>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</si>
  <si>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</si>
  <si>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</si>
  <si>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</si>
  <si>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</si>
  <si>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</si>
  <si>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</si>
  <si>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</si>
  <si>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</si>
  <si>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</si>
  <si>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</si>
  <si>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</si>
  <si>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</si>
  <si>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</si>
  <si>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</si>
  <si>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</si>
  <si>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</si>
  <si>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</si>
  <si>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</si>
  <si>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</si>
  <si>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</si>
  <si>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</si>
  <si>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</si>
  <si>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</si>
  <si>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</si>
  <si>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</si>
  <si>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</si>
  <si>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</si>
  <si>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</si>
  <si>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</si>
  <si>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</si>
  <si>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</si>
  <si>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</si>
  <si>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</si>
  <si>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</si>
  <si>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</si>
  <si>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</si>
  <si>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</si>
  <si>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</si>
  <si>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</si>
  <si>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</si>
  <si>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</si>
  <si>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</si>
  <si>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</si>
  <si>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</si>
  <si>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</si>
  <si>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</si>
  <si>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</si>
  <si>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</si>
  <si>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</si>
  <si>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</si>
  <si>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</si>
  <si>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</si>
  <si>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</si>
  <si>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</si>
  <si>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</si>
  <si>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</si>
  <si>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</si>
  <si>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</si>
  <si>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</si>
  <si>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</si>
  <si>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</si>
  <si>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</si>
  <si>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</si>
  <si>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</si>
  <si>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</si>
  <si>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</si>
  <si>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</si>
  <si>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</si>
  <si>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</si>
  <si>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</si>
  <si>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</si>
  <si>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</si>
  <si>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</si>
  <si>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</si>
  <si>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</si>
  <si>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</si>
  <si>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</si>
  <si>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</si>
  <si>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</si>
  <si>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</si>
  <si>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</si>
  <si>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</si>
  <si>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</si>
  <si>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</si>
  <si>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</si>
  <si>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</si>
  <si>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</si>
  <si>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DMP - prices &amp; wages</t>
  </si>
  <si>
    <t>QNA - PESR (bluebook)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</si>
</sst>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NumberFormat="1"/>
    <xf numFmtId="165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3882437367709593E-2"/>
          <c:y val="0.16626831080077253"/>
          <c:w val="0.91212686465108406"/>
          <c:h val="0.7161164760065369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data'!$J$3</c:f>
              <c:strCache>
                <c:ptCount val="1"/>
                <c:pt idx="0">
                  <c:v>Prices - past year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data'!$I$4:$I$96</c:f>
              <c:numCache>
                <c:formatCode>m/d/yyyy</c:formatCode>
                <c:ptCount val="9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</c:numCache>
            </c:numRef>
          </c:cat>
          <c:val>
            <c:numRef>
              <c:f>'Chart data'!$J$4:$J$96</c:f>
              <c:numCache>
                <c:formatCode>General</c:formatCode>
                <c:ptCount val="93"/>
                <c:pt idx="0">
                  <c:v>#N/A</c:v>
                </c:pt>
                <c:pt idx="1">
                  <c:v>#N/A</c:v>
                </c:pt>
                <c:pt idx="2" formatCode="0.0">
                  <c:v>2.7920000000000003</c:v>
                </c:pt>
                <c:pt idx="3" formatCode="0.0">
                  <c:v>2.7696666666666672</c:v>
                </c:pt>
                <c:pt idx="4" formatCode="0.0">
                  <c:v>2.6693333333333329</c:v>
                </c:pt>
                <c:pt idx="5" formatCode="0.0">
                  <c:v>2.6</c:v>
                </c:pt>
                <c:pt idx="6" formatCode="0.0">
                  <c:v>2.4496666666666669</c:v>
                </c:pt>
                <c:pt idx="7" formatCode="0.0">
                  <c:v>2.454333333333333</c:v>
                </c:pt>
                <c:pt idx="8" formatCode="0.0">
                  <c:v>2.5609999999999999</c:v>
                </c:pt>
                <c:pt idx="9" formatCode="0.0">
                  <c:v>2.4786666666666668</c:v>
                </c:pt>
                <c:pt idx="10" formatCode="0.0">
                  <c:v>2.4653333333333332</c:v>
                </c:pt>
                <c:pt idx="11" formatCode="0.0">
                  <c:v>2.4813333333333332</c:v>
                </c:pt>
                <c:pt idx="12" formatCode="0.0">
                  <c:v>2.4419999999999997</c:v>
                </c:pt>
                <c:pt idx="13" formatCode="0.0">
                  <c:v>2.4376666666666669</c:v>
                </c:pt>
                <c:pt idx="14" formatCode="0.0">
                  <c:v>2.3353333333333333</c:v>
                </c:pt>
                <c:pt idx="15" formatCode="0.0">
                  <c:v>2.3289999999999997</c:v>
                </c:pt>
                <c:pt idx="16" formatCode="0.0">
                  <c:v>2.1853333333333333</c:v>
                </c:pt>
                <c:pt idx="17" formatCode="0.0">
                  <c:v>2.246</c:v>
                </c:pt>
                <c:pt idx="18" formatCode="0.0">
                  <c:v>2.2393333333333332</c:v>
                </c:pt>
                <c:pt idx="19" formatCode="0.0">
                  <c:v>2.3316666666666666</c:v>
                </c:pt>
                <c:pt idx="20" formatCode="0.0">
                  <c:v>2.2266666666666666</c:v>
                </c:pt>
                <c:pt idx="21" formatCode="0.0">
                  <c:v>2.2823333333333333</c:v>
                </c:pt>
                <c:pt idx="22" formatCode="0.0">
                  <c:v>2.4266666666666663</c:v>
                </c:pt>
                <c:pt idx="23" formatCode="0.0">
                  <c:v>2.4843333333333333</c:v>
                </c:pt>
                <c:pt idx="24" formatCode="0.0">
                  <c:v>2.4646666666666666</c:v>
                </c:pt>
                <c:pt idx="25" formatCode="0.0">
                  <c:v>2.4226666666666667</c:v>
                </c:pt>
                <c:pt idx="26" formatCode="0.0">
                  <c:v>2.387</c:v>
                </c:pt>
                <c:pt idx="27" formatCode="0.0">
                  <c:v>2.448</c:v>
                </c:pt>
                <c:pt idx="28" formatCode="0.0">
                  <c:v>2.3716666666666666</c:v>
                </c:pt>
                <c:pt idx="29" formatCode="0.0">
                  <c:v>2.4003333333333332</c:v>
                </c:pt>
                <c:pt idx="30" formatCode="0.0">
                  <c:v>2.1946666666666665</c:v>
                </c:pt>
                <c:pt idx="31" formatCode="0.0">
                  <c:v>2.1803333333333335</c:v>
                </c:pt>
                <c:pt idx="32" formatCode="0.0">
                  <c:v>2.2473333333333336</c:v>
                </c:pt>
                <c:pt idx="33" formatCode="0.0">
                  <c:v>2.2866666666666666</c:v>
                </c:pt>
                <c:pt idx="34" formatCode="0.0">
                  <c:v>2.2506666666666666</c:v>
                </c:pt>
                <c:pt idx="35" formatCode="0.0">
                  <c:v>2.2560000000000002</c:v>
                </c:pt>
                <c:pt idx="36" formatCode="0.0">
                  <c:v>2.2243333333333335</c:v>
                </c:pt>
                <c:pt idx="37" formatCode="0.0">
                  <c:v>2.206</c:v>
                </c:pt>
                <c:pt idx="38" formatCode="0.0">
                  <c:v>1.954</c:v>
                </c:pt>
                <c:pt idx="39" formatCode="0.0">
                  <c:v>1.6493333333333331</c:v>
                </c:pt>
                <c:pt idx="40" formatCode="0.0">
                  <c:v>1.4029999999999998</c:v>
                </c:pt>
                <c:pt idx="41" formatCode="0.0">
                  <c:v>1.3480000000000001</c:v>
                </c:pt>
                <c:pt idx="42" formatCode="0.0">
                  <c:v>1.5</c:v>
                </c:pt>
                <c:pt idx="43" formatCode="0.0">
                  <c:v>1.7646666666666668</c:v>
                </c:pt>
                <c:pt idx="44" formatCode="0.0">
                  <c:v>1.9103333333333332</c:v>
                </c:pt>
                <c:pt idx="45" formatCode="0.0">
                  <c:v>2.1439999999999997</c:v>
                </c:pt>
                <c:pt idx="46" formatCode="0.0">
                  <c:v>2.1143333333333332</c:v>
                </c:pt>
                <c:pt idx="47" formatCode="0.0">
                  <c:v>2.3839999999999999</c:v>
                </c:pt>
                <c:pt idx="48" formatCode="0.0">
                  <c:v>2.4323333333333337</c:v>
                </c:pt>
                <c:pt idx="49" formatCode="0.0">
                  <c:v>2.6413333333333333</c:v>
                </c:pt>
                <c:pt idx="50" formatCode="0.0">
                  <c:v>2.7353333333333332</c:v>
                </c:pt>
                <c:pt idx="51" formatCode="0.0">
                  <c:v>2.9446666666666665</c:v>
                </c:pt>
                <c:pt idx="52" formatCode="0.0">
                  <c:v>3.1880000000000002</c:v>
                </c:pt>
                <c:pt idx="53" formatCode="0.0">
                  <c:v>3.2803333333333335</c:v>
                </c:pt>
                <c:pt idx="54" formatCode="0.0">
                  <c:v>3.2086666666666663</c:v>
                </c:pt>
                <c:pt idx="55" formatCode="0.0">
                  <c:v>3.1333333333333329</c:v>
                </c:pt>
                <c:pt idx="56" formatCode="0.0">
                  <c:v>3.4169999999999998</c:v>
                </c:pt>
                <c:pt idx="57" formatCode="0.0">
                  <c:v>4.0119999999999996</c:v>
                </c:pt>
                <c:pt idx="58" formatCode="0.0">
                  <c:v>4.4189999999999996</c:v>
                </c:pt>
                <c:pt idx="59" formatCode="0.0">
                  <c:v>4.75</c:v>
                </c:pt>
                <c:pt idx="60" formatCode="0.0">
                  <c:v>4.6900000000000004</c:v>
                </c:pt>
                <c:pt idx="61" formatCode="0.0">
                  <c:v>4.8393333333333333</c:v>
                </c:pt>
                <c:pt idx="62" formatCode="0.0">
                  <c:v>5.0963333333333338</c:v>
                </c:pt>
                <c:pt idx="63" formatCode="0.0">
                  <c:v>5.5866666666666669</c:v>
                </c:pt>
                <c:pt idx="64" formatCode="0.0">
                  <c:v>5.9170000000000007</c:v>
                </c:pt>
                <c:pt idx="65" formatCode="0.0">
                  <c:v>6.057666666666667</c:v>
                </c:pt>
                <c:pt idx="66" formatCode="0.0">
                  <c:v>6.2809999999999997</c:v>
                </c:pt>
                <c:pt idx="67" formatCode="0.0">
                  <c:v>6.464666666666667</c:v>
                </c:pt>
                <c:pt idx="68" formatCode="0.0">
                  <c:v>6.580000000000001</c:v>
                </c:pt>
                <c:pt idx="69" formatCode="0.0">
                  <c:v>6.431</c:v>
                </c:pt>
                <c:pt idx="70" formatCode="0.0">
                  <c:v>6.2020000000000008</c:v>
                </c:pt>
                <c:pt idx="71" formatCode="0.0">
                  <c:v>5.9170000000000007</c:v>
                </c:pt>
                <c:pt idx="72" formatCode="0.0">
                  <c:v>5.7766666666666673</c:v>
                </c:pt>
                <c:pt idx="73" formatCode="0.0">
                  <c:v>5.657</c:v>
                </c:pt>
                <c:pt idx="74" formatCode="0.0">
                  <c:v>5.4996666666666663</c:v>
                </c:pt>
                <c:pt idx="75" formatCode="0.0">
                  <c:v>5.5516666666666667</c:v>
                </c:pt>
                <c:pt idx="76" formatCode="0.0">
                  <c:v>5.469666666666666</c:v>
                </c:pt>
                <c:pt idx="77" formatCode="0.0">
                  <c:v>5.3216666666666663</c:v>
                </c:pt>
                <c:pt idx="78" formatCode="0.0">
                  <c:v>5.1990000000000007</c:v>
                </c:pt>
                <c:pt idx="79" formatCode="0.0">
                  <c:v>4.9833333333333334</c:v>
                </c:pt>
                <c:pt idx="80" formatCode="0.0">
                  <c:v>4.8223333333333338</c:v>
                </c:pt>
                <c:pt idx="81" formatCode="0.0">
                  <c:v>4.5256666666666669</c:v>
                </c:pt>
                <c:pt idx="82" formatCode="0.0">
                  <c:v>4.4463333333333335</c:v>
                </c:pt>
                <c:pt idx="83" formatCode="0.0">
                  <c:v>4.3816666666666668</c:v>
                </c:pt>
                <c:pt idx="84" formatCode="0.0">
                  <c:v>4.3313333333333333</c:v>
                </c:pt>
                <c:pt idx="85" formatCode="0.0">
                  <c:v>4.2809999999999997</c:v>
                </c:pt>
                <c:pt idx="86" formatCode="0.0">
                  <c:v>4.112333333333333</c:v>
                </c:pt>
                <c:pt idx="87" formatCode="0.0">
                  <c:v>4.0060000000000002</c:v>
                </c:pt>
                <c:pt idx="88" formatCode="0.0">
                  <c:v>3.911</c:v>
                </c:pt>
                <c:pt idx="89" formatCode="0.0">
                  <c:v>3.875</c:v>
                </c:pt>
                <c:pt idx="90" formatCode="0.0">
                  <c:v>3.702666666666667</c:v>
                </c:pt>
                <c:pt idx="91" formatCode="0.0">
                  <c:v>3.5510000000000002</c:v>
                </c:pt>
                <c:pt idx="92" formatCode="0.0">
                  <c:v>3.5676666666666663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data'!$K$3</c:f>
              <c:strCache>
                <c:ptCount val="1"/>
                <c:pt idx="0">
                  <c:v>Prices - next year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data'!$I$4:$I$96</c:f>
              <c:numCache>
                <c:formatCode>m/d/yyyy</c:formatCode>
                <c:ptCount val="9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</c:numCache>
            </c:numRef>
          </c:cat>
          <c:val>
            <c:numRef>
              <c:f>'Chart data'!$K$4:$K$96</c:f>
              <c:numCache>
                <c:formatCode>General</c:formatCode>
                <c:ptCount val="93"/>
                <c:pt idx="0">
                  <c:v>#N/A</c:v>
                </c:pt>
                <c:pt idx="1">
                  <c:v>#N/A</c:v>
                </c:pt>
                <c:pt idx="2" formatCode="0.0">
                  <c:v>2.8653333333333335</c:v>
                </c:pt>
                <c:pt idx="3" formatCode="0.0">
                  <c:v>2.8010000000000002</c:v>
                </c:pt>
                <c:pt idx="4" formatCode="0.0">
                  <c:v>2.7436666666666665</c:v>
                </c:pt>
                <c:pt idx="5" formatCode="0.0">
                  <c:v>2.6796666666666664</c:v>
                </c:pt>
                <c:pt idx="6" formatCode="0.0">
                  <c:v>2.573</c:v>
                </c:pt>
                <c:pt idx="7" formatCode="0.0">
                  <c:v>2.5016666666666669</c:v>
                </c:pt>
                <c:pt idx="8" formatCode="0.0">
                  <c:v>2.4886666666666666</c:v>
                </c:pt>
                <c:pt idx="9" formatCode="0.0">
                  <c:v>2.4983333333333335</c:v>
                </c:pt>
                <c:pt idx="10" formatCode="0.0">
                  <c:v>2.5016666666666665</c:v>
                </c:pt>
                <c:pt idx="11" formatCode="0.0">
                  <c:v>2.4750000000000001</c:v>
                </c:pt>
                <c:pt idx="12" formatCode="0.0">
                  <c:v>2.4626666666666668</c:v>
                </c:pt>
                <c:pt idx="13" formatCode="0.0">
                  <c:v>2.4536666666666669</c:v>
                </c:pt>
                <c:pt idx="14" formatCode="0.0">
                  <c:v>2.4050000000000002</c:v>
                </c:pt>
                <c:pt idx="15" formatCode="0.0">
                  <c:v>2.3673333333333333</c:v>
                </c:pt>
                <c:pt idx="16" formatCode="0.0">
                  <c:v>2.2833333333333332</c:v>
                </c:pt>
                <c:pt idx="17" formatCode="0.0">
                  <c:v>2.2536666666666672</c:v>
                </c:pt>
                <c:pt idx="18" formatCode="0.0">
                  <c:v>2.2236666666666669</c:v>
                </c:pt>
                <c:pt idx="19" formatCode="0.0">
                  <c:v>2.2723333333333331</c:v>
                </c:pt>
                <c:pt idx="20" formatCode="0.0">
                  <c:v>2.2656666666666667</c:v>
                </c:pt>
                <c:pt idx="21" formatCode="0.0">
                  <c:v>2.2799999999999998</c:v>
                </c:pt>
                <c:pt idx="22" formatCode="0.0">
                  <c:v>2.311666666666667</c:v>
                </c:pt>
                <c:pt idx="23" formatCode="0.0">
                  <c:v>2.3976666666666664</c:v>
                </c:pt>
                <c:pt idx="24" formatCode="0.0">
                  <c:v>2.4586666666666663</c:v>
                </c:pt>
                <c:pt idx="25" formatCode="0.0">
                  <c:v>2.4573333333333331</c:v>
                </c:pt>
                <c:pt idx="26" formatCode="0.0">
                  <c:v>2.4250000000000003</c:v>
                </c:pt>
                <c:pt idx="27" formatCode="0.0">
                  <c:v>2.4193333333333338</c:v>
                </c:pt>
                <c:pt idx="28" formatCode="0.0">
                  <c:v>2.4023333333333334</c:v>
                </c:pt>
                <c:pt idx="29" formatCode="0.0">
                  <c:v>2.4066666666666667</c:v>
                </c:pt>
                <c:pt idx="30" formatCode="0.0">
                  <c:v>2.3223333333333334</c:v>
                </c:pt>
                <c:pt idx="31" formatCode="0.0">
                  <c:v>2.2583333333333333</c:v>
                </c:pt>
                <c:pt idx="32" formatCode="0.0">
                  <c:v>2.2073333333333331</c:v>
                </c:pt>
                <c:pt idx="33" formatCode="0.0">
                  <c:v>2.238</c:v>
                </c:pt>
                <c:pt idx="34" formatCode="0.0">
                  <c:v>2.2616666666666667</c:v>
                </c:pt>
                <c:pt idx="35" formatCode="0.0">
                  <c:v>2.2646666666666668</c:v>
                </c:pt>
                <c:pt idx="36" formatCode="0.0">
                  <c:v>2.2436666666666665</c:v>
                </c:pt>
                <c:pt idx="37" formatCode="0.0">
                  <c:v>2.2286666666666668</c:v>
                </c:pt>
                <c:pt idx="38" formatCode="0.0">
                  <c:v>2.1279999999999997</c:v>
                </c:pt>
                <c:pt idx="39" formatCode="0.0">
                  <c:v>1.9363333333333335</c:v>
                </c:pt>
                <c:pt idx="40" formatCode="0.0">
                  <c:v>1.6686666666666667</c:v>
                </c:pt>
                <c:pt idx="41" formatCode="0.0">
                  <c:v>1.4666666666666668</c:v>
                </c:pt>
                <c:pt idx="42" formatCode="0.0">
                  <c:v>1.417</c:v>
                </c:pt>
                <c:pt idx="43" formatCode="0.0">
                  <c:v>1.5373333333333334</c:v>
                </c:pt>
                <c:pt idx="44" formatCode="0.0">
                  <c:v>1.7246666666666668</c:v>
                </c:pt>
                <c:pt idx="45" formatCode="0.0">
                  <c:v>1.9393333333333331</c:v>
                </c:pt>
                <c:pt idx="46" formatCode="0.0">
                  <c:v>2.0563333333333333</c:v>
                </c:pt>
                <c:pt idx="47" formatCode="0.0">
                  <c:v>2.2143333333333337</c:v>
                </c:pt>
                <c:pt idx="48" formatCode="0.0">
                  <c:v>2.3106666666666666</c:v>
                </c:pt>
                <c:pt idx="49" formatCode="0.0">
                  <c:v>2.4863333333333331</c:v>
                </c:pt>
                <c:pt idx="50" formatCode="0.0">
                  <c:v>2.6033333333333331</c:v>
                </c:pt>
                <c:pt idx="51" formatCode="0.0">
                  <c:v>2.7739999999999996</c:v>
                </c:pt>
                <c:pt idx="52" formatCode="0.0">
                  <c:v>2.956</c:v>
                </c:pt>
                <c:pt idx="53" formatCode="0.0">
                  <c:v>3.1376666666666666</c:v>
                </c:pt>
                <c:pt idx="54" formatCode="0.0">
                  <c:v>3.2256666666666667</c:v>
                </c:pt>
                <c:pt idx="55" formatCode="0.0">
                  <c:v>3.2073333333333331</c:v>
                </c:pt>
                <c:pt idx="56" formatCode="0.0">
                  <c:v>3.2530000000000001</c:v>
                </c:pt>
                <c:pt idx="57" formatCode="0.0">
                  <c:v>3.5206666666666666</c:v>
                </c:pt>
                <c:pt idx="58" formatCode="0.0">
                  <c:v>3.9493333333333331</c:v>
                </c:pt>
                <c:pt idx="59" formatCode="0.0">
                  <c:v>4.3936666666666664</c:v>
                </c:pt>
                <c:pt idx="60" formatCode="0.0">
                  <c:v>4.6196666666666673</c:v>
                </c:pt>
                <c:pt idx="61" formatCode="0.0">
                  <c:v>4.7596666666666669</c:v>
                </c:pt>
                <c:pt idx="62" formatCode="0.0">
                  <c:v>4.875</c:v>
                </c:pt>
                <c:pt idx="63" formatCode="0.0">
                  <c:v>5.1740000000000004</c:v>
                </c:pt>
                <c:pt idx="64" formatCode="0.0">
                  <c:v>5.5333333333333341</c:v>
                </c:pt>
                <c:pt idx="65" formatCode="0.0">
                  <c:v>5.8539999999999992</c:v>
                </c:pt>
                <c:pt idx="66" formatCode="0.0">
                  <c:v>6.0853333333333337</c:v>
                </c:pt>
                <c:pt idx="67" formatCode="0.0">
                  <c:v>6.2679999999999998</c:v>
                </c:pt>
                <c:pt idx="68" formatCode="0.0">
                  <c:v>6.4420000000000002</c:v>
                </c:pt>
                <c:pt idx="69" formatCode="0.0">
                  <c:v>6.492</c:v>
                </c:pt>
                <c:pt idx="70" formatCode="0.0">
                  <c:v>6.4043333333333337</c:v>
                </c:pt>
                <c:pt idx="71" formatCode="0.0">
                  <c:v>6.1833333333333327</c:v>
                </c:pt>
                <c:pt idx="72" formatCode="0.0">
                  <c:v>5.9653333333333336</c:v>
                </c:pt>
                <c:pt idx="73" formatCode="0.0">
                  <c:v>5.7836666666666661</c:v>
                </c:pt>
                <c:pt idx="74" formatCode="0.0">
                  <c:v>5.644333333333333</c:v>
                </c:pt>
                <c:pt idx="75" formatCode="0.0">
                  <c:v>5.5693333333333328</c:v>
                </c:pt>
                <c:pt idx="76" formatCode="0.0">
                  <c:v>5.5069999999999988</c:v>
                </c:pt>
                <c:pt idx="77" formatCode="0.0">
                  <c:v>5.4479999999999995</c:v>
                </c:pt>
                <c:pt idx="78" formatCode="0.0">
                  <c:v>5.3303333333333329</c:v>
                </c:pt>
                <c:pt idx="79" formatCode="0.0">
                  <c:v>5.1680000000000001</c:v>
                </c:pt>
                <c:pt idx="80" formatCode="0.0">
                  <c:v>5.0013333333333323</c:v>
                </c:pt>
                <c:pt idx="81" formatCode="0.0">
                  <c:v>4.7770000000000001</c:v>
                </c:pt>
                <c:pt idx="82" formatCode="0.0">
                  <c:v>4.5979999999999999</c:v>
                </c:pt>
                <c:pt idx="83" formatCode="0.0">
                  <c:v>4.4513333333333334</c:v>
                </c:pt>
                <c:pt idx="84" formatCode="0.0">
                  <c:v>4.386333333333333</c:v>
                </c:pt>
                <c:pt idx="85" formatCode="0.0">
                  <c:v>4.3313333333333333</c:v>
                </c:pt>
                <c:pt idx="86" formatCode="0.0">
                  <c:v>4.2413333333333334</c:v>
                </c:pt>
                <c:pt idx="87" formatCode="0.0">
                  <c:v>4.133</c:v>
                </c:pt>
                <c:pt idx="88" formatCode="0.0">
                  <c:v>4.0106666666666664</c:v>
                </c:pt>
                <c:pt idx="89" formatCode="0.0">
                  <c:v>3.9316666666666666</c:v>
                </c:pt>
                <c:pt idx="90" formatCode="0.0">
                  <c:v>3.8306666666666662</c:v>
                </c:pt>
                <c:pt idx="91" formatCode="0.0">
                  <c:v>3.7096666666666667</c:v>
                </c:pt>
                <c:pt idx="92" formatCode="0.0">
                  <c:v>3.6073333333333331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data'!$L$3</c:f>
              <c:strCache>
                <c:ptCount val="1"/>
                <c:pt idx="0">
                  <c:v>Wages - past year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data'!$I$4:$I$96</c:f>
              <c:numCache>
                <c:formatCode>m/d/yyyy</c:formatCode>
                <c:ptCount val="9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</c:numCache>
            </c:numRef>
          </c:cat>
          <c:val>
            <c:numRef>
              <c:f>'Chart data'!$L$4:$L$96</c:f>
              <c:numCache>
                <c:formatCode>General</c:formatCode>
                <c:ptCount val="93"/>
                <c:pt idx="66" formatCode="0.0">
                  <c:v>5.5666666666666664</c:v>
                </c:pt>
                <c:pt idx="67" formatCode="0.0">
                  <c:v>5.8666666666666671</c:v>
                </c:pt>
                <c:pt idx="68" formatCode="0.0">
                  <c:v>6.1333333333333329</c:v>
                </c:pt>
                <c:pt idx="69" formatCode="0.0">
                  <c:v>6.333333333333333</c:v>
                </c:pt>
                <c:pt idx="70" formatCode="0.0">
                  <c:v>6.2333333333333334</c:v>
                </c:pt>
                <c:pt idx="71" formatCode="0.0">
                  <c:v>6.2666666666666657</c:v>
                </c:pt>
                <c:pt idx="72" formatCode="0.0">
                  <c:v>6.333333333333333</c:v>
                </c:pt>
                <c:pt idx="73" formatCode="0.0">
                  <c:v>6.5</c:v>
                </c:pt>
                <c:pt idx="74" formatCode="0.0">
                  <c:v>6.4666666666666659</c:v>
                </c:pt>
                <c:pt idx="75" formatCode="0.0">
                  <c:v>6.5666666666666664</c:v>
                </c:pt>
                <c:pt idx="76" formatCode="0.0">
                  <c:v>6.6333333333333329</c:v>
                </c:pt>
                <c:pt idx="77" formatCode="0.0">
                  <c:v>6.833333333333333</c:v>
                </c:pt>
                <c:pt idx="78" formatCode="0.0">
                  <c:v>6.8666666666666663</c:v>
                </c:pt>
                <c:pt idx="79" formatCode="0.0">
                  <c:v>6.9000000000000012</c:v>
                </c:pt>
                <c:pt idx="80" formatCode="0.0">
                  <c:v>6.9000000000000012</c:v>
                </c:pt>
                <c:pt idx="81" formatCode="0.0">
                  <c:v>6.9333333333333336</c:v>
                </c:pt>
                <c:pt idx="82" formatCode="0.0">
                  <c:v>6.9666666666666659</c:v>
                </c:pt>
                <c:pt idx="83" formatCode="0.0">
                  <c:v>6.9333333333333336</c:v>
                </c:pt>
                <c:pt idx="84" formatCode="0.0">
                  <c:v>6.833333333333333</c:v>
                </c:pt>
                <c:pt idx="85" formatCode="0.0">
                  <c:v>6.666666666666667</c:v>
                </c:pt>
                <c:pt idx="86" formatCode="0.0">
                  <c:v>6.3666666666666671</c:v>
                </c:pt>
                <c:pt idx="87" formatCode="0.0">
                  <c:v>6.166666666666667</c:v>
                </c:pt>
                <c:pt idx="88" formatCode="0.0">
                  <c:v>6.0333333333333341</c:v>
                </c:pt>
                <c:pt idx="89" formatCode="0.0">
                  <c:v>5.9666666666666659</c:v>
                </c:pt>
                <c:pt idx="90" formatCode="0.0">
                  <c:v>5.8999999999999995</c:v>
                </c:pt>
                <c:pt idx="91" formatCode="0.0">
                  <c:v>5.7666666666666666</c:v>
                </c:pt>
                <c:pt idx="92" formatCode="0.0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data'!$M$3</c:f>
              <c:strCache>
                <c:ptCount val="1"/>
                <c:pt idx="0">
                  <c:v>Wages - next year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data'!$I$4:$I$96</c:f>
              <c:numCache>
                <c:formatCode>m/d/yyyy</c:formatCode>
                <c:ptCount val="93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</c:numCache>
            </c:numRef>
          </c:cat>
          <c:val>
            <c:numRef>
              <c:f>'Chart data'!$M$4:$M$96</c:f>
              <c:numCache>
                <c:formatCode>General</c:formatCode>
                <c:ptCount val="93"/>
                <c:pt idx="66" formatCode="0.0">
                  <c:v>5.0333333333333323</c:v>
                </c:pt>
                <c:pt idx="67" formatCode="0.0">
                  <c:v>5.2666666666666666</c:v>
                </c:pt>
                <c:pt idx="68" formatCode="0.0">
                  <c:v>5.5333333333333341</c:v>
                </c:pt>
                <c:pt idx="69" formatCode="0.0">
                  <c:v>5.7333333333333334</c:v>
                </c:pt>
                <c:pt idx="70" formatCode="0.0">
                  <c:v>5.833333333333333</c:v>
                </c:pt>
                <c:pt idx="71" formatCode="0.0">
                  <c:v>5.9666666666666659</c:v>
                </c:pt>
                <c:pt idx="72" formatCode="0.0">
                  <c:v>5.9333333333333336</c:v>
                </c:pt>
                <c:pt idx="73" formatCode="0.0">
                  <c:v>5.9333333333333336</c:v>
                </c:pt>
                <c:pt idx="74" formatCode="0.0">
                  <c:v>5.7</c:v>
                </c:pt>
                <c:pt idx="75" formatCode="0.0">
                  <c:v>5.5999999999999988</c:v>
                </c:pt>
                <c:pt idx="76" formatCode="0.0">
                  <c:v>5.3999999999999995</c:v>
                </c:pt>
                <c:pt idx="77" formatCode="0.0">
                  <c:v>5.3000000000000007</c:v>
                </c:pt>
                <c:pt idx="78" formatCode="0.0">
                  <c:v>5.166666666666667</c:v>
                </c:pt>
                <c:pt idx="79" formatCode="0.0">
                  <c:v>5.1000000000000005</c:v>
                </c:pt>
                <c:pt idx="80" formatCode="0.0">
                  <c:v>5.0666666666666664</c:v>
                </c:pt>
                <c:pt idx="81" formatCode="0.0">
                  <c:v>5.0999999999999996</c:v>
                </c:pt>
                <c:pt idx="82" formatCode="0.0">
                  <c:v>5.1333333333333337</c:v>
                </c:pt>
                <c:pt idx="83" formatCode="0.0">
                  <c:v>5.2</c:v>
                </c:pt>
                <c:pt idx="84" formatCode="0.0">
                  <c:v>5.2</c:v>
                </c:pt>
                <c:pt idx="85" formatCode="0.0">
                  <c:v>5.1333333333333337</c:v>
                </c:pt>
                <c:pt idx="86" formatCode="0.0">
                  <c:v>4.8999999999999995</c:v>
                </c:pt>
                <c:pt idx="87" formatCode="0.0">
                  <c:v>4.7333333333333334</c:v>
                </c:pt>
                <c:pt idx="88" formatCode="0.0">
                  <c:v>4.4666666666666668</c:v>
                </c:pt>
                <c:pt idx="89" formatCode="0.0">
                  <c:v>4.2333333333333334</c:v>
                </c:pt>
                <c:pt idx="90" formatCode="0.0">
                  <c:v>4.0666666666666664</c:v>
                </c:pt>
                <c:pt idx="91" formatCode="0.0">
                  <c:v>4.0666666666666664</c:v>
                </c:pt>
                <c:pt idx="92" formatCode="0.0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504530870358518"/>
          <c:y val="9.8217946813252119E-2"/>
          <c:w val="0.60299650676825045"/>
          <c:h val="0.11440334498394425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E00824B-983C-40C8-887A-C12097CD8EB5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642273" cy="101138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04DFD-C3EA-D815-38CF-4EC5185F57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0.00391</cdr:x>
      <cdr:y>0.00539</cdr:y>
    </cdr:from>
    <cdr:to>
      <cdr:x>0.98904</cdr:x>
      <cdr:y>0.07547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E24BDD6-73C2-8D27-A5C9-E8F4D6A913C5}"/>
            </a:ext>
          </a:extLst>
        </cdr:cNvPr>
        <cdr:cNvSpPr txBox="1"/>
      </cdr:nvSpPr>
      <cdr:spPr>
        <a:xfrm xmlns:a="http://schemas.openxmlformats.org/drawingml/2006/main">
          <a:off x="32954" y="36261"/>
          <a:ext cx="8302863" cy="4717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BoE Decision Market Panel - price and wage growth</a:t>
          </a:r>
        </a:p>
      </cdr:txBody>
    </cdr:sp>
  </cdr:relSizeAnchor>
  <cdr:relSizeAnchor xmlns:cdr="http://schemas.openxmlformats.org/drawingml/2006/chartDrawing">
    <cdr:from>
      <cdr:x>0.00528</cdr:x>
      <cdr:y>0.9538</cdr:y>
    </cdr:from>
    <cdr:to>
      <cdr:x>0.68954</cdr:x>
      <cdr:y>0.99434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36EE846-EB10-FA61-97D7-5416547E9C25}"/>
            </a:ext>
          </a:extLst>
        </cdr:cNvPr>
        <cdr:cNvSpPr/>
      </cdr:nvSpPr>
      <cdr:spPr>
        <a:xfrm xmlns:a="http://schemas.openxmlformats.org/drawingml/2006/main">
          <a:off x="66639" y="9604111"/>
          <a:ext cx="8631158" cy="4081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Bank of England Decision Maker Panel</a:t>
          </a:r>
        </a:p>
      </cdr:txBody>
    </cdr:sp>
  </cdr:relSizeAnchor>
  <cdr:relSizeAnchor xmlns:cdr="http://schemas.openxmlformats.org/drawingml/2006/chartDrawing">
    <cdr:from>
      <cdr:x>0</cdr:x>
      <cdr:y>0.07789</cdr:y>
    </cdr:from>
    <cdr:to>
      <cdr:x>0.70478</cdr:x>
      <cdr:y>0.14408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2A11F98-D6FA-CE73-99A7-542C8406380D}"/>
            </a:ext>
          </a:extLst>
        </cdr:cNvPr>
        <cdr:cNvSpPr txBox="1"/>
      </cdr:nvSpPr>
      <cdr:spPr>
        <a:xfrm xmlns:a="http://schemas.openxmlformats.org/drawingml/2006/main">
          <a:off x="0" y="524309"/>
          <a:ext cx="5940035" cy="4455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year, 3mma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83562-B611-4FC5-976D-945BCD8A7CA8}">
  <dimension ref="A2:C101"/>
  <sheetViews>
    <sheetView zoomScale="85" zoomScaleNormal="85" workbookViewId="0">
      <pane xSplit="1" ySplit="3" topLeftCell="B42" activePane="bottomRight" state="frozen"/>
      <selection pane="topRight" activeCell="B1" sqref="B1"/>
      <selection pane="bottomLeft" activeCell="A4" sqref="A4"/>
      <selection pane="bottomRight" activeCell="A4" sqref="A4:A100"/>
    </sheetView>
  </sheetViews>
  <sheetFormatPr defaultRowHeight="14.5" x14ac:dyDescent="0.35"/>
  <cols>
    <col min="2" max="2" width="21.26953125" bestFit="1" customWidth="1"/>
  </cols>
  <sheetData>
    <row r="2" spans="1:3" x14ac:dyDescent="0.35">
      <c r="B2" t="s">
        <v>27</v>
      </c>
    </row>
    <row r="3" spans="1:3" x14ac:dyDescent="0.35">
      <c r="A3" t="s">
        <v>25</v>
      </c>
      <c r="B3" t="s">
        <v>26</v>
      </c>
      <c r="C3" t="s">
        <v>28</v>
      </c>
    </row>
    <row r="4" spans="1:3" x14ac:dyDescent="0.35">
      <c r="A4" t="s">
        <v>0</v>
      </c>
      <c r="B4" s="1">
        <v>7.2</v>
      </c>
      <c r="C4" s="1">
        <f>AVERAGE($B$44:$B$83)</f>
        <v>7.8649999999999993</v>
      </c>
    </row>
    <row r="5" spans="1:3" x14ac:dyDescent="0.35">
      <c r="B5" s="1">
        <v>7</v>
      </c>
      <c r="C5" s="1">
        <f t="shared" ref="C5:C68" si="0">AVERAGE($B$44:$B$83)</f>
        <v>7.8649999999999993</v>
      </c>
    </row>
    <row r="6" spans="1:3" x14ac:dyDescent="0.35">
      <c r="B6" s="1">
        <v>7.7</v>
      </c>
      <c r="C6" s="1">
        <f t="shared" si="0"/>
        <v>7.8649999999999993</v>
      </c>
    </row>
    <row r="7" spans="1:3" x14ac:dyDescent="0.35">
      <c r="B7" s="1">
        <v>9</v>
      </c>
      <c r="C7" s="1">
        <f t="shared" si="0"/>
        <v>7.8649999999999993</v>
      </c>
    </row>
    <row r="8" spans="1:3" x14ac:dyDescent="0.35">
      <c r="A8" t="s">
        <v>1</v>
      </c>
      <c r="B8" s="1">
        <v>8.6999999999999993</v>
      </c>
      <c r="C8" s="1">
        <f t="shared" si="0"/>
        <v>7.8649999999999993</v>
      </c>
    </row>
    <row r="9" spans="1:3" x14ac:dyDescent="0.35">
      <c r="B9" s="1">
        <v>7.7</v>
      </c>
      <c r="C9" s="1">
        <f t="shared" si="0"/>
        <v>7.8649999999999993</v>
      </c>
    </row>
    <row r="10" spans="1:3" x14ac:dyDescent="0.35">
      <c r="B10" s="1">
        <v>6.9</v>
      </c>
      <c r="C10" s="1">
        <f t="shared" si="0"/>
        <v>7.8649999999999993</v>
      </c>
    </row>
    <row r="11" spans="1:3" x14ac:dyDescent="0.35">
      <c r="B11" s="1">
        <v>7.4</v>
      </c>
      <c r="C11" s="1">
        <f t="shared" si="0"/>
        <v>7.8649999999999993</v>
      </c>
    </row>
    <row r="12" spans="1:3" x14ac:dyDescent="0.35">
      <c r="A12" t="s">
        <v>2</v>
      </c>
      <c r="B12" s="1">
        <v>7.9</v>
      </c>
      <c r="C12" s="1">
        <f t="shared" si="0"/>
        <v>7.8649999999999993</v>
      </c>
    </row>
    <row r="13" spans="1:3" x14ac:dyDescent="0.35">
      <c r="B13" s="1">
        <v>8.6999999999999993</v>
      </c>
      <c r="C13" s="1">
        <f t="shared" si="0"/>
        <v>7.8649999999999993</v>
      </c>
    </row>
    <row r="14" spans="1:3" x14ac:dyDescent="0.35">
      <c r="B14" s="1">
        <v>7.5</v>
      </c>
      <c r="C14" s="1">
        <f t="shared" si="0"/>
        <v>7.8649999999999993</v>
      </c>
    </row>
    <row r="15" spans="1:3" x14ac:dyDescent="0.35">
      <c r="B15" s="1">
        <v>6.4</v>
      </c>
      <c r="C15" s="1">
        <f t="shared" si="0"/>
        <v>7.8649999999999993</v>
      </c>
    </row>
    <row r="16" spans="1:3" x14ac:dyDescent="0.35">
      <c r="A16" t="s">
        <v>3</v>
      </c>
      <c r="B16" s="1">
        <v>7</v>
      </c>
      <c r="C16" s="1">
        <f t="shared" si="0"/>
        <v>7.8649999999999993</v>
      </c>
    </row>
    <row r="17" spans="1:3" x14ac:dyDescent="0.35">
      <c r="B17" s="1">
        <v>6</v>
      </c>
      <c r="C17" s="1">
        <f t="shared" si="0"/>
        <v>7.8649999999999993</v>
      </c>
    </row>
    <row r="18" spans="1:3" x14ac:dyDescent="0.35">
      <c r="B18" s="1">
        <v>6.2</v>
      </c>
      <c r="C18" s="1">
        <f t="shared" si="0"/>
        <v>7.8649999999999993</v>
      </c>
    </row>
    <row r="19" spans="1:3" x14ac:dyDescent="0.35">
      <c r="B19" s="1">
        <v>6.9</v>
      </c>
      <c r="C19" s="1">
        <f t="shared" si="0"/>
        <v>7.8649999999999993</v>
      </c>
    </row>
    <row r="20" spans="1:3" x14ac:dyDescent="0.35">
      <c r="A20" t="s">
        <v>4</v>
      </c>
      <c r="B20" s="1">
        <v>7</v>
      </c>
      <c r="C20" s="1">
        <f t="shared" si="0"/>
        <v>7.8649999999999993</v>
      </c>
    </row>
    <row r="21" spans="1:3" x14ac:dyDescent="0.35">
      <c r="B21" s="1">
        <v>6.6</v>
      </c>
      <c r="C21" s="1">
        <f t="shared" si="0"/>
        <v>7.8649999999999993</v>
      </c>
    </row>
    <row r="22" spans="1:3" x14ac:dyDescent="0.35">
      <c r="B22" s="1">
        <v>7.5</v>
      </c>
      <c r="C22" s="1">
        <f t="shared" si="0"/>
        <v>7.8649999999999993</v>
      </c>
    </row>
    <row r="23" spans="1:3" x14ac:dyDescent="0.35">
      <c r="B23" s="1">
        <v>6.8</v>
      </c>
      <c r="C23" s="1">
        <f t="shared" si="0"/>
        <v>7.8649999999999993</v>
      </c>
    </row>
    <row r="24" spans="1:3" x14ac:dyDescent="0.35">
      <c r="A24" t="s">
        <v>5</v>
      </c>
      <c r="B24" s="1">
        <v>6.5</v>
      </c>
      <c r="C24" s="1">
        <f t="shared" si="0"/>
        <v>7.8649999999999993</v>
      </c>
    </row>
    <row r="25" spans="1:3" x14ac:dyDescent="0.35">
      <c r="B25" s="1">
        <v>7.6</v>
      </c>
      <c r="C25" s="1">
        <f t="shared" si="0"/>
        <v>7.8649999999999993</v>
      </c>
    </row>
    <row r="26" spans="1:3" x14ac:dyDescent="0.35">
      <c r="B26" s="1">
        <v>6.7</v>
      </c>
      <c r="C26" s="1">
        <f t="shared" si="0"/>
        <v>7.8649999999999993</v>
      </c>
    </row>
    <row r="27" spans="1:3" x14ac:dyDescent="0.35">
      <c r="B27" s="1">
        <v>6.5</v>
      </c>
      <c r="C27" s="1">
        <f t="shared" si="0"/>
        <v>7.8649999999999993</v>
      </c>
    </row>
    <row r="28" spans="1:3" x14ac:dyDescent="0.35">
      <c r="A28" t="s">
        <v>6</v>
      </c>
      <c r="B28" s="1">
        <v>7.5</v>
      </c>
      <c r="C28" s="1">
        <f t="shared" si="0"/>
        <v>7.8649999999999993</v>
      </c>
    </row>
    <row r="29" spans="1:3" x14ac:dyDescent="0.35">
      <c r="B29" s="1">
        <v>6.6</v>
      </c>
      <c r="C29" s="1">
        <f t="shared" si="0"/>
        <v>7.8649999999999993</v>
      </c>
    </row>
    <row r="30" spans="1:3" x14ac:dyDescent="0.35">
      <c r="B30" s="1">
        <v>7.4</v>
      </c>
      <c r="C30" s="1">
        <f t="shared" si="0"/>
        <v>7.8649999999999993</v>
      </c>
    </row>
    <row r="31" spans="1:3" x14ac:dyDescent="0.35">
      <c r="B31" s="1">
        <v>8.3000000000000007</v>
      </c>
      <c r="C31" s="1">
        <f t="shared" si="0"/>
        <v>7.8649999999999993</v>
      </c>
    </row>
    <row r="32" spans="1:3" x14ac:dyDescent="0.35">
      <c r="A32" t="s">
        <v>7</v>
      </c>
      <c r="B32" s="1">
        <v>10.1</v>
      </c>
      <c r="C32" s="1">
        <f t="shared" si="0"/>
        <v>7.8649999999999993</v>
      </c>
    </row>
    <row r="33" spans="1:3" x14ac:dyDescent="0.35">
      <c r="B33" s="1">
        <v>8.9</v>
      </c>
      <c r="C33" s="1">
        <f t="shared" si="0"/>
        <v>7.8649999999999993</v>
      </c>
    </row>
    <row r="34" spans="1:3" x14ac:dyDescent="0.35">
      <c r="B34" s="1">
        <v>8.5</v>
      </c>
      <c r="C34" s="1">
        <f t="shared" si="0"/>
        <v>7.8649999999999993</v>
      </c>
    </row>
    <row r="35" spans="1:3" x14ac:dyDescent="0.35">
      <c r="B35" s="1">
        <v>7.5</v>
      </c>
      <c r="C35" s="1">
        <f t="shared" si="0"/>
        <v>7.8649999999999993</v>
      </c>
    </row>
    <row r="36" spans="1:3" x14ac:dyDescent="0.35">
      <c r="A36" t="s">
        <v>8</v>
      </c>
      <c r="B36" s="1">
        <v>6.5</v>
      </c>
      <c r="C36" s="1">
        <f t="shared" si="0"/>
        <v>7.8649999999999993</v>
      </c>
    </row>
    <row r="37" spans="1:3" x14ac:dyDescent="0.35">
      <c r="B37" s="1">
        <v>8.1999999999999993</v>
      </c>
      <c r="C37" s="1">
        <f t="shared" si="0"/>
        <v>7.8649999999999993</v>
      </c>
    </row>
    <row r="38" spans="1:3" x14ac:dyDescent="0.35">
      <c r="B38" s="1">
        <v>7.4</v>
      </c>
      <c r="C38" s="1">
        <f t="shared" si="0"/>
        <v>7.8649999999999993</v>
      </c>
    </row>
    <row r="39" spans="1:3" x14ac:dyDescent="0.35">
      <c r="B39" s="1">
        <v>10.7</v>
      </c>
      <c r="C39" s="1">
        <f t="shared" si="0"/>
        <v>7.8649999999999993</v>
      </c>
    </row>
    <row r="40" spans="1:3" x14ac:dyDescent="0.35">
      <c r="A40" t="s">
        <v>9</v>
      </c>
      <c r="B40" s="1">
        <v>9.5</v>
      </c>
      <c r="C40" s="1">
        <f t="shared" si="0"/>
        <v>7.8649999999999993</v>
      </c>
    </row>
    <row r="41" spans="1:3" x14ac:dyDescent="0.35">
      <c r="B41" s="1">
        <v>11.6</v>
      </c>
      <c r="C41" s="1">
        <f t="shared" si="0"/>
        <v>7.8649999999999993</v>
      </c>
    </row>
    <row r="42" spans="1:3" x14ac:dyDescent="0.35">
      <c r="B42" s="1">
        <v>11.2</v>
      </c>
      <c r="C42" s="1">
        <f t="shared" si="0"/>
        <v>7.8649999999999993</v>
      </c>
    </row>
    <row r="43" spans="1:3" x14ac:dyDescent="0.35">
      <c r="B43" s="1">
        <v>11.6</v>
      </c>
      <c r="C43" s="1">
        <f t="shared" si="0"/>
        <v>7.8649999999999993</v>
      </c>
    </row>
    <row r="44" spans="1:3" x14ac:dyDescent="0.35">
      <c r="A44" t="s">
        <v>10</v>
      </c>
      <c r="B44" s="1">
        <v>13.2</v>
      </c>
      <c r="C44" s="1">
        <f t="shared" si="0"/>
        <v>7.8649999999999993</v>
      </c>
    </row>
    <row r="45" spans="1:3" x14ac:dyDescent="0.35">
      <c r="B45" s="1">
        <v>12</v>
      </c>
      <c r="C45" s="1">
        <f t="shared" si="0"/>
        <v>7.8649999999999993</v>
      </c>
    </row>
    <row r="46" spans="1:3" x14ac:dyDescent="0.35">
      <c r="B46" s="1">
        <v>11.2</v>
      </c>
      <c r="C46" s="1">
        <f t="shared" si="0"/>
        <v>7.8649999999999993</v>
      </c>
    </row>
    <row r="47" spans="1:3" x14ac:dyDescent="0.35">
      <c r="B47" s="1">
        <v>11.3</v>
      </c>
      <c r="C47" s="1">
        <f t="shared" si="0"/>
        <v>7.8649999999999993</v>
      </c>
    </row>
    <row r="48" spans="1:3" x14ac:dyDescent="0.35">
      <c r="A48" t="s">
        <v>11</v>
      </c>
      <c r="B48" s="1">
        <v>9.3000000000000007</v>
      </c>
      <c r="C48" s="1">
        <f t="shared" si="0"/>
        <v>7.8649999999999993</v>
      </c>
    </row>
    <row r="49" spans="1:3" x14ac:dyDescent="0.35">
      <c r="B49" s="1">
        <v>10.7</v>
      </c>
      <c r="C49" s="1">
        <f t="shared" si="0"/>
        <v>7.8649999999999993</v>
      </c>
    </row>
    <row r="50" spans="1:3" x14ac:dyDescent="0.35">
      <c r="B50" s="1">
        <v>9.6</v>
      </c>
      <c r="C50" s="1">
        <f t="shared" si="0"/>
        <v>7.8649999999999993</v>
      </c>
    </row>
    <row r="51" spans="1:3" x14ac:dyDescent="0.35">
      <c r="B51" s="1">
        <v>8.5</v>
      </c>
      <c r="C51" s="1">
        <f t="shared" si="0"/>
        <v>7.8649999999999993</v>
      </c>
    </row>
    <row r="52" spans="1:3" x14ac:dyDescent="0.35">
      <c r="A52" t="s">
        <v>12</v>
      </c>
      <c r="B52" s="1">
        <v>10.4</v>
      </c>
      <c r="C52" s="1">
        <f t="shared" si="0"/>
        <v>7.8649999999999993</v>
      </c>
    </row>
    <row r="53" spans="1:3" x14ac:dyDescent="0.35">
      <c r="B53" s="1">
        <v>9.6</v>
      </c>
      <c r="C53" s="1">
        <f t="shared" si="0"/>
        <v>7.8649999999999993</v>
      </c>
    </row>
    <row r="54" spans="1:3" x14ac:dyDescent="0.35">
      <c r="B54" s="1">
        <v>8.6</v>
      </c>
      <c r="C54" s="1">
        <f t="shared" si="0"/>
        <v>7.8649999999999993</v>
      </c>
    </row>
    <row r="55" spans="1:3" x14ac:dyDescent="0.35">
      <c r="B55" s="1">
        <v>7</v>
      </c>
      <c r="C55" s="1">
        <f t="shared" si="0"/>
        <v>7.8649999999999993</v>
      </c>
    </row>
    <row r="56" spans="1:3" x14ac:dyDescent="0.35">
      <c r="A56" t="s">
        <v>13</v>
      </c>
      <c r="B56" s="1">
        <v>6.9</v>
      </c>
      <c r="C56" s="1">
        <f t="shared" si="0"/>
        <v>7.8649999999999993</v>
      </c>
    </row>
    <row r="57" spans="1:3" x14ac:dyDescent="0.35">
      <c r="B57" s="1">
        <v>8.6999999999999993</v>
      </c>
      <c r="C57" s="1">
        <f t="shared" si="0"/>
        <v>7.8649999999999993</v>
      </c>
    </row>
    <row r="58" spans="1:3" x14ac:dyDescent="0.35">
      <c r="B58" s="1">
        <v>8.6</v>
      </c>
      <c r="C58" s="1">
        <f t="shared" si="0"/>
        <v>7.8649999999999993</v>
      </c>
    </row>
    <row r="59" spans="1:3" x14ac:dyDescent="0.35">
      <c r="B59" s="1">
        <v>9.3000000000000007</v>
      </c>
      <c r="C59" s="1">
        <f t="shared" si="0"/>
        <v>7.8649999999999993</v>
      </c>
    </row>
    <row r="60" spans="1:3" x14ac:dyDescent="0.35">
      <c r="A60" t="s">
        <v>14</v>
      </c>
      <c r="B60" s="1">
        <v>8.8000000000000007</v>
      </c>
      <c r="C60" s="1">
        <f t="shared" si="0"/>
        <v>7.8649999999999993</v>
      </c>
    </row>
    <row r="61" spans="1:3" x14ac:dyDescent="0.35">
      <c r="B61" s="1">
        <v>8.1</v>
      </c>
      <c r="C61" s="1">
        <f t="shared" si="0"/>
        <v>7.8649999999999993</v>
      </c>
    </row>
    <row r="62" spans="1:3" x14ac:dyDescent="0.35">
      <c r="B62" s="1">
        <v>6.5</v>
      </c>
      <c r="C62" s="1">
        <f t="shared" si="0"/>
        <v>7.8649999999999993</v>
      </c>
    </row>
    <row r="63" spans="1:3" x14ac:dyDescent="0.35">
      <c r="B63" s="1">
        <v>6.6</v>
      </c>
      <c r="C63" s="1">
        <f t="shared" si="0"/>
        <v>7.8649999999999993</v>
      </c>
    </row>
    <row r="64" spans="1:3" x14ac:dyDescent="0.35">
      <c r="A64" t="s">
        <v>15</v>
      </c>
      <c r="B64" s="1">
        <v>8.1</v>
      </c>
      <c r="C64" s="1">
        <f t="shared" si="0"/>
        <v>7.8649999999999993</v>
      </c>
    </row>
    <row r="65" spans="1:3" x14ac:dyDescent="0.35">
      <c r="B65" s="1">
        <v>10.199999999999999</v>
      </c>
      <c r="C65" s="1">
        <f t="shared" si="0"/>
        <v>7.8649999999999993</v>
      </c>
    </row>
    <row r="66" spans="1:3" x14ac:dyDescent="0.35">
      <c r="B66" s="1">
        <v>10.1</v>
      </c>
      <c r="C66" s="1">
        <f t="shared" si="0"/>
        <v>7.8649999999999993</v>
      </c>
    </row>
    <row r="67" spans="1:3" x14ac:dyDescent="0.35">
      <c r="B67" s="1">
        <v>10.9</v>
      </c>
      <c r="C67" s="1">
        <f t="shared" si="0"/>
        <v>7.8649999999999993</v>
      </c>
    </row>
    <row r="68" spans="1:3" x14ac:dyDescent="0.35">
      <c r="A68" t="s">
        <v>16</v>
      </c>
      <c r="B68" s="1">
        <v>8.1</v>
      </c>
      <c r="C68" s="1">
        <f t="shared" si="0"/>
        <v>7.8649999999999993</v>
      </c>
    </row>
    <row r="69" spans="1:3" x14ac:dyDescent="0.35">
      <c r="B69" s="1">
        <v>7.1</v>
      </c>
      <c r="C69" s="1">
        <f t="shared" ref="C69:C101" si="1">AVERAGE($B$44:$B$83)</f>
        <v>7.8649999999999993</v>
      </c>
    </row>
    <row r="70" spans="1:3" x14ac:dyDescent="0.35">
      <c r="B70" s="1">
        <v>5.0999999999999996</v>
      </c>
      <c r="C70" s="1">
        <f t="shared" si="1"/>
        <v>7.8649999999999993</v>
      </c>
    </row>
    <row r="71" spans="1:3" x14ac:dyDescent="0.35">
      <c r="B71" s="1">
        <v>5.5</v>
      </c>
      <c r="C71" s="1">
        <f t="shared" si="1"/>
        <v>7.8649999999999993</v>
      </c>
    </row>
    <row r="72" spans="1:3" x14ac:dyDescent="0.35">
      <c r="A72" t="s">
        <v>17</v>
      </c>
      <c r="B72" s="1">
        <v>4.3</v>
      </c>
      <c r="C72" s="1">
        <f t="shared" si="1"/>
        <v>7.8649999999999993</v>
      </c>
    </row>
    <row r="73" spans="1:3" x14ac:dyDescent="0.35">
      <c r="B73" s="1">
        <v>6.4</v>
      </c>
      <c r="C73" s="1">
        <f t="shared" si="1"/>
        <v>7.8649999999999993</v>
      </c>
    </row>
    <row r="74" spans="1:3" x14ac:dyDescent="0.35">
      <c r="B74" s="1">
        <v>5.8</v>
      </c>
      <c r="C74" s="1">
        <f t="shared" si="1"/>
        <v>7.8649999999999993</v>
      </c>
    </row>
    <row r="75" spans="1:3" x14ac:dyDescent="0.35">
      <c r="B75" s="1">
        <v>4.8</v>
      </c>
      <c r="C75" s="1">
        <f t="shared" si="1"/>
        <v>7.8649999999999993</v>
      </c>
    </row>
    <row r="76" spans="1:3" x14ac:dyDescent="0.35">
      <c r="A76" t="s">
        <v>18</v>
      </c>
      <c r="B76" s="1">
        <v>5.8</v>
      </c>
      <c r="C76" s="1">
        <f t="shared" si="1"/>
        <v>7.8649999999999993</v>
      </c>
    </row>
    <row r="77" spans="1:3" x14ac:dyDescent="0.35">
      <c r="B77" s="1">
        <v>5.3</v>
      </c>
      <c r="C77" s="1">
        <f t="shared" si="1"/>
        <v>7.8649999999999993</v>
      </c>
    </row>
    <row r="78" spans="1:3" x14ac:dyDescent="0.35">
      <c r="B78" s="1">
        <v>5.4</v>
      </c>
      <c r="C78" s="1">
        <f t="shared" si="1"/>
        <v>7.8649999999999993</v>
      </c>
    </row>
    <row r="79" spans="1:3" x14ac:dyDescent="0.35">
      <c r="B79" s="1">
        <v>4.8</v>
      </c>
      <c r="C79" s="1">
        <f t="shared" si="1"/>
        <v>7.8649999999999993</v>
      </c>
    </row>
    <row r="80" spans="1:3" x14ac:dyDescent="0.35">
      <c r="A80" t="s">
        <v>19</v>
      </c>
      <c r="B80" s="1">
        <v>4.9000000000000004</v>
      </c>
      <c r="C80" s="1">
        <f t="shared" si="1"/>
        <v>7.8649999999999993</v>
      </c>
    </row>
    <row r="81" spans="1:3" x14ac:dyDescent="0.35">
      <c r="B81" s="1">
        <v>5.8</v>
      </c>
      <c r="C81" s="1">
        <f t="shared" si="1"/>
        <v>7.8649999999999993</v>
      </c>
    </row>
    <row r="82" spans="1:3" x14ac:dyDescent="0.35">
      <c r="B82" s="1">
        <v>5.3</v>
      </c>
      <c r="C82" s="1">
        <f t="shared" si="1"/>
        <v>7.8649999999999993</v>
      </c>
    </row>
    <row r="83" spans="1:3" x14ac:dyDescent="0.35">
      <c r="B83" s="1">
        <v>6</v>
      </c>
      <c r="C83" s="1">
        <f t="shared" si="1"/>
        <v>7.8649999999999993</v>
      </c>
    </row>
    <row r="84" spans="1:3" x14ac:dyDescent="0.35">
      <c r="A84" t="s">
        <v>20</v>
      </c>
      <c r="B84" s="1">
        <v>7.3</v>
      </c>
      <c r="C84" s="1">
        <f t="shared" si="1"/>
        <v>7.8649999999999993</v>
      </c>
    </row>
    <row r="85" spans="1:3" x14ac:dyDescent="0.35">
      <c r="B85" s="1">
        <v>27.3</v>
      </c>
      <c r="C85" s="1">
        <f t="shared" si="1"/>
        <v>7.8649999999999993</v>
      </c>
    </row>
    <row r="86" spans="1:3" x14ac:dyDescent="0.35">
      <c r="B86" s="1">
        <v>15.6</v>
      </c>
      <c r="C86" s="1">
        <f t="shared" si="1"/>
        <v>7.8649999999999993</v>
      </c>
    </row>
    <row r="87" spans="1:3" x14ac:dyDescent="0.35">
      <c r="B87" s="1">
        <v>16.899999999999999</v>
      </c>
      <c r="C87" s="1">
        <f t="shared" si="1"/>
        <v>7.8649999999999993</v>
      </c>
    </row>
    <row r="88" spans="1:3" x14ac:dyDescent="0.35">
      <c r="A88" t="s">
        <v>21</v>
      </c>
      <c r="B88" s="1">
        <v>21.3</v>
      </c>
      <c r="C88" s="1">
        <f t="shared" si="1"/>
        <v>7.8649999999999993</v>
      </c>
    </row>
    <row r="89" spans="1:3" x14ac:dyDescent="0.35">
      <c r="B89" s="1">
        <v>11.9</v>
      </c>
      <c r="C89" s="1">
        <f t="shared" si="1"/>
        <v>7.8649999999999993</v>
      </c>
    </row>
    <row r="90" spans="1:3" x14ac:dyDescent="0.35">
      <c r="B90" s="1">
        <v>9.1</v>
      </c>
      <c r="C90" s="1">
        <f t="shared" si="1"/>
        <v>7.8649999999999993</v>
      </c>
    </row>
    <row r="91" spans="1:3" x14ac:dyDescent="0.35">
      <c r="B91" s="1">
        <v>7.8</v>
      </c>
      <c r="C91" s="1">
        <f t="shared" si="1"/>
        <v>7.8649999999999993</v>
      </c>
    </row>
    <row r="92" spans="1:3" x14ac:dyDescent="0.35">
      <c r="A92" t="s">
        <v>22</v>
      </c>
      <c r="B92" s="1">
        <v>8.3000000000000007</v>
      </c>
      <c r="C92" s="1">
        <f t="shared" si="1"/>
        <v>7.8649999999999993</v>
      </c>
    </row>
    <row r="93" spans="1:3" x14ac:dyDescent="0.35">
      <c r="B93" s="1">
        <v>7.1</v>
      </c>
      <c r="C93" s="1">
        <f t="shared" si="1"/>
        <v>7.8649999999999993</v>
      </c>
    </row>
    <row r="94" spans="1:3" x14ac:dyDescent="0.35">
      <c r="B94" s="1">
        <v>8.6999999999999993</v>
      </c>
      <c r="C94" s="1">
        <f t="shared" si="1"/>
        <v>7.8649999999999993</v>
      </c>
    </row>
    <row r="95" spans="1:3" x14ac:dyDescent="0.35">
      <c r="B95" s="1">
        <v>9.3000000000000007</v>
      </c>
      <c r="C95" s="1">
        <f t="shared" si="1"/>
        <v>7.8649999999999993</v>
      </c>
    </row>
    <row r="96" spans="1:3" x14ac:dyDescent="0.35">
      <c r="A96" t="s">
        <v>23</v>
      </c>
      <c r="B96" s="1">
        <v>8.3000000000000007</v>
      </c>
      <c r="C96" s="1">
        <f t="shared" si="1"/>
        <v>7.8649999999999993</v>
      </c>
    </row>
    <row r="97" spans="1:3" x14ac:dyDescent="0.35">
      <c r="B97" s="1">
        <v>9.8000000000000007</v>
      </c>
      <c r="C97" s="1">
        <f t="shared" si="1"/>
        <v>7.8649999999999993</v>
      </c>
    </row>
    <row r="98" spans="1:3" x14ac:dyDescent="0.35">
      <c r="B98" s="1">
        <v>10.3</v>
      </c>
      <c r="C98" s="1">
        <f t="shared" si="1"/>
        <v>7.8649999999999993</v>
      </c>
    </row>
    <row r="99" spans="1:3" x14ac:dyDescent="0.35">
      <c r="B99" s="1">
        <v>10.5</v>
      </c>
      <c r="C99" s="1">
        <f t="shared" si="1"/>
        <v>7.8649999999999993</v>
      </c>
    </row>
    <row r="100" spans="1:3" x14ac:dyDescent="0.35">
      <c r="A100" t="s">
        <v>24</v>
      </c>
      <c r="B100" s="1">
        <v>11.3</v>
      </c>
      <c r="C100" s="1">
        <f t="shared" si="1"/>
        <v>7.8649999999999993</v>
      </c>
    </row>
    <row r="101" spans="1:3" x14ac:dyDescent="0.35">
      <c r="B101" s="1" t="e">
        <v>#N/A</v>
      </c>
      <c r="C101" s="1">
        <f t="shared" si="1"/>
        <v>7.8649999999999993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F65B-88DB-4AA6-BBFA-B7469FF1B45B}">
  <dimension ref="A3:B106"/>
  <sheetViews>
    <sheetView workbookViewId="0">
      <pane xSplit="1" ySplit="8" topLeftCell="B84" activePane="bottomRight" state="frozen"/>
      <selection pane="topRight" activeCell="B1" sqref="B1"/>
      <selection pane="bottomLeft" activeCell="A9" sqref="A9"/>
      <selection pane="bottomRight" activeCell="B106" sqref="B106"/>
    </sheetView>
  </sheetViews>
  <sheetFormatPr defaultRowHeight="14.5" x14ac:dyDescent="0.35"/>
  <cols>
    <col min="2" max="2" width="17.7265625" customWidth="1"/>
  </cols>
  <sheetData>
    <row r="3" spans="1:2" x14ac:dyDescent="0.35">
      <c r="A3" s="2" t="s">
        <v>30</v>
      </c>
      <c r="B3" t="s">
        <v>29</v>
      </c>
    </row>
    <row r="4" spans="1:2" s="3" customFormat="1" ht="47.5" customHeight="1" x14ac:dyDescent="0.35">
      <c r="A4" s="3" t="s">
        <v>36</v>
      </c>
      <c r="B4" s="3" t="s">
        <v>41</v>
      </c>
    </row>
    <row r="5" spans="1:2" hidden="1" x14ac:dyDescent="0.35">
      <c r="A5" t="s">
        <v>35</v>
      </c>
      <c r="B5" t="s">
        <v>40</v>
      </c>
    </row>
    <row r="6" spans="1:2" ht="1" customHeight="1" x14ac:dyDescent="0.35">
      <c r="A6" t="s">
        <v>34</v>
      </c>
      <c r="B6" t="s">
        <v>39</v>
      </c>
    </row>
    <row r="7" spans="1:2" hidden="1" x14ac:dyDescent="0.35">
      <c r="A7" t="s">
        <v>33</v>
      </c>
      <c r="B7" t="s">
        <v>38</v>
      </c>
    </row>
    <row r="8" spans="1:2" x14ac:dyDescent="0.35">
      <c r="A8" t="s">
        <v>32</v>
      </c>
      <c r="B8" t="s">
        <v>37</v>
      </c>
    </row>
    <row r="9" spans="1:2" x14ac:dyDescent="0.35">
      <c r="A9" t="s">
        <v>31</v>
      </c>
      <c r="B9" s="1">
        <v>7.1</v>
      </c>
    </row>
    <row r="10" spans="1:2" x14ac:dyDescent="0.35">
      <c r="A10" t="s">
        <v>42</v>
      </c>
      <c r="B10" s="1">
        <v>7</v>
      </c>
    </row>
    <row r="11" spans="1:2" x14ac:dyDescent="0.35">
      <c r="A11" t="s">
        <v>43</v>
      </c>
      <c r="B11" s="1">
        <v>7.7</v>
      </c>
    </row>
    <row r="12" spans="1:2" x14ac:dyDescent="0.35">
      <c r="A12" t="s">
        <v>44</v>
      </c>
      <c r="B12" s="1">
        <v>9</v>
      </c>
    </row>
    <row r="13" spans="1:2" x14ac:dyDescent="0.35">
      <c r="A13" t="s">
        <v>45</v>
      </c>
      <c r="B13" s="1">
        <v>8.6999999999999993</v>
      </c>
    </row>
    <row r="14" spans="1:2" x14ac:dyDescent="0.35">
      <c r="A14" t="s">
        <v>46</v>
      </c>
      <c r="B14" s="1">
        <v>7.7</v>
      </c>
    </row>
    <row r="15" spans="1:2" x14ac:dyDescent="0.35">
      <c r="A15" t="s">
        <v>47</v>
      </c>
      <c r="B15" s="1">
        <v>6.9</v>
      </c>
    </row>
    <row r="16" spans="1:2" x14ac:dyDescent="0.35">
      <c r="A16" t="s">
        <v>48</v>
      </c>
      <c r="B16" s="1">
        <v>7.4</v>
      </c>
    </row>
    <row r="17" spans="1:2" x14ac:dyDescent="0.35">
      <c r="A17" t="s">
        <v>49</v>
      </c>
      <c r="B17" s="1">
        <v>7.9</v>
      </c>
    </row>
    <row r="18" spans="1:2" x14ac:dyDescent="0.35">
      <c r="A18" t="s">
        <v>50</v>
      </c>
      <c r="B18" s="1">
        <v>8.6999999999999993</v>
      </c>
    </row>
    <row r="19" spans="1:2" x14ac:dyDescent="0.35">
      <c r="A19" t="s">
        <v>51</v>
      </c>
      <c r="B19" s="1">
        <v>7.5</v>
      </c>
    </row>
    <row r="20" spans="1:2" x14ac:dyDescent="0.35">
      <c r="A20" t="s">
        <v>52</v>
      </c>
      <c r="B20" s="1">
        <v>6.4</v>
      </c>
    </row>
    <row r="21" spans="1:2" x14ac:dyDescent="0.35">
      <c r="A21" t="s">
        <v>53</v>
      </c>
      <c r="B21" s="1">
        <v>7</v>
      </c>
    </row>
    <row r="22" spans="1:2" x14ac:dyDescent="0.35">
      <c r="A22" t="s">
        <v>54</v>
      </c>
      <c r="B22" s="1">
        <v>6</v>
      </c>
    </row>
    <row r="23" spans="1:2" x14ac:dyDescent="0.35">
      <c r="A23" t="s">
        <v>55</v>
      </c>
      <c r="B23" s="1">
        <v>6.2</v>
      </c>
    </row>
    <row r="24" spans="1:2" x14ac:dyDescent="0.35">
      <c r="A24" t="s">
        <v>56</v>
      </c>
      <c r="B24" s="1">
        <v>6.9</v>
      </c>
    </row>
    <row r="25" spans="1:2" x14ac:dyDescent="0.35">
      <c r="A25" t="s">
        <v>57</v>
      </c>
      <c r="B25" s="1">
        <v>7</v>
      </c>
    </row>
    <row r="26" spans="1:2" x14ac:dyDescent="0.35">
      <c r="A26" t="s">
        <v>58</v>
      </c>
      <c r="B26" s="1">
        <v>6.6</v>
      </c>
    </row>
    <row r="27" spans="1:2" x14ac:dyDescent="0.35">
      <c r="A27" t="s">
        <v>59</v>
      </c>
      <c r="B27" s="1">
        <v>7.5</v>
      </c>
    </row>
    <row r="28" spans="1:2" x14ac:dyDescent="0.35">
      <c r="A28" t="s">
        <v>60</v>
      </c>
      <c r="B28" s="1">
        <v>6.8</v>
      </c>
    </row>
    <row r="29" spans="1:2" x14ac:dyDescent="0.35">
      <c r="A29" t="s">
        <v>61</v>
      </c>
      <c r="B29" s="1">
        <v>6.5</v>
      </c>
    </row>
    <row r="30" spans="1:2" x14ac:dyDescent="0.35">
      <c r="A30" t="s">
        <v>62</v>
      </c>
      <c r="B30" s="1">
        <v>7.6</v>
      </c>
    </row>
    <row r="31" spans="1:2" x14ac:dyDescent="0.35">
      <c r="A31" t="s">
        <v>63</v>
      </c>
      <c r="B31" s="1">
        <v>6.7</v>
      </c>
    </row>
    <row r="32" spans="1:2" x14ac:dyDescent="0.35">
      <c r="A32" t="s">
        <v>64</v>
      </c>
      <c r="B32" s="1">
        <v>6.5</v>
      </c>
    </row>
    <row r="33" spans="1:2" x14ac:dyDescent="0.35">
      <c r="A33" t="s">
        <v>65</v>
      </c>
      <c r="B33" s="1">
        <v>7.4</v>
      </c>
    </row>
    <row r="34" spans="1:2" x14ac:dyDescent="0.35">
      <c r="A34" t="s">
        <v>66</v>
      </c>
      <c r="B34" s="1">
        <v>6.6</v>
      </c>
    </row>
    <row r="35" spans="1:2" x14ac:dyDescent="0.35">
      <c r="A35" t="s">
        <v>67</v>
      </c>
      <c r="B35" s="1">
        <v>7.4</v>
      </c>
    </row>
    <row r="36" spans="1:2" x14ac:dyDescent="0.35">
      <c r="A36" t="s">
        <v>68</v>
      </c>
      <c r="B36" s="1">
        <v>8.3000000000000007</v>
      </c>
    </row>
    <row r="37" spans="1:2" x14ac:dyDescent="0.35">
      <c r="A37" t="s">
        <v>69</v>
      </c>
      <c r="B37" s="1">
        <v>10</v>
      </c>
    </row>
    <row r="38" spans="1:2" x14ac:dyDescent="0.35">
      <c r="A38" t="s">
        <v>70</v>
      </c>
      <c r="B38" s="1">
        <v>9</v>
      </c>
    </row>
    <row r="39" spans="1:2" x14ac:dyDescent="0.35">
      <c r="A39" t="s">
        <v>71</v>
      </c>
      <c r="B39" s="1">
        <v>8.5</v>
      </c>
    </row>
    <row r="40" spans="1:2" x14ac:dyDescent="0.35">
      <c r="A40" t="s">
        <v>72</v>
      </c>
      <c r="B40" s="1">
        <v>7.5</v>
      </c>
    </row>
    <row r="41" spans="1:2" x14ac:dyDescent="0.35">
      <c r="A41" t="s">
        <v>73</v>
      </c>
      <c r="B41" s="1">
        <v>6.5</v>
      </c>
    </row>
    <row r="42" spans="1:2" x14ac:dyDescent="0.35">
      <c r="A42" t="s">
        <v>74</v>
      </c>
      <c r="B42" s="1">
        <v>8.3000000000000007</v>
      </c>
    </row>
    <row r="43" spans="1:2" x14ac:dyDescent="0.35">
      <c r="A43" t="s">
        <v>75</v>
      </c>
      <c r="B43" s="1">
        <v>7.4</v>
      </c>
    </row>
    <row r="44" spans="1:2" x14ac:dyDescent="0.35">
      <c r="A44" t="s">
        <v>76</v>
      </c>
      <c r="B44" s="1">
        <v>10.7</v>
      </c>
    </row>
    <row r="45" spans="1:2" x14ac:dyDescent="0.35">
      <c r="A45" t="s">
        <v>77</v>
      </c>
      <c r="B45" s="1">
        <v>9.5</v>
      </c>
    </row>
    <row r="46" spans="1:2" x14ac:dyDescent="0.35">
      <c r="A46" t="s">
        <v>78</v>
      </c>
      <c r="B46" s="1">
        <v>11.6</v>
      </c>
    </row>
    <row r="47" spans="1:2" x14ac:dyDescent="0.35">
      <c r="A47" t="s">
        <v>79</v>
      </c>
      <c r="B47" s="1">
        <v>11.2</v>
      </c>
    </row>
    <row r="48" spans="1:2" x14ac:dyDescent="0.35">
      <c r="A48" t="s">
        <v>80</v>
      </c>
      <c r="B48" s="1">
        <v>11.6</v>
      </c>
    </row>
    <row r="49" spans="1:2" x14ac:dyDescent="0.35">
      <c r="A49" t="s">
        <v>81</v>
      </c>
      <c r="B49" s="1">
        <v>13.2</v>
      </c>
    </row>
    <row r="50" spans="1:2" x14ac:dyDescent="0.35">
      <c r="A50" t="s">
        <v>82</v>
      </c>
      <c r="B50" s="1">
        <v>11.9</v>
      </c>
    </row>
    <row r="51" spans="1:2" x14ac:dyDescent="0.35">
      <c r="A51" t="s">
        <v>83</v>
      </c>
      <c r="B51" s="1">
        <v>11.2</v>
      </c>
    </row>
    <row r="52" spans="1:2" x14ac:dyDescent="0.35">
      <c r="A52" t="s">
        <v>84</v>
      </c>
      <c r="B52" s="1">
        <v>11.3</v>
      </c>
    </row>
    <row r="53" spans="1:2" x14ac:dyDescent="0.35">
      <c r="A53" t="s">
        <v>85</v>
      </c>
      <c r="B53" s="1">
        <v>9.3000000000000007</v>
      </c>
    </row>
    <row r="54" spans="1:2" x14ac:dyDescent="0.35">
      <c r="A54" t="s">
        <v>86</v>
      </c>
      <c r="B54" s="1">
        <v>10.7</v>
      </c>
    </row>
    <row r="55" spans="1:2" x14ac:dyDescent="0.35">
      <c r="A55" t="s">
        <v>87</v>
      </c>
      <c r="B55" s="1">
        <v>9.6</v>
      </c>
    </row>
    <row r="56" spans="1:2" x14ac:dyDescent="0.35">
      <c r="A56" t="s">
        <v>88</v>
      </c>
      <c r="B56" s="1">
        <v>8.5</v>
      </c>
    </row>
    <row r="57" spans="1:2" x14ac:dyDescent="0.35">
      <c r="A57" t="s">
        <v>89</v>
      </c>
      <c r="B57" s="1">
        <v>10.4</v>
      </c>
    </row>
    <row r="58" spans="1:2" x14ac:dyDescent="0.35">
      <c r="A58" t="s">
        <v>90</v>
      </c>
      <c r="B58" s="1">
        <v>9.6</v>
      </c>
    </row>
    <row r="59" spans="1:2" x14ac:dyDescent="0.35">
      <c r="A59" t="s">
        <v>91</v>
      </c>
      <c r="B59" s="1">
        <v>8.6</v>
      </c>
    </row>
    <row r="60" spans="1:2" x14ac:dyDescent="0.35">
      <c r="A60" t="s">
        <v>92</v>
      </c>
      <c r="B60" s="1">
        <v>7</v>
      </c>
    </row>
    <row r="61" spans="1:2" x14ac:dyDescent="0.35">
      <c r="A61" t="s">
        <v>93</v>
      </c>
      <c r="B61" s="1">
        <v>6.9</v>
      </c>
    </row>
    <row r="62" spans="1:2" x14ac:dyDescent="0.35">
      <c r="A62" t="s">
        <v>94</v>
      </c>
      <c r="B62" s="1">
        <v>8.6999999999999993</v>
      </c>
    </row>
    <row r="63" spans="1:2" x14ac:dyDescent="0.35">
      <c r="A63" t="s">
        <v>95</v>
      </c>
      <c r="B63" s="1">
        <v>8.6</v>
      </c>
    </row>
    <row r="64" spans="1:2" x14ac:dyDescent="0.35">
      <c r="A64" t="s">
        <v>96</v>
      </c>
      <c r="B64" s="1">
        <v>9.3000000000000007</v>
      </c>
    </row>
    <row r="65" spans="1:2" x14ac:dyDescent="0.35">
      <c r="A65" t="s">
        <v>97</v>
      </c>
      <c r="B65" s="1">
        <v>8.8000000000000007</v>
      </c>
    </row>
    <row r="66" spans="1:2" x14ac:dyDescent="0.35">
      <c r="A66" t="s">
        <v>98</v>
      </c>
      <c r="B66" s="1">
        <v>8.1999999999999993</v>
      </c>
    </row>
    <row r="67" spans="1:2" x14ac:dyDescent="0.35">
      <c r="A67" t="s">
        <v>99</v>
      </c>
      <c r="B67" s="1">
        <v>6.5</v>
      </c>
    </row>
    <row r="68" spans="1:2" x14ac:dyDescent="0.35">
      <c r="A68" t="s">
        <v>100</v>
      </c>
      <c r="B68" s="1">
        <v>6.6</v>
      </c>
    </row>
    <row r="69" spans="1:2" x14ac:dyDescent="0.35">
      <c r="A69" t="s">
        <v>101</v>
      </c>
      <c r="B69" s="1">
        <v>8.1</v>
      </c>
    </row>
    <row r="70" spans="1:2" x14ac:dyDescent="0.35">
      <c r="A70" t="s">
        <v>102</v>
      </c>
      <c r="B70" s="1">
        <v>10.3</v>
      </c>
    </row>
    <row r="71" spans="1:2" x14ac:dyDescent="0.35">
      <c r="A71" t="s">
        <v>103</v>
      </c>
      <c r="B71" s="1">
        <v>10</v>
      </c>
    </row>
    <row r="72" spans="1:2" x14ac:dyDescent="0.35">
      <c r="A72" t="s">
        <v>104</v>
      </c>
      <c r="B72" s="1">
        <v>10.9</v>
      </c>
    </row>
    <row r="73" spans="1:2" x14ac:dyDescent="0.35">
      <c r="A73" t="s">
        <v>105</v>
      </c>
      <c r="B73" s="1">
        <v>8.1</v>
      </c>
    </row>
    <row r="74" spans="1:2" x14ac:dyDescent="0.35">
      <c r="A74" t="s">
        <v>106</v>
      </c>
      <c r="B74" s="1">
        <v>7.1</v>
      </c>
    </row>
    <row r="75" spans="1:2" x14ac:dyDescent="0.35">
      <c r="A75" t="s">
        <v>107</v>
      </c>
      <c r="B75" s="1">
        <v>5.0999999999999996</v>
      </c>
    </row>
    <row r="76" spans="1:2" x14ac:dyDescent="0.35">
      <c r="A76" t="s">
        <v>108</v>
      </c>
      <c r="B76" s="1">
        <v>5.5</v>
      </c>
    </row>
    <row r="77" spans="1:2" x14ac:dyDescent="0.35">
      <c r="A77" t="s">
        <v>109</v>
      </c>
      <c r="B77" s="1">
        <v>4.3</v>
      </c>
    </row>
    <row r="78" spans="1:2" x14ac:dyDescent="0.35">
      <c r="A78" t="s">
        <v>110</v>
      </c>
      <c r="B78" s="1">
        <v>6.4</v>
      </c>
    </row>
    <row r="79" spans="1:2" x14ac:dyDescent="0.35">
      <c r="A79" t="s">
        <v>111</v>
      </c>
      <c r="B79" s="1">
        <v>5.7</v>
      </c>
    </row>
    <row r="80" spans="1:2" x14ac:dyDescent="0.35">
      <c r="A80" t="s">
        <v>112</v>
      </c>
      <c r="B80" s="1">
        <v>4.9000000000000004</v>
      </c>
    </row>
    <row r="81" spans="1:2" x14ac:dyDescent="0.35">
      <c r="A81" t="s">
        <v>113</v>
      </c>
      <c r="B81" s="1">
        <v>5.8</v>
      </c>
    </row>
    <row r="82" spans="1:2" x14ac:dyDescent="0.35">
      <c r="A82" t="s">
        <v>114</v>
      </c>
      <c r="B82" s="1">
        <v>5.3</v>
      </c>
    </row>
    <row r="83" spans="1:2" x14ac:dyDescent="0.35">
      <c r="A83" t="s">
        <v>115</v>
      </c>
      <c r="B83" s="1">
        <v>5.4</v>
      </c>
    </row>
    <row r="84" spans="1:2" x14ac:dyDescent="0.35">
      <c r="A84" t="s">
        <v>116</v>
      </c>
      <c r="B84" s="1">
        <v>4.8</v>
      </c>
    </row>
    <row r="85" spans="1:2" x14ac:dyDescent="0.35">
      <c r="A85" t="s">
        <v>117</v>
      </c>
      <c r="B85" s="1">
        <v>4.9000000000000004</v>
      </c>
    </row>
    <row r="86" spans="1:2" x14ac:dyDescent="0.35">
      <c r="A86" t="s">
        <v>118</v>
      </c>
      <c r="B86" s="1">
        <v>5.7</v>
      </c>
    </row>
    <row r="87" spans="1:2" x14ac:dyDescent="0.35">
      <c r="A87" t="s">
        <v>119</v>
      </c>
      <c r="B87" s="1">
        <v>5.3</v>
      </c>
    </row>
    <row r="88" spans="1:2" x14ac:dyDescent="0.35">
      <c r="A88" t="s">
        <v>120</v>
      </c>
      <c r="B88" s="1">
        <v>6.1</v>
      </c>
    </row>
    <row r="89" spans="1:2" x14ac:dyDescent="0.35">
      <c r="A89" t="s">
        <v>121</v>
      </c>
      <c r="B89" s="1">
        <v>7.2</v>
      </c>
    </row>
    <row r="90" spans="1:2" x14ac:dyDescent="0.35">
      <c r="A90" t="s">
        <v>122</v>
      </c>
      <c r="B90" s="1">
        <v>27.3</v>
      </c>
    </row>
    <row r="91" spans="1:2" x14ac:dyDescent="0.35">
      <c r="A91" t="s">
        <v>123</v>
      </c>
      <c r="B91" s="1">
        <v>15.6</v>
      </c>
    </row>
    <row r="92" spans="1:2" x14ac:dyDescent="0.35">
      <c r="A92" t="s">
        <v>124</v>
      </c>
      <c r="B92" s="1">
        <v>17.100000000000001</v>
      </c>
    </row>
    <row r="93" spans="1:2" x14ac:dyDescent="0.35">
      <c r="A93" t="s">
        <v>125</v>
      </c>
      <c r="B93" s="1">
        <v>21.8</v>
      </c>
    </row>
    <row r="94" spans="1:2" x14ac:dyDescent="0.35">
      <c r="A94" t="s">
        <v>126</v>
      </c>
      <c r="B94" s="1">
        <v>12.6</v>
      </c>
    </row>
    <row r="95" spans="1:2" x14ac:dyDescent="0.35">
      <c r="A95" t="s">
        <v>127</v>
      </c>
      <c r="B95" s="1">
        <v>9.5</v>
      </c>
    </row>
    <row r="96" spans="1:2" x14ac:dyDescent="0.35">
      <c r="A96" t="s">
        <v>128</v>
      </c>
      <c r="B96" s="1">
        <v>7.2</v>
      </c>
    </row>
    <row r="97" spans="1:2" x14ac:dyDescent="0.35">
      <c r="A97" t="s">
        <v>129</v>
      </c>
      <c r="B97" s="1">
        <v>7.1</v>
      </c>
    </row>
    <row r="98" spans="1:2" x14ac:dyDescent="0.35">
      <c r="A98" t="s">
        <v>130</v>
      </c>
      <c r="B98" s="1">
        <v>4.5999999999999996</v>
      </c>
    </row>
    <row r="99" spans="1:2" x14ac:dyDescent="0.35">
      <c r="A99" t="s">
        <v>131</v>
      </c>
      <c r="B99" s="1">
        <v>6.1</v>
      </c>
    </row>
    <row r="100" spans="1:2" x14ac:dyDescent="0.35">
      <c r="A100" t="s">
        <v>132</v>
      </c>
      <c r="B100" s="1">
        <v>6.4</v>
      </c>
    </row>
    <row r="101" spans="1:2" x14ac:dyDescent="0.35">
      <c r="A101" t="s">
        <v>133</v>
      </c>
      <c r="B101" s="1">
        <v>6.3</v>
      </c>
    </row>
    <row r="102" spans="1:2" x14ac:dyDescent="0.35">
      <c r="A102" t="s">
        <v>134</v>
      </c>
      <c r="B102" s="1">
        <v>7.3</v>
      </c>
    </row>
    <row r="103" spans="1:2" x14ac:dyDescent="0.35">
      <c r="A103" t="s">
        <v>135</v>
      </c>
      <c r="B103" s="1">
        <v>7.8</v>
      </c>
    </row>
    <row r="104" spans="1:2" x14ac:dyDescent="0.35">
      <c r="A104" t="s">
        <v>136</v>
      </c>
      <c r="B104" s="1">
        <v>7.8</v>
      </c>
    </row>
    <row r="105" spans="1:2" x14ac:dyDescent="0.35">
      <c r="A105" t="s">
        <v>137</v>
      </c>
      <c r="B105" s="1">
        <v>8.6</v>
      </c>
    </row>
    <row r="106" spans="1:2" x14ac:dyDescent="0.35">
      <c r="A106" t="s">
        <v>138</v>
      </c>
      <c r="B106" s="1">
        <v>9.8000000000000007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06156-AEE4-44F1-BE7D-198C32D9CA4C}">
  <dimension ref="A2:E185"/>
  <sheetViews>
    <sheetView workbookViewId="0">
      <pane xSplit="1" ySplit="8" topLeftCell="B180" activePane="bottomRight" state="frozen"/>
      <selection pane="topRight" activeCell="B1" sqref="B1"/>
      <selection pane="bottomLeft" activeCell="A9" sqref="A9"/>
      <selection pane="bottomRight" activeCell="B185" sqref="B185"/>
    </sheetView>
  </sheetViews>
  <sheetFormatPr defaultRowHeight="14.5" x14ac:dyDescent="0.35"/>
  <cols>
    <col min="2" max="2" width="20.1796875" customWidth="1"/>
    <col min="3" max="3" width="20.90625" customWidth="1"/>
    <col min="4" max="4" width="20.36328125" customWidth="1"/>
    <col min="5" max="5" width="24.36328125" customWidth="1"/>
  </cols>
  <sheetData>
    <row r="2" spans="1:5" x14ac:dyDescent="0.35">
      <c r="B2" t="s">
        <v>143</v>
      </c>
      <c r="C2" t="s">
        <v>144</v>
      </c>
      <c r="D2" t="s">
        <v>145</v>
      </c>
      <c r="E2" t="s">
        <v>146</v>
      </c>
    </row>
    <row r="3" spans="1:5" x14ac:dyDescent="0.35">
      <c r="A3" s="2" t="s">
        <v>151</v>
      </c>
      <c r="B3" t="s">
        <v>147</v>
      </c>
      <c r="C3" t="s">
        <v>148</v>
      </c>
      <c r="D3" t="s">
        <v>149</v>
      </c>
      <c r="E3" t="s">
        <v>150</v>
      </c>
    </row>
    <row r="4" spans="1:5" s="3" customFormat="1" ht="73" customHeight="1" x14ac:dyDescent="0.35">
      <c r="A4" s="3" t="s">
        <v>36</v>
      </c>
      <c r="B4" s="3" t="s">
        <v>157</v>
      </c>
      <c r="C4" s="3" t="s">
        <v>158</v>
      </c>
      <c r="D4" s="3" t="s">
        <v>160</v>
      </c>
      <c r="E4" s="3" t="s">
        <v>161</v>
      </c>
    </row>
    <row r="5" spans="1:5" ht="9.5" hidden="1" customHeight="1" x14ac:dyDescent="0.35">
      <c r="A5" t="s">
        <v>35</v>
      </c>
      <c r="B5" t="s">
        <v>156</v>
      </c>
      <c r="C5" t="s">
        <v>156</v>
      </c>
      <c r="D5" t="s">
        <v>159</v>
      </c>
      <c r="E5" t="s">
        <v>159</v>
      </c>
    </row>
    <row r="6" spans="1:5" ht="9.5" hidden="1" customHeight="1" x14ac:dyDescent="0.35">
      <c r="A6" t="s">
        <v>34</v>
      </c>
      <c r="B6" t="s">
        <v>155</v>
      </c>
      <c r="C6" t="s">
        <v>155</v>
      </c>
      <c r="D6" t="s">
        <v>155</v>
      </c>
      <c r="E6" t="s">
        <v>155</v>
      </c>
    </row>
    <row r="7" spans="1:5" ht="11.5" hidden="1" customHeight="1" x14ac:dyDescent="0.35">
      <c r="A7" t="s">
        <v>33</v>
      </c>
      <c r="B7" t="s">
        <v>154</v>
      </c>
      <c r="C7" t="s">
        <v>154</v>
      </c>
      <c r="D7" t="s">
        <v>154</v>
      </c>
      <c r="E7" t="s">
        <v>154</v>
      </c>
    </row>
    <row r="8" spans="1:5" hidden="1" x14ac:dyDescent="0.35">
      <c r="A8" t="s">
        <v>32</v>
      </c>
      <c r="B8" t="s">
        <v>153</v>
      </c>
      <c r="C8" t="s">
        <v>153</v>
      </c>
      <c r="D8" t="s">
        <v>153</v>
      </c>
      <c r="E8" t="s">
        <v>153</v>
      </c>
    </row>
    <row r="9" spans="1:5" x14ac:dyDescent="0.35">
      <c r="A9" t="s">
        <v>152</v>
      </c>
      <c r="B9" s="5" t="e">
        <v>#N/A</v>
      </c>
      <c r="C9" s="5" t="e">
        <v>#N/A</v>
      </c>
      <c r="D9" s="1" t="e">
        <v>#N/A</v>
      </c>
      <c r="E9" s="1" t="e">
        <v>#N/A</v>
      </c>
    </row>
    <row r="10" spans="1:5" x14ac:dyDescent="0.35">
      <c r="A10" t="s">
        <v>162</v>
      </c>
      <c r="B10" s="5" t="e">
        <v>#N/A</v>
      </c>
      <c r="C10" s="5" t="e">
        <v>#N/A</v>
      </c>
      <c r="D10" s="1" t="e">
        <v>#N/A</v>
      </c>
      <c r="E10" s="1" t="e">
        <v>#N/A</v>
      </c>
    </row>
    <row r="11" spans="1:5" x14ac:dyDescent="0.35">
      <c r="A11" t="s">
        <v>163</v>
      </c>
      <c r="B11" s="5" t="e">
        <v>#N/A</v>
      </c>
      <c r="C11" s="5" t="e">
        <v>#N/A</v>
      </c>
      <c r="D11" s="1" t="e">
        <v>#N/A</v>
      </c>
      <c r="E11" s="1" t="e">
        <v>#N/A</v>
      </c>
    </row>
    <row r="12" spans="1:5" x14ac:dyDescent="0.35">
      <c r="A12" t="s">
        <v>164</v>
      </c>
      <c r="B12" s="5" t="e">
        <v>#N/A</v>
      </c>
      <c r="C12" s="5" t="e">
        <v>#N/A</v>
      </c>
      <c r="D12" s="1" t="e">
        <v>#N/A</v>
      </c>
      <c r="E12" s="1" t="e">
        <v>#N/A</v>
      </c>
    </row>
    <row r="13" spans="1:5" x14ac:dyDescent="0.35">
      <c r="A13" t="s">
        <v>165</v>
      </c>
      <c r="B13" s="5" t="e">
        <v>#N/A</v>
      </c>
      <c r="C13" s="5" t="e">
        <v>#N/A</v>
      </c>
      <c r="D13" s="1" t="e">
        <v>#N/A</v>
      </c>
      <c r="E13" s="1" t="e">
        <v>#N/A</v>
      </c>
    </row>
    <row r="14" spans="1:5" x14ac:dyDescent="0.35">
      <c r="A14" t="s">
        <v>166</v>
      </c>
      <c r="B14" s="5" t="e">
        <v>#N/A</v>
      </c>
      <c r="C14" s="5" t="e">
        <v>#N/A</v>
      </c>
      <c r="D14" s="1" t="e">
        <v>#N/A</v>
      </c>
      <c r="E14" s="1" t="e">
        <v>#N/A</v>
      </c>
    </row>
    <row r="15" spans="1:5" x14ac:dyDescent="0.35">
      <c r="A15" t="s">
        <v>167</v>
      </c>
      <c r="B15" s="5" t="e">
        <v>#N/A</v>
      </c>
      <c r="C15" s="5" t="e">
        <v>#N/A</v>
      </c>
      <c r="D15" s="1" t="e">
        <v>#N/A</v>
      </c>
      <c r="E15" s="1" t="e">
        <v>#N/A</v>
      </c>
    </row>
    <row r="16" spans="1:5" x14ac:dyDescent="0.35">
      <c r="A16" t="s">
        <v>168</v>
      </c>
      <c r="B16" s="5" t="e">
        <v>#N/A</v>
      </c>
      <c r="C16" s="5" t="e">
        <v>#N/A</v>
      </c>
      <c r="D16" s="1" t="e">
        <v>#N/A</v>
      </c>
      <c r="E16" s="1" t="e">
        <v>#N/A</v>
      </c>
    </row>
    <row r="17" spans="1:5" x14ac:dyDescent="0.35">
      <c r="A17" t="s">
        <v>169</v>
      </c>
      <c r="B17" s="5" t="e">
        <v>#N/A</v>
      </c>
      <c r="C17" s="5" t="e">
        <v>#N/A</v>
      </c>
      <c r="D17" s="1" t="e">
        <v>#N/A</v>
      </c>
      <c r="E17" s="1" t="e">
        <v>#N/A</v>
      </c>
    </row>
    <row r="18" spans="1:5" x14ac:dyDescent="0.35">
      <c r="A18" t="s">
        <v>170</v>
      </c>
      <c r="B18" s="5" t="e">
        <v>#N/A</v>
      </c>
      <c r="C18" s="5" t="e">
        <v>#N/A</v>
      </c>
      <c r="D18" s="1" t="e">
        <v>#N/A</v>
      </c>
      <c r="E18" s="1" t="e">
        <v>#N/A</v>
      </c>
    </row>
    <row r="19" spans="1:5" x14ac:dyDescent="0.35">
      <c r="A19" t="s">
        <v>171</v>
      </c>
      <c r="B19" s="5" t="e">
        <v>#N/A</v>
      </c>
      <c r="C19" s="5" t="e">
        <v>#N/A</v>
      </c>
      <c r="D19" s="1" t="e">
        <v>#N/A</v>
      </c>
      <c r="E19" s="1" t="e">
        <v>#N/A</v>
      </c>
    </row>
    <row r="20" spans="1:5" x14ac:dyDescent="0.35">
      <c r="A20" t="s">
        <v>172</v>
      </c>
      <c r="B20" s="5" t="e">
        <v>#N/A</v>
      </c>
      <c r="C20" s="5" t="e">
        <v>#N/A</v>
      </c>
      <c r="D20" s="1" t="e">
        <v>#N/A</v>
      </c>
      <c r="E20" s="1" t="e">
        <v>#N/A</v>
      </c>
    </row>
    <row r="21" spans="1:5" x14ac:dyDescent="0.35">
      <c r="A21" t="s">
        <v>173</v>
      </c>
      <c r="B21" s="5" t="e">
        <v>#N/A</v>
      </c>
      <c r="C21" s="5" t="e">
        <v>#N/A</v>
      </c>
      <c r="D21" s="1" t="e">
        <v>#N/A</v>
      </c>
      <c r="E21" s="1" t="e">
        <v>#N/A</v>
      </c>
    </row>
    <row r="22" spans="1:5" x14ac:dyDescent="0.35">
      <c r="A22" t="s">
        <v>174</v>
      </c>
      <c r="B22" s="5" t="e">
        <v>#N/A</v>
      </c>
      <c r="C22" s="5" t="e">
        <v>#N/A</v>
      </c>
      <c r="D22" s="1" t="e">
        <v>#N/A</v>
      </c>
      <c r="E22" s="1" t="e">
        <v>#N/A</v>
      </c>
    </row>
    <row r="23" spans="1:5" x14ac:dyDescent="0.35">
      <c r="A23" t="s">
        <v>175</v>
      </c>
      <c r="B23" s="5" t="e">
        <v>#N/A</v>
      </c>
      <c r="C23" s="5" t="e">
        <v>#N/A</v>
      </c>
      <c r="D23" s="1" t="e">
        <v>#N/A</v>
      </c>
      <c r="E23" s="1" t="e">
        <v>#N/A</v>
      </c>
    </row>
    <row r="24" spans="1:5" x14ac:dyDescent="0.35">
      <c r="A24" t="s">
        <v>176</v>
      </c>
      <c r="B24" s="5" t="e">
        <v>#N/A</v>
      </c>
      <c r="C24" s="5" t="e">
        <v>#N/A</v>
      </c>
      <c r="D24" s="1" t="e">
        <v>#N/A</v>
      </c>
      <c r="E24" s="1" t="e">
        <v>#N/A</v>
      </c>
    </row>
    <row r="25" spans="1:5" x14ac:dyDescent="0.35">
      <c r="A25" t="s">
        <v>177</v>
      </c>
      <c r="B25" s="5" t="e">
        <v>#N/A</v>
      </c>
      <c r="C25" s="5" t="e">
        <v>#N/A</v>
      </c>
      <c r="D25" s="1" t="e">
        <v>#N/A</v>
      </c>
      <c r="E25" s="1" t="e">
        <v>#N/A</v>
      </c>
    </row>
    <row r="26" spans="1:5" x14ac:dyDescent="0.35">
      <c r="A26" t="s">
        <v>178</v>
      </c>
      <c r="B26" s="5" t="e">
        <v>#N/A</v>
      </c>
      <c r="C26" s="5" t="e">
        <v>#N/A</v>
      </c>
      <c r="D26" s="1" t="e">
        <v>#N/A</v>
      </c>
      <c r="E26" s="1" t="e">
        <v>#N/A</v>
      </c>
    </row>
    <row r="27" spans="1:5" x14ac:dyDescent="0.35">
      <c r="A27" t="s">
        <v>179</v>
      </c>
      <c r="B27" s="5" t="e">
        <v>#N/A</v>
      </c>
      <c r="C27" s="5" t="e">
        <v>#N/A</v>
      </c>
      <c r="D27" s="1" t="e">
        <v>#N/A</v>
      </c>
      <c r="E27" s="1" t="e">
        <v>#N/A</v>
      </c>
    </row>
    <row r="28" spans="1:5" x14ac:dyDescent="0.35">
      <c r="A28" t="s">
        <v>180</v>
      </c>
      <c r="B28" s="5" t="e">
        <v>#N/A</v>
      </c>
      <c r="C28" s="5" t="e">
        <v>#N/A</v>
      </c>
      <c r="D28" s="1" t="e">
        <v>#N/A</v>
      </c>
      <c r="E28" s="1" t="e">
        <v>#N/A</v>
      </c>
    </row>
    <row r="29" spans="1:5" x14ac:dyDescent="0.35">
      <c r="A29" t="s">
        <v>181</v>
      </c>
      <c r="B29" s="5" t="e">
        <v>#N/A</v>
      </c>
      <c r="C29" s="5" t="e">
        <v>#N/A</v>
      </c>
      <c r="D29" s="1" t="e">
        <v>#N/A</v>
      </c>
      <c r="E29" s="1" t="e">
        <v>#N/A</v>
      </c>
    </row>
    <row r="30" spans="1:5" x14ac:dyDescent="0.35">
      <c r="A30" t="s">
        <v>182</v>
      </c>
      <c r="B30" s="5" t="e">
        <v>#N/A</v>
      </c>
      <c r="C30" s="5" t="e">
        <v>#N/A</v>
      </c>
      <c r="D30" s="1" t="e">
        <v>#N/A</v>
      </c>
      <c r="E30" s="1" t="e">
        <v>#N/A</v>
      </c>
    </row>
    <row r="31" spans="1:5" x14ac:dyDescent="0.35">
      <c r="A31" t="s">
        <v>183</v>
      </c>
      <c r="B31" s="5" t="e">
        <v>#N/A</v>
      </c>
      <c r="C31" s="5" t="e">
        <v>#N/A</v>
      </c>
      <c r="D31" s="1" t="e">
        <v>#N/A</v>
      </c>
      <c r="E31" s="1" t="e">
        <v>#N/A</v>
      </c>
    </row>
    <row r="32" spans="1:5" x14ac:dyDescent="0.35">
      <c r="A32" t="s">
        <v>184</v>
      </c>
      <c r="B32" s="5" t="e">
        <v>#N/A</v>
      </c>
      <c r="C32" s="5" t="e">
        <v>#N/A</v>
      </c>
      <c r="D32" s="1" t="e">
        <v>#N/A</v>
      </c>
      <c r="E32" s="1" t="e">
        <v>#N/A</v>
      </c>
    </row>
    <row r="33" spans="1:5" x14ac:dyDescent="0.35">
      <c r="A33" t="s">
        <v>185</v>
      </c>
      <c r="B33" s="5" t="e">
        <v>#N/A</v>
      </c>
      <c r="C33" s="5" t="e">
        <v>#N/A</v>
      </c>
      <c r="D33" s="1" t="e">
        <v>#N/A</v>
      </c>
      <c r="E33" s="1" t="e">
        <v>#N/A</v>
      </c>
    </row>
    <row r="34" spans="1:5" x14ac:dyDescent="0.35">
      <c r="A34" t="s">
        <v>186</v>
      </c>
      <c r="B34" s="5" t="e">
        <v>#N/A</v>
      </c>
      <c r="C34" s="5" t="e">
        <v>#N/A</v>
      </c>
      <c r="D34" s="1" t="e">
        <v>#N/A</v>
      </c>
      <c r="E34" s="1" t="e">
        <v>#N/A</v>
      </c>
    </row>
    <row r="35" spans="1:5" x14ac:dyDescent="0.35">
      <c r="A35" t="s">
        <v>187</v>
      </c>
      <c r="B35" s="5" t="e">
        <v>#N/A</v>
      </c>
      <c r="C35" s="5" t="e">
        <v>#N/A</v>
      </c>
      <c r="D35" s="1" t="e">
        <v>#N/A</v>
      </c>
      <c r="E35" s="1" t="e">
        <v>#N/A</v>
      </c>
    </row>
    <row r="36" spans="1:5" x14ac:dyDescent="0.35">
      <c r="A36" t="s">
        <v>188</v>
      </c>
      <c r="B36" s="5" t="e">
        <v>#N/A</v>
      </c>
      <c r="C36" s="5" t="e">
        <v>#N/A</v>
      </c>
      <c r="D36" s="1" t="e">
        <v>#N/A</v>
      </c>
      <c r="E36" s="1" t="e">
        <v>#N/A</v>
      </c>
    </row>
    <row r="37" spans="1:5" x14ac:dyDescent="0.35">
      <c r="A37" t="s">
        <v>189</v>
      </c>
      <c r="B37" s="5" t="e">
        <v>#N/A</v>
      </c>
      <c r="C37" s="5" t="e">
        <v>#N/A</v>
      </c>
      <c r="D37" s="1" t="e">
        <v>#N/A</v>
      </c>
      <c r="E37" s="1" t="e">
        <v>#N/A</v>
      </c>
    </row>
    <row r="38" spans="1:5" x14ac:dyDescent="0.35">
      <c r="A38" t="s">
        <v>190</v>
      </c>
      <c r="B38" s="5" t="e">
        <v>#N/A</v>
      </c>
      <c r="C38" s="5" t="e">
        <v>#N/A</v>
      </c>
      <c r="D38" s="1" t="e">
        <v>#N/A</v>
      </c>
      <c r="E38" s="1" t="e">
        <v>#N/A</v>
      </c>
    </row>
    <row r="39" spans="1:5" x14ac:dyDescent="0.35">
      <c r="A39" t="s">
        <v>191</v>
      </c>
      <c r="B39" s="5" t="e">
        <v>#N/A</v>
      </c>
      <c r="C39" s="5" t="e">
        <v>#N/A</v>
      </c>
      <c r="D39" s="1" t="e">
        <v>#N/A</v>
      </c>
      <c r="E39" s="1" t="e">
        <v>#N/A</v>
      </c>
    </row>
    <row r="40" spans="1:5" x14ac:dyDescent="0.35">
      <c r="A40" t="s">
        <v>192</v>
      </c>
      <c r="B40" s="5" t="e">
        <v>#N/A</v>
      </c>
      <c r="C40" s="5" t="e">
        <v>#N/A</v>
      </c>
      <c r="D40" s="1" t="e">
        <v>#N/A</v>
      </c>
      <c r="E40" s="1" t="e">
        <v>#N/A</v>
      </c>
    </row>
    <row r="41" spans="1:5" x14ac:dyDescent="0.35">
      <c r="A41" t="s">
        <v>193</v>
      </c>
      <c r="B41" s="5" t="e">
        <v>#N/A</v>
      </c>
      <c r="C41" s="5" t="e">
        <v>#N/A</v>
      </c>
      <c r="D41" s="1" t="e">
        <v>#N/A</v>
      </c>
      <c r="E41" s="1" t="e">
        <v>#N/A</v>
      </c>
    </row>
    <row r="42" spans="1:5" x14ac:dyDescent="0.35">
      <c r="A42" t="s">
        <v>194</v>
      </c>
      <c r="B42" s="5" t="e">
        <v>#N/A</v>
      </c>
      <c r="C42" s="5" t="e">
        <v>#N/A</v>
      </c>
      <c r="D42" s="1" t="e">
        <v>#N/A</v>
      </c>
      <c r="E42" s="1" t="e">
        <v>#N/A</v>
      </c>
    </row>
    <row r="43" spans="1:5" x14ac:dyDescent="0.35">
      <c r="A43" t="s">
        <v>195</v>
      </c>
      <c r="B43" s="5" t="e">
        <v>#N/A</v>
      </c>
      <c r="C43" s="5" t="e">
        <v>#N/A</v>
      </c>
      <c r="D43" s="1" t="e">
        <v>#N/A</v>
      </c>
      <c r="E43" s="1" t="e">
        <v>#N/A</v>
      </c>
    </row>
    <row r="44" spans="1:5" x14ac:dyDescent="0.35">
      <c r="A44" t="s">
        <v>196</v>
      </c>
      <c r="B44" s="5" t="e">
        <v>#N/A</v>
      </c>
      <c r="C44" s="5" t="e">
        <v>#N/A</v>
      </c>
      <c r="D44" s="1" t="e">
        <v>#N/A</v>
      </c>
      <c r="E44" s="1" t="e">
        <v>#N/A</v>
      </c>
    </row>
    <row r="45" spans="1:5" x14ac:dyDescent="0.35">
      <c r="A45" t="s">
        <v>197</v>
      </c>
      <c r="B45" s="5" t="e">
        <v>#N/A</v>
      </c>
      <c r="C45" s="5" t="e">
        <v>#N/A</v>
      </c>
      <c r="D45" s="1" t="e">
        <v>#N/A</v>
      </c>
      <c r="E45" s="1" t="e">
        <v>#N/A</v>
      </c>
    </row>
    <row r="46" spans="1:5" x14ac:dyDescent="0.35">
      <c r="A46" t="s">
        <v>198</v>
      </c>
      <c r="B46" s="5" t="e">
        <v>#N/A</v>
      </c>
      <c r="C46" s="5" t="e">
        <v>#N/A</v>
      </c>
      <c r="D46" s="1" t="e">
        <v>#N/A</v>
      </c>
      <c r="E46" s="1" t="e">
        <v>#N/A</v>
      </c>
    </row>
    <row r="47" spans="1:5" x14ac:dyDescent="0.35">
      <c r="A47" t="s">
        <v>199</v>
      </c>
      <c r="B47" s="5" t="e">
        <v>#N/A</v>
      </c>
      <c r="C47" s="5" t="e">
        <v>#N/A</v>
      </c>
      <c r="D47" s="1" t="e">
        <v>#N/A</v>
      </c>
      <c r="E47" s="1" t="e">
        <v>#N/A</v>
      </c>
    </row>
    <row r="48" spans="1:5" x14ac:dyDescent="0.35">
      <c r="A48" t="s">
        <v>200</v>
      </c>
      <c r="B48" s="5" t="e">
        <v>#N/A</v>
      </c>
      <c r="C48" s="5" t="e">
        <v>#N/A</v>
      </c>
      <c r="D48" s="1" t="e">
        <v>#N/A</v>
      </c>
      <c r="E48" s="1" t="e">
        <v>#N/A</v>
      </c>
    </row>
    <row r="49" spans="1:5" x14ac:dyDescent="0.35">
      <c r="A49" t="s">
        <v>201</v>
      </c>
      <c r="B49" s="5" t="e">
        <v>#N/A</v>
      </c>
      <c r="C49" s="5" t="e">
        <v>#N/A</v>
      </c>
      <c r="D49" s="1" t="e">
        <v>#N/A</v>
      </c>
      <c r="E49" s="1" t="e">
        <v>#N/A</v>
      </c>
    </row>
    <row r="50" spans="1:5" x14ac:dyDescent="0.35">
      <c r="A50" t="s">
        <v>202</v>
      </c>
      <c r="B50" s="5" t="e">
        <v>#N/A</v>
      </c>
      <c r="C50" s="5" t="e">
        <v>#N/A</v>
      </c>
      <c r="D50" s="1" t="e">
        <v>#N/A</v>
      </c>
      <c r="E50" s="1" t="e">
        <v>#N/A</v>
      </c>
    </row>
    <row r="51" spans="1:5" x14ac:dyDescent="0.35">
      <c r="A51" t="s">
        <v>203</v>
      </c>
      <c r="B51" s="5" t="e">
        <v>#N/A</v>
      </c>
      <c r="C51" s="5" t="e">
        <v>#N/A</v>
      </c>
      <c r="D51" s="1" t="e">
        <v>#N/A</v>
      </c>
      <c r="E51" s="1" t="e">
        <v>#N/A</v>
      </c>
    </row>
    <row r="52" spans="1:5" x14ac:dyDescent="0.35">
      <c r="A52" t="s">
        <v>204</v>
      </c>
      <c r="B52" s="5" t="e">
        <v>#N/A</v>
      </c>
      <c r="C52" s="5" t="e">
        <v>#N/A</v>
      </c>
      <c r="D52" s="1" t="e">
        <v>#N/A</v>
      </c>
      <c r="E52" s="1" t="e">
        <v>#N/A</v>
      </c>
    </row>
    <row r="53" spans="1:5" x14ac:dyDescent="0.35">
      <c r="A53" t="s">
        <v>205</v>
      </c>
      <c r="B53" s="5" t="e">
        <v>#N/A</v>
      </c>
      <c r="C53" s="5" t="e">
        <v>#N/A</v>
      </c>
      <c r="D53" s="1" t="e">
        <v>#N/A</v>
      </c>
      <c r="E53" s="1" t="e">
        <v>#N/A</v>
      </c>
    </row>
    <row r="54" spans="1:5" x14ac:dyDescent="0.35">
      <c r="A54" t="s">
        <v>206</v>
      </c>
      <c r="B54" s="5" t="e">
        <v>#N/A</v>
      </c>
      <c r="C54" s="5" t="e">
        <v>#N/A</v>
      </c>
      <c r="D54" s="1" t="e">
        <v>#N/A</v>
      </c>
      <c r="E54" s="1" t="e">
        <v>#N/A</v>
      </c>
    </row>
    <row r="55" spans="1:5" x14ac:dyDescent="0.35">
      <c r="A55" t="s">
        <v>207</v>
      </c>
      <c r="B55" s="5" t="e">
        <v>#N/A</v>
      </c>
      <c r="C55" s="5" t="e">
        <v>#N/A</v>
      </c>
      <c r="D55" s="1" t="e">
        <v>#N/A</v>
      </c>
      <c r="E55" s="1" t="e">
        <v>#N/A</v>
      </c>
    </row>
    <row r="56" spans="1:5" x14ac:dyDescent="0.35">
      <c r="A56" t="s">
        <v>208</v>
      </c>
      <c r="B56" s="5" t="e">
        <v>#N/A</v>
      </c>
      <c r="C56" s="5" t="e">
        <v>#N/A</v>
      </c>
      <c r="D56" s="1" t="e">
        <v>#N/A</v>
      </c>
      <c r="E56" s="1" t="e">
        <v>#N/A</v>
      </c>
    </row>
    <row r="57" spans="1:5" x14ac:dyDescent="0.35">
      <c r="A57" t="s">
        <v>209</v>
      </c>
      <c r="B57" s="5" t="e">
        <v>#N/A</v>
      </c>
      <c r="C57" s="5" t="e">
        <v>#N/A</v>
      </c>
      <c r="D57" s="1" t="e">
        <v>#N/A</v>
      </c>
      <c r="E57" s="1" t="e">
        <v>#N/A</v>
      </c>
    </row>
    <row r="58" spans="1:5" x14ac:dyDescent="0.35">
      <c r="A58" t="s">
        <v>210</v>
      </c>
      <c r="B58" s="5" t="e">
        <v>#N/A</v>
      </c>
      <c r="C58" s="5" t="e">
        <v>#N/A</v>
      </c>
      <c r="D58" s="1" t="e">
        <v>#N/A</v>
      </c>
      <c r="E58" s="1" t="e">
        <v>#N/A</v>
      </c>
    </row>
    <row r="59" spans="1:5" x14ac:dyDescent="0.35">
      <c r="A59" t="s">
        <v>211</v>
      </c>
      <c r="B59" s="5" t="e">
        <v>#N/A</v>
      </c>
      <c r="C59" s="5" t="e">
        <v>#N/A</v>
      </c>
      <c r="D59" s="1" t="e">
        <v>#N/A</v>
      </c>
      <c r="E59" s="1" t="e">
        <v>#N/A</v>
      </c>
    </row>
    <row r="60" spans="1:5" x14ac:dyDescent="0.35">
      <c r="A60" t="s">
        <v>212</v>
      </c>
      <c r="B60" s="5" t="e">
        <v>#N/A</v>
      </c>
      <c r="C60" s="5" t="e">
        <v>#N/A</v>
      </c>
      <c r="D60" s="1" t="e">
        <v>#N/A</v>
      </c>
      <c r="E60" s="1" t="e">
        <v>#N/A</v>
      </c>
    </row>
    <row r="61" spans="1:5" x14ac:dyDescent="0.35">
      <c r="A61" t="s">
        <v>213</v>
      </c>
      <c r="B61" s="5" t="e">
        <v>#N/A</v>
      </c>
      <c r="C61" s="5" t="e">
        <v>#N/A</v>
      </c>
      <c r="D61" s="1" t="e">
        <v>#N/A</v>
      </c>
      <c r="E61" s="1" t="e">
        <v>#N/A</v>
      </c>
    </row>
    <row r="62" spans="1:5" x14ac:dyDescent="0.35">
      <c r="A62" t="s">
        <v>214</v>
      </c>
      <c r="B62" s="5" t="e">
        <v>#N/A</v>
      </c>
      <c r="C62" s="5" t="e">
        <v>#N/A</v>
      </c>
      <c r="D62" s="1" t="e">
        <v>#N/A</v>
      </c>
      <c r="E62" s="1" t="e">
        <v>#N/A</v>
      </c>
    </row>
    <row r="63" spans="1:5" x14ac:dyDescent="0.35">
      <c r="A63" t="s">
        <v>215</v>
      </c>
      <c r="B63" s="5" t="e">
        <v>#N/A</v>
      </c>
      <c r="C63" s="5" t="e">
        <v>#N/A</v>
      </c>
      <c r="D63" s="1" t="e">
        <v>#N/A</v>
      </c>
      <c r="E63" s="1" t="e">
        <v>#N/A</v>
      </c>
    </row>
    <row r="64" spans="1:5" x14ac:dyDescent="0.35">
      <c r="A64" t="s">
        <v>216</v>
      </c>
      <c r="B64" s="5" t="e">
        <v>#N/A</v>
      </c>
      <c r="C64" s="5" t="e">
        <v>#N/A</v>
      </c>
      <c r="D64" s="1" t="e">
        <v>#N/A</v>
      </c>
      <c r="E64" s="1" t="e">
        <v>#N/A</v>
      </c>
    </row>
    <row r="65" spans="1:5" x14ac:dyDescent="0.35">
      <c r="A65" t="s">
        <v>217</v>
      </c>
      <c r="B65" s="5" t="e">
        <v>#N/A</v>
      </c>
      <c r="C65" s="5" t="e">
        <v>#N/A</v>
      </c>
      <c r="D65" s="1" t="e">
        <v>#N/A</v>
      </c>
      <c r="E65" s="1" t="e">
        <v>#N/A</v>
      </c>
    </row>
    <row r="66" spans="1:5" x14ac:dyDescent="0.35">
      <c r="A66" t="s">
        <v>218</v>
      </c>
      <c r="B66" s="5" t="e">
        <v>#N/A</v>
      </c>
      <c r="C66" s="5" t="e">
        <v>#N/A</v>
      </c>
      <c r="D66" s="1" t="e">
        <v>#N/A</v>
      </c>
      <c r="E66" s="1" t="e">
        <v>#N/A</v>
      </c>
    </row>
    <row r="67" spans="1:5" x14ac:dyDescent="0.35">
      <c r="A67" t="s">
        <v>219</v>
      </c>
      <c r="B67" s="5" t="e">
        <v>#N/A</v>
      </c>
      <c r="C67" s="5" t="e">
        <v>#N/A</v>
      </c>
      <c r="D67" s="1" t="e">
        <v>#N/A</v>
      </c>
      <c r="E67" s="1" t="e">
        <v>#N/A</v>
      </c>
    </row>
    <row r="68" spans="1:5" x14ac:dyDescent="0.35">
      <c r="A68" t="s">
        <v>220</v>
      </c>
      <c r="B68" s="5" t="e">
        <v>#N/A</v>
      </c>
      <c r="C68" s="5" t="e">
        <v>#N/A</v>
      </c>
      <c r="D68" s="1" t="e">
        <v>#N/A</v>
      </c>
      <c r="E68" s="1" t="e">
        <v>#N/A</v>
      </c>
    </row>
    <row r="69" spans="1:5" x14ac:dyDescent="0.35">
      <c r="A69" t="s">
        <v>221</v>
      </c>
      <c r="B69" s="5" t="e">
        <v>#N/A</v>
      </c>
      <c r="C69" s="5" t="e">
        <v>#N/A</v>
      </c>
      <c r="D69" s="1" t="e">
        <v>#N/A</v>
      </c>
      <c r="E69" s="1" t="e">
        <v>#N/A</v>
      </c>
    </row>
    <row r="70" spans="1:5" x14ac:dyDescent="0.35">
      <c r="A70" t="s">
        <v>222</v>
      </c>
      <c r="B70" s="5" t="e">
        <v>#N/A</v>
      </c>
      <c r="C70" s="5" t="e">
        <v>#N/A</v>
      </c>
      <c r="D70" s="1" t="e">
        <v>#N/A</v>
      </c>
      <c r="E70" s="1" t="e">
        <v>#N/A</v>
      </c>
    </row>
    <row r="71" spans="1:5" x14ac:dyDescent="0.35">
      <c r="A71" t="s">
        <v>223</v>
      </c>
      <c r="B71" s="5" t="e">
        <v>#N/A</v>
      </c>
      <c r="C71" s="5" t="e">
        <v>#N/A</v>
      </c>
      <c r="D71" s="1" t="e">
        <v>#N/A</v>
      </c>
      <c r="E71" s="1" t="e">
        <v>#N/A</v>
      </c>
    </row>
    <row r="72" spans="1:5" x14ac:dyDescent="0.35">
      <c r="A72" t="s">
        <v>224</v>
      </c>
      <c r="B72" s="5" t="e">
        <v>#N/A</v>
      </c>
      <c r="C72" s="5" t="e">
        <v>#N/A</v>
      </c>
      <c r="D72" s="1" t="e">
        <v>#N/A</v>
      </c>
      <c r="E72" s="1" t="e">
        <v>#N/A</v>
      </c>
    </row>
    <row r="73" spans="1:5" x14ac:dyDescent="0.35">
      <c r="A73" t="s">
        <v>225</v>
      </c>
      <c r="B73" s="5" t="e">
        <v>#N/A</v>
      </c>
      <c r="C73" s="5" t="e">
        <v>#N/A</v>
      </c>
      <c r="D73" s="1" t="e">
        <v>#N/A</v>
      </c>
      <c r="E73" s="1" t="e">
        <v>#N/A</v>
      </c>
    </row>
    <row r="74" spans="1:5" x14ac:dyDescent="0.35">
      <c r="A74" t="s">
        <v>226</v>
      </c>
      <c r="B74" s="5" t="e">
        <v>#N/A</v>
      </c>
      <c r="C74" s="5" t="e">
        <v>#N/A</v>
      </c>
      <c r="D74" s="1" t="e">
        <v>#N/A</v>
      </c>
      <c r="E74" s="1" t="e">
        <v>#N/A</v>
      </c>
    </row>
    <row r="75" spans="1:5" x14ac:dyDescent="0.35">
      <c r="A75" t="s">
        <v>227</v>
      </c>
      <c r="B75" s="5" t="e">
        <v>#N/A</v>
      </c>
      <c r="C75" s="5" t="e">
        <v>#N/A</v>
      </c>
      <c r="D75" s="1" t="e">
        <v>#N/A</v>
      </c>
      <c r="E75" s="1" t="e">
        <v>#N/A</v>
      </c>
    </row>
    <row r="76" spans="1:5" x14ac:dyDescent="0.35">
      <c r="A76" t="s">
        <v>228</v>
      </c>
      <c r="B76" s="5" t="e">
        <v>#N/A</v>
      </c>
      <c r="C76" s="5" t="e">
        <v>#N/A</v>
      </c>
      <c r="D76" s="1" t="e">
        <v>#N/A</v>
      </c>
      <c r="E76" s="1" t="e">
        <v>#N/A</v>
      </c>
    </row>
    <row r="77" spans="1:5" x14ac:dyDescent="0.35">
      <c r="A77" t="s">
        <v>229</v>
      </c>
      <c r="B77" s="5" t="e">
        <v>#N/A</v>
      </c>
      <c r="C77" s="5" t="e">
        <v>#N/A</v>
      </c>
      <c r="D77" s="1" t="e">
        <v>#N/A</v>
      </c>
      <c r="E77" s="1" t="e">
        <v>#N/A</v>
      </c>
    </row>
    <row r="78" spans="1:5" x14ac:dyDescent="0.35">
      <c r="A78" t="s">
        <v>230</v>
      </c>
      <c r="B78" s="5" t="e">
        <v>#N/A</v>
      </c>
      <c r="C78" s="5" t="e">
        <v>#N/A</v>
      </c>
      <c r="D78" s="1" t="e">
        <v>#N/A</v>
      </c>
      <c r="E78" s="1" t="e">
        <v>#N/A</v>
      </c>
    </row>
    <row r="79" spans="1:5" x14ac:dyDescent="0.35">
      <c r="A79" t="s">
        <v>231</v>
      </c>
      <c r="B79" s="5" t="e">
        <v>#N/A</v>
      </c>
      <c r="C79" s="5" t="e">
        <v>#N/A</v>
      </c>
      <c r="D79" s="1" t="e">
        <v>#N/A</v>
      </c>
      <c r="E79" s="1" t="e">
        <v>#N/A</v>
      </c>
    </row>
    <row r="80" spans="1:5" x14ac:dyDescent="0.35">
      <c r="A80" t="s">
        <v>232</v>
      </c>
      <c r="B80" s="5" t="e">
        <v>#N/A</v>
      </c>
      <c r="C80" s="5" t="e">
        <v>#N/A</v>
      </c>
      <c r="D80" s="1" t="e">
        <v>#N/A</v>
      </c>
      <c r="E80" s="1" t="e">
        <v>#N/A</v>
      </c>
    </row>
    <row r="81" spans="1:5" x14ac:dyDescent="0.35">
      <c r="A81" t="s">
        <v>233</v>
      </c>
      <c r="B81" s="5" t="e">
        <v>#N/A</v>
      </c>
      <c r="C81" s="5" t="e">
        <v>#N/A</v>
      </c>
      <c r="D81" s="1" t="e">
        <v>#N/A</v>
      </c>
      <c r="E81" s="1" t="e">
        <v>#N/A</v>
      </c>
    </row>
    <row r="82" spans="1:5" x14ac:dyDescent="0.35">
      <c r="A82" t="s">
        <v>234</v>
      </c>
      <c r="B82" s="5" t="e">
        <v>#N/A</v>
      </c>
      <c r="C82" s="5" t="e">
        <v>#N/A</v>
      </c>
      <c r="D82" s="1" t="e">
        <v>#N/A</v>
      </c>
      <c r="E82" s="1" t="e">
        <v>#N/A</v>
      </c>
    </row>
    <row r="83" spans="1:5" x14ac:dyDescent="0.35">
      <c r="A83" t="s">
        <v>235</v>
      </c>
      <c r="B83" s="5" t="e">
        <v>#N/A</v>
      </c>
      <c r="C83" s="5" t="e">
        <v>#N/A</v>
      </c>
      <c r="D83" s="1" t="e">
        <v>#N/A</v>
      </c>
      <c r="E83" s="1" t="e">
        <v>#N/A</v>
      </c>
    </row>
    <row r="84" spans="1:5" x14ac:dyDescent="0.35">
      <c r="A84" t="s">
        <v>236</v>
      </c>
      <c r="B84" s="5" t="e">
        <v>#N/A</v>
      </c>
      <c r="C84" s="5" t="e">
        <v>#N/A</v>
      </c>
      <c r="D84" s="1" t="e">
        <v>#N/A</v>
      </c>
      <c r="E84" s="1" t="e">
        <v>#N/A</v>
      </c>
    </row>
    <row r="85" spans="1:5" x14ac:dyDescent="0.35">
      <c r="A85" t="s">
        <v>237</v>
      </c>
      <c r="B85" s="5" t="e">
        <v>#N/A</v>
      </c>
      <c r="C85" s="5" t="e">
        <v>#N/A</v>
      </c>
      <c r="D85" s="1" t="e">
        <v>#N/A</v>
      </c>
      <c r="E85" s="1" t="e">
        <v>#N/A</v>
      </c>
    </row>
    <row r="86" spans="1:5" x14ac:dyDescent="0.35">
      <c r="A86" t="s">
        <v>238</v>
      </c>
      <c r="B86" s="5" t="e">
        <v>#N/A</v>
      </c>
      <c r="C86" s="5" t="e">
        <v>#N/A</v>
      </c>
      <c r="D86" s="1" t="e">
        <v>#N/A</v>
      </c>
      <c r="E86" s="1" t="e">
        <v>#N/A</v>
      </c>
    </row>
    <row r="87" spans="1:5" x14ac:dyDescent="0.35">
      <c r="A87" t="s">
        <v>239</v>
      </c>
      <c r="B87" s="5" t="e">
        <v>#N/A</v>
      </c>
      <c r="C87" s="5" t="e">
        <v>#N/A</v>
      </c>
      <c r="D87" s="1" t="e">
        <v>#N/A</v>
      </c>
      <c r="E87" s="1" t="e">
        <v>#N/A</v>
      </c>
    </row>
    <row r="88" spans="1:5" x14ac:dyDescent="0.35">
      <c r="A88" t="s">
        <v>240</v>
      </c>
      <c r="B88" s="5" t="e">
        <v>#N/A</v>
      </c>
      <c r="C88" s="5" t="e">
        <v>#N/A</v>
      </c>
      <c r="D88" s="1" t="e">
        <v>#N/A</v>
      </c>
      <c r="E88" s="1" t="e">
        <v>#N/A</v>
      </c>
    </row>
    <row r="89" spans="1:5" x14ac:dyDescent="0.35">
      <c r="A89" t="s">
        <v>241</v>
      </c>
      <c r="B89" s="5" t="e">
        <v>#N/A</v>
      </c>
      <c r="C89" s="5" t="e">
        <v>#N/A</v>
      </c>
      <c r="D89" s="1" t="e">
        <v>#N/A</v>
      </c>
      <c r="E89" s="1" t="e">
        <v>#N/A</v>
      </c>
    </row>
    <row r="90" spans="1:5" x14ac:dyDescent="0.35">
      <c r="A90" t="s">
        <v>242</v>
      </c>
      <c r="B90" s="5" t="e">
        <v>#N/A</v>
      </c>
      <c r="C90" s="5" t="e">
        <v>#N/A</v>
      </c>
      <c r="D90" s="1" t="e">
        <v>#N/A</v>
      </c>
      <c r="E90" s="1" t="e">
        <v>#N/A</v>
      </c>
    </row>
    <row r="91" spans="1:5" x14ac:dyDescent="0.35">
      <c r="A91" t="s">
        <v>243</v>
      </c>
      <c r="B91" s="5" t="e">
        <v>#N/A</v>
      </c>
      <c r="C91" s="5" t="e">
        <v>#N/A</v>
      </c>
      <c r="D91" s="1" t="e">
        <v>#N/A</v>
      </c>
      <c r="E91" s="1" t="e">
        <v>#N/A</v>
      </c>
    </row>
    <row r="92" spans="1:5" x14ac:dyDescent="0.35">
      <c r="A92" t="s">
        <v>244</v>
      </c>
      <c r="B92" s="5" t="e">
        <v>#N/A</v>
      </c>
      <c r="C92" s="5" t="e">
        <v>#N/A</v>
      </c>
      <c r="D92" s="1" t="e">
        <v>#N/A</v>
      </c>
      <c r="E92" s="1" t="e">
        <v>#N/A</v>
      </c>
    </row>
    <row r="93" spans="1:5" x14ac:dyDescent="0.35">
      <c r="A93" t="s">
        <v>245</v>
      </c>
      <c r="B93" s="5">
        <v>3.3460000000000001</v>
      </c>
      <c r="C93" s="5">
        <v>2.9630000000000001</v>
      </c>
      <c r="D93" s="1" t="e">
        <v>#N/A</v>
      </c>
      <c r="E93" s="1" t="e">
        <v>#N/A</v>
      </c>
    </row>
    <row r="94" spans="1:5" x14ac:dyDescent="0.35">
      <c r="A94" t="s">
        <v>246</v>
      </c>
      <c r="B94" s="5">
        <v>2.7480000000000002</v>
      </c>
      <c r="C94" s="5">
        <v>2.8410000000000002</v>
      </c>
      <c r="D94" s="1" t="e">
        <v>#N/A</v>
      </c>
      <c r="E94" s="1" t="e">
        <v>#N/A</v>
      </c>
    </row>
    <row r="95" spans="1:5" x14ac:dyDescent="0.35">
      <c r="A95" t="s">
        <v>247</v>
      </c>
      <c r="B95" s="5">
        <v>2.282</v>
      </c>
      <c r="C95" s="5">
        <v>2.7919999999999998</v>
      </c>
      <c r="D95" s="1" t="e">
        <v>#N/A</v>
      </c>
      <c r="E95" s="1" t="e">
        <v>#N/A</v>
      </c>
    </row>
    <row r="96" spans="1:5" x14ac:dyDescent="0.35">
      <c r="A96" t="s">
        <v>248</v>
      </c>
      <c r="B96" s="5">
        <v>3.2789999999999999</v>
      </c>
      <c r="C96" s="5">
        <v>2.77</v>
      </c>
      <c r="D96" s="1" t="e">
        <v>#N/A</v>
      </c>
      <c r="E96" s="1" t="e">
        <v>#N/A</v>
      </c>
    </row>
    <row r="97" spans="1:5" x14ac:dyDescent="0.35">
      <c r="A97" t="s">
        <v>249</v>
      </c>
      <c r="B97" s="5">
        <v>2.4470000000000001</v>
      </c>
      <c r="C97" s="5">
        <v>2.669</v>
      </c>
      <c r="D97" s="1" t="e">
        <v>#N/A</v>
      </c>
      <c r="E97" s="1" t="e">
        <v>#N/A</v>
      </c>
    </row>
    <row r="98" spans="1:5" x14ac:dyDescent="0.35">
      <c r="A98" t="s">
        <v>250</v>
      </c>
      <c r="B98" s="5">
        <v>2.0739999999999998</v>
      </c>
      <c r="C98" s="5">
        <v>2.6</v>
      </c>
      <c r="D98" s="1" t="e">
        <v>#N/A</v>
      </c>
      <c r="E98" s="1" t="e">
        <v>#N/A</v>
      </c>
    </row>
    <row r="99" spans="1:5" x14ac:dyDescent="0.35">
      <c r="A99" t="s">
        <v>251</v>
      </c>
      <c r="B99" s="5">
        <v>2.8279999999999998</v>
      </c>
      <c r="C99" s="5">
        <v>2.4500000000000002</v>
      </c>
      <c r="D99" s="1" t="e">
        <v>#N/A</v>
      </c>
      <c r="E99" s="1" t="e">
        <v>#N/A</v>
      </c>
    </row>
    <row r="100" spans="1:5" x14ac:dyDescent="0.35">
      <c r="A100" t="s">
        <v>252</v>
      </c>
      <c r="B100" s="5">
        <v>2.4609999999999999</v>
      </c>
      <c r="C100" s="5">
        <v>2.4550000000000001</v>
      </c>
      <c r="D100" s="1">
        <v>2.6</v>
      </c>
      <c r="E100" s="1">
        <v>2.4</v>
      </c>
    </row>
    <row r="101" spans="1:5" x14ac:dyDescent="0.35">
      <c r="A101" t="s">
        <v>253</v>
      </c>
      <c r="B101" s="5">
        <v>2.3940000000000001</v>
      </c>
      <c r="C101" s="5">
        <v>2.5609999999999999</v>
      </c>
      <c r="D101" s="1">
        <v>2.5</v>
      </c>
      <c r="E101" s="1">
        <v>2.2999999999999998</v>
      </c>
    </row>
    <row r="102" spans="1:5" x14ac:dyDescent="0.35">
      <c r="A102" t="s">
        <v>254</v>
      </c>
      <c r="B102" s="5">
        <v>2.581</v>
      </c>
      <c r="C102" s="5">
        <v>2.4790000000000001</v>
      </c>
      <c r="D102" s="1">
        <v>2.7</v>
      </c>
      <c r="E102" s="1">
        <v>2.6</v>
      </c>
    </row>
    <row r="103" spans="1:5" x14ac:dyDescent="0.35">
      <c r="A103" t="s">
        <v>255</v>
      </c>
      <c r="B103" s="5">
        <v>2.4209999999999998</v>
      </c>
      <c r="C103" s="5">
        <v>2.4649999999999999</v>
      </c>
      <c r="D103" s="1" t="e">
        <v>#N/A</v>
      </c>
      <c r="E103" s="1" t="e">
        <v>#N/A</v>
      </c>
    </row>
    <row r="104" spans="1:5" x14ac:dyDescent="0.35">
      <c r="A104" t="s">
        <v>256</v>
      </c>
      <c r="B104" s="5">
        <v>2.4420000000000002</v>
      </c>
      <c r="C104" s="5">
        <v>2.4809999999999999</v>
      </c>
      <c r="D104" s="1" t="e">
        <v>#N/A</v>
      </c>
      <c r="E104" s="1" t="e">
        <v>#N/A</v>
      </c>
    </row>
    <row r="105" spans="1:5" x14ac:dyDescent="0.35">
      <c r="A105" t="s">
        <v>257</v>
      </c>
      <c r="B105" s="5">
        <v>2.4630000000000001</v>
      </c>
      <c r="C105" s="5">
        <v>2.4420000000000002</v>
      </c>
      <c r="D105" s="1" t="e">
        <v>#N/A</v>
      </c>
      <c r="E105" s="1" t="e">
        <v>#N/A</v>
      </c>
    </row>
    <row r="106" spans="1:5" x14ac:dyDescent="0.35">
      <c r="A106" t="s">
        <v>258</v>
      </c>
      <c r="B106" s="5">
        <v>2.4079999999999999</v>
      </c>
      <c r="C106" s="5">
        <v>2.4380000000000002</v>
      </c>
      <c r="D106" s="1" t="e">
        <v>#N/A</v>
      </c>
      <c r="E106" s="1" t="e">
        <v>#N/A</v>
      </c>
    </row>
    <row r="107" spans="1:5" x14ac:dyDescent="0.35">
      <c r="A107" t="s">
        <v>259</v>
      </c>
      <c r="B107" s="5">
        <v>2.1349999999999998</v>
      </c>
      <c r="C107" s="5">
        <v>2.335</v>
      </c>
      <c r="D107" s="1" t="e">
        <v>#N/A</v>
      </c>
      <c r="E107" s="1" t="e">
        <v>#N/A</v>
      </c>
    </row>
    <row r="108" spans="1:5" x14ac:dyDescent="0.35">
      <c r="A108" t="s">
        <v>260</v>
      </c>
      <c r="B108" s="5">
        <v>2.444</v>
      </c>
      <c r="C108" s="5">
        <v>2.3290000000000002</v>
      </c>
      <c r="D108" s="1" t="e">
        <v>#N/A</v>
      </c>
      <c r="E108" s="1" t="e">
        <v>#N/A</v>
      </c>
    </row>
    <row r="109" spans="1:5" x14ac:dyDescent="0.35">
      <c r="A109" t="s">
        <v>261</v>
      </c>
      <c r="B109" s="5">
        <v>1.9770000000000001</v>
      </c>
      <c r="C109" s="5">
        <v>2.1859999999999999</v>
      </c>
      <c r="D109" s="1" t="e">
        <v>#N/A</v>
      </c>
      <c r="E109" s="1" t="e">
        <v>#N/A</v>
      </c>
    </row>
    <row r="110" spans="1:5" x14ac:dyDescent="0.35">
      <c r="A110" t="s">
        <v>262</v>
      </c>
      <c r="B110" s="5">
        <v>2.3170000000000002</v>
      </c>
      <c r="C110" s="5">
        <v>2.246</v>
      </c>
      <c r="D110" s="1" t="e">
        <v>#N/A</v>
      </c>
      <c r="E110" s="1" t="e">
        <v>#N/A</v>
      </c>
    </row>
    <row r="111" spans="1:5" x14ac:dyDescent="0.35">
      <c r="A111" t="s">
        <v>263</v>
      </c>
      <c r="B111" s="5">
        <v>2.4239999999999999</v>
      </c>
      <c r="C111" s="5">
        <v>2.2389999999999999</v>
      </c>
      <c r="D111" s="1" t="e">
        <v>#N/A</v>
      </c>
      <c r="E111" s="1" t="e">
        <v>#N/A</v>
      </c>
    </row>
    <row r="112" spans="1:5" x14ac:dyDescent="0.35">
      <c r="A112" t="s">
        <v>264</v>
      </c>
      <c r="B112" s="5">
        <v>2.254</v>
      </c>
      <c r="C112" s="5">
        <v>2.3319999999999999</v>
      </c>
      <c r="D112" s="1" t="e">
        <v>#N/A</v>
      </c>
      <c r="E112" s="1" t="e">
        <v>#N/A</v>
      </c>
    </row>
    <row r="113" spans="1:5" x14ac:dyDescent="0.35">
      <c r="A113" t="s">
        <v>265</v>
      </c>
      <c r="B113" s="5">
        <v>2.0019999999999998</v>
      </c>
      <c r="C113" s="5">
        <v>2.226</v>
      </c>
      <c r="D113" s="1" t="e">
        <v>#N/A</v>
      </c>
      <c r="E113" s="1" t="e">
        <v>#N/A</v>
      </c>
    </row>
    <row r="114" spans="1:5" x14ac:dyDescent="0.35">
      <c r="A114" t="s">
        <v>266</v>
      </c>
      <c r="B114" s="5">
        <v>2.5910000000000002</v>
      </c>
      <c r="C114" s="5">
        <v>2.282</v>
      </c>
      <c r="D114" s="1" t="e">
        <v>#N/A</v>
      </c>
      <c r="E114" s="1" t="e">
        <v>#N/A</v>
      </c>
    </row>
    <row r="115" spans="1:5" x14ac:dyDescent="0.35">
      <c r="A115" t="s">
        <v>267</v>
      </c>
      <c r="B115" s="5">
        <v>2.6869999999999998</v>
      </c>
      <c r="C115" s="5">
        <v>2.427</v>
      </c>
      <c r="D115" s="1" t="e">
        <v>#N/A</v>
      </c>
      <c r="E115" s="1" t="e">
        <v>#N/A</v>
      </c>
    </row>
    <row r="116" spans="1:5" x14ac:dyDescent="0.35">
      <c r="A116" t="s">
        <v>268</v>
      </c>
      <c r="B116" s="5">
        <v>2.1749999999999998</v>
      </c>
      <c r="C116" s="5">
        <v>2.484</v>
      </c>
      <c r="D116" s="1" t="e">
        <v>#N/A</v>
      </c>
      <c r="E116" s="1" t="e">
        <v>#N/A</v>
      </c>
    </row>
    <row r="117" spans="1:5" x14ac:dyDescent="0.35">
      <c r="A117" t="s">
        <v>269</v>
      </c>
      <c r="B117" s="5">
        <v>2.532</v>
      </c>
      <c r="C117" s="5">
        <v>2.4649999999999999</v>
      </c>
      <c r="D117" s="1" t="e">
        <v>#N/A</v>
      </c>
      <c r="E117" s="1" t="e">
        <v>#N/A</v>
      </c>
    </row>
    <row r="118" spans="1:5" x14ac:dyDescent="0.35">
      <c r="A118" t="s">
        <v>270</v>
      </c>
      <c r="B118" s="5">
        <v>2.5609999999999999</v>
      </c>
      <c r="C118" s="5">
        <v>2.423</v>
      </c>
      <c r="D118" s="1" t="e">
        <v>#N/A</v>
      </c>
      <c r="E118" s="1" t="e">
        <v>#N/A</v>
      </c>
    </row>
    <row r="119" spans="1:5" x14ac:dyDescent="0.35">
      <c r="A119" t="s">
        <v>271</v>
      </c>
      <c r="B119" s="5">
        <v>2.0680000000000001</v>
      </c>
      <c r="C119" s="5">
        <v>2.387</v>
      </c>
      <c r="D119" s="1" t="e">
        <v>#N/A</v>
      </c>
      <c r="E119" s="1" t="e">
        <v>#N/A</v>
      </c>
    </row>
    <row r="120" spans="1:5" x14ac:dyDescent="0.35">
      <c r="A120" t="s">
        <v>272</v>
      </c>
      <c r="B120" s="5">
        <v>2.7149999999999999</v>
      </c>
      <c r="C120" s="5">
        <v>2.448</v>
      </c>
      <c r="D120" s="1" t="e">
        <v>#N/A</v>
      </c>
      <c r="E120" s="1" t="e">
        <v>#N/A</v>
      </c>
    </row>
    <row r="121" spans="1:5" x14ac:dyDescent="0.35">
      <c r="A121" t="s">
        <v>273</v>
      </c>
      <c r="B121" s="5">
        <v>2.3319999999999999</v>
      </c>
      <c r="C121" s="5">
        <v>2.3719999999999999</v>
      </c>
      <c r="D121" s="1" t="e">
        <v>#N/A</v>
      </c>
      <c r="E121" s="1" t="e">
        <v>#N/A</v>
      </c>
    </row>
    <row r="122" spans="1:5" x14ac:dyDescent="0.35">
      <c r="A122" t="s">
        <v>274</v>
      </c>
      <c r="B122" s="5">
        <v>2.1539999999999999</v>
      </c>
      <c r="C122" s="5">
        <v>2.4</v>
      </c>
      <c r="D122" s="1" t="e">
        <v>#N/A</v>
      </c>
      <c r="E122" s="1" t="e">
        <v>#N/A</v>
      </c>
    </row>
    <row r="123" spans="1:5" x14ac:dyDescent="0.35">
      <c r="A123" t="s">
        <v>275</v>
      </c>
      <c r="B123" s="5">
        <v>2.0979999999999999</v>
      </c>
      <c r="C123" s="5">
        <v>2.1949999999999998</v>
      </c>
      <c r="D123" s="1" t="e">
        <v>#N/A</v>
      </c>
      <c r="E123" s="1" t="e">
        <v>#N/A</v>
      </c>
    </row>
    <row r="124" spans="1:5" x14ac:dyDescent="0.35">
      <c r="A124" t="s">
        <v>276</v>
      </c>
      <c r="B124" s="5">
        <v>2.2890000000000001</v>
      </c>
      <c r="C124" s="5">
        <v>2.1800000000000002</v>
      </c>
      <c r="D124" s="1" t="e">
        <v>#N/A</v>
      </c>
      <c r="E124" s="1" t="e">
        <v>#N/A</v>
      </c>
    </row>
    <row r="125" spans="1:5" x14ac:dyDescent="0.35">
      <c r="A125" t="s">
        <v>277</v>
      </c>
      <c r="B125" s="5">
        <v>2.355</v>
      </c>
      <c r="C125" s="5">
        <v>2.2469999999999999</v>
      </c>
      <c r="D125" s="1" t="e">
        <v>#N/A</v>
      </c>
      <c r="E125" s="1" t="e">
        <v>#N/A</v>
      </c>
    </row>
    <row r="126" spans="1:5" x14ac:dyDescent="0.35">
      <c r="A126" t="s">
        <v>278</v>
      </c>
      <c r="B126" s="5">
        <v>2.2160000000000002</v>
      </c>
      <c r="C126" s="5">
        <v>2.2869999999999999</v>
      </c>
      <c r="D126" s="1" t="e">
        <v>#N/A</v>
      </c>
      <c r="E126" s="1" t="e">
        <v>#N/A</v>
      </c>
    </row>
    <row r="127" spans="1:5" x14ac:dyDescent="0.35">
      <c r="A127" t="s">
        <v>279</v>
      </c>
      <c r="B127" s="5">
        <v>2.181</v>
      </c>
      <c r="C127" s="5">
        <v>2.2509999999999999</v>
      </c>
      <c r="D127" s="1" t="e">
        <v>#N/A</v>
      </c>
      <c r="E127" s="1" t="e">
        <v>#N/A</v>
      </c>
    </row>
    <row r="128" spans="1:5" x14ac:dyDescent="0.35">
      <c r="A128" t="s">
        <v>280</v>
      </c>
      <c r="B128" s="5">
        <v>2.371</v>
      </c>
      <c r="C128" s="5">
        <v>2.2559999999999998</v>
      </c>
      <c r="D128" s="1" t="e">
        <v>#N/A</v>
      </c>
      <c r="E128" s="1" t="e">
        <v>#N/A</v>
      </c>
    </row>
    <row r="129" spans="1:5" x14ac:dyDescent="0.35">
      <c r="A129" t="s">
        <v>281</v>
      </c>
      <c r="B129" s="5">
        <v>2.121</v>
      </c>
      <c r="C129" s="5">
        <v>2.2240000000000002</v>
      </c>
      <c r="D129" s="1" t="e">
        <v>#N/A</v>
      </c>
      <c r="E129" s="1" t="e">
        <v>#N/A</v>
      </c>
    </row>
    <row r="130" spans="1:5" x14ac:dyDescent="0.35">
      <c r="A130" t="s">
        <v>282</v>
      </c>
      <c r="B130" s="5">
        <v>2.1259999999999999</v>
      </c>
      <c r="C130" s="5">
        <v>2.206</v>
      </c>
      <c r="D130" s="1" t="e">
        <v>#N/A</v>
      </c>
      <c r="E130" s="1" t="e">
        <v>#N/A</v>
      </c>
    </row>
    <row r="131" spans="1:5" x14ac:dyDescent="0.35">
      <c r="A131" t="s">
        <v>283</v>
      </c>
      <c r="B131" s="5">
        <v>1.615</v>
      </c>
      <c r="C131" s="5">
        <v>1.954</v>
      </c>
      <c r="D131" s="1" t="e">
        <v>#N/A</v>
      </c>
      <c r="E131" s="1" t="e">
        <v>#N/A</v>
      </c>
    </row>
    <row r="132" spans="1:5" x14ac:dyDescent="0.35">
      <c r="A132" t="s">
        <v>284</v>
      </c>
      <c r="B132" s="5">
        <v>1.2070000000000001</v>
      </c>
      <c r="C132" s="5">
        <v>1.649</v>
      </c>
      <c r="D132" s="1" t="e">
        <v>#N/A</v>
      </c>
      <c r="E132" s="1" t="e">
        <v>#N/A</v>
      </c>
    </row>
    <row r="133" spans="1:5" x14ac:dyDescent="0.35">
      <c r="A133" t="s">
        <v>285</v>
      </c>
      <c r="B133" s="5">
        <v>1.387</v>
      </c>
      <c r="C133" s="5">
        <v>1.403</v>
      </c>
      <c r="D133" s="1" t="e">
        <v>#N/A</v>
      </c>
      <c r="E133" s="1" t="e">
        <v>#N/A</v>
      </c>
    </row>
    <row r="134" spans="1:5" x14ac:dyDescent="0.35">
      <c r="A134" t="s">
        <v>286</v>
      </c>
      <c r="B134" s="5">
        <v>1.45</v>
      </c>
      <c r="C134" s="5">
        <v>1.3480000000000001</v>
      </c>
      <c r="D134" s="1" t="e">
        <v>#N/A</v>
      </c>
      <c r="E134" s="1" t="e">
        <v>#N/A</v>
      </c>
    </row>
    <row r="135" spans="1:5" x14ac:dyDescent="0.35">
      <c r="A135" t="s">
        <v>287</v>
      </c>
      <c r="B135" s="5">
        <v>1.663</v>
      </c>
      <c r="C135" s="5">
        <v>1.5</v>
      </c>
      <c r="D135" s="1" t="e">
        <v>#N/A</v>
      </c>
      <c r="E135" s="1" t="e">
        <v>#N/A</v>
      </c>
    </row>
    <row r="136" spans="1:5" x14ac:dyDescent="0.35">
      <c r="A136" t="s">
        <v>288</v>
      </c>
      <c r="B136" s="5">
        <v>2.181</v>
      </c>
      <c r="C136" s="5">
        <v>1.764</v>
      </c>
      <c r="D136" s="1" t="e">
        <v>#N/A</v>
      </c>
      <c r="E136" s="1" t="e">
        <v>#N/A</v>
      </c>
    </row>
    <row r="137" spans="1:5" x14ac:dyDescent="0.35">
      <c r="A137" t="s">
        <v>289</v>
      </c>
      <c r="B137" s="5">
        <v>1.887</v>
      </c>
      <c r="C137" s="5">
        <v>1.91</v>
      </c>
      <c r="D137" s="1" t="e">
        <v>#N/A</v>
      </c>
      <c r="E137" s="1" t="e">
        <v>#N/A</v>
      </c>
    </row>
    <row r="138" spans="1:5" x14ac:dyDescent="0.35">
      <c r="A138" t="s">
        <v>290</v>
      </c>
      <c r="B138" s="5">
        <v>2.3639999999999999</v>
      </c>
      <c r="C138" s="5">
        <v>2.1440000000000001</v>
      </c>
      <c r="D138" s="1" t="e">
        <v>#N/A</v>
      </c>
      <c r="E138" s="1" t="e">
        <v>#N/A</v>
      </c>
    </row>
    <row r="139" spans="1:5" x14ac:dyDescent="0.35">
      <c r="A139" t="s">
        <v>291</v>
      </c>
      <c r="B139" s="5">
        <v>2.0920000000000001</v>
      </c>
      <c r="C139" s="5">
        <v>2.1150000000000002</v>
      </c>
      <c r="D139" s="1" t="e">
        <v>#N/A</v>
      </c>
      <c r="E139" s="1" t="e">
        <v>#N/A</v>
      </c>
    </row>
    <row r="140" spans="1:5" x14ac:dyDescent="0.35">
      <c r="A140" t="s">
        <v>292</v>
      </c>
      <c r="B140" s="5">
        <v>2.6960000000000002</v>
      </c>
      <c r="C140" s="5">
        <v>2.3839999999999999</v>
      </c>
      <c r="D140" s="1" t="e">
        <v>#N/A</v>
      </c>
      <c r="E140" s="1" t="e">
        <v>#N/A</v>
      </c>
    </row>
    <row r="141" spans="1:5" x14ac:dyDescent="0.35">
      <c r="A141" t="s">
        <v>293</v>
      </c>
      <c r="B141" s="5">
        <v>2.5089999999999999</v>
      </c>
      <c r="C141" s="5">
        <v>2.4329999999999998</v>
      </c>
      <c r="D141" s="1" t="e">
        <v>#N/A</v>
      </c>
      <c r="E141" s="1" t="e">
        <v>#N/A</v>
      </c>
    </row>
    <row r="142" spans="1:5" x14ac:dyDescent="0.35">
      <c r="A142" t="s">
        <v>294</v>
      </c>
      <c r="B142" s="5">
        <v>2.7189999999999999</v>
      </c>
      <c r="C142" s="5">
        <v>2.6419999999999999</v>
      </c>
      <c r="D142" s="1" t="e">
        <v>#N/A</v>
      </c>
      <c r="E142" s="1" t="e">
        <v>#N/A</v>
      </c>
    </row>
    <row r="143" spans="1:5" x14ac:dyDescent="0.35">
      <c r="A143" t="s">
        <v>295</v>
      </c>
      <c r="B143" s="5">
        <v>2.9780000000000002</v>
      </c>
      <c r="C143" s="5">
        <v>2.7349999999999999</v>
      </c>
      <c r="D143" s="1" t="e">
        <v>#N/A</v>
      </c>
      <c r="E143" s="1" t="e">
        <v>#N/A</v>
      </c>
    </row>
    <row r="144" spans="1:5" x14ac:dyDescent="0.35">
      <c r="A144" t="s">
        <v>296</v>
      </c>
      <c r="B144" s="5">
        <v>3.137</v>
      </c>
      <c r="C144" s="5">
        <v>2.9449999999999998</v>
      </c>
      <c r="D144" s="1" t="e">
        <v>#N/A</v>
      </c>
      <c r="E144" s="1" t="e">
        <v>#N/A</v>
      </c>
    </row>
    <row r="145" spans="1:5" x14ac:dyDescent="0.35">
      <c r="A145" t="s">
        <v>297</v>
      </c>
      <c r="B145" s="5">
        <v>3.4489999999999998</v>
      </c>
      <c r="C145" s="5">
        <v>3.1880000000000002</v>
      </c>
      <c r="D145" s="1" t="e">
        <v>#N/A</v>
      </c>
      <c r="E145" s="1" t="e">
        <v>#N/A</v>
      </c>
    </row>
    <row r="146" spans="1:5" x14ac:dyDescent="0.35">
      <c r="A146" t="s">
        <v>298</v>
      </c>
      <c r="B146" s="5">
        <v>3.2549999999999999</v>
      </c>
      <c r="C146" s="5">
        <v>3.28</v>
      </c>
      <c r="D146" s="1" t="e">
        <v>#N/A</v>
      </c>
      <c r="E146" s="1" t="e">
        <v>#N/A</v>
      </c>
    </row>
    <row r="147" spans="1:5" x14ac:dyDescent="0.35">
      <c r="A147" t="s">
        <v>299</v>
      </c>
      <c r="B147" s="5">
        <v>2.9220000000000002</v>
      </c>
      <c r="C147" s="5">
        <v>3.2090000000000001</v>
      </c>
      <c r="D147" s="1" t="e">
        <v>#N/A</v>
      </c>
      <c r="E147" s="1" t="e">
        <v>#N/A</v>
      </c>
    </row>
    <row r="148" spans="1:5" x14ac:dyDescent="0.35">
      <c r="A148" t="s">
        <v>300</v>
      </c>
      <c r="B148" s="5">
        <v>3.2229999999999999</v>
      </c>
      <c r="C148" s="5">
        <v>3.133</v>
      </c>
      <c r="D148" s="1" t="e">
        <v>#N/A</v>
      </c>
      <c r="E148" s="1" t="e">
        <v>#N/A</v>
      </c>
    </row>
    <row r="149" spans="1:5" x14ac:dyDescent="0.35">
      <c r="A149" t="s">
        <v>301</v>
      </c>
      <c r="B149" s="5">
        <v>4.1059999999999999</v>
      </c>
      <c r="C149" s="5">
        <v>3.4169999999999998</v>
      </c>
      <c r="D149" s="1" t="e">
        <v>#N/A</v>
      </c>
      <c r="E149" s="1" t="e">
        <v>#N/A</v>
      </c>
    </row>
    <row r="150" spans="1:5" x14ac:dyDescent="0.35">
      <c r="A150" t="s">
        <v>302</v>
      </c>
      <c r="B150" s="5">
        <v>4.7069999999999999</v>
      </c>
      <c r="C150" s="5">
        <v>4.0119999999999996</v>
      </c>
      <c r="D150" s="1" t="e">
        <v>#N/A</v>
      </c>
      <c r="E150" s="1" t="e">
        <v>#N/A</v>
      </c>
    </row>
    <row r="151" spans="1:5" x14ac:dyDescent="0.35">
      <c r="A151" t="s">
        <v>303</v>
      </c>
      <c r="B151" s="5">
        <v>4.444</v>
      </c>
      <c r="C151" s="5">
        <v>4.4189999999999996</v>
      </c>
      <c r="D151" s="1" t="e">
        <v>#N/A</v>
      </c>
      <c r="E151" s="1" t="e">
        <v>#N/A</v>
      </c>
    </row>
    <row r="152" spans="1:5" x14ac:dyDescent="0.35">
      <c r="A152" t="s">
        <v>304</v>
      </c>
      <c r="B152" s="5">
        <v>5.0990000000000002</v>
      </c>
      <c r="C152" s="5">
        <v>4.75</v>
      </c>
      <c r="D152" s="1" t="e">
        <v>#N/A</v>
      </c>
      <c r="E152" s="1" t="e">
        <v>#N/A</v>
      </c>
    </row>
    <row r="153" spans="1:5" x14ac:dyDescent="0.35">
      <c r="A153" t="s">
        <v>305</v>
      </c>
      <c r="B153" s="5">
        <v>4.5270000000000001</v>
      </c>
      <c r="C153" s="5">
        <v>4.6900000000000004</v>
      </c>
      <c r="D153" s="1" t="e">
        <v>#N/A</v>
      </c>
      <c r="E153" s="1" t="e">
        <v>#N/A</v>
      </c>
    </row>
    <row r="154" spans="1:5" x14ac:dyDescent="0.35">
      <c r="A154" t="s">
        <v>306</v>
      </c>
      <c r="B154" s="5">
        <v>4.8920000000000003</v>
      </c>
      <c r="C154" s="5">
        <v>4.8390000000000004</v>
      </c>
      <c r="D154" s="1" t="e">
        <v>#N/A</v>
      </c>
      <c r="E154" s="1" t="e">
        <v>#N/A</v>
      </c>
    </row>
    <row r="155" spans="1:5" x14ac:dyDescent="0.35">
      <c r="A155" t="s">
        <v>307</v>
      </c>
      <c r="B155" s="5">
        <v>5.87</v>
      </c>
      <c r="C155" s="5">
        <v>5.0960000000000001</v>
      </c>
      <c r="D155" s="1" t="e">
        <v>#N/A</v>
      </c>
      <c r="E155" s="1" t="e">
        <v>#N/A</v>
      </c>
    </row>
    <row r="156" spans="1:5" x14ac:dyDescent="0.35">
      <c r="A156" t="s">
        <v>308</v>
      </c>
      <c r="B156" s="5">
        <v>5.9980000000000002</v>
      </c>
      <c r="C156" s="5">
        <v>5.5869999999999997</v>
      </c>
      <c r="D156" s="1" t="e">
        <v>#N/A</v>
      </c>
      <c r="E156" s="1" t="e">
        <v>#N/A</v>
      </c>
    </row>
    <row r="157" spans="1:5" x14ac:dyDescent="0.35">
      <c r="A157" t="s">
        <v>309</v>
      </c>
      <c r="B157" s="5">
        <v>5.883</v>
      </c>
      <c r="C157" s="5">
        <v>5.9169999999999998</v>
      </c>
      <c r="D157" s="1">
        <v>5.5</v>
      </c>
      <c r="E157" s="1">
        <v>4.8</v>
      </c>
    </row>
    <row r="158" spans="1:5" x14ac:dyDescent="0.35">
      <c r="A158" t="s">
        <v>310</v>
      </c>
      <c r="B158" s="5">
        <v>6.2919999999999998</v>
      </c>
      <c r="C158" s="5">
        <v>6.0579999999999998</v>
      </c>
      <c r="D158" s="1">
        <v>5.7</v>
      </c>
      <c r="E158" s="1">
        <v>5.0999999999999996</v>
      </c>
    </row>
    <row r="159" spans="1:5" x14ac:dyDescent="0.35">
      <c r="A159" t="s">
        <v>311</v>
      </c>
      <c r="B159" s="5">
        <v>6.6680000000000001</v>
      </c>
      <c r="C159" s="5">
        <v>6.2809999999999997</v>
      </c>
      <c r="D159" s="1">
        <v>5.5</v>
      </c>
      <c r="E159" s="1">
        <v>5.2</v>
      </c>
    </row>
    <row r="160" spans="1:5" x14ac:dyDescent="0.35">
      <c r="A160" t="s">
        <v>312</v>
      </c>
      <c r="B160" s="5">
        <v>6.4340000000000002</v>
      </c>
      <c r="C160" s="5">
        <v>6.4649999999999999</v>
      </c>
      <c r="D160" s="1">
        <v>6.4</v>
      </c>
      <c r="E160" s="1">
        <v>5.5</v>
      </c>
    </row>
    <row r="161" spans="1:5" x14ac:dyDescent="0.35">
      <c r="A161" t="s">
        <v>313</v>
      </c>
      <c r="B161" s="5">
        <v>6.6379999999999999</v>
      </c>
      <c r="C161" s="5">
        <v>6.58</v>
      </c>
      <c r="D161" s="1">
        <v>6.5</v>
      </c>
      <c r="E161" s="1">
        <v>5.9</v>
      </c>
    </row>
    <row r="162" spans="1:5" x14ac:dyDescent="0.35">
      <c r="A162" t="s">
        <v>314</v>
      </c>
      <c r="B162" s="5">
        <v>6.2210000000000001</v>
      </c>
      <c r="C162" s="5">
        <v>6.431</v>
      </c>
      <c r="D162" s="1">
        <v>6.1</v>
      </c>
      <c r="E162" s="1">
        <v>5.8</v>
      </c>
    </row>
    <row r="163" spans="1:5" x14ac:dyDescent="0.35">
      <c r="A163" t="s">
        <v>315</v>
      </c>
      <c r="B163" s="5">
        <v>5.7469999999999999</v>
      </c>
      <c r="C163" s="5">
        <v>6.202</v>
      </c>
      <c r="D163" s="1">
        <v>6.1</v>
      </c>
      <c r="E163" s="1">
        <v>5.8</v>
      </c>
    </row>
    <row r="164" spans="1:5" x14ac:dyDescent="0.35">
      <c r="A164" t="s">
        <v>316</v>
      </c>
      <c r="B164" s="5">
        <v>5.7830000000000004</v>
      </c>
      <c r="C164" s="5">
        <v>5.9169999999999998</v>
      </c>
      <c r="D164" s="1">
        <v>6.6</v>
      </c>
      <c r="E164" s="1">
        <v>6.3</v>
      </c>
    </row>
    <row r="165" spans="1:5" x14ac:dyDescent="0.35">
      <c r="A165" t="s">
        <v>317</v>
      </c>
      <c r="B165" s="5">
        <v>5.8</v>
      </c>
      <c r="C165" s="5">
        <v>5.7770000000000001</v>
      </c>
      <c r="D165" s="1">
        <v>6.3</v>
      </c>
      <c r="E165" s="1">
        <v>5.7</v>
      </c>
    </row>
    <row r="166" spans="1:5" x14ac:dyDescent="0.35">
      <c r="A166" t="s">
        <v>318</v>
      </c>
      <c r="B166" s="5">
        <v>5.3879999999999999</v>
      </c>
      <c r="C166" s="5">
        <v>5.657</v>
      </c>
      <c r="D166" s="1">
        <v>6.6</v>
      </c>
      <c r="E166" s="1">
        <v>5.8</v>
      </c>
    </row>
    <row r="167" spans="1:5" x14ac:dyDescent="0.35">
      <c r="A167" t="s">
        <v>319</v>
      </c>
      <c r="B167" s="5">
        <v>5.3109999999999999</v>
      </c>
      <c r="C167" s="5">
        <v>5.4989999999999997</v>
      </c>
      <c r="D167" s="1">
        <v>6.5</v>
      </c>
      <c r="E167" s="1">
        <v>5.6</v>
      </c>
    </row>
    <row r="168" spans="1:5" x14ac:dyDescent="0.35">
      <c r="A168" t="s">
        <v>320</v>
      </c>
      <c r="B168" s="5">
        <v>5.9560000000000004</v>
      </c>
      <c r="C168" s="5">
        <v>5.5519999999999996</v>
      </c>
      <c r="D168" s="1">
        <v>6.6</v>
      </c>
      <c r="E168" s="1">
        <v>5.4</v>
      </c>
    </row>
    <row r="169" spans="1:5" x14ac:dyDescent="0.35">
      <c r="A169" t="s">
        <v>321</v>
      </c>
      <c r="B169" s="5">
        <v>5.1420000000000003</v>
      </c>
      <c r="C169" s="5">
        <v>5.47</v>
      </c>
      <c r="D169" s="1">
        <v>6.8</v>
      </c>
      <c r="E169" s="1">
        <v>5.2</v>
      </c>
    </row>
    <row r="170" spans="1:5" x14ac:dyDescent="0.35">
      <c r="A170" t="s">
        <v>322</v>
      </c>
      <c r="B170" s="5">
        <v>4.867</v>
      </c>
      <c r="C170" s="5">
        <v>5.3220000000000001</v>
      </c>
      <c r="D170" s="1">
        <v>7.1</v>
      </c>
      <c r="E170" s="1">
        <v>5.3</v>
      </c>
    </row>
    <row r="171" spans="1:5" x14ac:dyDescent="0.35">
      <c r="A171" t="s">
        <v>323</v>
      </c>
      <c r="B171" s="5">
        <v>5.5880000000000001</v>
      </c>
      <c r="C171" s="5">
        <v>5.1989999999999998</v>
      </c>
      <c r="D171" s="1">
        <v>6.7</v>
      </c>
      <c r="E171" s="1">
        <v>5</v>
      </c>
    </row>
    <row r="172" spans="1:5" x14ac:dyDescent="0.35">
      <c r="A172" t="s">
        <v>324</v>
      </c>
      <c r="B172" s="5">
        <v>4.4950000000000001</v>
      </c>
      <c r="C172" s="5">
        <v>4.9829999999999997</v>
      </c>
      <c r="D172" s="1">
        <v>6.9</v>
      </c>
      <c r="E172" s="1">
        <v>5</v>
      </c>
    </row>
    <row r="173" spans="1:5" x14ac:dyDescent="0.35">
      <c r="A173" t="s">
        <v>325</v>
      </c>
      <c r="B173" s="5">
        <v>4.3840000000000003</v>
      </c>
      <c r="C173" s="5">
        <v>4.8220000000000001</v>
      </c>
      <c r="D173" s="1">
        <v>7.1</v>
      </c>
      <c r="E173" s="1">
        <v>5.2</v>
      </c>
    </row>
    <row r="174" spans="1:5" x14ac:dyDescent="0.35">
      <c r="A174" t="s">
        <v>326</v>
      </c>
      <c r="B174" s="5">
        <v>4.6980000000000004</v>
      </c>
      <c r="C174" s="5">
        <v>4.5259999999999998</v>
      </c>
      <c r="D174" s="1">
        <v>6.8</v>
      </c>
      <c r="E174" s="1">
        <v>5.0999999999999996</v>
      </c>
    </row>
    <row r="175" spans="1:5" x14ac:dyDescent="0.35">
      <c r="A175" t="s">
        <v>327</v>
      </c>
      <c r="B175" s="5">
        <v>4.2569999999999997</v>
      </c>
      <c r="C175" s="5">
        <v>4.4459999999999997</v>
      </c>
      <c r="D175" s="1">
        <v>7</v>
      </c>
      <c r="E175" s="1">
        <v>5.0999999999999996</v>
      </c>
    </row>
    <row r="176" spans="1:5" x14ac:dyDescent="0.35">
      <c r="A176" t="s">
        <v>328</v>
      </c>
      <c r="B176" s="5">
        <v>4.1900000000000004</v>
      </c>
      <c r="C176" s="5">
        <v>4.3819999999999997</v>
      </c>
      <c r="D176" s="1">
        <v>7</v>
      </c>
      <c r="E176" s="1">
        <v>5.4</v>
      </c>
    </row>
    <row r="177" spans="1:5" x14ac:dyDescent="0.35">
      <c r="A177" t="s">
        <v>329</v>
      </c>
      <c r="B177" s="5">
        <v>4.5469999999999997</v>
      </c>
      <c r="C177" s="5">
        <v>4.3310000000000004</v>
      </c>
      <c r="D177" s="1">
        <v>6.5</v>
      </c>
      <c r="E177" s="1">
        <v>5.0999999999999996</v>
      </c>
    </row>
    <row r="178" spans="1:5" x14ac:dyDescent="0.35">
      <c r="A178" t="s">
        <v>330</v>
      </c>
      <c r="B178" s="5">
        <v>4.1059999999999999</v>
      </c>
      <c r="C178" s="5">
        <v>4.2809999999999997</v>
      </c>
      <c r="D178" s="1">
        <v>6.5</v>
      </c>
      <c r="E178" s="1">
        <v>4.9000000000000004</v>
      </c>
    </row>
    <row r="179" spans="1:5" x14ac:dyDescent="0.35">
      <c r="A179" t="s">
        <v>331</v>
      </c>
      <c r="B179" s="5">
        <v>3.6840000000000002</v>
      </c>
      <c r="C179" s="5">
        <v>4.1120000000000001</v>
      </c>
      <c r="D179" s="1">
        <v>6.1</v>
      </c>
      <c r="E179" s="1">
        <v>4.7</v>
      </c>
    </row>
    <row r="180" spans="1:5" x14ac:dyDescent="0.35">
      <c r="A180" t="s">
        <v>332</v>
      </c>
      <c r="B180" s="5">
        <v>4.2279999999999998</v>
      </c>
      <c r="C180" s="5">
        <v>4.0060000000000002</v>
      </c>
      <c r="D180" s="1">
        <v>5.9</v>
      </c>
      <c r="E180" s="1">
        <v>4.5999999999999996</v>
      </c>
    </row>
    <row r="181" spans="1:5" x14ac:dyDescent="0.35">
      <c r="A181" t="s">
        <v>333</v>
      </c>
      <c r="B181" s="5">
        <v>3.8210000000000002</v>
      </c>
      <c r="C181" s="5">
        <v>3.9140000000000001</v>
      </c>
      <c r="D181" s="1">
        <v>6.1</v>
      </c>
      <c r="E181" s="1">
        <v>4.0999999999999996</v>
      </c>
    </row>
    <row r="182" spans="1:5" x14ac:dyDescent="0.35">
      <c r="A182" t="s">
        <v>334</v>
      </c>
      <c r="B182" s="5">
        <v>3.5760000000000001</v>
      </c>
      <c r="C182" s="5">
        <v>3.875</v>
      </c>
      <c r="D182" s="1">
        <v>5.9</v>
      </c>
      <c r="E182" s="1">
        <v>4</v>
      </c>
    </row>
    <row r="183" spans="1:5" x14ac:dyDescent="0.35">
      <c r="A183" t="s">
        <v>335</v>
      </c>
      <c r="B183" s="5">
        <v>3.7109999999999999</v>
      </c>
      <c r="C183" s="5">
        <v>3.7029999999999998</v>
      </c>
      <c r="D183" s="1">
        <v>5.7</v>
      </c>
      <c r="E183" s="1">
        <v>4.0999999999999996</v>
      </c>
    </row>
    <row r="184" spans="1:5" x14ac:dyDescent="0.35">
      <c r="A184" t="s">
        <v>336</v>
      </c>
      <c r="B184" s="5">
        <v>3.3660000000000001</v>
      </c>
      <c r="C184" s="5">
        <v>3.5510000000000002</v>
      </c>
      <c r="D184" s="1">
        <v>5.7</v>
      </c>
      <c r="E184" s="1">
        <v>4.0999999999999996</v>
      </c>
    </row>
    <row r="185" spans="1:5" x14ac:dyDescent="0.35">
      <c r="A185" t="s">
        <v>337</v>
      </c>
      <c r="B185" s="5">
        <v>3.6259999999999999</v>
      </c>
      <c r="C185" s="5">
        <v>3.5680000000000001</v>
      </c>
      <c r="D185" s="1">
        <v>5.7</v>
      </c>
      <c r="E185" s="1">
        <v>4.0999999999999996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4974-63C7-4F66-8CB5-5864121DB8B4}">
  <dimension ref="A1:M96"/>
  <sheetViews>
    <sheetView tabSelected="1" zoomScale="85" zoomScaleNormal="85" workbookViewId="0">
      <pane xSplit="1" ySplit="3" topLeftCell="B55" activePane="bottomRight" state="frozen"/>
      <selection pane="topRight" activeCell="B1" sqref="B1"/>
      <selection pane="bottomLeft" activeCell="A4" sqref="A4"/>
      <selection pane="bottomRight" activeCell="K96" sqref="K96"/>
    </sheetView>
  </sheetViews>
  <sheetFormatPr defaultRowHeight="14.5" x14ac:dyDescent="0.35"/>
  <cols>
    <col min="2" max="2" width="17.26953125" bestFit="1" customWidth="1"/>
    <col min="3" max="3" width="16.6328125" bestFit="1" customWidth="1"/>
    <col min="4" max="4" width="28.08984375" bestFit="1" customWidth="1"/>
    <col min="6" max="6" width="5.7265625" customWidth="1"/>
    <col min="7" max="7" width="3.81640625" customWidth="1"/>
    <col min="8" max="8" width="3.6328125" customWidth="1"/>
    <col min="9" max="9" width="11.1796875" customWidth="1"/>
    <col min="10" max="10" width="15.26953125" bestFit="1" customWidth="1"/>
    <col min="11" max="11" width="15.54296875" bestFit="1" customWidth="1"/>
    <col min="12" max="12" width="15.81640625" bestFit="1" customWidth="1"/>
    <col min="13" max="13" width="16.08984375" bestFit="1" customWidth="1"/>
  </cols>
  <sheetData>
    <row r="1" spans="1:13" x14ac:dyDescent="0.35">
      <c r="A1" s="6" t="s">
        <v>339</v>
      </c>
      <c r="I1" s="6" t="s">
        <v>338</v>
      </c>
    </row>
    <row r="3" spans="1:13" x14ac:dyDescent="0.35">
      <c r="A3" t="s">
        <v>25</v>
      </c>
      <c r="B3" t="s">
        <v>140</v>
      </c>
      <c r="C3" t="s">
        <v>142</v>
      </c>
      <c r="D3" t="s">
        <v>141</v>
      </c>
      <c r="E3" t="s">
        <v>139</v>
      </c>
      <c r="I3" t="s">
        <v>25</v>
      </c>
      <c r="J3" t="s">
        <v>143</v>
      </c>
      <c r="K3" t="s">
        <v>144</v>
      </c>
      <c r="L3" t="s">
        <v>145</v>
      </c>
      <c r="M3" t="s">
        <v>146</v>
      </c>
    </row>
    <row r="4" spans="1:13" x14ac:dyDescent="0.35">
      <c r="A4" s="4">
        <v>2010</v>
      </c>
      <c r="B4" s="1">
        <f>'Haver Q'!B49</f>
        <v>13.2</v>
      </c>
      <c r="C4" s="1">
        <f t="shared" ref="C4:C35" si="0">AVERAGE($B$4:$B$43)</f>
        <v>7.8649999999999993</v>
      </c>
      <c r="D4" s="1">
        <f t="shared" ref="D4:D35" si="1">B4-AVERAGE($B$4:$B$43)</f>
        <v>5.335</v>
      </c>
      <c r="E4" s="1">
        <f>'Old PESR'!B44</f>
        <v>13.2</v>
      </c>
      <c r="I4" s="7">
        <v>42736</v>
      </c>
      <c r="J4" t="e">
        <f>AVERAGE('Haver M'!B91:B93)</f>
        <v>#N/A</v>
      </c>
      <c r="K4" t="e">
        <f>AVERAGE('Haver M'!C91:C93)</f>
        <v>#N/A</v>
      </c>
    </row>
    <row r="5" spans="1:13" x14ac:dyDescent="0.35">
      <c r="B5" s="1">
        <f>'Haver Q'!B50</f>
        <v>11.9</v>
      </c>
      <c r="C5" s="1">
        <f t="shared" si="0"/>
        <v>7.8649999999999993</v>
      </c>
      <c r="D5" s="1">
        <f t="shared" si="1"/>
        <v>4.035000000000001</v>
      </c>
      <c r="E5" s="1">
        <f>'Old PESR'!B45</f>
        <v>12</v>
      </c>
      <c r="I5" s="7">
        <v>42767</v>
      </c>
      <c r="J5" t="e">
        <f>AVERAGE('Haver M'!B92:B94)</f>
        <v>#N/A</v>
      </c>
      <c r="K5" t="e">
        <f>AVERAGE('Haver M'!C92:C94)</f>
        <v>#N/A</v>
      </c>
    </row>
    <row r="6" spans="1:13" x14ac:dyDescent="0.35">
      <c r="B6" s="1">
        <f>'Haver Q'!B51</f>
        <v>11.2</v>
      </c>
      <c r="C6" s="1">
        <f t="shared" si="0"/>
        <v>7.8649999999999993</v>
      </c>
      <c r="D6" s="1">
        <f t="shared" si="1"/>
        <v>3.335</v>
      </c>
      <c r="E6" s="1">
        <f>'Old PESR'!B46</f>
        <v>11.2</v>
      </c>
      <c r="I6" s="7">
        <v>42795</v>
      </c>
      <c r="J6" s="1">
        <f>AVERAGE('Haver M'!B93:B95)</f>
        <v>2.7920000000000003</v>
      </c>
      <c r="K6" s="1">
        <f>AVERAGE('Haver M'!C93:C95)</f>
        <v>2.8653333333333335</v>
      </c>
      <c r="L6" s="1"/>
      <c r="M6" s="1"/>
    </row>
    <row r="7" spans="1:13" x14ac:dyDescent="0.35">
      <c r="B7" s="1">
        <f>'Haver Q'!B52</f>
        <v>11.3</v>
      </c>
      <c r="C7" s="1">
        <f t="shared" si="0"/>
        <v>7.8649999999999993</v>
      </c>
      <c r="D7" s="1">
        <f t="shared" si="1"/>
        <v>3.4350000000000014</v>
      </c>
      <c r="E7" s="1">
        <f>'Old PESR'!B47</f>
        <v>11.3</v>
      </c>
      <c r="I7" s="7">
        <v>42826</v>
      </c>
      <c r="J7" s="1">
        <f>AVERAGE('Haver M'!B94:B96)</f>
        <v>2.7696666666666672</v>
      </c>
      <c r="K7" s="1">
        <f>AVERAGE('Haver M'!C94:C96)</f>
        <v>2.8010000000000002</v>
      </c>
      <c r="L7" s="1"/>
      <c r="M7" s="1"/>
    </row>
    <row r="8" spans="1:13" x14ac:dyDescent="0.35">
      <c r="A8" s="4">
        <v>2011</v>
      </c>
      <c r="B8" s="1">
        <f>'Haver Q'!B53</f>
        <v>9.3000000000000007</v>
      </c>
      <c r="C8" s="1">
        <f t="shared" si="0"/>
        <v>7.8649999999999993</v>
      </c>
      <c r="D8" s="1">
        <f t="shared" si="1"/>
        <v>1.4350000000000014</v>
      </c>
      <c r="E8" s="1">
        <f>'Old PESR'!B48</f>
        <v>9.3000000000000007</v>
      </c>
      <c r="I8" s="7">
        <v>42856</v>
      </c>
      <c r="J8" s="1">
        <f>AVERAGE('Haver M'!B95:B97)</f>
        <v>2.6693333333333329</v>
      </c>
      <c r="K8" s="1">
        <f>AVERAGE('Haver M'!C95:C97)</f>
        <v>2.7436666666666665</v>
      </c>
      <c r="L8" s="1"/>
      <c r="M8" s="1"/>
    </row>
    <row r="9" spans="1:13" x14ac:dyDescent="0.35">
      <c r="B9" s="1">
        <f>'Haver Q'!B54</f>
        <v>10.7</v>
      </c>
      <c r="C9" s="1">
        <f t="shared" si="0"/>
        <v>7.8649999999999993</v>
      </c>
      <c r="D9" s="1">
        <f t="shared" si="1"/>
        <v>2.835</v>
      </c>
      <c r="E9" s="1">
        <f>'Old PESR'!B49</f>
        <v>10.7</v>
      </c>
      <c r="I9" s="7">
        <v>42887</v>
      </c>
      <c r="J9" s="1">
        <f>AVERAGE('Haver M'!B96:B98)</f>
        <v>2.6</v>
      </c>
      <c r="K9" s="1">
        <f>AVERAGE('Haver M'!C96:C98)</f>
        <v>2.6796666666666664</v>
      </c>
      <c r="L9" s="1"/>
      <c r="M9" s="1"/>
    </row>
    <row r="10" spans="1:13" x14ac:dyDescent="0.35">
      <c r="B10" s="1">
        <f>'Haver Q'!B55</f>
        <v>9.6</v>
      </c>
      <c r="C10" s="1">
        <f t="shared" si="0"/>
        <v>7.8649999999999993</v>
      </c>
      <c r="D10" s="1">
        <f t="shared" si="1"/>
        <v>1.7350000000000003</v>
      </c>
      <c r="E10" s="1">
        <f>'Old PESR'!B50</f>
        <v>9.6</v>
      </c>
      <c r="I10" s="7">
        <v>42917</v>
      </c>
      <c r="J10" s="1">
        <f>AVERAGE('Haver M'!B97:B99)</f>
        <v>2.4496666666666669</v>
      </c>
      <c r="K10" s="1">
        <f>AVERAGE('Haver M'!C97:C99)</f>
        <v>2.573</v>
      </c>
      <c r="L10" s="1"/>
      <c r="M10" s="1"/>
    </row>
    <row r="11" spans="1:13" x14ac:dyDescent="0.35">
      <c r="B11" s="1">
        <f>'Haver Q'!B56</f>
        <v>8.5</v>
      </c>
      <c r="C11" s="1">
        <f t="shared" si="0"/>
        <v>7.8649999999999993</v>
      </c>
      <c r="D11" s="1">
        <f t="shared" si="1"/>
        <v>0.63500000000000068</v>
      </c>
      <c r="E11" s="1">
        <f>'Old PESR'!B51</f>
        <v>8.5</v>
      </c>
      <c r="I11" s="7">
        <v>42948</v>
      </c>
      <c r="J11" s="1">
        <f>AVERAGE('Haver M'!B98:B100)</f>
        <v>2.454333333333333</v>
      </c>
      <c r="K11" s="1">
        <f>AVERAGE('Haver M'!C98:C100)</f>
        <v>2.5016666666666669</v>
      </c>
      <c r="L11" s="1"/>
      <c r="M11" s="1"/>
    </row>
    <row r="12" spans="1:13" x14ac:dyDescent="0.35">
      <c r="A12" s="4">
        <v>2012</v>
      </c>
      <c r="B12" s="1">
        <f>'Haver Q'!B57</f>
        <v>10.4</v>
      </c>
      <c r="C12" s="1">
        <f t="shared" si="0"/>
        <v>7.8649999999999993</v>
      </c>
      <c r="D12" s="1">
        <f t="shared" si="1"/>
        <v>2.535000000000001</v>
      </c>
      <c r="E12" s="1">
        <f>'Old PESR'!B52</f>
        <v>10.4</v>
      </c>
      <c r="I12" s="7">
        <v>42979</v>
      </c>
      <c r="J12" s="1">
        <f>AVERAGE('Haver M'!B99:B101)</f>
        <v>2.5609999999999999</v>
      </c>
      <c r="K12" s="1">
        <f>AVERAGE('Haver M'!C99:C101)</f>
        <v>2.4886666666666666</v>
      </c>
      <c r="L12" s="1"/>
      <c r="M12" s="1"/>
    </row>
    <row r="13" spans="1:13" x14ac:dyDescent="0.35">
      <c r="B13" s="1">
        <f>'Haver Q'!B58</f>
        <v>9.6</v>
      </c>
      <c r="C13" s="1">
        <f t="shared" si="0"/>
        <v>7.8649999999999993</v>
      </c>
      <c r="D13" s="1">
        <f t="shared" si="1"/>
        <v>1.7350000000000003</v>
      </c>
      <c r="E13" s="1">
        <f>'Old PESR'!B53</f>
        <v>9.6</v>
      </c>
      <c r="I13" s="7">
        <v>43009</v>
      </c>
      <c r="J13" s="1">
        <f>AVERAGE('Haver M'!B100:B102)</f>
        <v>2.4786666666666668</v>
      </c>
      <c r="K13" s="1">
        <f>AVERAGE('Haver M'!C100:C102)</f>
        <v>2.4983333333333335</v>
      </c>
      <c r="L13" s="1"/>
      <c r="M13" s="1"/>
    </row>
    <row r="14" spans="1:13" x14ac:dyDescent="0.35">
      <c r="B14" s="1">
        <f>'Haver Q'!B59</f>
        <v>8.6</v>
      </c>
      <c r="C14" s="1">
        <f t="shared" si="0"/>
        <v>7.8649999999999993</v>
      </c>
      <c r="D14" s="1">
        <f t="shared" si="1"/>
        <v>0.73500000000000032</v>
      </c>
      <c r="E14" s="1">
        <f>'Old PESR'!B54</f>
        <v>8.6</v>
      </c>
      <c r="I14" s="7">
        <v>43040</v>
      </c>
      <c r="J14" s="1">
        <f>AVERAGE('Haver M'!B101:B103)</f>
        <v>2.4653333333333332</v>
      </c>
      <c r="K14" s="1">
        <f>AVERAGE('Haver M'!C101:C103)</f>
        <v>2.5016666666666665</v>
      </c>
      <c r="L14" s="1"/>
      <c r="M14" s="1"/>
    </row>
    <row r="15" spans="1:13" x14ac:dyDescent="0.35">
      <c r="B15" s="1">
        <f>'Haver Q'!B60</f>
        <v>7</v>
      </c>
      <c r="C15" s="1">
        <f t="shared" si="0"/>
        <v>7.8649999999999993</v>
      </c>
      <c r="D15" s="1">
        <f t="shared" si="1"/>
        <v>-0.86499999999999932</v>
      </c>
      <c r="E15" s="1">
        <f>'Old PESR'!B55</f>
        <v>7</v>
      </c>
      <c r="I15" s="7">
        <v>43070</v>
      </c>
      <c r="J15" s="1">
        <f>AVERAGE('Haver M'!B102:B104)</f>
        <v>2.4813333333333332</v>
      </c>
      <c r="K15" s="1">
        <f>AVERAGE('Haver M'!C102:C104)</f>
        <v>2.4750000000000001</v>
      </c>
      <c r="L15" s="1"/>
      <c r="M15" s="1"/>
    </row>
    <row r="16" spans="1:13" x14ac:dyDescent="0.35">
      <c r="A16" s="4">
        <v>2013</v>
      </c>
      <c r="B16" s="1">
        <f>'Haver Q'!B61</f>
        <v>6.9</v>
      </c>
      <c r="C16" s="1">
        <f t="shared" si="0"/>
        <v>7.8649999999999993</v>
      </c>
      <c r="D16" s="1">
        <f t="shared" si="1"/>
        <v>-0.96499999999999897</v>
      </c>
      <c r="E16" s="1">
        <f>'Old PESR'!B56</f>
        <v>6.9</v>
      </c>
      <c r="I16" s="7">
        <v>43101</v>
      </c>
      <c r="J16" s="1">
        <f>AVERAGE('Haver M'!B103:B105)</f>
        <v>2.4419999999999997</v>
      </c>
      <c r="K16" s="1">
        <f>AVERAGE('Haver M'!C103:C105)</f>
        <v>2.4626666666666668</v>
      </c>
      <c r="L16" s="1"/>
      <c r="M16" s="1"/>
    </row>
    <row r="17" spans="1:13" x14ac:dyDescent="0.35">
      <c r="B17" s="1">
        <f>'Haver Q'!B62</f>
        <v>8.6999999999999993</v>
      </c>
      <c r="C17" s="1">
        <f t="shared" si="0"/>
        <v>7.8649999999999993</v>
      </c>
      <c r="D17" s="1">
        <f t="shared" si="1"/>
        <v>0.83499999999999996</v>
      </c>
      <c r="E17" s="1">
        <f>'Old PESR'!B57</f>
        <v>8.6999999999999993</v>
      </c>
      <c r="I17" s="7">
        <v>43132</v>
      </c>
      <c r="J17" s="1">
        <f>AVERAGE('Haver M'!B104:B106)</f>
        <v>2.4376666666666669</v>
      </c>
      <c r="K17" s="1">
        <f>AVERAGE('Haver M'!C104:C106)</f>
        <v>2.4536666666666669</v>
      </c>
      <c r="L17" s="1"/>
      <c r="M17" s="1"/>
    </row>
    <row r="18" spans="1:13" x14ac:dyDescent="0.35">
      <c r="B18" s="1">
        <f>'Haver Q'!B63</f>
        <v>8.6</v>
      </c>
      <c r="C18" s="1">
        <f t="shared" si="0"/>
        <v>7.8649999999999993</v>
      </c>
      <c r="D18" s="1">
        <f t="shared" si="1"/>
        <v>0.73500000000000032</v>
      </c>
      <c r="E18" s="1">
        <f>'Old PESR'!B58</f>
        <v>8.6</v>
      </c>
      <c r="I18" s="7">
        <v>43160</v>
      </c>
      <c r="J18" s="1">
        <f>AVERAGE('Haver M'!B105:B107)</f>
        <v>2.3353333333333333</v>
      </c>
      <c r="K18" s="1">
        <f>AVERAGE('Haver M'!C105:C107)</f>
        <v>2.4050000000000002</v>
      </c>
      <c r="L18" s="1"/>
      <c r="M18" s="1"/>
    </row>
    <row r="19" spans="1:13" x14ac:dyDescent="0.35">
      <c r="B19" s="1">
        <f>'Haver Q'!B64</f>
        <v>9.3000000000000007</v>
      </c>
      <c r="C19" s="1">
        <f t="shared" si="0"/>
        <v>7.8649999999999993</v>
      </c>
      <c r="D19" s="1">
        <f t="shared" si="1"/>
        <v>1.4350000000000014</v>
      </c>
      <c r="E19" s="1">
        <f>'Old PESR'!B59</f>
        <v>9.3000000000000007</v>
      </c>
      <c r="I19" s="7">
        <v>43191</v>
      </c>
      <c r="J19" s="1">
        <f>AVERAGE('Haver M'!B106:B108)</f>
        <v>2.3289999999999997</v>
      </c>
      <c r="K19" s="1">
        <f>AVERAGE('Haver M'!C106:C108)</f>
        <v>2.3673333333333333</v>
      </c>
      <c r="L19" s="1"/>
      <c r="M19" s="1"/>
    </row>
    <row r="20" spans="1:13" x14ac:dyDescent="0.35">
      <c r="A20" s="4">
        <v>2014</v>
      </c>
      <c r="B20" s="1">
        <f>'Haver Q'!B65</f>
        <v>8.8000000000000007</v>
      </c>
      <c r="C20" s="1">
        <f t="shared" si="0"/>
        <v>7.8649999999999993</v>
      </c>
      <c r="D20" s="1">
        <f t="shared" si="1"/>
        <v>0.93500000000000139</v>
      </c>
      <c r="E20" s="1">
        <f>'Old PESR'!B60</f>
        <v>8.8000000000000007</v>
      </c>
      <c r="I20" s="7">
        <v>43221</v>
      </c>
      <c r="J20" s="1">
        <f>AVERAGE('Haver M'!B107:B109)</f>
        <v>2.1853333333333333</v>
      </c>
      <c r="K20" s="1">
        <f>AVERAGE('Haver M'!C107:C109)</f>
        <v>2.2833333333333332</v>
      </c>
      <c r="L20" s="1"/>
      <c r="M20" s="1"/>
    </row>
    <row r="21" spans="1:13" x14ac:dyDescent="0.35">
      <c r="B21" s="1">
        <f>'Haver Q'!B66</f>
        <v>8.1999999999999993</v>
      </c>
      <c r="C21" s="1">
        <f t="shared" si="0"/>
        <v>7.8649999999999993</v>
      </c>
      <c r="D21" s="1">
        <f t="shared" si="1"/>
        <v>0.33499999999999996</v>
      </c>
      <c r="E21" s="1">
        <f>'Old PESR'!B61</f>
        <v>8.1</v>
      </c>
      <c r="I21" s="7">
        <v>43252</v>
      </c>
      <c r="J21" s="1">
        <f>AVERAGE('Haver M'!B108:B110)</f>
        <v>2.246</v>
      </c>
      <c r="K21" s="1">
        <f>AVERAGE('Haver M'!C108:C110)</f>
        <v>2.2536666666666672</v>
      </c>
      <c r="L21" s="1"/>
      <c r="M21" s="1"/>
    </row>
    <row r="22" spans="1:13" x14ac:dyDescent="0.35">
      <c r="B22" s="1">
        <f>'Haver Q'!B67</f>
        <v>6.5</v>
      </c>
      <c r="C22" s="1">
        <f t="shared" si="0"/>
        <v>7.8649999999999993</v>
      </c>
      <c r="D22" s="1">
        <f t="shared" si="1"/>
        <v>-1.3649999999999993</v>
      </c>
      <c r="E22" s="1">
        <f>'Old PESR'!B62</f>
        <v>6.5</v>
      </c>
      <c r="I22" s="7">
        <v>43282</v>
      </c>
      <c r="J22" s="1">
        <f>AVERAGE('Haver M'!B109:B111)</f>
        <v>2.2393333333333332</v>
      </c>
      <c r="K22" s="1">
        <f>AVERAGE('Haver M'!C109:C111)</f>
        <v>2.2236666666666669</v>
      </c>
      <c r="L22" s="1"/>
      <c r="M22" s="1"/>
    </row>
    <row r="23" spans="1:13" x14ac:dyDescent="0.35">
      <c r="B23" s="1">
        <f>'Haver Q'!B68</f>
        <v>6.6</v>
      </c>
      <c r="C23" s="1">
        <f t="shared" si="0"/>
        <v>7.8649999999999993</v>
      </c>
      <c r="D23" s="1">
        <f t="shared" si="1"/>
        <v>-1.2649999999999997</v>
      </c>
      <c r="E23" s="1">
        <f>'Old PESR'!B63</f>
        <v>6.6</v>
      </c>
      <c r="I23" s="7">
        <v>43313</v>
      </c>
      <c r="J23" s="1">
        <f>AVERAGE('Haver M'!B110:B112)</f>
        <v>2.3316666666666666</v>
      </c>
      <c r="K23" s="1">
        <f>AVERAGE('Haver M'!C110:C112)</f>
        <v>2.2723333333333331</v>
      </c>
      <c r="L23" s="1"/>
      <c r="M23" s="1"/>
    </row>
    <row r="24" spans="1:13" x14ac:dyDescent="0.35">
      <c r="A24" s="4">
        <v>2015</v>
      </c>
      <c r="B24" s="1">
        <f>'Haver Q'!B69</f>
        <v>8.1</v>
      </c>
      <c r="C24" s="1">
        <f t="shared" si="0"/>
        <v>7.8649999999999993</v>
      </c>
      <c r="D24" s="1">
        <f t="shared" si="1"/>
        <v>0.23500000000000032</v>
      </c>
      <c r="E24" s="1">
        <f>'Old PESR'!B64</f>
        <v>8.1</v>
      </c>
      <c r="I24" s="7">
        <v>43344</v>
      </c>
      <c r="J24" s="1">
        <f>AVERAGE('Haver M'!B111:B113)</f>
        <v>2.2266666666666666</v>
      </c>
      <c r="K24" s="1">
        <f>AVERAGE('Haver M'!C111:C113)</f>
        <v>2.2656666666666667</v>
      </c>
      <c r="L24" s="1"/>
      <c r="M24" s="1"/>
    </row>
    <row r="25" spans="1:13" x14ac:dyDescent="0.35">
      <c r="B25" s="1">
        <f>'Haver Q'!B70</f>
        <v>10.3</v>
      </c>
      <c r="C25" s="1">
        <f t="shared" si="0"/>
        <v>7.8649999999999993</v>
      </c>
      <c r="D25" s="1">
        <f t="shared" si="1"/>
        <v>2.4350000000000014</v>
      </c>
      <c r="E25" s="1">
        <f>'Old PESR'!B65</f>
        <v>10.199999999999999</v>
      </c>
      <c r="I25" s="7">
        <v>43374</v>
      </c>
      <c r="J25" s="1">
        <f>AVERAGE('Haver M'!B112:B114)</f>
        <v>2.2823333333333333</v>
      </c>
      <c r="K25" s="1">
        <f>AVERAGE('Haver M'!C112:C114)</f>
        <v>2.2799999999999998</v>
      </c>
      <c r="L25" s="1"/>
      <c r="M25" s="1"/>
    </row>
    <row r="26" spans="1:13" x14ac:dyDescent="0.35">
      <c r="B26" s="1">
        <f>'Haver Q'!B71</f>
        <v>10</v>
      </c>
      <c r="C26" s="1">
        <f t="shared" si="0"/>
        <v>7.8649999999999993</v>
      </c>
      <c r="D26" s="1">
        <f t="shared" si="1"/>
        <v>2.1350000000000007</v>
      </c>
      <c r="E26" s="1">
        <f>'Old PESR'!B66</f>
        <v>10.1</v>
      </c>
      <c r="I26" s="7">
        <v>43405</v>
      </c>
      <c r="J26" s="1">
        <f>AVERAGE('Haver M'!B113:B115)</f>
        <v>2.4266666666666663</v>
      </c>
      <c r="K26" s="1">
        <f>AVERAGE('Haver M'!C113:C115)</f>
        <v>2.311666666666667</v>
      </c>
      <c r="L26" s="1"/>
      <c r="M26" s="1"/>
    </row>
    <row r="27" spans="1:13" x14ac:dyDescent="0.35">
      <c r="B27" s="1">
        <f>'Haver Q'!B72</f>
        <v>10.9</v>
      </c>
      <c r="C27" s="1">
        <f t="shared" si="0"/>
        <v>7.8649999999999993</v>
      </c>
      <c r="D27" s="1">
        <f t="shared" si="1"/>
        <v>3.035000000000001</v>
      </c>
      <c r="E27" s="1">
        <f>'Old PESR'!B67</f>
        <v>10.9</v>
      </c>
      <c r="I27" s="7">
        <v>43435</v>
      </c>
      <c r="J27" s="1">
        <f>AVERAGE('Haver M'!B114:B116)</f>
        <v>2.4843333333333333</v>
      </c>
      <c r="K27" s="1">
        <f>AVERAGE('Haver M'!C114:C116)</f>
        <v>2.3976666666666664</v>
      </c>
      <c r="L27" s="1"/>
      <c r="M27" s="1"/>
    </row>
    <row r="28" spans="1:13" x14ac:dyDescent="0.35">
      <c r="A28" s="4">
        <v>2016</v>
      </c>
      <c r="B28" s="1">
        <f>'Haver Q'!B73</f>
        <v>8.1</v>
      </c>
      <c r="C28" s="1">
        <f t="shared" si="0"/>
        <v>7.8649999999999993</v>
      </c>
      <c r="D28" s="1">
        <f t="shared" si="1"/>
        <v>0.23500000000000032</v>
      </c>
      <c r="E28" s="1">
        <f>'Old PESR'!B68</f>
        <v>8.1</v>
      </c>
      <c r="I28" s="7">
        <v>43466</v>
      </c>
      <c r="J28" s="1">
        <f>AVERAGE('Haver M'!B115:B117)</f>
        <v>2.4646666666666666</v>
      </c>
      <c r="K28" s="1">
        <f>AVERAGE('Haver M'!C115:C117)</f>
        <v>2.4586666666666663</v>
      </c>
      <c r="L28" s="1"/>
      <c r="M28" s="1"/>
    </row>
    <row r="29" spans="1:13" x14ac:dyDescent="0.35">
      <c r="B29" s="1">
        <f>'Haver Q'!B74</f>
        <v>7.1</v>
      </c>
      <c r="C29" s="1">
        <f t="shared" si="0"/>
        <v>7.8649999999999993</v>
      </c>
      <c r="D29" s="1">
        <f t="shared" si="1"/>
        <v>-0.76499999999999968</v>
      </c>
      <c r="E29" s="1">
        <f>'Old PESR'!B69</f>
        <v>7.1</v>
      </c>
      <c r="I29" s="7">
        <v>43497</v>
      </c>
      <c r="J29" s="1">
        <f>AVERAGE('Haver M'!B116:B118)</f>
        <v>2.4226666666666667</v>
      </c>
      <c r="K29" s="1">
        <f>AVERAGE('Haver M'!C116:C118)</f>
        <v>2.4573333333333331</v>
      </c>
      <c r="L29" s="1"/>
      <c r="M29" s="1"/>
    </row>
    <row r="30" spans="1:13" x14ac:dyDescent="0.35">
      <c r="B30" s="1">
        <f>'Haver Q'!B75</f>
        <v>5.0999999999999996</v>
      </c>
      <c r="C30" s="1">
        <f t="shared" si="0"/>
        <v>7.8649999999999993</v>
      </c>
      <c r="D30" s="1">
        <f t="shared" si="1"/>
        <v>-2.7649999999999997</v>
      </c>
      <c r="E30" s="1">
        <f>'Old PESR'!B70</f>
        <v>5.0999999999999996</v>
      </c>
      <c r="I30" s="7">
        <v>43525</v>
      </c>
      <c r="J30" s="1">
        <f>AVERAGE('Haver M'!B117:B119)</f>
        <v>2.387</v>
      </c>
      <c r="K30" s="1">
        <f>AVERAGE('Haver M'!C117:C119)</f>
        <v>2.4250000000000003</v>
      </c>
      <c r="L30" s="1"/>
      <c r="M30" s="1"/>
    </row>
    <row r="31" spans="1:13" x14ac:dyDescent="0.35">
      <c r="B31" s="1">
        <f>'Haver Q'!B76</f>
        <v>5.5</v>
      </c>
      <c r="C31" s="1">
        <f t="shared" si="0"/>
        <v>7.8649999999999993</v>
      </c>
      <c r="D31" s="1">
        <f t="shared" si="1"/>
        <v>-2.3649999999999993</v>
      </c>
      <c r="E31" s="1">
        <f>'Old PESR'!B71</f>
        <v>5.5</v>
      </c>
      <c r="I31" s="7">
        <v>43556</v>
      </c>
      <c r="J31" s="1">
        <f>AVERAGE('Haver M'!B118:B120)</f>
        <v>2.448</v>
      </c>
      <c r="K31" s="1">
        <f>AVERAGE('Haver M'!C118:C120)</f>
        <v>2.4193333333333338</v>
      </c>
      <c r="L31" s="1"/>
      <c r="M31" s="1"/>
    </row>
    <row r="32" spans="1:13" x14ac:dyDescent="0.35">
      <c r="A32" s="4">
        <v>2017</v>
      </c>
      <c r="B32" s="1">
        <f>'Haver Q'!B77</f>
        <v>4.3</v>
      </c>
      <c r="C32" s="1">
        <f t="shared" si="0"/>
        <v>7.8649999999999993</v>
      </c>
      <c r="D32" s="1">
        <f t="shared" si="1"/>
        <v>-3.5649999999999995</v>
      </c>
      <c r="E32" s="1">
        <f>'Old PESR'!B72</f>
        <v>4.3</v>
      </c>
      <c r="I32" s="7">
        <v>43586</v>
      </c>
      <c r="J32" s="1">
        <f>AVERAGE('Haver M'!B119:B121)</f>
        <v>2.3716666666666666</v>
      </c>
      <c r="K32" s="1">
        <f>AVERAGE('Haver M'!C119:C121)</f>
        <v>2.4023333333333334</v>
      </c>
      <c r="L32" s="1"/>
      <c r="M32" s="1"/>
    </row>
    <row r="33" spans="1:13" x14ac:dyDescent="0.35">
      <c r="B33" s="1">
        <f>'Haver Q'!B78</f>
        <v>6.4</v>
      </c>
      <c r="C33" s="1">
        <f t="shared" si="0"/>
        <v>7.8649999999999993</v>
      </c>
      <c r="D33" s="1">
        <f t="shared" si="1"/>
        <v>-1.464999999999999</v>
      </c>
      <c r="E33" s="1">
        <f>'Old PESR'!B73</f>
        <v>6.4</v>
      </c>
      <c r="I33" s="7">
        <v>43617</v>
      </c>
      <c r="J33" s="1">
        <f>AVERAGE('Haver M'!B120:B122)</f>
        <v>2.4003333333333332</v>
      </c>
      <c r="K33" s="1">
        <f>AVERAGE('Haver M'!C120:C122)</f>
        <v>2.4066666666666667</v>
      </c>
      <c r="L33" s="1"/>
      <c r="M33" s="1"/>
    </row>
    <row r="34" spans="1:13" x14ac:dyDescent="0.35">
      <c r="B34" s="1">
        <f>'Haver Q'!B79</f>
        <v>5.7</v>
      </c>
      <c r="C34" s="1">
        <f t="shared" si="0"/>
        <v>7.8649999999999993</v>
      </c>
      <c r="D34" s="1">
        <f t="shared" si="1"/>
        <v>-2.1649999999999991</v>
      </c>
      <c r="E34" s="1">
        <f>'Old PESR'!B74</f>
        <v>5.8</v>
      </c>
      <c r="I34" s="7">
        <v>43647</v>
      </c>
      <c r="J34" s="1">
        <f>AVERAGE('Haver M'!B121:B123)</f>
        <v>2.1946666666666665</v>
      </c>
      <c r="K34" s="1">
        <f>AVERAGE('Haver M'!C121:C123)</f>
        <v>2.3223333333333334</v>
      </c>
      <c r="L34" s="1"/>
      <c r="M34" s="1"/>
    </row>
    <row r="35" spans="1:13" x14ac:dyDescent="0.35">
      <c r="B35" s="1">
        <f>'Haver Q'!B80</f>
        <v>4.9000000000000004</v>
      </c>
      <c r="C35" s="1">
        <f t="shared" si="0"/>
        <v>7.8649999999999993</v>
      </c>
      <c r="D35" s="1">
        <f t="shared" si="1"/>
        <v>-2.964999999999999</v>
      </c>
      <c r="E35" s="1">
        <f>'Old PESR'!B75</f>
        <v>4.8</v>
      </c>
      <c r="I35" s="7">
        <v>43678</v>
      </c>
      <c r="J35" s="1">
        <f>AVERAGE('Haver M'!B122:B124)</f>
        <v>2.1803333333333335</v>
      </c>
      <c r="K35" s="1">
        <f>AVERAGE('Haver M'!C122:C124)</f>
        <v>2.2583333333333333</v>
      </c>
      <c r="L35" s="1"/>
      <c r="M35" s="1"/>
    </row>
    <row r="36" spans="1:13" x14ac:dyDescent="0.35">
      <c r="A36" s="4">
        <v>2018</v>
      </c>
      <c r="B36" s="1">
        <f>'Haver Q'!B81</f>
        <v>5.8</v>
      </c>
      <c r="C36" s="1">
        <f t="shared" ref="C36:C61" si="2">AVERAGE($B$4:$B$43)</f>
        <v>7.8649999999999993</v>
      </c>
      <c r="D36" s="1">
        <f t="shared" ref="D36:D61" si="3">B36-AVERAGE($B$4:$B$43)</f>
        <v>-2.0649999999999995</v>
      </c>
      <c r="E36" s="1">
        <f>'Old PESR'!B76</f>
        <v>5.8</v>
      </c>
      <c r="I36" s="7">
        <v>43709</v>
      </c>
      <c r="J36" s="1">
        <f>AVERAGE('Haver M'!B123:B125)</f>
        <v>2.2473333333333336</v>
      </c>
      <c r="K36" s="1">
        <f>AVERAGE('Haver M'!C123:C125)</f>
        <v>2.2073333333333331</v>
      </c>
      <c r="L36" s="1"/>
      <c r="M36" s="1"/>
    </row>
    <row r="37" spans="1:13" x14ac:dyDescent="0.35">
      <c r="B37" s="1">
        <f>'Haver Q'!B82</f>
        <v>5.3</v>
      </c>
      <c r="C37" s="1">
        <f t="shared" si="2"/>
        <v>7.8649999999999993</v>
      </c>
      <c r="D37" s="1">
        <f t="shared" si="3"/>
        <v>-2.5649999999999995</v>
      </c>
      <c r="E37" s="1">
        <f>'Old PESR'!B77</f>
        <v>5.3</v>
      </c>
      <c r="I37" s="7">
        <v>43739</v>
      </c>
      <c r="J37" s="1">
        <f>AVERAGE('Haver M'!B124:B126)</f>
        <v>2.2866666666666666</v>
      </c>
      <c r="K37" s="1">
        <f>AVERAGE('Haver M'!C124:C126)</f>
        <v>2.238</v>
      </c>
      <c r="L37" s="1"/>
      <c r="M37" s="1"/>
    </row>
    <row r="38" spans="1:13" x14ac:dyDescent="0.35">
      <c r="B38" s="1">
        <f>'Haver Q'!B83</f>
        <v>5.4</v>
      </c>
      <c r="C38" s="1">
        <f t="shared" si="2"/>
        <v>7.8649999999999993</v>
      </c>
      <c r="D38" s="1">
        <f t="shared" si="3"/>
        <v>-2.464999999999999</v>
      </c>
      <c r="E38" s="1">
        <f>'Old PESR'!B78</f>
        <v>5.4</v>
      </c>
      <c r="I38" s="7">
        <v>43770</v>
      </c>
      <c r="J38" s="1">
        <f>AVERAGE('Haver M'!B125:B127)</f>
        <v>2.2506666666666666</v>
      </c>
      <c r="K38" s="1">
        <f>AVERAGE('Haver M'!C125:C127)</f>
        <v>2.2616666666666667</v>
      </c>
      <c r="L38" s="1"/>
      <c r="M38" s="1"/>
    </row>
    <row r="39" spans="1:13" x14ac:dyDescent="0.35">
      <c r="B39" s="1">
        <f>'Haver Q'!B84</f>
        <v>4.8</v>
      </c>
      <c r="C39" s="1">
        <f t="shared" si="2"/>
        <v>7.8649999999999993</v>
      </c>
      <c r="D39" s="1">
        <f t="shared" si="3"/>
        <v>-3.0649999999999995</v>
      </c>
      <c r="E39" s="1">
        <f>'Old PESR'!B79</f>
        <v>4.8</v>
      </c>
      <c r="I39" s="7">
        <v>43800</v>
      </c>
      <c r="J39" s="1">
        <f>AVERAGE('Haver M'!B126:B128)</f>
        <v>2.2560000000000002</v>
      </c>
      <c r="K39" s="1">
        <f>AVERAGE('Haver M'!C126:C128)</f>
        <v>2.2646666666666668</v>
      </c>
      <c r="L39" s="1"/>
      <c r="M39" s="1"/>
    </row>
    <row r="40" spans="1:13" x14ac:dyDescent="0.35">
      <c r="A40" s="4">
        <v>2019</v>
      </c>
      <c r="B40" s="1">
        <f>'Haver Q'!B85</f>
        <v>4.9000000000000004</v>
      </c>
      <c r="C40" s="1">
        <f t="shared" si="2"/>
        <v>7.8649999999999993</v>
      </c>
      <c r="D40" s="1">
        <f t="shared" si="3"/>
        <v>-2.964999999999999</v>
      </c>
      <c r="E40" s="1">
        <f>'Old PESR'!B80</f>
        <v>4.9000000000000004</v>
      </c>
      <c r="I40" s="7">
        <v>43831</v>
      </c>
      <c r="J40" s="1">
        <f>AVERAGE('Haver M'!B127:B129)</f>
        <v>2.2243333333333335</v>
      </c>
      <c r="K40" s="1">
        <f>AVERAGE('Haver M'!C127:C129)</f>
        <v>2.2436666666666665</v>
      </c>
      <c r="L40" s="1"/>
      <c r="M40" s="1"/>
    </row>
    <row r="41" spans="1:13" x14ac:dyDescent="0.35">
      <c r="B41" s="1">
        <f>'Haver Q'!B86</f>
        <v>5.7</v>
      </c>
      <c r="C41" s="1">
        <f t="shared" si="2"/>
        <v>7.8649999999999993</v>
      </c>
      <c r="D41" s="1">
        <f t="shared" si="3"/>
        <v>-2.1649999999999991</v>
      </c>
      <c r="E41" s="1">
        <f>'Old PESR'!B81</f>
        <v>5.8</v>
      </c>
      <c r="I41" s="7">
        <v>43862</v>
      </c>
      <c r="J41" s="1">
        <f>AVERAGE('Haver M'!B128:B130)</f>
        <v>2.206</v>
      </c>
      <c r="K41" s="1">
        <f>AVERAGE('Haver M'!C128:C130)</f>
        <v>2.2286666666666668</v>
      </c>
      <c r="L41" s="1"/>
      <c r="M41" s="1"/>
    </row>
    <row r="42" spans="1:13" x14ac:dyDescent="0.35">
      <c r="B42" s="1">
        <f>'Haver Q'!B87</f>
        <v>5.3</v>
      </c>
      <c r="C42" s="1">
        <f t="shared" si="2"/>
        <v>7.8649999999999993</v>
      </c>
      <c r="D42" s="1">
        <f t="shared" si="3"/>
        <v>-2.5649999999999995</v>
      </c>
      <c r="E42" s="1">
        <f>'Old PESR'!B82</f>
        <v>5.3</v>
      </c>
      <c r="I42" s="7">
        <v>43891</v>
      </c>
      <c r="J42" s="1">
        <f>AVERAGE('Haver M'!B129:B131)</f>
        <v>1.954</v>
      </c>
      <c r="K42" s="1">
        <f>AVERAGE('Haver M'!C129:C131)</f>
        <v>2.1279999999999997</v>
      </c>
      <c r="L42" s="1"/>
      <c r="M42" s="1"/>
    </row>
    <row r="43" spans="1:13" x14ac:dyDescent="0.35">
      <c r="B43" s="1">
        <f>'Haver Q'!B88</f>
        <v>6.1</v>
      </c>
      <c r="C43" s="1">
        <f t="shared" si="2"/>
        <v>7.8649999999999993</v>
      </c>
      <c r="D43" s="1">
        <f t="shared" si="3"/>
        <v>-1.7649999999999997</v>
      </c>
      <c r="E43" s="1">
        <f>'Old PESR'!B83</f>
        <v>6</v>
      </c>
      <c r="I43" s="7">
        <v>43922</v>
      </c>
      <c r="J43" s="1">
        <f>AVERAGE('Haver M'!B130:B132)</f>
        <v>1.6493333333333331</v>
      </c>
      <c r="K43" s="1">
        <f>AVERAGE('Haver M'!C130:C132)</f>
        <v>1.9363333333333335</v>
      </c>
      <c r="L43" s="1"/>
      <c r="M43" s="1"/>
    </row>
    <row r="44" spans="1:13" x14ac:dyDescent="0.35">
      <c r="A44" s="4">
        <v>2020</v>
      </c>
      <c r="B44" s="1">
        <f>'Haver Q'!B89</f>
        <v>7.2</v>
      </c>
      <c r="C44" s="1">
        <f t="shared" si="2"/>
        <v>7.8649999999999993</v>
      </c>
      <c r="D44" s="1">
        <f t="shared" si="3"/>
        <v>-0.66499999999999915</v>
      </c>
      <c r="E44" s="1">
        <f>'Old PESR'!B84</f>
        <v>7.3</v>
      </c>
      <c r="I44" s="7">
        <v>43952</v>
      </c>
      <c r="J44" s="1">
        <f>AVERAGE('Haver M'!B131:B133)</f>
        <v>1.4029999999999998</v>
      </c>
      <c r="K44" s="1">
        <f>AVERAGE('Haver M'!C131:C133)</f>
        <v>1.6686666666666667</v>
      </c>
      <c r="L44" s="1"/>
      <c r="M44" s="1"/>
    </row>
    <row r="45" spans="1:13" x14ac:dyDescent="0.35">
      <c r="B45" s="1">
        <f>'Haver Q'!B90</f>
        <v>27.3</v>
      </c>
      <c r="C45" s="1">
        <f t="shared" si="2"/>
        <v>7.8649999999999993</v>
      </c>
      <c r="D45" s="1">
        <f t="shared" si="3"/>
        <v>19.435000000000002</v>
      </c>
      <c r="E45" s="1">
        <f>'Old PESR'!B85</f>
        <v>27.3</v>
      </c>
      <c r="I45" s="7">
        <v>43983</v>
      </c>
      <c r="J45" s="1">
        <f>AVERAGE('Haver M'!B132:B134)</f>
        <v>1.3480000000000001</v>
      </c>
      <c r="K45" s="1">
        <f>AVERAGE('Haver M'!C132:C134)</f>
        <v>1.4666666666666668</v>
      </c>
      <c r="L45" s="1"/>
      <c r="M45" s="1"/>
    </row>
    <row r="46" spans="1:13" x14ac:dyDescent="0.35">
      <c r="B46" s="1">
        <f>'Haver Q'!B91</f>
        <v>15.6</v>
      </c>
      <c r="C46" s="1">
        <f t="shared" si="2"/>
        <v>7.8649999999999993</v>
      </c>
      <c r="D46" s="1">
        <f t="shared" si="3"/>
        <v>7.7350000000000003</v>
      </c>
      <c r="E46" s="1">
        <f>'Old PESR'!B86</f>
        <v>15.6</v>
      </c>
      <c r="I46" s="7">
        <v>44013</v>
      </c>
      <c r="J46" s="1">
        <f>AVERAGE('Haver M'!B133:B135)</f>
        <v>1.5</v>
      </c>
      <c r="K46" s="1">
        <f>AVERAGE('Haver M'!C133:C135)</f>
        <v>1.417</v>
      </c>
      <c r="L46" s="1"/>
      <c r="M46" s="1"/>
    </row>
    <row r="47" spans="1:13" x14ac:dyDescent="0.35">
      <c r="B47" s="1">
        <f>'Haver Q'!B92</f>
        <v>17.100000000000001</v>
      </c>
      <c r="C47" s="1">
        <f t="shared" si="2"/>
        <v>7.8649999999999993</v>
      </c>
      <c r="D47" s="1">
        <f t="shared" si="3"/>
        <v>9.235000000000003</v>
      </c>
      <c r="E47" s="1">
        <f>'Old PESR'!B87</f>
        <v>16.899999999999999</v>
      </c>
      <c r="I47" s="7">
        <v>44044</v>
      </c>
      <c r="J47" s="1">
        <f>AVERAGE('Haver M'!B134:B136)</f>
        <v>1.7646666666666668</v>
      </c>
      <c r="K47" s="1">
        <f>AVERAGE('Haver M'!C134:C136)</f>
        <v>1.5373333333333334</v>
      </c>
      <c r="L47" s="1"/>
      <c r="M47" s="1"/>
    </row>
    <row r="48" spans="1:13" x14ac:dyDescent="0.35">
      <c r="A48" s="4">
        <v>2021</v>
      </c>
      <c r="B48" s="1">
        <f>'Haver Q'!B93</f>
        <v>21.8</v>
      </c>
      <c r="C48" s="1">
        <f t="shared" si="2"/>
        <v>7.8649999999999993</v>
      </c>
      <c r="D48" s="1">
        <f t="shared" si="3"/>
        <v>13.935000000000002</v>
      </c>
      <c r="E48" s="1">
        <f>'Old PESR'!B88</f>
        <v>21.3</v>
      </c>
      <c r="I48" s="7">
        <v>44075</v>
      </c>
      <c r="J48" s="1">
        <f>AVERAGE('Haver M'!B135:B137)</f>
        <v>1.9103333333333332</v>
      </c>
      <c r="K48" s="1">
        <f>AVERAGE('Haver M'!C135:C137)</f>
        <v>1.7246666666666668</v>
      </c>
      <c r="L48" s="1"/>
      <c r="M48" s="1"/>
    </row>
    <row r="49" spans="1:13" x14ac:dyDescent="0.35">
      <c r="B49" s="1">
        <f>'Haver Q'!B94</f>
        <v>12.6</v>
      </c>
      <c r="C49" s="1">
        <f t="shared" si="2"/>
        <v>7.8649999999999993</v>
      </c>
      <c r="D49" s="1">
        <f t="shared" si="3"/>
        <v>4.7350000000000003</v>
      </c>
      <c r="E49" s="1">
        <f>'Old PESR'!B89</f>
        <v>11.9</v>
      </c>
      <c r="I49" s="7">
        <v>44105</v>
      </c>
      <c r="J49" s="1">
        <f>AVERAGE('Haver M'!B136:B138)</f>
        <v>2.1439999999999997</v>
      </c>
      <c r="K49" s="1">
        <f>AVERAGE('Haver M'!C136:C138)</f>
        <v>1.9393333333333331</v>
      </c>
      <c r="L49" s="1"/>
      <c r="M49" s="1"/>
    </row>
    <row r="50" spans="1:13" x14ac:dyDescent="0.35">
      <c r="B50" s="1">
        <f>'Haver Q'!B95</f>
        <v>9.5</v>
      </c>
      <c r="C50" s="1">
        <f t="shared" si="2"/>
        <v>7.8649999999999993</v>
      </c>
      <c r="D50" s="1">
        <f t="shared" si="3"/>
        <v>1.6350000000000007</v>
      </c>
      <c r="E50" s="1">
        <f>'Old PESR'!B90</f>
        <v>9.1</v>
      </c>
      <c r="I50" s="7">
        <v>44136</v>
      </c>
      <c r="J50" s="1">
        <f>AVERAGE('Haver M'!B137:B139)</f>
        <v>2.1143333333333332</v>
      </c>
      <c r="K50" s="1">
        <f>AVERAGE('Haver M'!C137:C139)</f>
        <v>2.0563333333333333</v>
      </c>
      <c r="L50" s="1"/>
      <c r="M50" s="1"/>
    </row>
    <row r="51" spans="1:13" x14ac:dyDescent="0.35">
      <c r="B51" s="1">
        <f>'Haver Q'!B96</f>
        <v>7.2</v>
      </c>
      <c r="C51" s="1">
        <f t="shared" si="2"/>
        <v>7.8649999999999993</v>
      </c>
      <c r="D51" s="1">
        <f t="shared" si="3"/>
        <v>-0.66499999999999915</v>
      </c>
      <c r="E51" s="1">
        <f>'Old PESR'!B91</f>
        <v>7.8</v>
      </c>
      <c r="I51" s="7">
        <v>44166</v>
      </c>
      <c r="J51" s="1">
        <f>AVERAGE('Haver M'!B138:B140)</f>
        <v>2.3839999999999999</v>
      </c>
      <c r="K51" s="1">
        <f>AVERAGE('Haver M'!C138:C140)</f>
        <v>2.2143333333333337</v>
      </c>
      <c r="L51" s="1"/>
      <c r="M51" s="1"/>
    </row>
    <row r="52" spans="1:13" x14ac:dyDescent="0.35">
      <c r="A52" s="4">
        <v>2022</v>
      </c>
      <c r="B52" s="1">
        <f>'Haver Q'!B97</f>
        <v>7.1</v>
      </c>
      <c r="C52" s="1">
        <f t="shared" si="2"/>
        <v>7.8649999999999993</v>
      </c>
      <c r="D52" s="1">
        <f t="shared" si="3"/>
        <v>-0.76499999999999968</v>
      </c>
      <c r="E52" s="1">
        <f>'Old PESR'!B92</f>
        <v>8.3000000000000007</v>
      </c>
      <c r="I52" s="7">
        <v>44197</v>
      </c>
      <c r="J52" s="1">
        <f>AVERAGE('Haver M'!B139:B141)</f>
        <v>2.4323333333333337</v>
      </c>
      <c r="K52" s="1">
        <f>AVERAGE('Haver M'!C139:C141)</f>
        <v>2.3106666666666666</v>
      </c>
      <c r="L52" s="1"/>
      <c r="M52" s="1"/>
    </row>
    <row r="53" spans="1:13" x14ac:dyDescent="0.35">
      <c r="B53" s="1">
        <f>'Haver Q'!B98</f>
        <v>4.5999999999999996</v>
      </c>
      <c r="C53" s="1">
        <f t="shared" si="2"/>
        <v>7.8649999999999993</v>
      </c>
      <c r="D53" s="1">
        <f t="shared" si="3"/>
        <v>-3.2649999999999997</v>
      </c>
      <c r="E53" s="1">
        <f>'Old PESR'!B93</f>
        <v>7.1</v>
      </c>
      <c r="I53" s="7">
        <v>44228</v>
      </c>
      <c r="J53" s="1">
        <f>AVERAGE('Haver M'!B140:B142)</f>
        <v>2.6413333333333333</v>
      </c>
      <c r="K53" s="1">
        <f>AVERAGE('Haver M'!C140:C142)</f>
        <v>2.4863333333333331</v>
      </c>
      <c r="L53" s="1"/>
      <c r="M53" s="1"/>
    </row>
    <row r="54" spans="1:13" x14ac:dyDescent="0.35">
      <c r="B54" s="1">
        <f>'Haver Q'!B99</f>
        <v>6.1</v>
      </c>
      <c r="C54" s="1">
        <f t="shared" si="2"/>
        <v>7.8649999999999993</v>
      </c>
      <c r="D54" s="1">
        <f t="shared" si="3"/>
        <v>-1.7649999999999997</v>
      </c>
      <c r="E54" s="1">
        <f>'Old PESR'!B94</f>
        <v>8.6999999999999993</v>
      </c>
      <c r="I54" s="7">
        <v>44256</v>
      </c>
      <c r="J54" s="1">
        <f>AVERAGE('Haver M'!B141:B143)</f>
        <v>2.7353333333333332</v>
      </c>
      <c r="K54" s="1">
        <f>AVERAGE('Haver M'!C141:C143)</f>
        <v>2.6033333333333331</v>
      </c>
      <c r="L54" s="1"/>
      <c r="M54" s="1"/>
    </row>
    <row r="55" spans="1:13" x14ac:dyDescent="0.35">
      <c r="B55" s="1">
        <f>'Haver Q'!B100</f>
        <v>6.4</v>
      </c>
      <c r="C55" s="1">
        <f t="shared" si="2"/>
        <v>7.8649999999999993</v>
      </c>
      <c r="D55" s="1">
        <f t="shared" si="3"/>
        <v>-1.464999999999999</v>
      </c>
      <c r="E55" s="1">
        <f>'Old PESR'!B95</f>
        <v>9.3000000000000007</v>
      </c>
      <c r="I55" s="7">
        <v>44287</v>
      </c>
      <c r="J55" s="1">
        <f>AVERAGE('Haver M'!B142:B144)</f>
        <v>2.9446666666666665</v>
      </c>
      <c r="K55" s="1">
        <f>AVERAGE('Haver M'!C142:C144)</f>
        <v>2.7739999999999996</v>
      </c>
      <c r="L55" s="1"/>
      <c r="M55" s="1"/>
    </row>
    <row r="56" spans="1:13" x14ac:dyDescent="0.35">
      <c r="A56" s="4">
        <v>2023</v>
      </c>
      <c r="B56" s="1">
        <f>'Haver Q'!B101</f>
        <v>6.3</v>
      </c>
      <c r="C56" s="1">
        <f t="shared" si="2"/>
        <v>7.8649999999999993</v>
      </c>
      <c r="D56" s="1">
        <f t="shared" si="3"/>
        <v>-1.5649999999999995</v>
      </c>
      <c r="E56" s="1">
        <f>'Old PESR'!B96</f>
        <v>8.3000000000000007</v>
      </c>
      <c r="I56" s="7">
        <v>44317</v>
      </c>
      <c r="J56" s="1">
        <f>AVERAGE('Haver M'!B143:B145)</f>
        <v>3.1880000000000002</v>
      </c>
      <c r="K56" s="1">
        <f>AVERAGE('Haver M'!C143:C145)</f>
        <v>2.956</v>
      </c>
      <c r="L56" s="1"/>
      <c r="M56" s="1"/>
    </row>
    <row r="57" spans="1:13" x14ac:dyDescent="0.35">
      <c r="B57" s="1">
        <f>'Haver Q'!B102</f>
        <v>7.3</v>
      </c>
      <c r="C57" s="1">
        <f t="shared" si="2"/>
        <v>7.8649999999999993</v>
      </c>
      <c r="D57" s="1">
        <f t="shared" si="3"/>
        <v>-0.5649999999999995</v>
      </c>
      <c r="E57" s="1">
        <f>'Old PESR'!B97</f>
        <v>9.8000000000000007</v>
      </c>
      <c r="I57" s="7">
        <v>44348</v>
      </c>
      <c r="J57" s="1">
        <f>AVERAGE('Haver M'!B144:B146)</f>
        <v>3.2803333333333335</v>
      </c>
      <c r="K57" s="1">
        <f>AVERAGE('Haver M'!C144:C146)</f>
        <v>3.1376666666666666</v>
      </c>
      <c r="L57" s="1"/>
      <c r="M57" s="1"/>
    </row>
    <row r="58" spans="1:13" x14ac:dyDescent="0.35">
      <c r="B58" s="1">
        <f>'Haver Q'!B103</f>
        <v>7.8</v>
      </c>
      <c r="C58" s="1">
        <f t="shared" si="2"/>
        <v>7.8649999999999993</v>
      </c>
      <c r="D58" s="1">
        <f t="shared" si="3"/>
        <v>-6.4999999999999503E-2</v>
      </c>
      <c r="E58" s="1">
        <f>'Old PESR'!B98</f>
        <v>10.3</v>
      </c>
      <c r="I58" s="7">
        <v>44378</v>
      </c>
      <c r="J58" s="1">
        <f>AVERAGE('Haver M'!B145:B147)</f>
        <v>3.2086666666666663</v>
      </c>
      <c r="K58" s="1">
        <f>AVERAGE('Haver M'!C145:C147)</f>
        <v>3.2256666666666667</v>
      </c>
      <c r="L58" s="1"/>
      <c r="M58" s="1"/>
    </row>
    <row r="59" spans="1:13" x14ac:dyDescent="0.35">
      <c r="B59" s="1">
        <f>'Haver Q'!B104</f>
        <v>7.8</v>
      </c>
      <c r="C59" s="1">
        <f t="shared" si="2"/>
        <v>7.8649999999999993</v>
      </c>
      <c r="D59" s="1">
        <f t="shared" si="3"/>
        <v>-6.4999999999999503E-2</v>
      </c>
      <c r="E59" s="1">
        <f>'Old PESR'!B99</f>
        <v>10.5</v>
      </c>
      <c r="I59" s="7">
        <v>44409</v>
      </c>
      <c r="J59" s="1">
        <f>AVERAGE('Haver M'!B146:B148)</f>
        <v>3.1333333333333329</v>
      </c>
      <c r="K59" s="1">
        <f>AVERAGE('Haver M'!C146:C148)</f>
        <v>3.2073333333333331</v>
      </c>
      <c r="L59" s="1"/>
      <c r="M59" s="1"/>
    </row>
    <row r="60" spans="1:13" x14ac:dyDescent="0.35">
      <c r="A60" s="4">
        <v>2024</v>
      </c>
      <c r="B60" s="1">
        <f>'Haver Q'!B105</f>
        <v>8.6</v>
      </c>
      <c r="C60" s="1">
        <f t="shared" si="2"/>
        <v>7.8649999999999993</v>
      </c>
      <c r="D60" s="1">
        <f t="shared" si="3"/>
        <v>0.73500000000000032</v>
      </c>
      <c r="E60" s="1">
        <f>'Old PESR'!B100</f>
        <v>11.3</v>
      </c>
      <c r="I60" s="7">
        <v>44440</v>
      </c>
      <c r="J60" s="1">
        <f>AVERAGE('Haver M'!B147:B149)</f>
        <v>3.4169999999999998</v>
      </c>
      <c r="K60" s="1">
        <f>AVERAGE('Haver M'!C147:C149)</f>
        <v>3.2530000000000001</v>
      </c>
      <c r="L60" s="1"/>
      <c r="M60" s="1"/>
    </row>
    <row r="61" spans="1:13" x14ac:dyDescent="0.35">
      <c r="B61" s="1">
        <f>'Haver Q'!B106</f>
        <v>9.8000000000000007</v>
      </c>
      <c r="C61" s="1">
        <f t="shared" si="2"/>
        <v>7.8649999999999993</v>
      </c>
      <c r="D61" s="1">
        <f t="shared" si="3"/>
        <v>1.9350000000000014</v>
      </c>
      <c r="I61" s="7">
        <v>44470</v>
      </c>
      <c r="J61" s="1">
        <f>AVERAGE('Haver M'!B148:B150)</f>
        <v>4.0119999999999996</v>
      </c>
      <c r="K61" s="1">
        <f>AVERAGE('Haver M'!C148:C150)</f>
        <v>3.5206666666666666</v>
      </c>
      <c r="L61" s="1"/>
      <c r="M61" s="1"/>
    </row>
    <row r="62" spans="1:13" x14ac:dyDescent="0.35">
      <c r="I62" s="7">
        <v>44501</v>
      </c>
      <c r="J62" s="1">
        <f>AVERAGE('Haver M'!B149:B151)</f>
        <v>4.4189999999999996</v>
      </c>
      <c r="K62" s="1">
        <f>AVERAGE('Haver M'!C149:C151)</f>
        <v>3.9493333333333331</v>
      </c>
      <c r="L62" s="1"/>
      <c r="M62" s="1"/>
    </row>
    <row r="63" spans="1:13" x14ac:dyDescent="0.35">
      <c r="I63" s="7">
        <v>44531</v>
      </c>
      <c r="J63" s="1">
        <f>AVERAGE('Haver M'!B150:B152)</f>
        <v>4.75</v>
      </c>
      <c r="K63" s="1">
        <f>AVERAGE('Haver M'!C150:C152)</f>
        <v>4.3936666666666664</v>
      </c>
      <c r="L63" s="1"/>
      <c r="M63" s="1"/>
    </row>
    <row r="64" spans="1:13" x14ac:dyDescent="0.35">
      <c r="I64" s="7">
        <v>44562</v>
      </c>
      <c r="J64" s="1">
        <f>AVERAGE('Haver M'!B151:B153)</f>
        <v>4.6900000000000004</v>
      </c>
      <c r="K64" s="1">
        <f>AVERAGE('Haver M'!C151:C153)</f>
        <v>4.6196666666666673</v>
      </c>
      <c r="L64" s="1"/>
      <c r="M64" s="1"/>
    </row>
    <row r="65" spans="9:13" x14ac:dyDescent="0.35">
      <c r="I65" s="7">
        <v>44593</v>
      </c>
      <c r="J65" s="1">
        <f>AVERAGE('Haver M'!B152:B154)</f>
        <v>4.8393333333333333</v>
      </c>
      <c r="K65" s="1">
        <f>AVERAGE('Haver M'!C152:C154)</f>
        <v>4.7596666666666669</v>
      </c>
      <c r="L65" s="1"/>
      <c r="M65" s="1"/>
    </row>
    <row r="66" spans="9:13" x14ac:dyDescent="0.35">
      <c r="I66" s="7">
        <v>44621</v>
      </c>
      <c r="J66" s="1">
        <f>AVERAGE('Haver M'!B153:B155)</f>
        <v>5.0963333333333338</v>
      </c>
      <c r="K66" s="1">
        <f>AVERAGE('Haver M'!C153:C155)</f>
        <v>4.875</v>
      </c>
      <c r="L66" s="1"/>
      <c r="M66" s="1"/>
    </row>
    <row r="67" spans="9:13" x14ac:dyDescent="0.35">
      <c r="I67" s="7">
        <v>44652</v>
      </c>
      <c r="J67" s="1">
        <f>AVERAGE('Haver M'!B154:B156)</f>
        <v>5.5866666666666669</v>
      </c>
      <c r="K67" s="1">
        <f>AVERAGE('Haver M'!C154:C156)</f>
        <v>5.1740000000000004</v>
      </c>
      <c r="L67" s="1"/>
      <c r="M67" s="1"/>
    </row>
    <row r="68" spans="9:13" x14ac:dyDescent="0.35">
      <c r="I68" s="7">
        <v>44682</v>
      </c>
      <c r="J68" s="1">
        <f>AVERAGE('Haver M'!B155:B157)</f>
        <v>5.9170000000000007</v>
      </c>
      <c r="K68" s="1">
        <f>AVERAGE('Haver M'!C155:C157)</f>
        <v>5.5333333333333341</v>
      </c>
      <c r="L68" s="1"/>
      <c r="M68" s="1"/>
    </row>
    <row r="69" spans="9:13" x14ac:dyDescent="0.35">
      <c r="I69" s="7">
        <v>44713</v>
      </c>
      <c r="J69" s="1">
        <f>AVERAGE('Haver M'!B156:B158)</f>
        <v>6.057666666666667</v>
      </c>
      <c r="K69" s="1">
        <f>AVERAGE('Haver M'!C156:C158)</f>
        <v>5.8539999999999992</v>
      </c>
      <c r="L69" s="1"/>
      <c r="M69" s="1"/>
    </row>
    <row r="70" spans="9:13" x14ac:dyDescent="0.35">
      <c r="I70" s="7">
        <v>44743</v>
      </c>
      <c r="J70" s="1">
        <f>AVERAGE('Haver M'!B157:B159)</f>
        <v>6.2809999999999997</v>
      </c>
      <c r="K70" s="1">
        <f>AVERAGE('Haver M'!C157:C159)</f>
        <v>6.0853333333333337</v>
      </c>
      <c r="L70" s="1">
        <f>AVERAGE('Haver M'!D157:D159)</f>
        <v>5.5666666666666664</v>
      </c>
      <c r="M70" s="1">
        <f>AVERAGE('Haver M'!E157:E159)</f>
        <v>5.0333333333333323</v>
      </c>
    </row>
    <row r="71" spans="9:13" x14ac:dyDescent="0.35">
      <c r="I71" s="7">
        <v>44774</v>
      </c>
      <c r="J71" s="1">
        <f>AVERAGE('Haver M'!B158:B160)</f>
        <v>6.464666666666667</v>
      </c>
      <c r="K71" s="1">
        <f>AVERAGE('Haver M'!C158:C160)</f>
        <v>6.2679999999999998</v>
      </c>
      <c r="L71" s="1">
        <f>AVERAGE('Haver M'!D158:D160)</f>
        <v>5.8666666666666671</v>
      </c>
      <c r="M71" s="1">
        <f>AVERAGE('Haver M'!E158:E160)</f>
        <v>5.2666666666666666</v>
      </c>
    </row>
    <row r="72" spans="9:13" x14ac:dyDescent="0.35">
      <c r="I72" s="7">
        <v>44805</v>
      </c>
      <c r="J72" s="1">
        <f>AVERAGE('Haver M'!B159:B161)</f>
        <v>6.580000000000001</v>
      </c>
      <c r="K72" s="1">
        <f>AVERAGE('Haver M'!C159:C161)</f>
        <v>6.4420000000000002</v>
      </c>
      <c r="L72" s="1">
        <f>AVERAGE('Haver M'!D159:D161)</f>
        <v>6.1333333333333329</v>
      </c>
      <c r="M72" s="1">
        <f>AVERAGE('Haver M'!E159:E161)</f>
        <v>5.5333333333333341</v>
      </c>
    </row>
    <row r="73" spans="9:13" x14ac:dyDescent="0.35">
      <c r="I73" s="7">
        <v>44835</v>
      </c>
      <c r="J73" s="1">
        <f>AVERAGE('Haver M'!B160:B162)</f>
        <v>6.431</v>
      </c>
      <c r="K73" s="1">
        <f>AVERAGE('Haver M'!C160:C162)</f>
        <v>6.492</v>
      </c>
      <c r="L73" s="1">
        <f>AVERAGE('Haver M'!D160:D162)</f>
        <v>6.333333333333333</v>
      </c>
      <c r="M73" s="1">
        <f>AVERAGE('Haver M'!E160:E162)</f>
        <v>5.7333333333333334</v>
      </c>
    </row>
    <row r="74" spans="9:13" x14ac:dyDescent="0.35">
      <c r="I74" s="7">
        <v>44866</v>
      </c>
      <c r="J74" s="1">
        <f>AVERAGE('Haver M'!B161:B163)</f>
        <v>6.2020000000000008</v>
      </c>
      <c r="K74" s="1">
        <f>AVERAGE('Haver M'!C161:C163)</f>
        <v>6.4043333333333337</v>
      </c>
      <c r="L74" s="1">
        <f>AVERAGE('Haver M'!D161:D163)</f>
        <v>6.2333333333333334</v>
      </c>
      <c r="M74" s="1">
        <f>AVERAGE('Haver M'!E161:E163)</f>
        <v>5.833333333333333</v>
      </c>
    </row>
    <row r="75" spans="9:13" x14ac:dyDescent="0.35">
      <c r="I75" s="7">
        <v>44896</v>
      </c>
      <c r="J75" s="1">
        <f>AVERAGE('Haver M'!B162:B164)</f>
        <v>5.9170000000000007</v>
      </c>
      <c r="K75" s="1">
        <f>AVERAGE('Haver M'!C162:C164)</f>
        <v>6.1833333333333327</v>
      </c>
      <c r="L75" s="1">
        <f>AVERAGE('Haver M'!D162:D164)</f>
        <v>6.2666666666666657</v>
      </c>
      <c r="M75" s="1">
        <f>AVERAGE('Haver M'!E162:E164)</f>
        <v>5.9666666666666659</v>
      </c>
    </row>
    <row r="76" spans="9:13" x14ac:dyDescent="0.35">
      <c r="I76" s="7">
        <v>44927</v>
      </c>
      <c r="J76" s="1">
        <f>AVERAGE('Haver M'!B163:B165)</f>
        <v>5.7766666666666673</v>
      </c>
      <c r="K76" s="1">
        <f>AVERAGE('Haver M'!C163:C165)</f>
        <v>5.9653333333333336</v>
      </c>
      <c r="L76" s="1">
        <f>AVERAGE('Haver M'!D163:D165)</f>
        <v>6.333333333333333</v>
      </c>
      <c r="M76" s="1">
        <f>AVERAGE('Haver M'!E163:E165)</f>
        <v>5.9333333333333336</v>
      </c>
    </row>
    <row r="77" spans="9:13" x14ac:dyDescent="0.35">
      <c r="I77" s="7">
        <v>44958</v>
      </c>
      <c r="J77" s="1">
        <f>AVERAGE('Haver M'!B164:B166)</f>
        <v>5.657</v>
      </c>
      <c r="K77" s="1">
        <f>AVERAGE('Haver M'!C164:C166)</f>
        <v>5.7836666666666661</v>
      </c>
      <c r="L77" s="1">
        <f>AVERAGE('Haver M'!D164:D166)</f>
        <v>6.5</v>
      </c>
      <c r="M77" s="1">
        <f>AVERAGE('Haver M'!E164:E166)</f>
        <v>5.9333333333333336</v>
      </c>
    </row>
    <row r="78" spans="9:13" x14ac:dyDescent="0.35">
      <c r="I78" s="7">
        <v>44986</v>
      </c>
      <c r="J78" s="1">
        <f>AVERAGE('Haver M'!B165:B167)</f>
        <v>5.4996666666666663</v>
      </c>
      <c r="K78" s="1">
        <f>AVERAGE('Haver M'!C165:C167)</f>
        <v>5.644333333333333</v>
      </c>
      <c r="L78" s="1">
        <f>AVERAGE('Haver M'!D165:D167)</f>
        <v>6.4666666666666659</v>
      </c>
      <c r="M78" s="1">
        <f>AVERAGE('Haver M'!E165:E167)</f>
        <v>5.7</v>
      </c>
    </row>
    <row r="79" spans="9:13" x14ac:dyDescent="0.35">
      <c r="I79" s="7">
        <v>45017</v>
      </c>
      <c r="J79" s="1">
        <f>AVERAGE('Haver M'!B166:B168)</f>
        <v>5.5516666666666667</v>
      </c>
      <c r="K79" s="1">
        <f>AVERAGE('Haver M'!C166:C168)</f>
        <v>5.5693333333333328</v>
      </c>
      <c r="L79" s="1">
        <f>AVERAGE('Haver M'!D166:D168)</f>
        <v>6.5666666666666664</v>
      </c>
      <c r="M79" s="1">
        <f>AVERAGE('Haver M'!E166:E168)</f>
        <v>5.5999999999999988</v>
      </c>
    </row>
    <row r="80" spans="9:13" x14ac:dyDescent="0.35">
      <c r="I80" s="7">
        <v>45047</v>
      </c>
      <c r="J80" s="1">
        <f>AVERAGE('Haver M'!B167:B169)</f>
        <v>5.469666666666666</v>
      </c>
      <c r="K80" s="1">
        <f>AVERAGE('Haver M'!C167:C169)</f>
        <v>5.5069999999999988</v>
      </c>
      <c r="L80" s="1">
        <f>AVERAGE('Haver M'!D167:D169)</f>
        <v>6.6333333333333329</v>
      </c>
      <c r="M80" s="1">
        <f>AVERAGE('Haver M'!E167:E169)</f>
        <v>5.3999999999999995</v>
      </c>
    </row>
    <row r="81" spans="9:13" x14ac:dyDescent="0.35">
      <c r="I81" s="7">
        <v>45078</v>
      </c>
      <c r="J81" s="1">
        <f>AVERAGE('Haver M'!B168:B170)</f>
        <v>5.3216666666666663</v>
      </c>
      <c r="K81" s="1">
        <f>AVERAGE('Haver M'!C168:C170)</f>
        <v>5.4479999999999995</v>
      </c>
      <c r="L81" s="1">
        <f>AVERAGE('Haver M'!D168:D170)</f>
        <v>6.833333333333333</v>
      </c>
      <c r="M81" s="1">
        <f>AVERAGE('Haver M'!E168:E170)</f>
        <v>5.3000000000000007</v>
      </c>
    </row>
    <row r="82" spans="9:13" x14ac:dyDescent="0.35">
      <c r="I82" s="7">
        <v>45108</v>
      </c>
      <c r="J82" s="1">
        <f>AVERAGE('Haver M'!B169:B171)</f>
        <v>5.1990000000000007</v>
      </c>
      <c r="K82" s="1">
        <f>AVERAGE('Haver M'!C169:C171)</f>
        <v>5.3303333333333329</v>
      </c>
      <c r="L82" s="1">
        <f>AVERAGE('Haver M'!D169:D171)</f>
        <v>6.8666666666666663</v>
      </c>
      <c r="M82" s="1">
        <f>AVERAGE('Haver M'!E169:E171)</f>
        <v>5.166666666666667</v>
      </c>
    </row>
    <row r="83" spans="9:13" x14ac:dyDescent="0.35">
      <c r="I83" s="7">
        <v>45139</v>
      </c>
      <c r="J83" s="1">
        <f>AVERAGE('Haver M'!B170:B172)</f>
        <v>4.9833333333333334</v>
      </c>
      <c r="K83" s="1">
        <f>AVERAGE('Haver M'!C170:C172)</f>
        <v>5.1680000000000001</v>
      </c>
      <c r="L83" s="1">
        <f>AVERAGE('Haver M'!D170:D172)</f>
        <v>6.9000000000000012</v>
      </c>
      <c r="M83" s="1">
        <f>AVERAGE('Haver M'!E170:E172)</f>
        <v>5.1000000000000005</v>
      </c>
    </row>
    <row r="84" spans="9:13" x14ac:dyDescent="0.35">
      <c r="I84" s="7">
        <v>45170</v>
      </c>
      <c r="J84" s="1">
        <f>AVERAGE('Haver M'!B171:B173)</f>
        <v>4.8223333333333338</v>
      </c>
      <c r="K84" s="1">
        <f>AVERAGE('Haver M'!C171:C173)</f>
        <v>5.0013333333333323</v>
      </c>
      <c r="L84" s="1">
        <f>AVERAGE('Haver M'!D171:D173)</f>
        <v>6.9000000000000012</v>
      </c>
      <c r="M84" s="1">
        <f>AVERAGE('Haver M'!E171:E173)</f>
        <v>5.0666666666666664</v>
      </c>
    </row>
    <row r="85" spans="9:13" x14ac:dyDescent="0.35">
      <c r="I85" s="7">
        <v>45200</v>
      </c>
      <c r="J85" s="1">
        <f>AVERAGE('Haver M'!B172:B174)</f>
        <v>4.5256666666666669</v>
      </c>
      <c r="K85" s="1">
        <f>AVERAGE('Haver M'!C172:C174)</f>
        <v>4.7770000000000001</v>
      </c>
      <c r="L85" s="1">
        <f>AVERAGE('Haver M'!D172:D174)</f>
        <v>6.9333333333333336</v>
      </c>
      <c r="M85" s="1">
        <f>AVERAGE('Haver M'!E172:E174)</f>
        <v>5.0999999999999996</v>
      </c>
    </row>
    <row r="86" spans="9:13" x14ac:dyDescent="0.35">
      <c r="I86" s="7">
        <v>45231</v>
      </c>
      <c r="J86" s="1">
        <f>AVERAGE('Haver M'!B173:B175)</f>
        <v>4.4463333333333335</v>
      </c>
      <c r="K86" s="1">
        <f>AVERAGE('Haver M'!C173:C175)</f>
        <v>4.5979999999999999</v>
      </c>
      <c r="L86" s="1">
        <f>AVERAGE('Haver M'!D173:D175)</f>
        <v>6.9666666666666659</v>
      </c>
      <c r="M86" s="1">
        <f>AVERAGE('Haver M'!E173:E175)</f>
        <v>5.1333333333333337</v>
      </c>
    </row>
    <row r="87" spans="9:13" x14ac:dyDescent="0.35">
      <c r="I87" s="7">
        <v>45261</v>
      </c>
      <c r="J87" s="1">
        <f>AVERAGE('Haver M'!B174:B176)</f>
        <v>4.3816666666666668</v>
      </c>
      <c r="K87" s="1">
        <f>AVERAGE('Haver M'!C174:C176)</f>
        <v>4.4513333333333334</v>
      </c>
      <c r="L87" s="1">
        <f>AVERAGE('Haver M'!D174:D176)</f>
        <v>6.9333333333333336</v>
      </c>
      <c r="M87" s="1">
        <f>AVERAGE('Haver M'!E174:E176)</f>
        <v>5.2</v>
      </c>
    </row>
    <row r="88" spans="9:13" x14ac:dyDescent="0.35">
      <c r="I88" s="7">
        <v>45292</v>
      </c>
      <c r="J88" s="1">
        <f>AVERAGE('Haver M'!B175:B177)</f>
        <v>4.3313333333333333</v>
      </c>
      <c r="K88" s="1">
        <f>AVERAGE('Haver M'!C175:C177)</f>
        <v>4.386333333333333</v>
      </c>
      <c r="L88" s="1">
        <f>AVERAGE('Haver M'!D175:D177)</f>
        <v>6.833333333333333</v>
      </c>
      <c r="M88" s="1">
        <f>AVERAGE('Haver M'!E175:E177)</f>
        <v>5.2</v>
      </c>
    </row>
    <row r="89" spans="9:13" x14ac:dyDescent="0.35">
      <c r="I89" s="7">
        <v>45323</v>
      </c>
      <c r="J89" s="1">
        <f>AVERAGE('Haver M'!B176:B178)</f>
        <v>4.2809999999999997</v>
      </c>
      <c r="K89" s="1">
        <f>AVERAGE('Haver M'!C176:C178)</f>
        <v>4.3313333333333333</v>
      </c>
      <c r="L89" s="1">
        <f>AVERAGE('Haver M'!D176:D178)</f>
        <v>6.666666666666667</v>
      </c>
      <c r="M89" s="1">
        <f>AVERAGE('Haver M'!E176:E178)</f>
        <v>5.1333333333333337</v>
      </c>
    </row>
    <row r="90" spans="9:13" x14ac:dyDescent="0.35">
      <c r="I90" s="7">
        <v>45352</v>
      </c>
      <c r="J90" s="1">
        <f>AVERAGE('Haver M'!B177:B179)</f>
        <v>4.112333333333333</v>
      </c>
      <c r="K90" s="1">
        <f>AVERAGE('Haver M'!C177:C179)</f>
        <v>4.2413333333333334</v>
      </c>
      <c r="L90" s="1">
        <f>AVERAGE('Haver M'!D177:D179)</f>
        <v>6.3666666666666671</v>
      </c>
      <c r="M90" s="1">
        <f>AVERAGE('Haver M'!E177:E179)</f>
        <v>4.8999999999999995</v>
      </c>
    </row>
    <row r="91" spans="9:13" x14ac:dyDescent="0.35">
      <c r="I91" s="7">
        <v>45383</v>
      </c>
      <c r="J91" s="1">
        <f>AVERAGE('Haver M'!B178:B180)</f>
        <v>4.0060000000000002</v>
      </c>
      <c r="K91" s="1">
        <f>AVERAGE('Haver M'!C178:C180)</f>
        <v>4.133</v>
      </c>
      <c r="L91" s="1">
        <f>AVERAGE('Haver M'!D178:D180)</f>
        <v>6.166666666666667</v>
      </c>
      <c r="M91" s="1">
        <f>AVERAGE('Haver M'!E178:E180)</f>
        <v>4.7333333333333334</v>
      </c>
    </row>
    <row r="92" spans="9:13" x14ac:dyDescent="0.35">
      <c r="I92" s="7">
        <v>45413</v>
      </c>
      <c r="J92" s="1">
        <f>AVERAGE('Haver M'!B179:B181)</f>
        <v>3.911</v>
      </c>
      <c r="K92" s="1">
        <f>AVERAGE('Haver M'!C179:C181)</f>
        <v>4.0106666666666664</v>
      </c>
      <c r="L92" s="1">
        <f>AVERAGE('Haver M'!D179:D181)</f>
        <v>6.0333333333333341</v>
      </c>
      <c r="M92" s="1">
        <f>AVERAGE('Haver M'!E179:E181)</f>
        <v>4.4666666666666668</v>
      </c>
    </row>
    <row r="93" spans="9:13" x14ac:dyDescent="0.35">
      <c r="I93" s="7">
        <v>45444</v>
      </c>
      <c r="J93" s="1">
        <f>AVERAGE('Haver M'!B180:B182)</f>
        <v>3.875</v>
      </c>
      <c r="K93" s="1">
        <f>AVERAGE('Haver M'!C180:C182)</f>
        <v>3.9316666666666666</v>
      </c>
      <c r="L93" s="1">
        <f>AVERAGE('Haver M'!D180:D182)</f>
        <v>5.9666666666666659</v>
      </c>
      <c r="M93" s="1">
        <f>AVERAGE('Haver M'!E180:E182)</f>
        <v>4.2333333333333334</v>
      </c>
    </row>
    <row r="94" spans="9:13" x14ac:dyDescent="0.35">
      <c r="I94" s="7">
        <v>45474</v>
      </c>
      <c r="J94" s="1">
        <f>AVERAGE('Haver M'!B181:B183)</f>
        <v>3.702666666666667</v>
      </c>
      <c r="K94" s="1">
        <f>AVERAGE('Haver M'!C181:C183)</f>
        <v>3.8306666666666662</v>
      </c>
      <c r="L94" s="1">
        <f>AVERAGE('Haver M'!D181:D183)</f>
        <v>5.8999999999999995</v>
      </c>
      <c r="M94" s="1">
        <f>AVERAGE('Haver M'!E181:E183)</f>
        <v>4.0666666666666664</v>
      </c>
    </row>
    <row r="95" spans="9:13" x14ac:dyDescent="0.35">
      <c r="I95" s="7">
        <v>45505</v>
      </c>
      <c r="J95" s="1">
        <f>AVERAGE('Haver M'!B182:B184)</f>
        <v>3.5510000000000002</v>
      </c>
      <c r="K95" s="1">
        <f>AVERAGE('Haver M'!C182:C184)</f>
        <v>3.7096666666666667</v>
      </c>
      <c r="L95" s="1">
        <f>AVERAGE('Haver M'!D182:D184)</f>
        <v>5.7666666666666666</v>
      </c>
      <c r="M95" s="1">
        <f>AVERAGE('Haver M'!E182:E184)</f>
        <v>4.0666666666666664</v>
      </c>
    </row>
    <row r="96" spans="9:13" x14ac:dyDescent="0.35">
      <c r="I96" s="7">
        <v>45536</v>
      </c>
      <c r="J96" s="1">
        <f>AVERAGE('Haver M'!B183:B185)</f>
        <v>3.5676666666666663</v>
      </c>
      <c r="K96" s="1">
        <f>AVERAGE('Haver M'!C183:C185)</f>
        <v>3.6073333333333331</v>
      </c>
      <c r="L96" s="1">
        <f>AVERAGE('Haver M'!D183:D185)</f>
        <v>5.7</v>
      </c>
      <c r="M96" s="1">
        <f>AVERAGE('Haver M'!E183:E185)</f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Old PESR</vt:lpstr>
      <vt:lpstr>Haver Q</vt:lpstr>
      <vt:lpstr>Haver M</vt:lpstr>
      <vt:lpstr>Chart data</vt:lpstr>
      <vt:lpstr>Chart2</vt:lpstr>
      <vt:lpstr>_DLX1.INC</vt:lpstr>
      <vt:lpstr>_DLX2.INC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2024-10-03T21:34:24Z</dcterms:created>
  <dcterms:modified xsi:type="dcterms:W3CDTF">2024-10-04T10:33:11Z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2024-10-03T21:38:27Z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4aaa4a0b-62a8-4509-87c5-01d642a52e0d</vt:lpwstr>
  </property>
  <property fmtid="{D5CDD505-2E9C-101B-9397-08002B2CF9AE}" pid="8" name="MSIP_Label_3b83b38b-8e91-4f17-8371-95d3d41e26c0_ContentBits">
    <vt:lpwstr>0</vt:lpwstr>
  </property>
</Properties>
</file>