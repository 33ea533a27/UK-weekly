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chartsheets/sheet3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6.xml" ContentType="application/vnd.openxmlformats-officedocument.drawingml.chartshapes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7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UK Team\UK Weekly\"/>
    </mc:Choice>
  </mc:AlternateContent>
  <xr:revisionPtr revIDLastSave="0" documentId="8_{41840128-C35C-4127-BB23-42110A605D65}" xr6:coauthVersionLast="47" xr6:coauthVersionMax="47" xr10:uidLastSave="{00000000-0000-0000-0000-000000000000}"/>
  <bookViews>
    <workbookView xWindow="-110" yWindow="-110" windowWidth="19420" windowHeight="10300" activeTab="4" xr2:uid="{F46A035D-31CF-4366-8137-AD8E611528EE}"/>
  </bookViews>
  <sheets>
    <sheet name="HAVERD" sheetId="1" r:id="rId1"/>
    <sheet name="Chart1" sheetId="3" r:id="rId2"/>
    <sheet name="Chart2" sheetId="4" r:id="rId3"/>
    <sheet name="Chart Data" sheetId="2" r:id="rId4"/>
    <sheet name="Chart1 (2)" sheetId="5" r:id="rId5"/>
  </sheets>
  <externalReferences>
    <externalReference r:id="rId6"/>
  </externalReferences>
  <definedNames>
    <definedName name="_DLX1.INC">HAVERD!$4:$10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 a="1"/>
  <c r="D5" i="2" s="1"/>
  <c r="J7" i="2" l="1" a="1"/>
  <c r="J7" i="2" s="1"/>
  <c r="I7" i="2" a="1"/>
  <c r="I7" i="2" s="1"/>
  <c r="H5" i="2" a="1"/>
  <c r="H5" i="2" s="1"/>
  <c r="C5" i="2" l="1" a="1"/>
  <c r="C5" i="2" s="1"/>
  <c r="B5" i="2" a="1"/>
  <c r="B5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<sst xmlns="http://schemas.openxmlformats.org/spreadsheetml/2006/main" count="298" uniqueCount="154">
  <si>
    <t>R112P12@INTDAILY</t>
  </si>
  <si>
    <t>R112P24@INTDAILY</t>
  </si>
  <si>
    <t>R112P36@INTDAILY</t>
  </si>
  <si>
    <t>R112P48@INTDAILY</t>
  </si>
  <si>
    <t>R112P5A@INTDAILY</t>
  </si>
  <si>
    <t>R112P6A@INTDAILY</t>
  </si>
  <si>
    <t>R112P7A@INTDAILY</t>
  </si>
  <si>
    <t>R112P8A@INTDAILY</t>
  </si>
  <si>
    <t>R112P9A@INTDAILY</t>
  </si>
  <si>
    <t>R112PAA@INTDAILY</t>
  </si>
  <si>
    <t>R112PBA@INTDAILY</t>
  </si>
  <si>
    <t>R112PCA@INTDAILY</t>
  </si>
  <si>
    <t>R112PDA@INTDAILY</t>
  </si>
  <si>
    <t>R112PEA@INTDAILY</t>
  </si>
  <si>
    <t>R112PFA@INTDAILY</t>
  </si>
  <si>
    <t>R112PGA@INTDAILY</t>
  </si>
  <si>
    <t>R112PHA@INTDAILY</t>
  </si>
  <si>
    <t>R112PIA@INTDAILY</t>
  </si>
  <si>
    <t>R112PJA@INTDAILY</t>
  </si>
  <si>
    <t>R112PKA@INTDAILY</t>
  </si>
  <si>
    <t>R112PMA@INTDAILY</t>
  </si>
  <si>
    <t>R112PNA@INTDAILY</t>
  </si>
  <si>
    <t>R112POA@INTDAILY</t>
  </si>
  <si>
    <t>20260101 !D</t>
  </si>
  <si>
    <t>20260101</t>
  </si>
  <si>
    <t>.FRQ</t>
  </si>
  <si>
    <t>.DTLM</t>
  </si>
  <si>
    <t>.LSOURCE</t>
  </si>
  <si>
    <t>.TN</t>
  </si>
  <si>
    <t>.T1</t>
  </si>
  <si>
    <t>.DESC</t>
  </si>
  <si>
    <t>Daily</t>
  </si>
  <si>
    <t>Bank of England</t>
  </si>
  <si>
    <t>02-Jan-1979</t>
  </si>
  <si>
    <t>UK: Government Securities: Nominal Spot Yields, 12-Month (% p.a.)</t>
  </si>
  <si>
    <t>UK: Government Securities: Nominal Spot Yields, 24-Month (% p.a.)</t>
  </si>
  <si>
    <t>UK: Government Securities: Nominal Spot Yields, 36-Month (% p.a.)</t>
  </si>
  <si>
    <t>UK: Government Securities: Nominal Spot Yields, 48-Month (% p.a.)</t>
  </si>
  <si>
    <t>UK: Government Securities: Nominal Spot Yields, 5-Year (% p.a.)</t>
  </si>
  <si>
    <t>UK: Government Securities: Nominal Spot Yields, 6-Year (% p.a.)</t>
  </si>
  <si>
    <t>UK: Government Securities: Nominal Spot Yields, 7-Year (% p.a.)</t>
  </si>
  <si>
    <t>UK: Government Securities: Nominal Spot Yields, 8-Year (% p.a.)</t>
  </si>
  <si>
    <t>UK: Government Securities: Nominal Spot Yields, 9-Year (% p.a.)</t>
  </si>
  <si>
    <t>UK: Government Securities: Nominal Spot Yields, 10-Year (% p.a.)</t>
  </si>
  <si>
    <t>UK: Government Securities: Nominal Spot Yields, 11-Year (% p.a.)</t>
  </si>
  <si>
    <t>UK: Government Securities: Nominal Spot Yields, 12-Year (% p.a.)</t>
  </si>
  <si>
    <t>UK: Government Securities: Nominal Spot Yields, 13-Year (% p.a.)</t>
  </si>
  <si>
    <t>UK: Government Securities: Nominal Spot Yields, 14-Year (% p.a.)</t>
  </si>
  <si>
    <t>UK: Government Securities: Nominal Spot Yields, 15-Year (% p.a.)</t>
  </si>
  <si>
    <t>UK: Government Securities: Nominal Spot Yields, 16-Year (% p.a.)</t>
  </si>
  <si>
    <t>UK: Government Securities: Nominal Spot Yields, 17-Year (% p.a.)</t>
  </si>
  <si>
    <t>UK: Government Securities: Nominal Spot Yields, 18-Year (% p.a.)</t>
  </si>
  <si>
    <t>UK: Government Securities: Nominal Spot Yields, 19-Year (% p.a.)</t>
  </si>
  <si>
    <t>UK: Government Securities: Nominal Spot Yields, 20-Year (% p.a.)</t>
  </si>
  <si>
    <t>09-Jun-1986</t>
  </si>
  <si>
    <t>UK: Government Securities: Nominal Spot Yields, 22-Year (% p.a.)</t>
  </si>
  <si>
    <t>UK: Government Securities: Nominal Spot Yields, 23-Year (% p.a.)</t>
  </si>
  <si>
    <t>16-Jul-1987</t>
  </si>
  <si>
    <t>UK: Government Securities: Nominal Spot Yields, 24-Year (% p.a.)</t>
  </si>
  <si>
    <t>20260102</t>
  </si>
  <si>
    <t>20260105</t>
  </si>
  <si>
    <t>20260106</t>
  </si>
  <si>
    <t>20260107</t>
  </si>
  <si>
    <t>20260108</t>
  </si>
  <si>
    <t>20260109</t>
  </si>
  <si>
    <t>20260112</t>
  </si>
  <si>
    <t>20260113</t>
  </si>
  <si>
    <t>20260114</t>
  </si>
  <si>
    <t>20260115</t>
  </si>
  <si>
    <t>20260116</t>
  </si>
  <si>
    <t>20260119</t>
  </si>
  <si>
    <t>20260120</t>
  </si>
  <si>
    <t>20260121</t>
  </si>
  <si>
    <t>20260122</t>
  </si>
  <si>
    <t>20260123</t>
  </si>
  <si>
    <t>20260126</t>
  </si>
  <si>
    <t>20260127</t>
  </si>
  <si>
    <t>20260128</t>
  </si>
  <si>
    <t>20260129</t>
  </si>
  <si>
    <t>20260130</t>
  </si>
  <si>
    <t>20260202</t>
  </si>
  <si>
    <t>20260203</t>
  </si>
  <si>
    <t>20260204</t>
  </si>
  <si>
    <t>20260205</t>
  </si>
  <si>
    <t>20260206</t>
  </si>
  <si>
    <t>20260209</t>
  </si>
  <si>
    <t>20260210</t>
  </si>
  <si>
    <t>20260211</t>
  </si>
  <si>
    <t>20260212</t>
  </si>
  <si>
    <t>20260213</t>
  </si>
  <si>
    <t>20260216</t>
  </si>
  <si>
    <t>20260217</t>
  </si>
  <si>
    <t>20260218</t>
  </si>
  <si>
    <t>20260219</t>
  </si>
  <si>
    <t>20260220</t>
  </si>
  <si>
    <t>20260223</t>
  </si>
  <si>
    <t>20260224</t>
  </si>
  <si>
    <t>20260225</t>
  </si>
  <si>
    <t>20260226</t>
  </si>
  <si>
    <t>20260227</t>
  </si>
  <si>
    <t>20260302</t>
  </si>
  <si>
    <t>20260303</t>
  </si>
  <si>
    <t>20260304</t>
  </si>
  <si>
    <t>20260305</t>
  </si>
  <si>
    <t>20260306</t>
  </si>
  <si>
    <t>20260309</t>
  </si>
  <si>
    <t>20260310</t>
  </si>
  <si>
    <t>20260311</t>
  </si>
  <si>
    <t>20260312</t>
  </si>
  <si>
    <t>20260313</t>
  </si>
  <si>
    <t>20260316</t>
  </si>
  <si>
    <t>20260317</t>
  </si>
  <si>
    <t>20260318</t>
  </si>
  <si>
    <t>20260319</t>
  </si>
  <si>
    <t>20260320</t>
  </si>
  <si>
    <t>20260323</t>
  </si>
  <si>
    <t>20260324</t>
  </si>
  <si>
    <t>20260325</t>
  </si>
  <si>
    <t>20260326</t>
  </si>
  <si>
    <t>20260327</t>
  </si>
  <si>
    <t>20260330</t>
  </si>
  <si>
    <t>20260331</t>
  </si>
  <si>
    <t>20260401</t>
  </si>
  <si>
    <t>20260402</t>
  </si>
  <si>
    <t>20260403</t>
  </si>
  <si>
    <t>20260406</t>
  </si>
  <si>
    <t>20260407</t>
  </si>
  <si>
    <t>20260408</t>
  </si>
  <si>
    <t>R112PPA@INTDAILY</t>
  </si>
  <si>
    <t>R112PQB@INTDAILY</t>
  </si>
  <si>
    <t>30-Apr-1992</t>
  </si>
  <si>
    <t>UK: Government Securities: Nominal Spot Yields, 25-Year (% p.a.)</t>
  </si>
  <si>
    <t>04-Jan-2016</t>
  </si>
  <si>
    <t>UK: Government Securities: Nominal Spot Yields, 26-Year (% p.a.)</t>
  </si>
  <si>
    <t>R112PRB@INTDAILY</t>
  </si>
  <si>
    <t>R112PSB@INTDAILY</t>
  </si>
  <si>
    <t>R112PTB@INTDAILY</t>
  </si>
  <si>
    <t>R112PUB@INTDAILY</t>
  </si>
  <si>
    <t>UK: Government Securities: Nominal Spot Yields, 27-Year (% p.a.)</t>
  </si>
  <si>
    <t>UK: Government Securities: Nominal Spot Yields, 28-Year (% p.a.)</t>
  </si>
  <si>
    <t>UK: Government Securities: Nominal Spot Yields, 29-Year (% p.a.)</t>
  </si>
  <si>
    <t>UK: Government Securities: Nominal Spot Yields, 30-Year (% p.a.)</t>
  </si>
  <si>
    <t>R112PLA@INTDAILY</t>
  </si>
  <si>
    <t>UK: Government Securities: Nominal Spot Yields, 21-Year (% p.a.)</t>
  </si>
  <si>
    <t>February 27 (pre-conflict)</t>
  </si>
  <si>
    <t>April 9</t>
  </si>
  <si>
    <t>April 2</t>
  </si>
  <si>
    <t>Maturity</t>
  </si>
  <si>
    <t>Yield curve &gt;&gt;</t>
  </si>
  <si>
    <t>Market rate expectations &gt;&gt;</t>
  </si>
  <si>
    <t>Date</t>
  </si>
  <si>
    <t>Apr-10-2026 10:21</t>
  </si>
  <si>
    <t>09-Apr-2026</t>
  </si>
  <si>
    <t>20260409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</si>
</sst>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0" fillId="0" borderId="0" xfId="0" applyFill="1"/>
    <xf numFmtId="2" fontId="0" fillId="0" borderId="0" xfId="0" applyNumberFormat="1"/>
    <xf numFmtId="17" fontId="0" fillId="0" borderId="0" xfId="0" applyNumberFormat="1"/>
    <xf numFmtId="17" fontId="0" fillId="0" borderId="0" xfId="0" quotePrefix="1" applyNumberForma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chartsheet" Target="chartsheets/sheet2.xml"/><Relationship Id="rId7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chartsheet" Target="chartsheets/sheet3.xml"/><Relationship Id="rId10" Type="http://schemas.openxmlformats.org/officeDocument/2006/relationships/sheetMetadata" Target="metadata.xml"/><Relationship Id="rId4" Type="http://schemas.openxmlformats.org/officeDocument/2006/relationships/worksheet" Target="worksheets/sheet2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6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7.xml"/><Relationship Id="rId1" Type="http://schemas.openxmlformats.org/officeDocument/2006/relationships/themeOverride" Target="../theme/themeOverrid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5916438047054067E-2"/>
          <c:y val="0.14739606745754133"/>
          <c:w val="0.87344556477951574"/>
          <c:h val="0.67605391244808954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Data'!$B$3</c:f>
              <c:strCache>
                <c:ptCount val="1"/>
                <c:pt idx="0">
                  <c:v>February 27 (pre-conflict)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Data'!$A$4:$A$34</c:f>
              <c:numCache>
                <c:formatCode>General</c:formatCode>
                <c:ptCount val="31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'Chart Data'!$B$4:$B$34</c:f>
              <c:numCache>
                <c:formatCode>0.00</c:formatCode>
                <c:ptCount val="31"/>
                <c:pt idx="1">
                  <c:v>3.4216359999999999</c:v>
                </c:pt>
                <c:pt idx="2">
                  <c:v>3.4236887999999999</c:v>
                </c:pt>
                <c:pt idx="3">
                  <c:v>3.4920874999999998</c:v>
                </c:pt>
                <c:pt idx="4">
                  <c:v>3.5963880000000001</c:v>
                </c:pt>
                <c:pt idx="5">
                  <c:v>3.7180677000000002</c:v>
                </c:pt>
                <c:pt idx="6">
                  <c:v>3.8481979000000002</c:v>
                </c:pt>
                <c:pt idx="7">
                  <c:v>3.9805372000000001</c:v>
                </c:pt>
                <c:pt idx="8">
                  <c:v>4.1104114000000003</c:v>
                </c:pt>
                <c:pt idx="9">
                  <c:v>4.2347723000000004</c:v>
                </c:pt>
                <c:pt idx="10">
                  <c:v>4.3519306000000002</c:v>
                </c:pt>
                <c:pt idx="11">
                  <c:v>4.4610789000000004</c:v>
                </c:pt>
                <c:pt idx="12">
                  <c:v>4.5618844000000003</c:v>
                </c:pt>
                <c:pt idx="13">
                  <c:v>4.6541997000000004</c:v>
                </c:pt>
                <c:pt idx="14">
                  <c:v>4.7379102</c:v>
                </c:pt>
                <c:pt idx="15">
                  <c:v>4.8129308000000002</c:v>
                </c:pt>
                <c:pt idx="16">
                  <c:v>4.8793059000000003</c:v>
                </c:pt>
                <c:pt idx="17">
                  <c:v>4.9372502999999996</c:v>
                </c:pt>
                <c:pt idx="18">
                  <c:v>4.9871565999999996</c:v>
                </c:pt>
                <c:pt idx="19">
                  <c:v>5.0296156999999999</c:v>
                </c:pt>
                <c:pt idx="20">
                  <c:v>5.0653721000000003</c:v>
                </c:pt>
                <c:pt idx="21">
                  <c:v>5.0952111000000002</c:v>
                </c:pt>
                <c:pt idx="22">
                  <c:v>5.1198648000000002</c:v>
                </c:pt>
                <c:pt idx="23">
                  <c:v>5.1399584999999997</c:v>
                </c:pt>
                <c:pt idx="24">
                  <c:v>5.1559821000000001</c:v>
                </c:pt>
                <c:pt idx="25">
                  <c:v>5.1682872</c:v>
                </c:pt>
                <c:pt idx="26">
                  <c:v>5.1770940000000003</c:v>
                </c:pt>
                <c:pt idx="27">
                  <c:v>5.1825131999999998</c:v>
                </c:pt>
                <c:pt idx="28">
                  <c:v>5.1845847000000003</c:v>
                </c:pt>
                <c:pt idx="29">
                  <c:v>5.1833144000000004</c:v>
                </c:pt>
                <c:pt idx="30">
                  <c:v>5.1786989999999999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Data'!$C$3</c:f>
              <c:strCache>
                <c:ptCount val="1"/>
                <c:pt idx="0">
                  <c:v>April 2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Data'!$A$4:$A$34</c:f>
              <c:numCache>
                <c:formatCode>General</c:formatCode>
                <c:ptCount val="31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'Chart Data'!$C$4:$C$34</c:f>
              <c:numCache>
                <c:formatCode>0.00</c:formatCode>
                <c:ptCount val="31"/>
                <c:pt idx="1">
                  <c:v>4.1714384999999998</c:v>
                </c:pt>
                <c:pt idx="2">
                  <c:v>4.1952236999999997</c:v>
                </c:pt>
                <c:pt idx="3">
                  <c:v>4.2022328</c:v>
                </c:pt>
                <c:pt idx="4">
                  <c:v>4.2487852000000004</c:v>
                </c:pt>
                <c:pt idx="5">
                  <c:v>4.3259169999999996</c:v>
                </c:pt>
                <c:pt idx="6">
                  <c:v>4.4233349999999998</c:v>
                </c:pt>
                <c:pt idx="7">
                  <c:v>4.5316539000000002</c:v>
                </c:pt>
                <c:pt idx="8">
                  <c:v>4.6435199999999996</c:v>
                </c:pt>
                <c:pt idx="9">
                  <c:v>4.7539398999999998</c:v>
                </c:pt>
                <c:pt idx="10">
                  <c:v>4.8598486999999997</c:v>
                </c:pt>
                <c:pt idx="11">
                  <c:v>4.9595000999999996</c:v>
                </c:pt>
                <c:pt idx="12">
                  <c:v>5.0519341999999998</c:v>
                </c:pt>
                <c:pt idx="13">
                  <c:v>5.1365943999999999</c:v>
                </c:pt>
                <c:pt idx="14">
                  <c:v>5.2131270000000001</c:v>
                </c:pt>
                <c:pt idx="15">
                  <c:v>5.2813476000000001</c:v>
                </c:pt>
                <c:pt idx="16">
                  <c:v>5.3412875</c:v>
                </c:pt>
                <c:pt idx="17">
                  <c:v>5.3931825</c:v>
                </c:pt>
                <c:pt idx="18">
                  <c:v>5.4374466000000004</c:v>
                </c:pt>
                <c:pt idx="19">
                  <c:v>5.4746727000000002</c:v>
                </c:pt>
                <c:pt idx="20">
                  <c:v>5.5055738999999999</c:v>
                </c:pt>
                <c:pt idx="21">
                  <c:v>5.5308783999999998</c:v>
                </c:pt>
                <c:pt idx="22">
                  <c:v>5.5512490000000003</c:v>
                </c:pt>
                <c:pt idx="23">
                  <c:v>5.5672398000000003</c:v>
                </c:pt>
                <c:pt idx="24">
                  <c:v>5.5792755999999999</c:v>
                </c:pt>
                <c:pt idx="25">
                  <c:v>5.5876524999999999</c:v>
                </c:pt>
                <c:pt idx="26">
                  <c:v>5.5925482999999998</c:v>
                </c:pt>
                <c:pt idx="27">
                  <c:v>5.5940466999999998</c:v>
                </c:pt>
                <c:pt idx="28">
                  <c:v>5.5921748999999998</c:v>
                </c:pt>
                <c:pt idx="29">
                  <c:v>5.5869388999999998</c:v>
                </c:pt>
                <c:pt idx="30">
                  <c:v>5.5783462999999998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Data'!$D$3</c:f>
              <c:strCache>
                <c:ptCount val="1"/>
                <c:pt idx="0">
                  <c:v>April 9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'Chart Data'!$A$4:$A$34</c:f>
              <c:numCache>
                <c:formatCode>General</c:formatCode>
                <c:ptCount val="31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'Chart Data'!$D$4:$D$34</c:f>
              <c:numCache>
                <c:formatCode>0.00</c:formatCode>
                <c:ptCount val="31"/>
                <c:pt idx="1">
                  <c:v>4.0773633</c:v>
                </c:pt>
                <c:pt idx="2">
                  <c:v>4.1019226</c:v>
                </c:pt>
                <c:pt idx="3">
                  <c:v>4.1253779000000002</c:v>
                </c:pt>
                <c:pt idx="4">
                  <c:v>4.1860213000000002</c:v>
                </c:pt>
                <c:pt idx="5">
                  <c:v>4.2743205</c:v>
                </c:pt>
                <c:pt idx="6">
                  <c:v>4.3804289000000001</c:v>
                </c:pt>
                <c:pt idx="7">
                  <c:v>4.4955084999999997</c:v>
                </c:pt>
                <c:pt idx="8">
                  <c:v>4.6127378999999999</c:v>
                </c:pt>
                <c:pt idx="9">
                  <c:v>4.7275513</c:v>
                </c:pt>
                <c:pt idx="10">
                  <c:v>4.8371529000000004</c:v>
                </c:pt>
                <c:pt idx="11">
                  <c:v>4.9399145999999998</c:v>
                </c:pt>
                <c:pt idx="12">
                  <c:v>5.0349130000000004</c:v>
                </c:pt>
                <c:pt idx="13">
                  <c:v>5.1216058000000002</c:v>
                </c:pt>
                <c:pt idx="14">
                  <c:v>5.1996661</c:v>
                </c:pt>
                <c:pt idx="15">
                  <c:v>5.268961</c:v>
                </c:pt>
                <c:pt idx="16">
                  <c:v>5.3295938999999999</c:v>
                </c:pt>
                <c:pt idx="17">
                  <c:v>5.3818843999999997</c:v>
                </c:pt>
                <c:pt idx="18">
                  <c:v>5.4263310000000002</c:v>
                </c:pt>
                <c:pt idx="19">
                  <c:v>5.4636031999999997</c:v>
                </c:pt>
                <c:pt idx="20">
                  <c:v>5.4944794000000003</c:v>
                </c:pt>
                <c:pt idx="21">
                  <c:v>5.5197417</c:v>
                </c:pt>
                <c:pt idx="22">
                  <c:v>5.5400957999999996</c:v>
                </c:pt>
                <c:pt idx="23">
                  <c:v>5.5561265999999998</c:v>
                </c:pt>
                <c:pt idx="24">
                  <c:v>5.5682786000000002</c:v>
                </c:pt>
                <c:pt idx="25">
                  <c:v>5.5768563999999996</c:v>
                </c:pt>
                <c:pt idx="26">
                  <c:v>5.5820369000000003</c:v>
                </c:pt>
                <c:pt idx="27">
                  <c:v>5.5838964999999998</c:v>
                </c:pt>
                <c:pt idx="28">
                  <c:v>5.5824501</c:v>
                </c:pt>
                <c:pt idx="29">
                  <c:v>5.5776887999999998</c:v>
                </c:pt>
                <c:pt idx="30">
                  <c:v>5.5696038999999997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2"/>
        <c:tickMarkSkip val="2"/>
        <c:noMultiLvlLbl val="0"/>
      </c:catAx>
      <c:valAx>
        <c:axId val="263608576"/>
        <c:scaling>
          <c:orientation val="minMax"/>
          <c:min val="3"/>
        </c:scaling>
        <c:delete val="0"/>
        <c:axPos val="l"/>
        <c:numFmt formatCode="#,##0.0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  <c:majorUnit val="0.25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1304830108906071"/>
          <c:y val="0.14464269234776655"/>
          <c:w val="0.36145485208014155"/>
          <c:h val="0.21494425673161366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0"/>
          <c:y val="0.12476370510396975"/>
          <c:w val="1"/>
          <c:h val="0.80907372400756139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Data'!$H$3</c:f>
              <c:strCache>
                <c:ptCount val="1"/>
                <c:pt idx="0">
                  <c:v>February 27 (pre-conflict)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Data'!$G$4:$G$27</c:f>
              <c:numCache>
                <c:formatCode>mmm\-yy</c:formatCode>
                <c:ptCount val="24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</c:numCache>
            </c:numRef>
          </c:cat>
          <c:val>
            <c:numRef>
              <c:f>'Chart Data'!$H$4:$H$27</c:f>
              <c:numCache>
                <c:formatCode>0.00</c:formatCode>
                <c:ptCount val="24"/>
                <c:pt idx="1">
                  <c:v>3.7267000000000001</c:v>
                </c:pt>
                <c:pt idx="2">
                  <c:v>3.5178962</c:v>
                </c:pt>
                <c:pt idx="3">
                  <c:v>3.4951976</c:v>
                </c:pt>
                <c:pt idx="4">
                  <c:v>3.4552223999999998</c:v>
                </c:pt>
                <c:pt idx="5">
                  <c:v>3.4041663</c:v>
                </c:pt>
                <c:pt idx="6">
                  <c:v>3.3509989</c:v>
                </c:pt>
                <c:pt idx="7">
                  <c:v>3.3038577999999998</c:v>
                </c:pt>
                <c:pt idx="8">
                  <c:v>3.2659639999999999</c:v>
                </c:pt>
                <c:pt idx="9">
                  <c:v>3.2391741999999999</c:v>
                </c:pt>
                <c:pt idx="10">
                  <c:v>3.2229112999999998</c:v>
                </c:pt>
                <c:pt idx="11">
                  <c:v>3.2150986000000001</c:v>
                </c:pt>
                <c:pt idx="12">
                  <c:v>3.2142658000000002</c:v>
                </c:pt>
                <c:pt idx="13">
                  <c:v>3.2181134999999998</c:v>
                </c:pt>
                <c:pt idx="14">
                  <c:v>3.2237811000000001</c:v>
                </c:pt>
                <c:pt idx="15">
                  <c:v>3.2304984000000001</c:v>
                </c:pt>
                <c:pt idx="16">
                  <c:v>3.2381883999999999</c:v>
                </c:pt>
                <c:pt idx="17">
                  <c:v>3.2467744000000001</c:v>
                </c:pt>
                <c:pt idx="18">
                  <c:v>3.2561795999999998</c:v>
                </c:pt>
                <c:pt idx="19">
                  <c:v>3.266327</c:v>
                </c:pt>
                <c:pt idx="20">
                  <c:v>3.2771436999999999</c:v>
                </c:pt>
                <c:pt idx="21">
                  <c:v>3.2885697999999999</c:v>
                </c:pt>
                <c:pt idx="22">
                  <c:v>3.3005477000000001</c:v>
                </c:pt>
                <c:pt idx="23">
                  <c:v>3.3130202999999998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Data'!$I$3</c:f>
              <c:strCache>
                <c:ptCount val="1"/>
                <c:pt idx="0">
                  <c:v>April 2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Data'!$G$4:$G$27</c:f>
              <c:numCache>
                <c:formatCode>mmm\-yy</c:formatCode>
                <c:ptCount val="24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</c:numCache>
            </c:numRef>
          </c:cat>
          <c:val>
            <c:numRef>
              <c:f>'Chart Data'!$I$4:$I$27</c:f>
              <c:numCache>
                <c:formatCode>General</c:formatCode>
                <c:ptCount val="24"/>
                <c:pt idx="3" formatCode="0.00">
                  <c:v>3.73</c:v>
                </c:pt>
                <c:pt idx="4" formatCode="0.00">
                  <c:v>3.7535959999999999</c:v>
                </c:pt>
                <c:pt idx="5" formatCode="0.00">
                  <c:v>3.8469901000000002</c:v>
                </c:pt>
                <c:pt idx="6" formatCode="0.00">
                  <c:v>3.9435361000000002</c:v>
                </c:pt>
                <c:pt idx="7" formatCode="0.00">
                  <c:v>4.0349472999999998</c:v>
                </c:pt>
                <c:pt idx="8" formatCode="0.00">
                  <c:v>4.1107529999999999</c:v>
                </c:pt>
                <c:pt idx="9" formatCode="0.00">
                  <c:v>4.1657421000000001</c:v>
                </c:pt>
                <c:pt idx="10" formatCode="0.00">
                  <c:v>4.2050498000000003</c:v>
                </c:pt>
                <c:pt idx="11" formatCode="0.00">
                  <c:v>4.2327572</c:v>
                </c:pt>
                <c:pt idx="12" formatCode="0.00">
                  <c:v>4.2538675000000001</c:v>
                </c:pt>
                <c:pt idx="13" formatCode="0.00">
                  <c:v>4.2711952999999996</c:v>
                </c:pt>
                <c:pt idx="14" formatCode="0.00">
                  <c:v>4.2852537000000002</c:v>
                </c:pt>
                <c:pt idx="15" formatCode="0.00">
                  <c:v>4.2949796999999998</c:v>
                </c:pt>
                <c:pt idx="16" formatCode="0.00">
                  <c:v>4.2986136000000004</c:v>
                </c:pt>
                <c:pt idx="17" formatCode="0.00">
                  <c:v>4.2963149999999999</c:v>
                </c:pt>
                <c:pt idx="18" formatCode="0.00">
                  <c:v>4.2887814999999998</c:v>
                </c:pt>
                <c:pt idx="19" formatCode="0.00">
                  <c:v>4.2767105000000001</c:v>
                </c:pt>
                <c:pt idx="20" formatCode="0.00">
                  <c:v>4.2607998</c:v>
                </c:pt>
                <c:pt idx="21" formatCode="0.00">
                  <c:v>4.2417467000000002</c:v>
                </c:pt>
                <c:pt idx="22" formatCode="0.00">
                  <c:v>4.2202548999999996</c:v>
                </c:pt>
                <c:pt idx="23" formatCode="0.00">
                  <c:v>4.1970586000000001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Data'!$J$3</c:f>
              <c:strCache>
                <c:ptCount val="1"/>
                <c:pt idx="0">
                  <c:v>April 9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'Chart Data'!$G$4:$G$27</c:f>
              <c:numCache>
                <c:formatCode>mmm\-yy</c:formatCode>
                <c:ptCount val="24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</c:numCache>
            </c:numRef>
          </c:cat>
          <c:val>
            <c:numRef>
              <c:f>'Chart Data'!$J$4:$J$27</c:f>
              <c:numCache>
                <c:formatCode>General</c:formatCode>
                <c:ptCount val="24"/>
                <c:pt idx="3" formatCode="0.00">
                  <c:v>3.7286999999999999</c:v>
                </c:pt>
                <c:pt idx="4" formatCode="0.00">
                  <c:v>3.7487876999999998</c:v>
                </c:pt>
                <c:pt idx="5" formatCode="0.00">
                  <c:v>3.8110080000000002</c:v>
                </c:pt>
                <c:pt idx="6" formatCode="0.00">
                  <c:v>3.8765784000000001</c:v>
                </c:pt>
                <c:pt idx="7" formatCode="0.00">
                  <c:v>3.9370481000000002</c:v>
                </c:pt>
                <c:pt idx="8" formatCode="0.00">
                  <c:v>3.9854788999999999</c:v>
                </c:pt>
                <c:pt idx="9" formatCode="0.00">
                  <c:v>4.0194080999999997</c:v>
                </c:pt>
                <c:pt idx="10" formatCode="0.00">
                  <c:v>4.0426574000000004</c:v>
                </c:pt>
                <c:pt idx="11" formatCode="0.00">
                  <c:v>4.0582202000000001</c:v>
                </c:pt>
                <c:pt idx="12" formatCode="0.00">
                  <c:v>4.0697463000000003</c:v>
                </c:pt>
                <c:pt idx="13" formatCode="0.00">
                  <c:v>4.0792662000000002</c:v>
                </c:pt>
                <c:pt idx="14" formatCode="0.00">
                  <c:v>4.0872013000000003</c:v>
                </c:pt>
                <c:pt idx="15" formatCode="0.00">
                  <c:v>4.0928193999999998</c:v>
                </c:pt>
                <c:pt idx="16" formatCode="0.00">
                  <c:v>4.0946369999999996</c:v>
                </c:pt>
                <c:pt idx="17" formatCode="0.00">
                  <c:v>4.0926787999999998</c:v>
                </c:pt>
                <c:pt idx="18" formatCode="0.00">
                  <c:v>4.0874071000000001</c:v>
                </c:pt>
                <c:pt idx="19" formatCode="0.00">
                  <c:v>4.0792840999999997</c:v>
                </c:pt>
                <c:pt idx="20" formatCode="0.00">
                  <c:v>4.0687720000000001</c:v>
                </c:pt>
                <c:pt idx="21" formatCode="0.00">
                  <c:v>4.0563330999999998</c:v>
                </c:pt>
                <c:pt idx="22" formatCode="0.00">
                  <c:v>4.0424413000000001</c:v>
                </c:pt>
                <c:pt idx="23" formatCode="0.00">
                  <c:v>4.0276293000000001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3"/>
        <c:tickMarkSkip val="3"/>
        <c:noMultiLvlLbl val="0"/>
      </c:catAx>
      <c:valAx>
        <c:axId val="263608576"/>
        <c:scaling>
          <c:orientation val="minMax"/>
          <c:min val="3"/>
        </c:scaling>
        <c:delete val="0"/>
        <c:axPos val="l"/>
        <c:numFmt formatCode="#,##0.0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  <c:majorUnit val="0.25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68855290349711"/>
          <c:y val="7.2808993917295867E-2"/>
          <c:w val="0.68121352477999075"/>
          <c:h val="5.6154086599288514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5916438047054067E-2"/>
          <c:y val="0.14739606745754133"/>
          <c:w val="0.38324948634814315"/>
          <c:h val="0.67605391244808954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Data'!$B$3</c:f>
              <c:strCache>
                <c:ptCount val="1"/>
                <c:pt idx="0">
                  <c:v>February 27 (pre-conflict)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Data'!$A$4:$A$34</c:f>
              <c:numCache>
                <c:formatCode>General</c:formatCode>
                <c:ptCount val="31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'Chart Data'!$B$4:$B$34</c:f>
              <c:numCache>
                <c:formatCode>0.00</c:formatCode>
                <c:ptCount val="31"/>
                <c:pt idx="1">
                  <c:v>3.4216359999999999</c:v>
                </c:pt>
                <c:pt idx="2">
                  <c:v>3.4236887999999999</c:v>
                </c:pt>
                <c:pt idx="3">
                  <c:v>3.4920874999999998</c:v>
                </c:pt>
                <c:pt idx="4">
                  <c:v>3.5963880000000001</c:v>
                </c:pt>
                <c:pt idx="5">
                  <c:v>3.7180677000000002</c:v>
                </c:pt>
                <c:pt idx="6">
                  <c:v>3.8481979000000002</c:v>
                </c:pt>
                <c:pt idx="7">
                  <c:v>3.9805372000000001</c:v>
                </c:pt>
                <c:pt idx="8">
                  <c:v>4.1104114000000003</c:v>
                </c:pt>
                <c:pt idx="9">
                  <c:v>4.2347723000000004</c:v>
                </c:pt>
                <c:pt idx="10">
                  <c:v>4.3519306000000002</c:v>
                </c:pt>
                <c:pt idx="11">
                  <c:v>4.4610789000000004</c:v>
                </c:pt>
                <c:pt idx="12">
                  <c:v>4.5618844000000003</c:v>
                </c:pt>
                <c:pt idx="13">
                  <c:v>4.6541997000000004</c:v>
                </c:pt>
                <c:pt idx="14">
                  <c:v>4.7379102</c:v>
                </c:pt>
                <c:pt idx="15">
                  <c:v>4.8129308000000002</c:v>
                </c:pt>
                <c:pt idx="16">
                  <c:v>4.8793059000000003</c:v>
                </c:pt>
                <c:pt idx="17">
                  <c:v>4.9372502999999996</c:v>
                </c:pt>
                <c:pt idx="18">
                  <c:v>4.9871565999999996</c:v>
                </c:pt>
                <c:pt idx="19">
                  <c:v>5.0296156999999999</c:v>
                </c:pt>
                <c:pt idx="20">
                  <c:v>5.0653721000000003</c:v>
                </c:pt>
                <c:pt idx="21">
                  <c:v>5.0952111000000002</c:v>
                </c:pt>
                <c:pt idx="22">
                  <c:v>5.1198648000000002</c:v>
                </c:pt>
                <c:pt idx="23">
                  <c:v>5.1399584999999997</c:v>
                </c:pt>
                <c:pt idx="24">
                  <c:v>5.1559821000000001</c:v>
                </c:pt>
                <c:pt idx="25">
                  <c:v>5.1682872</c:v>
                </c:pt>
                <c:pt idx="26">
                  <c:v>5.1770940000000003</c:v>
                </c:pt>
                <c:pt idx="27">
                  <c:v>5.1825131999999998</c:v>
                </c:pt>
                <c:pt idx="28">
                  <c:v>5.1845847000000003</c:v>
                </c:pt>
                <c:pt idx="29">
                  <c:v>5.1833144000000004</c:v>
                </c:pt>
                <c:pt idx="30">
                  <c:v>5.1786989999999999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82-4DC3-B86C-A6AA3A9E2855}"/>
            </c:ext>
          </c:extLst>
        </c:ser>
        <c:ser>
          <c:idx val="1"/>
          <c:order val="1"/>
          <c:tx>
            <c:strRef>
              <c:f>'Chart Data'!$C$3</c:f>
              <c:strCache>
                <c:ptCount val="1"/>
                <c:pt idx="0">
                  <c:v>April 2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Data'!$A$4:$A$34</c:f>
              <c:numCache>
                <c:formatCode>General</c:formatCode>
                <c:ptCount val="31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'Chart Data'!$C$4:$C$34</c:f>
              <c:numCache>
                <c:formatCode>0.00</c:formatCode>
                <c:ptCount val="31"/>
                <c:pt idx="1">
                  <c:v>4.1714384999999998</c:v>
                </c:pt>
                <c:pt idx="2">
                  <c:v>4.1952236999999997</c:v>
                </c:pt>
                <c:pt idx="3">
                  <c:v>4.2022328</c:v>
                </c:pt>
                <c:pt idx="4">
                  <c:v>4.2487852000000004</c:v>
                </c:pt>
                <c:pt idx="5">
                  <c:v>4.3259169999999996</c:v>
                </c:pt>
                <c:pt idx="6">
                  <c:v>4.4233349999999998</c:v>
                </c:pt>
                <c:pt idx="7">
                  <c:v>4.5316539000000002</c:v>
                </c:pt>
                <c:pt idx="8">
                  <c:v>4.6435199999999996</c:v>
                </c:pt>
                <c:pt idx="9">
                  <c:v>4.7539398999999998</c:v>
                </c:pt>
                <c:pt idx="10">
                  <c:v>4.8598486999999997</c:v>
                </c:pt>
                <c:pt idx="11">
                  <c:v>4.9595000999999996</c:v>
                </c:pt>
                <c:pt idx="12">
                  <c:v>5.0519341999999998</c:v>
                </c:pt>
                <c:pt idx="13">
                  <c:v>5.1365943999999999</c:v>
                </c:pt>
                <c:pt idx="14">
                  <c:v>5.2131270000000001</c:v>
                </c:pt>
                <c:pt idx="15">
                  <c:v>5.2813476000000001</c:v>
                </c:pt>
                <c:pt idx="16">
                  <c:v>5.3412875</c:v>
                </c:pt>
                <c:pt idx="17">
                  <c:v>5.3931825</c:v>
                </c:pt>
                <c:pt idx="18">
                  <c:v>5.4374466000000004</c:v>
                </c:pt>
                <c:pt idx="19">
                  <c:v>5.4746727000000002</c:v>
                </c:pt>
                <c:pt idx="20">
                  <c:v>5.5055738999999999</c:v>
                </c:pt>
                <c:pt idx="21">
                  <c:v>5.5308783999999998</c:v>
                </c:pt>
                <c:pt idx="22">
                  <c:v>5.5512490000000003</c:v>
                </c:pt>
                <c:pt idx="23">
                  <c:v>5.5672398000000003</c:v>
                </c:pt>
                <c:pt idx="24">
                  <c:v>5.5792755999999999</c:v>
                </c:pt>
                <c:pt idx="25">
                  <c:v>5.5876524999999999</c:v>
                </c:pt>
                <c:pt idx="26">
                  <c:v>5.5925482999999998</c:v>
                </c:pt>
                <c:pt idx="27">
                  <c:v>5.5940466999999998</c:v>
                </c:pt>
                <c:pt idx="28">
                  <c:v>5.5921748999999998</c:v>
                </c:pt>
                <c:pt idx="29">
                  <c:v>5.5869388999999998</c:v>
                </c:pt>
                <c:pt idx="30">
                  <c:v>5.5783462999999998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82-4DC3-B86C-A6AA3A9E2855}"/>
            </c:ext>
          </c:extLst>
        </c:ser>
        <c:ser>
          <c:idx val="2"/>
          <c:order val="2"/>
          <c:tx>
            <c:strRef>
              <c:f>'Chart Data'!$D$3</c:f>
              <c:strCache>
                <c:ptCount val="1"/>
                <c:pt idx="0">
                  <c:v>April 9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'Chart Data'!$A$4:$A$34</c:f>
              <c:numCache>
                <c:formatCode>General</c:formatCode>
                <c:ptCount val="31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'Chart Data'!$D$4:$D$34</c:f>
              <c:numCache>
                <c:formatCode>0.00</c:formatCode>
                <c:ptCount val="31"/>
                <c:pt idx="1">
                  <c:v>4.0773633</c:v>
                </c:pt>
                <c:pt idx="2">
                  <c:v>4.1019226</c:v>
                </c:pt>
                <c:pt idx="3">
                  <c:v>4.1253779000000002</c:v>
                </c:pt>
                <c:pt idx="4">
                  <c:v>4.1860213000000002</c:v>
                </c:pt>
                <c:pt idx="5">
                  <c:v>4.2743205</c:v>
                </c:pt>
                <c:pt idx="6">
                  <c:v>4.3804289000000001</c:v>
                </c:pt>
                <c:pt idx="7">
                  <c:v>4.4955084999999997</c:v>
                </c:pt>
                <c:pt idx="8">
                  <c:v>4.6127378999999999</c:v>
                </c:pt>
                <c:pt idx="9">
                  <c:v>4.7275513</c:v>
                </c:pt>
                <c:pt idx="10">
                  <c:v>4.8371529000000004</c:v>
                </c:pt>
                <c:pt idx="11">
                  <c:v>4.9399145999999998</c:v>
                </c:pt>
                <c:pt idx="12">
                  <c:v>5.0349130000000004</c:v>
                </c:pt>
                <c:pt idx="13">
                  <c:v>5.1216058000000002</c:v>
                </c:pt>
                <c:pt idx="14">
                  <c:v>5.1996661</c:v>
                </c:pt>
                <c:pt idx="15">
                  <c:v>5.268961</c:v>
                </c:pt>
                <c:pt idx="16">
                  <c:v>5.3295938999999999</c:v>
                </c:pt>
                <c:pt idx="17">
                  <c:v>5.3818843999999997</c:v>
                </c:pt>
                <c:pt idx="18">
                  <c:v>5.4263310000000002</c:v>
                </c:pt>
                <c:pt idx="19">
                  <c:v>5.4636031999999997</c:v>
                </c:pt>
                <c:pt idx="20">
                  <c:v>5.4944794000000003</c:v>
                </c:pt>
                <c:pt idx="21">
                  <c:v>5.5197417</c:v>
                </c:pt>
                <c:pt idx="22">
                  <c:v>5.5400957999999996</c:v>
                </c:pt>
                <c:pt idx="23">
                  <c:v>5.5561265999999998</c:v>
                </c:pt>
                <c:pt idx="24">
                  <c:v>5.5682786000000002</c:v>
                </c:pt>
                <c:pt idx="25">
                  <c:v>5.5768563999999996</c:v>
                </c:pt>
                <c:pt idx="26">
                  <c:v>5.5820369000000003</c:v>
                </c:pt>
                <c:pt idx="27">
                  <c:v>5.5838964999999998</c:v>
                </c:pt>
                <c:pt idx="28">
                  <c:v>5.5824501</c:v>
                </c:pt>
                <c:pt idx="29">
                  <c:v>5.5776887999999998</c:v>
                </c:pt>
                <c:pt idx="30">
                  <c:v>5.5696038999999997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82-4DC3-B86C-A6AA3A9E28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5"/>
        <c:tickMarkSkip val="5"/>
        <c:noMultiLvlLbl val="0"/>
      </c:catAx>
      <c:valAx>
        <c:axId val="263608576"/>
        <c:scaling>
          <c:orientation val="minMax"/>
          <c:min val="3"/>
        </c:scaling>
        <c:delete val="0"/>
        <c:axPos val="l"/>
        <c:numFmt formatCode="#,##0.0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  <c:majorUnit val="0.25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0850964063187056"/>
          <c:y val="0.10188185618338477"/>
          <c:w val="0.36409311047151094"/>
          <c:h val="0.20198011285056311"/>
        </c:manualLayout>
      </c:layout>
      <c:overlay val="0"/>
      <c:txPr>
        <a:bodyPr/>
        <a:lstStyle/>
        <a:p>
          <a:pPr>
            <a:defRPr lang="en-US" sz="1800" b="0" i="0" u="none" strike="noStrike" kern="1200" baseline="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6273416052205028"/>
          <c:y val="8.7599019436231995E-2"/>
          <c:w val="0.7457320758314111"/>
          <c:h val="0.72861294945493782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Data'!$H$3</c:f>
              <c:strCache>
                <c:ptCount val="1"/>
                <c:pt idx="0">
                  <c:v>February 27 (pre-conflict)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Data'!$G$4:$G$39</c:f>
              <c:numCache>
                <c:formatCode>mmm\-yy</c:formatCode>
                <c:ptCount val="3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  <c:pt idx="27">
                  <c:v>46844</c:v>
                </c:pt>
                <c:pt idx="28">
                  <c:v>46874</c:v>
                </c:pt>
                <c:pt idx="29">
                  <c:v>46905</c:v>
                </c:pt>
                <c:pt idx="30">
                  <c:v>46935</c:v>
                </c:pt>
                <c:pt idx="31">
                  <c:v>46966</c:v>
                </c:pt>
                <c:pt idx="32">
                  <c:v>46997</c:v>
                </c:pt>
                <c:pt idx="33">
                  <c:v>47027</c:v>
                </c:pt>
                <c:pt idx="34">
                  <c:v>47058</c:v>
                </c:pt>
                <c:pt idx="35">
                  <c:v>47088</c:v>
                </c:pt>
              </c:numCache>
            </c:numRef>
          </c:cat>
          <c:val>
            <c:numRef>
              <c:f>'Chart Data'!$H$4:$H$39</c:f>
              <c:numCache>
                <c:formatCode>0.00</c:formatCode>
                <c:ptCount val="36"/>
                <c:pt idx="1">
                  <c:v>3.7267000000000001</c:v>
                </c:pt>
                <c:pt idx="2">
                  <c:v>3.5178962</c:v>
                </c:pt>
                <c:pt idx="3">
                  <c:v>3.4951976</c:v>
                </c:pt>
                <c:pt idx="4">
                  <c:v>3.4552223999999998</c:v>
                </c:pt>
                <c:pt idx="5">
                  <c:v>3.4041663</c:v>
                </c:pt>
                <c:pt idx="6">
                  <c:v>3.3509989</c:v>
                </c:pt>
                <c:pt idx="7">
                  <c:v>3.3038577999999998</c:v>
                </c:pt>
                <c:pt idx="8">
                  <c:v>3.2659639999999999</c:v>
                </c:pt>
                <c:pt idx="9">
                  <c:v>3.2391741999999999</c:v>
                </c:pt>
                <c:pt idx="10">
                  <c:v>3.2229112999999998</c:v>
                </c:pt>
                <c:pt idx="11">
                  <c:v>3.2150986000000001</c:v>
                </c:pt>
                <c:pt idx="12">
                  <c:v>3.2142658000000002</c:v>
                </c:pt>
                <c:pt idx="13">
                  <c:v>3.2181134999999998</c:v>
                </c:pt>
                <c:pt idx="14">
                  <c:v>3.2237811000000001</c:v>
                </c:pt>
                <c:pt idx="15">
                  <c:v>3.2304984000000001</c:v>
                </c:pt>
                <c:pt idx="16">
                  <c:v>3.2381883999999999</c:v>
                </c:pt>
                <c:pt idx="17">
                  <c:v>3.2467744000000001</c:v>
                </c:pt>
                <c:pt idx="18">
                  <c:v>3.2561795999999998</c:v>
                </c:pt>
                <c:pt idx="19">
                  <c:v>3.266327</c:v>
                </c:pt>
                <c:pt idx="20">
                  <c:v>3.2771436999999999</c:v>
                </c:pt>
                <c:pt idx="21">
                  <c:v>3.2885697999999999</c:v>
                </c:pt>
                <c:pt idx="22">
                  <c:v>3.3005477000000001</c:v>
                </c:pt>
                <c:pt idx="23">
                  <c:v>3.3130202999999998</c:v>
                </c:pt>
                <c:pt idx="24">
                  <c:v>3.3259305000000001</c:v>
                </c:pt>
                <c:pt idx="25">
                  <c:v>3.3392208000000001</c:v>
                </c:pt>
                <c:pt idx="26">
                  <c:v>3.3528378000000001</c:v>
                </c:pt>
                <c:pt idx="27">
                  <c:v>3.3667444</c:v>
                </c:pt>
                <c:pt idx="28">
                  <c:v>3.3809076</c:v>
                </c:pt>
                <c:pt idx="29">
                  <c:v>3.3952949000000001</c:v>
                </c:pt>
                <c:pt idx="30">
                  <c:v>3.4098736999999999</c:v>
                </c:pt>
                <c:pt idx="31">
                  <c:v>3.4246110000000001</c:v>
                </c:pt>
                <c:pt idx="32">
                  <c:v>3.4394741999999998</c:v>
                </c:pt>
                <c:pt idx="33">
                  <c:v>3.4544309000000002</c:v>
                </c:pt>
                <c:pt idx="34">
                  <c:v>3.4694479</c:v>
                </c:pt>
                <c:pt idx="35">
                  <c:v>3.4844928999999998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28-438C-82F3-45A7B9F6BCC6}"/>
            </c:ext>
          </c:extLst>
        </c:ser>
        <c:ser>
          <c:idx val="1"/>
          <c:order val="1"/>
          <c:tx>
            <c:strRef>
              <c:f>'Chart Data'!$I$3</c:f>
              <c:strCache>
                <c:ptCount val="1"/>
                <c:pt idx="0">
                  <c:v>April 2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Data'!$G$4:$G$39</c:f>
              <c:numCache>
                <c:formatCode>mmm\-yy</c:formatCode>
                <c:ptCount val="3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  <c:pt idx="27">
                  <c:v>46844</c:v>
                </c:pt>
                <c:pt idx="28">
                  <c:v>46874</c:v>
                </c:pt>
                <c:pt idx="29">
                  <c:v>46905</c:v>
                </c:pt>
                <c:pt idx="30">
                  <c:v>46935</c:v>
                </c:pt>
                <c:pt idx="31">
                  <c:v>46966</c:v>
                </c:pt>
                <c:pt idx="32">
                  <c:v>46997</c:v>
                </c:pt>
                <c:pt idx="33">
                  <c:v>47027</c:v>
                </c:pt>
                <c:pt idx="34">
                  <c:v>47058</c:v>
                </c:pt>
                <c:pt idx="35">
                  <c:v>47088</c:v>
                </c:pt>
              </c:numCache>
            </c:numRef>
          </c:cat>
          <c:val>
            <c:numRef>
              <c:f>'Chart Data'!$I$4:$I$39</c:f>
              <c:numCache>
                <c:formatCode>General</c:formatCode>
                <c:ptCount val="36"/>
                <c:pt idx="3" formatCode="0.00">
                  <c:v>3.73</c:v>
                </c:pt>
                <c:pt idx="4" formatCode="0.00">
                  <c:v>3.7535959999999999</c:v>
                </c:pt>
                <c:pt idx="5" formatCode="0.00">
                  <c:v>3.8469901000000002</c:v>
                </c:pt>
                <c:pt idx="6" formatCode="0.00">
                  <c:v>3.9435361000000002</c:v>
                </c:pt>
                <c:pt idx="7" formatCode="0.00">
                  <c:v>4.0349472999999998</c:v>
                </c:pt>
                <c:pt idx="8" formatCode="0.00">
                  <c:v>4.1107529999999999</c:v>
                </c:pt>
                <c:pt idx="9" formatCode="0.00">
                  <c:v>4.1657421000000001</c:v>
                </c:pt>
                <c:pt idx="10" formatCode="0.00">
                  <c:v>4.2050498000000003</c:v>
                </c:pt>
                <c:pt idx="11" formatCode="0.00">
                  <c:v>4.2327572</c:v>
                </c:pt>
                <c:pt idx="12" formatCode="0.00">
                  <c:v>4.2538675000000001</c:v>
                </c:pt>
                <c:pt idx="13" formatCode="0.00">
                  <c:v>4.2711952999999996</c:v>
                </c:pt>
                <c:pt idx="14" formatCode="0.00">
                  <c:v>4.2852537000000002</c:v>
                </c:pt>
                <c:pt idx="15" formatCode="0.00">
                  <c:v>4.2949796999999998</c:v>
                </c:pt>
                <c:pt idx="16" formatCode="0.00">
                  <c:v>4.2986136000000004</c:v>
                </c:pt>
                <c:pt idx="17" formatCode="0.00">
                  <c:v>4.2963149999999999</c:v>
                </c:pt>
                <c:pt idx="18" formatCode="0.00">
                  <c:v>4.2887814999999998</c:v>
                </c:pt>
                <c:pt idx="19" formatCode="0.00">
                  <c:v>4.2767105000000001</c:v>
                </c:pt>
                <c:pt idx="20" formatCode="0.00">
                  <c:v>4.2607998</c:v>
                </c:pt>
                <c:pt idx="21" formatCode="0.00">
                  <c:v>4.2417467000000002</c:v>
                </c:pt>
                <c:pt idx="22" formatCode="0.00">
                  <c:v>4.2202548999999996</c:v>
                </c:pt>
                <c:pt idx="23" formatCode="0.00">
                  <c:v>4.1970586000000001</c:v>
                </c:pt>
                <c:pt idx="24" formatCode="0.00">
                  <c:v>4.1729016000000003</c:v>
                </c:pt>
                <c:pt idx="25" formatCode="0.00">
                  <c:v>4.1485279000000004</c:v>
                </c:pt>
                <c:pt idx="26" formatCode="0.00">
                  <c:v>4.1246814000000001</c:v>
                </c:pt>
                <c:pt idx="27" formatCode="0.00">
                  <c:v>4.102106</c:v>
                </c:pt>
                <c:pt idx="28" formatCode="0.00">
                  <c:v>4.0814382</c:v>
                </c:pt>
                <c:pt idx="29" formatCode="0.00">
                  <c:v>4.0627896000000003</c:v>
                </c:pt>
                <c:pt idx="30" formatCode="0.00">
                  <c:v>4.0461124000000002</c:v>
                </c:pt>
                <c:pt idx="31" formatCode="0.00">
                  <c:v>4.0313587000000002</c:v>
                </c:pt>
                <c:pt idx="32" formatCode="0.00">
                  <c:v>4.0184804999999999</c:v>
                </c:pt>
                <c:pt idx="33" formatCode="0.00">
                  <c:v>4.0074300999999997</c:v>
                </c:pt>
                <c:pt idx="34" formatCode="0.00">
                  <c:v>3.9981594999999999</c:v>
                </c:pt>
                <c:pt idx="35" formatCode="0.00">
                  <c:v>3.9906207999999999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28-438C-82F3-45A7B9F6BCC6}"/>
            </c:ext>
          </c:extLst>
        </c:ser>
        <c:ser>
          <c:idx val="2"/>
          <c:order val="2"/>
          <c:tx>
            <c:strRef>
              <c:f>'Chart Data'!$J$3</c:f>
              <c:strCache>
                <c:ptCount val="1"/>
                <c:pt idx="0">
                  <c:v>April 9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'Chart Data'!$G$4:$G$39</c:f>
              <c:numCache>
                <c:formatCode>mmm\-yy</c:formatCode>
                <c:ptCount val="3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  <c:pt idx="27">
                  <c:v>46844</c:v>
                </c:pt>
                <c:pt idx="28">
                  <c:v>46874</c:v>
                </c:pt>
                <c:pt idx="29">
                  <c:v>46905</c:v>
                </c:pt>
                <c:pt idx="30">
                  <c:v>46935</c:v>
                </c:pt>
                <c:pt idx="31">
                  <c:v>46966</c:v>
                </c:pt>
                <c:pt idx="32">
                  <c:v>46997</c:v>
                </c:pt>
                <c:pt idx="33">
                  <c:v>47027</c:v>
                </c:pt>
                <c:pt idx="34">
                  <c:v>47058</c:v>
                </c:pt>
                <c:pt idx="35">
                  <c:v>47088</c:v>
                </c:pt>
              </c:numCache>
            </c:numRef>
          </c:cat>
          <c:val>
            <c:numRef>
              <c:f>'Chart Data'!$J$4:$J$39</c:f>
              <c:numCache>
                <c:formatCode>General</c:formatCode>
                <c:ptCount val="36"/>
                <c:pt idx="3" formatCode="0.00">
                  <c:v>3.7286999999999999</c:v>
                </c:pt>
                <c:pt idx="4" formatCode="0.00">
                  <c:v>3.7487876999999998</c:v>
                </c:pt>
                <c:pt idx="5" formatCode="0.00">
                  <c:v>3.8110080000000002</c:v>
                </c:pt>
                <c:pt idx="6" formatCode="0.00">
                  <c:v>3.8765784000000001</c:v>
                </c:pt>
                <c:pt idx="7" formatCode="0.00">
                  <c:v>3.9370481000000002</c:v>
                </c:pt>
                <c:pt idx="8" formatCode="0.00">
                  <c:v>3.9854788999999999</c:v>
                </c:pt>
                <c:pt idx="9" formatCode="0.00">
                  <c:v>4.0194080999999997</c:v>
                </c:pt>
                <c:pt idx="10" formatCode="0.00">
                  <c:v>4.0426574000000004</c:v>
                </c:pt>
                <c:pt idx="11" formatCode="0.00">
                  <c:v>4.0582202000000001</c:v>
                </c:pt>
                <c:pt idx="12" formatCode="0.00">
                  <c:v>4.0697463000000003</c:v>
                </c:pt>
                <c:pt idx="13" formatCode="0.00">
                  <c:v>4.0792662000000002</c:v>
                </c:pt>
                <c:pt idx="14" formatCode="0.00">
                  <c:v>4.0872013000000003</c:v>
                </c:pt>
                <c:pt idx="15" formatCode="0.00">
                  <c:v>4.0928193999999998</c:v>
                </c:pt>
                <c:pt idx="16" formatCode="0.00">
                  <c:v>4.0946369999999996</c:v>
                </c:pt>
                <c:pt idx="17" formatCode="0.00">
                  <c:v>4.0926787999999998</c:v>
                </c:pt>
                <c:pt idx="18" formatCode="0.00">
                  <c:v>4.0874071000000001</c:v>
                </c:pt>
                <c:pt idx="19" formatCode="0.00">
                  <c:v>4.0792840999999997</c:v>
                </c:pt>
                <c:pt idx="20" formatCode="0.00">
                  <c:v>4.0687720000000001</c:v>
                </c:pt>
                <c:pt idx="21" formatCode="0.00">
                  <c:v>4.0563330999999998</c:v>
                </c:pt>
                <c:pt idx="22" formatCode="0.00">
                  <c:v>4.0424413000000001</c:v>
                </c:pt>
                <c:pt idx="23" formatCode="0.00">
                  <c:v>4.0276293000000001</c:v>
                </c:pt>
                <c:pt idx="24" formatCode="0.00">
                  <c:v>4.0124485999999999</c:v>
                </c:pt>
                <c:pt idx="25" formatCode="0.00">
                  <c:v>3.9974509999999999</c:v>
                </c:pt>
                <c:pt idx="26" formatCode="0.00">
                  <c:v>3.9831881</c:v>
                </c:pt>
                <c:pt idx="27" formatCode="0.00">
                  <c:v>3.9702115</c:v>
                </c:pt>
                <c:pt idx="28" formatCode="0.00">
                  <c:v>3.9589872000000002</c:v>
                </c:pt>
                <c:pt idx="29" formatCode="0.00">
                  <c:v>3.9495632000000001</c:v>
                </c:pt>
                <c:pt idx="30" formatCode="0.00">
                  <c:v>3.9418603999999999</c:v>
                </c:pt>
                <c:pt idx="31" formatCode="0.00">
                  <c:v>3.9357999000000001</c:v>
                </c:pt>
                <c:pt idx="32" formatCode="0.00">
                  <c:v>3.9313025000000001</c:v>
                </c:pt>
                <c:pt idx="33" formatCode="0.00">
                  <c:v>3.9282891000000002</c:v>
                </c:pt>
                <c:pt idx="34" formatCode="0.00">
                  <c:v>3.9266806999999999</c:v>
                </c:pt>
                <c:pt idx="35" formatCode="0.00">
                  <c:v>3.9263981999999999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28-438C-82F3-45A7B9F6B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12"/>
        <c:tickMarkSkip val="12"/>
        <c:noMultiLvlLbl val="0"/>
      </c:catAx>
      <c:valAx>
        <c:axId val="263608576"/>
        <c:scaling>
          <c:orientation val="minMax"/>
          <c:max val="4.5"/>
          <c:min val="3"/>
        </c:scaling>
        <c:delete val="0"/>
        <c:axPos val="l"/>
        <c:numFmt formatCode="#,##0.0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  <c:majorUnit val="0.2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A566934-33F3-47D8-AC17-3FE3BEE4E0C6}">
  <sheetPr/>
  <sheetViews>
    <sheetView zoomScale="55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FB95070-CAD3-402E-92A1-6E5F6D1062A8}">
  <sheetPr/>
  <sheetViews>
    <sheetView zoomScale="55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7D95C1A-FF8B-4E84-A643-EE711EA41371}">
  <sheetPr/>
  <sheetViews>
    <sheetView tabSelected="1" zoomScale="55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28182" cy="67425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3C32CF-48A0-EC2B-1B75-5E058645A58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0.00809</cdr:y>
    </cdr:from>
    <cdr:to>
      <cdr:x>1</cdr:x>
      <cdr:y>0.08899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D1D6884-7AA8-935A-75EC-002863FBC711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Gilt yield curve</a:t>
          </a:r>
        </a:p>
      </cdr:txBody>
    </cdr:sp>
  </cdr:relSizeAnchor>
  <cdr:relSizeAnchor xmlns:cdr="http://schemas.openxmlformats.org/drawingml/2006/chartDrawing">
    <cdr:from>
      <cdr:x>1.01481E-16</cdr:x>
      <cdr:y>0.93912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4C453A9A-AB48-C1BD-7D04-C6584613F7CB}"/>
            </a:ext>
          </a:extLst>
        </cdr:cNvPr>
        <cdr:cNvSpPr/>
      </cdr:nvSpPr>
      <cdr:spPr>
        <a:xfrm xmlns:a="http://schemas.openxmlformats.org/drawingml/2006/main">
          <a:off x="50800" y="5897174"/>
          <a:ext cx="8660694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600" b="0" i="0" u="none" strike="noStrike" kern="1200" baseline="0">
              <a:solidFill>
                <a:srgbClr val="495057"/>
              </a:solidFill>
              <a:latin typeface="Segoe UI" panose="020B0502040204020203" pitchFamily="34" charset="0"/>
            </a:rPr>
            <a:t>Sources: Haver Analytics</a:t>
          </a:r>
        </a:p>
      </cdr:txBody>
    </cdr:sp>
  </cdr:relSizeAnchor>
  <cdr:relSizeAnchor xmlns:cdr="http://schemas.openxmlformats.org/drawingml/2006/chartDrawing">
    <cdr:from>
      <cdr:x>0.76649</cdr:x>
      <cdr:y>0.88728</cdr:y>
    </cdr:from>
    <cdr:to>
      <cdr:x>0.98313</cdr:x>
      <cdr:y>0.96655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89E5A6D1-6D4E-AB6A-A140-318B81C62F9F}"/>
            </a:ext>
          </a:extLst>
        </cdr:cNvPr>
        <cdr:cNvSpPr txBox="1"/>
      </cdr:nvSpPr>
      <cdr:spPr>
        <a:xfrm xmlns:a="http://schemas.openxmlformats.org/drawingml/2006/main">
          <a:off x="6453909" y="5960996"/>
          <a:ext cx="1824181" cy="53254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 kern="1200">
              <a:solidFill>
                <a:srgbClr val="495057"/>
              </a:solidFill>
              <a:latin typeface="Segoe UI" panose="020B0502040204020203" pitchFamily="34" charset="0"/>
            </a:rPr>
            <a:t>Maturity, years</a:t>
          </a:r>
        </a:p>
      </cdr:txBody>
    </cdr:sp>
  </cdr:relSizeAnchor>
  <cdr:relSizeAnchor xmlns:cdr="http://schemas.openxmlformats.org/drawingml/2006/chartDrawing">
    <cdr:from>
      <cdr:x>0</cdr:x>
      <cdr:y>0.07549</cdr:y>
    </cdr:from>
    <cdr:to>
      <cdr:x>1</cdr:x>
      <cdr:y>0.12645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AB2A4535-91B6-08A9-E4D5-6F316F9C04B3}"/>
            </a:ext>
          </a:extLst>
        </cdr:cNvPr>
        <cdr:cNvSpPr txBox="1"/>
      </cdr:nvSpPr>
      <cdr:spPr>
        <a:xfrm xmlns:a="http://schemas.openxmlformats.org/drawingml/2006/main">
          <a:off x="50800" y="508000"/>
          <a:ext cx="889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642273" cy="1011381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5957A6-79F0-FDC1-C087-15503101878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0.00809</cdr:y>
    </cdr:from>
    <cdr:to>
      <cdr:x>1</cdr:x>
      <cdr:y>0.08899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044A192-F0A4-6ED6-8679-4B048D0CE1B0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Bank Rate expectations</a:t>
          </a:r>
        </a:p>
      </cdr:txBody>
    </cdr:sp>
  </cdr:relSizeAnchor>
  <cdr:relSizeAnchor xmlns:cdr="http://schemas.openxmlformats.org/drawingml/2006/chartDrawing">
    <cdr:from>
      <cdr:x>1.01481E-16</cdr:x>
      <cdr:y>0.93912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99014210-B575-B280-7C50-56FA10575073}"/>
            </a:ext>
          </a:extLst>
        </cdr:cNvPr>
        <cdr:cNvSpPr/>
      </cdr:nvSpPr>
      <cdr:spPr>
        <a:xfrm xmlns:a="http://schemas.openxmlformats.org/drawingml/2006/main">
          <a:off x="50800" y="5897174"/>
          <a:ext cx="8660694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600" b="0" i="0" u="none" strike="noStrike" kern="1200" baseline="0">
              <a:solidFill>
                <a:srgbClr val="495057"/>
              </a:solidFill>
              <a:latin typeface="Segoe UI" panose="020B0502040204020203" pitchFamily="34" charset="0"/>
            </a:rPr>
            <a:t>Sources: Haver Analytics</a:t>
          </a:r>
        </a:p>
      </cdr:txBody>
    </cdr:sp>
  </cdr:relSizeAnchor>
  <cdr:relSizeAnchor xmlns:cdr="http://schemas.openxmlformats.org/drawingml/2006/chartDrawing">
    <cdr:from>
      <cdr:x>0</cdr:x>
      <cdr:y>0.07549</cdr:y>
    </cdr:from>
    <cdr:to>
      <cdr:x>1</cdr:x>
      <cdr:y>0.12645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30E6CFE1-8D88-45C7-9CD6-07333B15640F}"/>
            </a:ext>
          </a:extLst>
        </cdr:cNvPr>
        <cdr:cNvSpPr txBox="1"/>
      </cdr:nvSpPr>
      <cdr:spPr>
        <a:xfrm xmlns:a="http://schemas.openxmlformats.org/drawingml/2006/main">
          <a:off x="50800" y="508000"/>
          <a:ext cx="889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428182" cy="67425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71AD75-242D-7689-66F0-808D233E126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0.00809</cdr:y>
    </cdr:from>
    <cdr:to>
      <cdr:x>1</cdr:x>
      <cdr:y>0.08899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D1D6884-7AA8-935A-75EC-002863FBC711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Gilt yields                            Bank Rate expectations</a:t>
          </a:r>
        </a:p>
      </cdr:txBody>
    </cdr:sp>
  </cdr:relSizeAnchor>
  <cdr:relSizeAnchor xmlns:cdr="http://schemas.openxmlformats.org/drawingml/2006/chartDrawing">
    <cdr:from>
      <cdr:x>1.01481E-16</cdr:x>
      <cdr:y>0.93912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4C453A9A-AB48-C1BD-7D04-C6584613F7CB}"/>
            </a:ext>
          </a:extLst>
        </cdr:cNvPr>
        <cdr:cNvSpPr/>
      </cdr:nvSpPr>
      <cdr:spPr>
        <a:xfrm xmlns:a="http://schemas.openxmlformats.org/drawingml/2006/main">
          <a:off x="50800" y="5897174"/>
          <a:ext cx="8660694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600" b="0" i="0" u="none" strike="noStrike" kern="1200" baseline="0">
              <a:solidFill>
                <a:srgbClr val="495057"/>
              </a:solidFill>
              <a:latin typeface="Segoe UI" panose="020B0502040204020203" pitchFamily="34" charset="0"/>
            </a:rPr>
            <a:t>Sources: Haver Analytics</a:t>
          </a:r>
        </a:p>
      </cdr:txBody>
    </cdr:sp>
  </cdr:relSizeAnchor>
  <cdr:relSizeAnchor xmlns:cdr="http://schemas.openxmlformats.org/drawingml/2006/chartDrawing">
    <cdr:from>
      <cdr:x>0.29618</cdr:x>
      <cdr:y>0.889</cdr:y>
    </cdr:from>
    <cdr:to>
      <cdr:x>0.51282</cdr:x>
      <cdr:y>0.96827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89E5A6D1-6D4E-AB6A-A140-318B81C62F9F}"/>
            </a:ext>
          </a:extLst>
        </cdr:cNvPr>
        <cdr:cNvSpPr txBox="1"/>
      </cdr:nvSpPr>
      <cdr:spPr>
        <a:xfrm xmlns:a="http://schemas.openxmlformats.org/drawingml/2006/main">
          <a:off x="2493831" y="5972559"/>
          <a:ext cx="1824131" cy="532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 kern="1200">
              <a:solidFill>
                <a:srgbClr val="495057"/>
              </a:solidFill>
              <a:latin typeface="Segoe UI" panose="020B0502040204020203" pitchFamily="34" charset="0"/>
            </a:rPr>
            <a:t>Maturity, years</a:t>
          </a:r>
        </a:p>
      </cdr:txBody>
    </cdr:sp>
  </cdr:relSizeAnchor>
  <cdr:relSizeAnchor xmlns:cdr="http://schemas.openxmlformats.org/drawingml/2006/chartDrawing">
    <cdr:from>
      <cdr:x>0</cdr:x>
      <cdr:y>0.07549</cdr:y>
    </cdr:from>
    <cdr:to>
      <cdr:x>1</cdr:x>
      <cdr:y>0.12645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AB2A4535-91B6-08A9-E4D5-6F316F9C04B3}"/>
            </a:ext>
          </a:extLst>
        </cdr:cNvPr>
        <cdr:cNvSpPr txBox="1"/>
      </cdr:nvSpPr>
      <cdr:spPr>
        <a:xfrm xmlns:a="http://schemas.openxmlformats.org/drawingml/2006/main">
          <a:off x="50800" y="508000"/>
          <a:ext cx="889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  <cdr:relSizeAnchor xmlns:cdr="http://schemas.openxmlformats.org/drawingml/2006/chartDrawing">
    <cdr:from>
      <cdr:x>0.49452</cdr:x>
      <cdr:y>0.07561</cdr:y>
    </cdr:from>
    <cdr:to>
      <cdr:x>0.98999</cdr:x>
      <cdr:y>1</cdr:y>
    </cdr:to>
    <cdr:graphicFrame macro="">
      <cdr:nvGraphicFramePr>
        <cdr:cNvPr id="4" name="Chart 1">
          <a:extLst xmlns:a="http://schemas.openxmlformats.org/drawingml/2006/main">
            <a:ext uri="{FF2B5EF4-FFF2-40B4-BE49-F238E27FC236}">
              <a16:creationId xmlns:a16="http://schemas.microsoft.com/office/drawing/2014/main" id="{41099B8A-6C28-10B9-9CED-2DDA30F47855}"/>
            </a:ext>
          </a:extLst>
        </cdr:cNvPr>
        <cdr:cNvGraphicFramePr/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</cdr:x>
      <cdr:y>0.00463</cdr:y>
    </cdr:from>
    <cdr:to>
      <cdr:x>1</cdr:x>
      <cdr:y>0.05763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30E6CFE1-8D88-45C7-9CD6-07333B15640F}"/>
            </a:ext>
          </a:extLst>
        </cdr:cNvPr>
        <cdr:cNvSpPr txBox="1"/>
      </cdr:nvSpPr>
      <cdr:spPr>
        <a:xfrm xmlns:a="http://schemas.openxmlformats.org/drawingml/2006/main">
          <a:off x="0" y="28725"/>
          <a:ext cx="4133274" cy="3291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xecon-my.sharepoint.com/personal/eallenby_oxfordeconomics_com/Documents/Documents/2026-04/Weekly%201/Market%20interest%20rate%20expectations.xlsx" TargetMode="External"/><Relationship Id="rId1" Type="http://schemas.openxmlformats.org/officeDocument/2006/relationships/externalLinkPath" Target="https://oxecon-my.sharepoint.com/personal/eallenby_oxfordeconomics_com/Documents/Documents/2026-04/Weekly%201/Market%20interest%20rate%20expect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 - Market (2) &amp; OE (M)"/>
      <sheetName val="Chart - Market (3) &amp; OE (M) 24-"/>
      <sheetName val="Chart - Market (3) &amp; OE (M)"/>
      <sheetName val="Chart - Market (2) &amp; OE (M) (2)"/>
      <sheetName val="Chart - Market vs Bank Rate"/>
      <sheetName val="Chart Data - By meeting"/>
      <sheetName val="Chart Data"/>
      <sheetName val="HAVERD"/>
      <sheetName val="HAVERQ"/>
      <sheetName val="HAVERM"/>
      <sheetName val="Data"/>
      <sheetName val="GMW"/>
    </sheetNames>
    <sheetDataSet>
      <sheetData sheetId="5"/>
      <sheetData sheetId="6">
        <row r="15">
          <cell r="E15">
            <v>3.7267000000000001</v>
          </cell>
          <cell r="F15">
            <v>3.5178962</v>
          </cell>
          <cell r="G15">
            <v>3.4951976</v>
          </cell>
          <cell r="H15">
            <v>3.4552223999999998</v>
          </cell>
          <cell r="I15">
            <v>3.4041663</v>
          </cell>
          <cell r="J15">
            <v>3.3509989</v>
          </cell>
          <cell r="K15">
            <v>3.3038577999999998</v>
          </cell>
          <cell r="L15">
            <v>3.2659639999999999</v>
          </cell>
          <cell r="M15">
            <v>3.2391741999999999</v>
          </cell>
          <cell r="N15">
            <v>3.2229112999999998</v>
          </cell>
          <cell r="O15">
            <v>3.2150986000000001</v>
          </cell>
          <cell r="P15">
            <v>3.2142658000000002</v>
          </cell>
          <cell r="Q15">
            <v>3.2181134999999998</v>
          </cell>
          <cell r="R15">
            <v>3.2237811000000001</v>
          </cell>
          <cell r="S15">
            <v>3.2304984000000001</v>
          </cell>
          <cell r="T15">
            <v>3.2381883999999999</v>
          </cell>
          <cell r="U15">
            <v>3.2467744000000001</v>
          </cell>
          <cell r="V15">
            <v>3.2561795999999998</v>
          </cell>
          <cell r="W15">
            <v>3.266327</v>
          </cell>
          <cell r="X15">
            <v>3.2771436999999999</v>
          </cell>
          <cell r="Y15">
            <v>3.2885697999999999</v>
          </cell>
          <cell r="Z15">
            <v>3.3005477000000001</v>
          </cell>
          <cell r="AA15">
            <v>3.3130202999999998</v>
          </cell>
          <cell r="AB15">
            <v>3.3259305000000001</v>
          </cell>
          <cell r="AC15">
            <v>3.3392208000000001</v>
          </cell>
          <cell r="AD15">
            <v>3.3528378000000001</v>
          </cell>
          <cell r="AE15">
            <v>3.3667444</v>
          </cell>
          <cell r="AF15">
            <v>3.3809076</v>
          </cell>
          <cell r="AG15">
            <v>3.3952949000000001</v>
          </cell>
          <cell r="AH15">
            <v>3.4098736999999999</v>
          </cell>
          <cell r="AI15">
            <v>3.4246110000000001</v>
          </cell>
          <cell r="AJ15">
            <v>3.4394741999999998</v>
          </cell>
          <cell r="AK15">
            <v>3.4544309000000002</v>
          </cell>
          <cell r="AL15">
            <v>3.4694479</v>
          </cell>
          <cell r="AM15">
            <v>3.4844928999999998</v>
          </cell>
          <cell r="AN15">
            <v>3.4995330999999998</v>
          </cell>
          <cell r="AO15">
            <v>3.5145355999999999</v>
          </cell>
          <cell r="AP15">
            <v>3.5294737999999999</v>
          </cell>
          <cell r="AQ15">
            <v>3.5443470000000001</v>
          </cell>
          <cell r="AR15">
            <v>3.5591615000000001</v>
          </cell>
          <cell r="AS15">
            <v>3.5739236999999999</v>
          </cell>
          <cell r="AT15">
            <v>3.5886404000000001</v>
          </cell>
          <cell r="AU15">
            <v>3.6033175000000002</v>
          </cell>
          <cell r="AV15">
            <v>3.6179619000000001</v>
          </cell>
          <cell r="AW15">
            <v>3.6325799000000001</v>
          </cell>
          <cell r="AX15">
            <v>3.6471779</v>
          </cell>
          <cell r="AY15">
            <v>3.6617622999999999</v>
          </cell>
        </row>
        <row r="23">
          <cell r="E23">
            <v>3.73</v>
          </cell>
          <cell r="F23">
            <v>3.7535959999999999</v>
          </cell>
          <cell r="G23">
            <v>3.8469901000000002</v>
          </cell>
          <cell r="H23">
            <v>3.9435361000000002</v>
          </cell>
          <cell r="I23">
            <v>4.0349472999999998</v>
          </cell>
          <cell r="J23">
            <v>4.1107529999999999</v>
          </cell>
          <cell r="K23">
            <v>4.1657421000000001</v>
          </cell>
          <cell r="L23">
            <v>4.2050498000000003</v>
          </cell>
          <cell r="M23">
            <v>4.2327572</v>
          </cell>
          <cell r="N23">
            <v>4.2538675000000001</v>
          </cell>
          <cell r="O23">
            <v>4.2711952999999996</v>
          </cell>
          <cell r="P23">
            <v>4.2852537000000002</v>
          </cell>
          <cell r="Q23">
            <v>4.2949796999999998</v>
          </cell>
          <cell r="R23">
            <v>4.2986136000000004</v>
          </cell>
          <cell r="S23">
            <v>4.2963149999999999</v>
          </cell>
          <cell r="T23">
            <v>4.2887814999999998</v>
          </cell>
          <cell r="U23">
            <v>4.2767105000000001</v>
          </cell>
          <cell r="V23">
            <v>4.2607998</v>
          </cell>
          <cell r="W23">
            <v>4.2417467000000002</v>
          </cell>
          <cell r="X23">
            <v>4.2202548999999996</v>
          </cell>
          <cell r="Y23">
            <v>4.1970586000000001</v>
          </cell>
          <cell r="Z23">
            <v>4.1729016000000003</v>
          </cell>
          <cell r="AA23">
            <v>4.1485279000000004</v>
          </cell>
          <cell r="AB23">
            <v>4.1246814000000001</v>
          </cell>
          <cell r="AC23">
            <v>4.102106</v>
          </cell>
          <cell r="AD23">
            <v>4.0814382</v>
          </cell>
          <cell r="AE23">
            <v>4.0627896000000003</v>
          </cell>
          <cell r="AF23">
            <v>4.0461124000000002</v>
          </cell>
          <cell r="AG23">
            <v>4.0313587000000002</v>
          </cell>
          <cell r="AH23">
            <v>4.0184804999999999</v>
          </cell>
          <cell r="AI23">
            <v>4.0074300999999997</v>
          </cell>
          <cell r="AJ23">
            <v>3.9981594999999999</v>
          </cell>
          <cell r="AK23">
            <v>3.9906207999999999</v>
          </cell>
          <cell r="AL23">
            <v>3.9847660999999999</v>
          </cell>
          <cell r="AM23">
            <v>3.9805476</v>
          </cell>
          <cell r="AN23">
            <v>3.9779173000000001</v>
          </cell>
          <cell r="AO23">
            <v>3.9768273999999999</v>
          </cell>
          <cell r="AP23">
            <v>3.9772242000000002</v>
          </cell>
          <cell r="AQ23">
            <v>3.9790264</v>
          </cell>
          <cell r="AR23">
            <v>3.9821442</v>
          </cell>
          <cell r="AS23">
            <v>3.9864879000000002</v>
          </cell>
          <cell r="AT23">
            <v>3.9919676000000002</v>
          </cell>
          <cell r="AU23">
            <v>3.9984936000000002</v>
          </cell>
          <cell r="AV23">
            <v>4.0059759000000001</v>
          </cell>
          <cell r="AW23">
            <v>4.0143250000000004</v>
          </cell>
          <cell r="AX23">
            <v>4.0234508</v>
          </cell>
        </row>
        <row r="31">
          <cell r="E31">
            <v>3.7286999999999999</v>
          </cell>
          <cell r="F31">
            <v>3.7487876999999998</v>
          </cell>
          <cell r="G31">
            <v>3.8110080000000002</v>
          </cell>
          <cell r="H31">
            <v>3.8765784000000001</v>
          </cell>
          <cell r="I31">
            <v>3.9370481000000002</v>
          </cell>
          <cell r="J31">
            <v>3.9854788999999999</v>
          </cell>
          <cell r="K31">
            <v>4.0194080999999997</v>
          </cell>
          <cell r="L31">
            <v>4.0426574000000004</v>
          </cell>
          <cell r="M31">
            <v>4.0582202000000001</v>
          </cell>
          <cell r="N31">
            <v>4.0697463000000003</v>
          </cell>
          <cell r="O31">
            <v>4.0792662000000002</v>
          </cell>
          <cell r="P31">
            <v>4.0872013000000003</v>
          </cell>
          <cell r="Q31">
            <v>4.0928193999999998</v>
          </cell>
          <cell r="R31">
            <v>4.0946369999999996</v>
          </cell>
          <cell r="S31">
            <v>4.0926787999999998</v>
          </cell>
          <cell r="T31">
            <v>4.0874071000000001</v>
          </cell>
          <cell r="U31">
            <v>4.0792840999999997</v>
          </cell>
          <cell r="V31">
            <v>4.0687720000000001</v>
          </cell>
          <cell r="W31">
            <v>4.0563330999999998</v>
          </cell>
          <cell r="X31">
            <v>4.0424413000000001</v>
          </cell>
          <cell r="Y31">
            <v>4.0276293000000001</v>
          </cell>
          <cell r="Z31">
            <v>4.0124485999999999</v>
          </cell>
          <cell r="AA31">
            <v>3.9974509999999999</v>
          </cell>
          <cell r="AB31">
            <v>3.9831881</v>
          </cell>
          <cell r="AC31">
            <v>3.9702115</v>
          </cell>
          <cell r="AD31">
            <v>3.9589872000000002</v>
          </cell>
          <cell r="AE31">
            <v>3.9495632000000001</v>
          </cell>
          <cell r="AF31">
            <v>3.9418603999999999</v>
          </cell>
          <cell r="AG31">
            <v>3.9357999000000001</v>
          </cell>
          <cell r="AH31">
            <v>3.9313025000000001</v>
          </cell>
          <cell r="AI31">
            <v>3.9282891000000002</v>
          </cell>
          <cell r="AJ31">
            <v>3.9266806999999999</v>
          </cell>
          <cell r="AK31">
            <v>3.9263981999999999</v>
          </cell>
          <cell r="AL31">
            <v>3.9273625000000001</v>
          </cell>
          <cell r="AM31">
            <v>3.9294945999999999</v>
          </cell>
          <cell r="AN31">
            <v>3.9327152999999999</v>
          </cell>
          <cell r="AO31">
            <v>3.9369456</v>
          </cell>
          <cell r="AP31">
            <v>3.9421089</v>
          </cell>
          <cell r="AQ31">
            <v>3.9481392999999998</v>
          </cell>
          <cell r="AR31">
            <v>3.9549740999999998</v>
          </cell>
          <cell r="AS31">
            <v>3.9625506000000001</v>
          </cell>
          <cell r="AT31">
            <v>3.9708057999999999</v>
          </cell>
          <cell r="AU31">
            <v>3.9796770000000001</v>
          </cell>
          <cell r="AV31">
            <v>3.9891014999999999</v>
          </cell>
          <cell r="AW31">
            <v>3.9990163000000001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6CEE6-519C-4D56-A084-0C82C342713B}">
  <dimension ref="A2:AE81"/>
  <sheetViews>
    <sheetView zoomScale="85" zoomScaleNormal="85" workbookViewId="0">
      <pane xSplit="1" ySplit="10" topLeftCell="B47" activePane="bottomRight" state="frozen"/>
      <selection pane="topRight" activeCell="B1" sqref="B1"/>
      <selection pane="bottomLeft" activeCell="A11" sqref="A11"/>
      <selection pane="bottomRight" activeCell="C55" sqref="C55"/>
    </sheetView>
  </sheetViews>
  <sheetFormatPr defaultRowHeight="14.5" x14ac:dyDescent="0.35"/>
  <cols>
    <col min="2" max="43" width="19.36328125" customWidth="1"/>
  </cols>
  <sheetData>
    <row r="2" spans="1:31" x14ac:dyDescent="0.35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</row>
    <row r="4" spans="1:31" x14ac:dyDescent="0.35">
      <c r="A4" s="1" t="s">
        <v>23</v>
      </c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3" t="s">
        <v>13</v>
      </c>
      <c r="P4" s="3" t="s">
        <v>14</v>
      </c>
      <c r="Q4" s="3" t="s">
        <v>15</v>
      </c>
      <c r="R4" s="3" t="s">
        <v>16</v>
      </c>
      <c r="S4" s="3" t="s">
        <v>17</v>
      </c>
      <c r="T4" s="3" t="s">
        <v>18</v>
      </c>
      <c r="U4" s="3" t="s">
        <v>19</v>
      </c>
      <c r="V4" s="3" t="s">
        <v>142</v>
      </c>
      <c r="W4" s="3" t="s">
        <v>20</v>
      </c>
      <c r="X4" s="3" t="s">
        <v>21</v>
      </c>
      <c r="Y4" s="3" t="s">
        <v>22</v>
      </c>
      <c r="Z4" s="3" t="s">
        <v>128</v>
      </c>
      <c r="AA4" s="3" t="s">
        <v>129</v>
      </c>
      <c r="AB4" s="3" t="s">
        <v>134</v>
      </c>
      <c r="AC4" s="3" t="s">
        <v>135</v>
      </c>
      <c r="AD4" s="3" t="s">
        <v>136</v>
      </c>
      <c r="AE4" s="3" t="s">
        <v>137</v>
      </c>
    </row>
    <row r="5" spans="1:31" s="2" customFormat="1" ht="58" customHeight="1" x14ac:dyDescent="0.35">
      <c r="A5" s="2" t="s">
        <v>30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38</v>
      </c>
      <c r="G5" s="2" t="s">
        <v>39</v>
      </c>
      <c r="H5" s="2" t="s">
        <v>40</v>
      </c>
      <c r="I5" s="2" t="s">
        <v>41</v>
      </c>
      <c r="J5" s="2" t="s">
        <v>42</v>
      </c>
      <c r="K5" s="2" t="s">
        <v>43</v>
      </c>
      <c r="L5" s="2" t="s">
        <v>44</v>
      </c>
      <c r="M5" s="2" t="s">
        <v>45</v>
      </c>
      <c r="N5" s="2" t="s">
        <v>46</v>
      </c>
      <c r="O5" s="2" t="s">
        <v>47</v>
      </c>
      <c r="P5" s="2" t="s">
        <v>48</v>
      </c>
      <c r="Q5" s="2" t="s">
        <v>49</v>
      </c>
      <c r="R5" s="2" t="s">
        <v>50</v>
      </c>
      <c r="S5" s="2" t="s">
        <v>51</v>
      </c>
      <c r="T5" s="2" t="s">
        <v>52</v>
      </c>
      <c r="U5" s="2" t="s">
        <v>53</v>
      </c>
      <c r="V5" s="2" t="s">
        <v>143</v>
      </c>
      <c r="W5" s="2" t="s">
        <v>55</v>
      </c>
      <c r="X5" s="2" t="s">
        <v>56</v>
      </c>
      <c r="Y5" s="2" t="s">
        <v>58</v>
      </c>
      <c r="Z5" s="2" t="s">
        <v>131</v>
      </c>
      <c r="AA5" s="2" t="s">
        <v>133</v>
      </c>
      <c r="AB5" s="2" t="s">
        <v>138</v>
      </c>
      <c r="AC5" s="2" t="s">
        <v>139</v>
      </c>
      <c r="AD5" s="2" t="s">
        <v>140</v>
      </c>
      <c r="AE5" s="2" t="s">
        <v>141</v>
      </c>
    </row>
    <row r="6" spans="1:31" ht="3" customHeight="1" x14ac:dyDescent="0.35">
      <c r="A6" t="s">
        <v>29</v>
      </c>
      <c r="B6" t="s">
        <v>33</v>
      </c>
      <c r="C6" t="s">
        <v>33</v>
      </c>
      <c r="D6" t="s">
        <v>33</v>
      </c>
      <c r="E6" t="s">
        <v>33</v>
      </c>
      <c r="F6" t="s">
        <v>33</v>
      </c>
      <c r="G6" t="s">
        <v>33</v>
      </c>
      <c r="H6" t="s">
        <v>33</v>
      </c>
      <c r="I6" t="s">
        <v>33</v>
      </c>
      <c r="J6" t="s">
        <v>33</v>
      </c>
      <c r="K6" t="s">
        <v>33</v>
      </c>
      <c r="L6" t="s">
        <v>33</v>
      </c>
      <c r="M6" t="s">
        <v>33</v>
      </c>
      <c r="N6" t="s">
        <v>33</v>
      </c>
      <c r="O6" t="s">
        <v>33</v>
      </c>
      <c r="P6" t="s">
        <v>33</v>
      </c>
      <c r="Q6" t="s">
        <v>33</v>
      </c>
      <c r="R6" t="s">
        <v>33</v>
      </c>
      <c r="S6" t="s">
        <v>33</v>
      </c>
      <c r="T6" t="s">
        <v>33</v>
      </c>
      <c r="U6" t="s">
        <v>33</v>
      </c>
      <c r="V6" t="s">
        <v>54</v>
      </c>
      <c r="W6" t="s">
        <v>54</v>
      </c>
      <c r="X6" t="s">
        <v>54</v>
      </c>
      <c r="Y6" t="s">
        <v>57</v>
      </c>
      <c r="Z6" t="s">
        <v>130</v>
      </c>
      <c r="AA6" t="s">
        <v>132</v>
      </c>
      <c r="AB6" t="s">
        <v>132</v>
      </c>
      <c r="AC6" t="s">
        <v>132</v>
      </c>
      <c r="AD6" t="s">
        <v>132</v>
      </c>
      <c r="AE6" t="s">
        <v>132</v>
      </c>
    </row>
    <row r="7" spans="1:31" ht="0.5" customHeight="1" x14ac:dyDescent="0.35">
      <c r="A7" t="s">
        <v>28</v>
      </c>
      <c r="B7" t="s">
        <v>152</v>
      </c>
      <c r="C7" t="s">
        <v>152</v>
      </c>
      <c r="D7" t="s">
        <v>152</v>
      </c>
      <c r="E7" t="s">
        <v>152</v>
      </c>
      <c r="F7" t="s">
        <v>152</v>
      </c>
      <c r="G7" t="s">
        <v>152</v>
      </c>
      <c r="H7" t="s">
        <v>152</v>
      </c>
      <c r="I7" t="s">
        <v>152</v>
      </c>
      <c r="J7" t="s">
        <v>152</v>
      </c>
      <c r="K7" t="s">
        <v>152</v>
      </c>
      <c r="L7" t="s">
        <v>152</v>
      </c>
      <c r="M7" t="s">
        <v>152</v>
      </c>
      <c r="N7" t="s">
        <v>152</v>
      </c>
      <c r="O7" t="s">
        <v>152</v>
      </c>
      <c r="P7" t="s">
        <v>152</v>
      </c>
      <c r="Q7" t="s">
        <v>152</v>
      </c>
      <c r="R7" t="s">
        <v>152</v>
      </c>
      <c r="S7" t="s">
        <v>152</v>
      </c>
      <c r="T7" t="s">
        <v>152</v>
      </c>
      <c r="U7" t="s">
        <v>152</v>
      </c>
      <c r="V7" t="s">
        <v>152</v>
      </c>
      <c r="W7" t="s">
        <v>152</v>
      </c>
      <c r="X7" t="s">
        <v>152</v>
      </c>
      <c r="Y7" t="s">
        <v>152</v>
      </c>
      <c r="Z7" t="s">
        <v>152</v>
      </c>
      <c r="AA7" t="s">
        <v>152</v>
      </c>
      <c r="AB7" t="s">
        <v>152</v>
      </c>
      <c r="AC7" t="s">
        <v>152</v>
      </c>
      <c r="AD7" t="s">
        <v>152</v>
      </c>
      <c r="AE7" t="s">
        <v>152</v>
      </c>
    </row>
    <row r="8" spans="1:31" hidden="1" x14ac:dyDescent="0.35">
      <c r="A8" t="s">
        <v>27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  <c r="AC8" t="s">
        <v>32</v>
      </c>
      <c r="AD8" t="s">
        <v>32</v>
      </c>
      <c r="AE8" t="s">
        <v>32</v>
      </c>
    </row>
    <row r="9" spans="1:31" hidden="1" x14ac:dyDescent="0.35">
      <c r="A9" t="s">
        <v>26</v>
      </c>
      <c r="B9" t="s">
        <v>151</v>
      </c>
      <c r="C9" t="s">
        <v>151</v>
      </c>
      <c r="D9" t="s">
        <v>151</v>
      </c>
      <c r="E9" t="s">
        <v>151</v>
      </c>
      <c r="F9" t="s">
        <v>151</v>
      </c>
      <c r="G9" t="s">
        <v>151</v>
      </c>
      <c r="H9" t="s">
        <v>151</v>
      </c>
      <c r="I9" t="s">
        <v>151</v>
      </c>
      <c r="J9" t="s">
        <v>151</v>
      </c>
      <c r="K9" t="s">
        <v>151</v>
      </c>
      <c r="L9" t="s">
        <v>151</v>
      </c>
      <c r="M9" t="s">
        <v>151</v>
      </c>
      <c r="N9" t="s">
        <v>151</v>
      </c>
      <c r="O9" t="s">
        <v>151</v>
      </c>
      <c r="P9" t="s">
        <v>151</v>
      </c>
      <c r="Q9" t="s">
        <v>151</v>
      </c>
      <c r="R9" t="s">
        <v>151</v>
      </c>
      <c r="S9" t="s">
        <v>151</v>
      </c>
      <c r="T9" t="s">
        <v>151</v>
      </c>
      <c r="U9" t="s">
        <v>151</v>
      </c>
      <c r="V9" t="s">
        <v>151</v>
      </c>
      <c r="W9" t="s">
        <v>151</v>
      </c>
      <c r="X9" t="s">
        <v>151</v>
      </c>
      <c r="Y9" t="s">
        <v>151</v>
      </c>
      <c r="Z9" t="s">
        <v>151</v>
      </c>
      <c r="AA9" t="s">
        <v>151</v>
      </c>
      <c r="AB9" t="s">
        <v>151</v>
      </c>
      <c r="AC9" t="s">
        <v>151</v>
      </c>
      <c r="AD9" t="s">
        <v>151</v>
      </c>
      <c r="AE9" t="s">
        <v>151</v>
      </c>
    </row>
    <row r="10" spans="1:31" ht="3" customHeight="1" x14ac:dyDescent="0.35">
      <c r="A10" t="s">
        <v>25</v>
      </c>
      <c r="B10" t="s">
        <v>31</v>
      </c>
      <c r="C10" t="s">
        <v>31</v>
      </c>
      <c r="D10" t="s">
        <v>31</v>
      </c>
      <c r="E10" t="s">
        <v>31</v>
      </c>
      <c r="F10" t="s">
        <v>31</v>
      </c>
      <c r="G10" t="s">
        <v>31</v>
      </c>
      <c r="H10" t="s">
        <v>31</v>
      </c>
      <c r="I10" t="s">
        <v>31</v>
      </c>
      <c r="J10" t="s">
        <v>31</v>
      </c>
      <c r="K10" t="s">
        <v>31</v>
      </c>
      <c r="L10" t="s">
        <v>31</v>
      </c>
      <c r="M10" t="s">
        <v>31</v>
      </c>
      <c r="N10" t="s">
        <v>31</v>
      </c>
      <c r="O10" t="s">
        <v>31</v>
      </c>
      <c r="P10" t="s">
        <v>31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31</v>
      </c>
      <c r="W10" t="s">
        <v>31</v>
      </c>
      <c r="X10" t="s">
        <v>31</v>
      </c>
      <c r="Y10" t="s">
        <v>31</v>
      </c>
      <c r="Z10" t="s">
        <v>31</v>
      </c>
      <c r="AA10" t="s">
        <v>31</v>
      </c>
      <c r="AB10" t="s">
        <v>31</v>
      </c>
      <c r="AC10" t="s">
        <v>31</v>
      </c>
      <c r="AD10" t="s">
        <v>31</v>
      </c>
      <c r="AE10" t="s">
        <v>31</v>
      </c>
    </row>
    <row r="11" spans="1:31" x14ac:dyDescent="0.35">
      <c r="A11" t="s">
        <v>24</v>
      </c>
      <c r="B11" s="9" t="e">
        <v>#N/A</v>
      </c>
      <c r="C11" s="9" t="e">
        <v>#N/A</v>
      </c>
      <c r="D11" s="9" t="e">
        <v>#N/A</v>
      </c>
      <c r="E11" s="9" t="e">
        <v>#N/A</v>
      </c>
      <c r="F11" s="9" t="e">
        <v>#N/A</v>
      </c>
      <c r="G11" s="9" t="e">
        <v>#N/A</v>
      </c>
      <c r="H11" s="9" t="e">
        <v>#N/A</v>
      </c>
      <c r="I11" s="9" t="e">
        <v>#N/A</v>
      </c>
      <c r="J11" s="9" t="e">
        <v>#N/A</v>
      </c>
      <c r="K11" s="9" t="e">
        <v>#N/A</v>
      </c>
      <c r="L11" s="9" t="e">
        <v>#N/A</v>
      </c>
      <c r="M11" s="9" t="e">
        <v>#N/A</v>
      </c>
      <c r="N11" s="9" t="e">
        <v>#N/A</v>
      </c>
      <c r="O11" s="9" t="e">
        <v>#N/A</v>
      </c>
      <c r="P11" s="9" t="e">
        <v>#N/A</v>
      </c>
      <c r="Q11" s="9" t="e">
        <v>#N/A</v>
      </c>
      <c r="R11" s="9" t="e">
        <v>#N/A</v>
      </c>
      <c r="S11" s="9" t="e">
        <v>#N/A</v>
      </c>
      <c r="T11" s="9" t="e">
        <v>#N/A</v>
      </c>
      <c r="U11" s="9" t="e">
        <v>#N/A</v>
      </c>
      <c r="V11" s="9" t="e">
        <v>#N/A</v>
      </c>
      <c r="W11" s="9" t="e">
        <v>#N/A</v>
      </c>
      <c r="X11" s="9" t="e">
        <v>#N/A</v>
      </c>
      <c r="Y11" s="9" t="e">
        <v>#N/A</v>
      </c>
      <c r="Z11" s="9" t="e">
        <v>#N/A</v>
      </c>
      <c r="AA11" s="9" t="e">
        <v>#N/A</v>
      </c>
      <c r="AB11" s="9" t="e">
        <v>#N/A</v>
      </c>
      <c r="AC11" s="9" t="e">
        <v>#N/A</v>
      </c>
      <c r="AD11" s="9" t="e">
        <v>#N/A</v>
      </c>
      <c r="AE11" s="9" t="e">
        <v>#N/A</v>
      </c>
    </row>
    <row r="12" spans="1:31" x14ac:dyDescent="0.35">
      <c r="A12" t="s">
        <v>59</v>
      </c>
      <c r="B12" s="9">
        <v>3.5713661999999999</v>
      </c>
      <c r="C12" s="9">
        <v>3.6536317</v>
      </c>
      <c r="D12" s="9">
        <v>3.7393545000000001</v>
      </c>
      <c r="E12" s="9">
        <v>3.8490945000000001</v>
      </c>
      <c r="F12" s="9">
        <v>3.9746828999999999</v>
      </c>
      <c r="G12" s="9">
        <v>4.1092699000000001</v>
      </c>
      <c r="H12" s="9">
        <v>4.2463534999999997</v>
      </c>
      <c r="I12" s="9">
        <v>4.3804404000000003</v>
      </c>
      <c r="J12" s="9">
        <v>4.5078215000000004</v>
      </c>
      <c r="K12" s="9">
        <v>4.6264845000000001</v>
      </c>
      <c r="L12" s="9">
        <v>4.7355738000000001</v>
      </c>
      <c r="M12" s="9">
        <v>4.8348763999999997</v>
      </c>
      <c r="N12" s="9">
        <v>4.9244449000000001</v>
      </c>
      <c r="O12" s="9">
        <v>5.0043823999999999</v>
      </c>
      <c r="P12" s="9">
        <v>5.0748217000000002</v>
      </c>
      <c r="Q12" s="9">
        <v>5.1360358000000002</v>
      </c>
      <c r="R12" s="9">
        <v>5.1884904000000001</v>
      </c>
      <c r="S12" s="9">
        <v>5.2328149000000002</v>
      </c>
      <c r="T12" s="9">
        <v>5.2697922000000004</v>
      </c>
      <c r="U12" s="9">
        <v>5.3003141999999999</v>
      </c>
      <c r="V12" s="9">
        <v>5.3252702999999997</v>
      </c>
      <c r="W12" s="9">
        <v>5.3454493999999997</v>
      </c>
      <c r="X12" s="9">
        <v>5.3614876999999996</v>
      </c>
      <c r="Y12" s="9">
        <v>5.3738469000000002</v>
      </c>
      <c r="Z12" s="9">
        <v>5.3828211000000001</v>
      </c>
      <c r="AA12" s="9">
        <v>5.3885550000000002</v>
      </c>
      <c r="AB12" s="9">
        <v>5.3910748000000002</v>
      </c>
      <c r="AC12" s="9">
        <v>5.3903309999999998</v>
      </c>
      <c r="AD12" s="9">
        <v>5.3862430000000003</v>
      </c>
      <c r="AE12" s="9">
        <v>5.3787273999999998</v>
      </c>
    </row>
    <row r="13" spans="1:31" x14ac:dyDescent="0.35">
      <c r="A13" t="s">
        <v>60</v>
      </c>
      <c r="B13" s="9">
        <v>3.5588475000000002</v>
      </c>
      <c r="C13" s="9">
        <v>3.6372208000000001</v>
      </c>
      <c r="D13" s="9">
        <v>3.7222784999999998</v>
      </c>
      <c r="E13" s="9">
        <v>3.8310306000000001</v>
      </c>
      <c r="F13" s="9">
        <v>3.9552225000000001</v>
      </c>
      <c r="G13" s="9">
        <v>4.0883455</v>
      </c>
      <c r="H13" s="9">
        <v>4.2242137</v>
      </c>
      <c r="I13" s="9">
        <v>4.3575198999999998</v>
      </c>
      <c r="J13" s="9">
        <v>4.4845848999999998</v>
      </c>
      <c r="K13" s="9">
        <v>4.6033283000000003</v>
      </c>
      <c r="L13" s="9">
        <v>4.7127965999999999</v>
      </c>
      <c r="M13" s="9">
        <v>4.8126853000000001</v>
      </c>
      <c r="N13" s="9">
        <v>4.9029691</v>
      </c>
      <c r="O13" s="9">
        <v>4.9836862999999996</v>
      </c>
      <c r="P13" s="9">
        <v>5.0549150000000003</v>
      </c>
      <c r="Q13" s="9">
        <v>5.1168787</v>
      </c>
      <c r="R13" s="9">
        <v>5.1699988000000001</v>
      </c>
      <c r="S13" s="9">
        <v>5.2148721</v>
      </c>
      <c r="T13" s="9">
        <v>5.2522653999999998</v>
      </c>
      <c r="U13" s="9">
        <v>5.2830693999999996</v>
      </c>
      <c r="V13" s="9">
        <v>5.3081830999999999</v>
      </c>
      <c r="W13" s="9">
        <v>5.3284118999999999</v>
      </c>
      <c r="X13" s="9">
        <v>5.3444127000000003</v>
      </c>
      <c r="Y13" s="9">
        <v>5.3566687999999996</v>
      </c>
      <c r="Z13" s="9">
        <v>5.3654961999999999</v>
      </c>
      <c r="AA13" s="9">
        <v>5.3710601000000002</v>
      </c>
      <c r="AB13" s="9">
        <v>5.3734042000000004</v>
      </c>
      <c r="AC13" s="9">
        <v>5.3724946999999998</v>
      </c>
      <c r="AD13" s="9">
        <v>5.3682634</v>
      </c>
      <c r="AE13" s="9">
        <v>5.3606360999999998</v>
      </c>
    </row>
    <row r="14" spans="1:31" x14ac:dyDescent="0.35">
      <c r="A14" t="s">
        <v>61</v>
      </c>
      <c r="B14" s="9">
        <v>3.5440719999999999</v>
      </c>
      <c r="C14" s="9">
        <v>3.6164407000000001</v>
      </c>
      <c r="D14" s="9">
        <v>3.7003257999999999</v>
      </c>
      <c r="E14" s="9">
        <v>3.8085331</v>
      </c>
      <c r="F14" s="9">
        <v>3.9322287</v>
      </c>
      <c r="G14" s="9">
        <v>4.0649905999999998</v>
      </c>
      <c r="H14" s="9">
        <v>4.2007266000000003</v>
      </c>
      <c r="I14" s="9">
        <v>4.3341738999999997</v>
      </c>
      <c r="J14" s="9">
        <v>4.4616689000000003</v>
      </c>
      <c r="K14" s="9">
        <v>4.5811149000000002</v>
      </c>
      <c r="L14" s="9">
        <v>4.6915082999999997</v>
      </c>
      <c r="M14" s="9">
        <v>4.7924758000000001</v>
      </c>
      <c r="N14" s="9">
        <v>4.8839154999999996</v>
      </c>
      <c r="O14" s="9">
        <v>4.9657910999999997</v>
      </c>
      <c r="P14" s="9">
        <v>5.0381141999999999</v>
      </c>
      <c r="Q14" s="9">
        <v>5.1010532</v>
      </c>
      <c r="R14" s="9">
        <v>5.1549885</v>
      </c>
      <c r="S14" s="9">
        <v>5.2004926999999999</v>
      </c>
      <c r="T14" s="9">
        <v>5.2383239000000001</v>
      </c>
      <c r="U14" s="9">
        <v>5.2693781</v>
      </c>
      <c r="V14" s="9">
        <v>5.2945716000000003</v>
      </c>
      <c r="W14" s="9">
        <v>5.3147355999999997</v>
      </c>
      <c r="X14" s="9">
        <v>5.3305588000000004</v>
      </c>
      <c r="Y14" s="9">
        <v>5.3425586000000003</v>
      </c>
      <c r="Z14" s="9">
        <v>5.3510840000000002</v>
      </c>
      <c r="AA14" s="9">
        <v>5.3563288</v>
      </c>
      <c r="AB14" s="9">
        <v>5.3583612</v>
      </c>
      <c r="AC14" s="9">
        <v>5.3571651999999998</v>
      </c>
      <c r="AD14" s="9">
        <v>5.3526854999999998</v>
      </c>
      <c r="AE14" s="9">
        <v>5.3448561000000003</v>
      </c>
    </row>
    <row r="15" spans="1:31" x14ac:dyDescent="0.35">
      <c r="A15" t="s">
        <v>62</v>
      </c>
      <c r="B15" s="9">
        <v>3.5180506</v>
      </c>
      <c r="C15" s="9">
        <v>3.5763630000000002</v>
      </c>
      <c r="D15" s="9">
        <v>3.6510991000000002</v>
      </c>
      <c r="E15" s="9">
        <v>3.7525613999999998</v>
      </c>
      <c r="F15" s="9">
        <v>3.8713204999999999</v>
      </c>
      <c r="G15" s="9">
        <v>4.0005585999999997</v>
      </c>
      <c r="H15" s="9">
        <v>4.1338315999999997</v>
      </c>
      <c r="I15" s="9">
        <v>4.2655691999999998</v>
      </c>
      <c r="J15" s="9">
        <v>4.3918669000000001</v>
      </c>
      <c r="K15" s="9">
        <v>4.5104403</v>
      </c>
      <c r="L15" s="9">
        <v>4.6201369000000003</v>
      </c>
      <c r="M15" s="9">
        <v>4.7204714000000001</v>
      </c>
      <c r="N15" s="9">
        <v>4.8112706999999997</v>
      </c>
      <c r="O15" s="9">
        <v>4.8924699</v>
      </c>
      <c r="P15" s="9">
        <v>4.9640851000000001</v>
      </c>
      <c r="Q15" s="9">
        <v>5.0263073</v>
      </c>
      <c r="R15" s="9">
        <v>5.0795408000000002</v>
      </c>
      <c r="S15" s="9">
        <v>5.1243739000000001</v>
      </c>
      <c r="T15" s="9">
        <v>5.1615704999999998</v>
      </c>
      <c r="U15" s="9">
        <v>5.1920260999999996</v>
      </c>
      <c r="V15" s="9">
        <v>5.2166550000000003</v>
      </c>
      <c r="W15" s="9">
        <v>5.2362909000000002</v>
      </c>
      <c r="X15" s="9">
        <v>5.2516305000000001</v>
      </c>
      <c r="Y15" s="9">
        <v>5.2632041999999997</v>
      </c>
      <c r="Z15" s="9">
        <v>5.2713768999999999</v>
      </c>
      <c r="AA15" s="9">
        <v>5.2763610999999999</v>
      </c>
      <c r="AB15" s="9">
        <v>5.2782432999999997</v>
      </c>
      <c r="AC15" s="9">
        <v>5.2770258999999999</v>
      </c>
      <c r="AD15" s="9">
        <v>5.2726711000000002</v>
      </c>
      <c r="AE15" s="9">
        <v>5.2651298000000004</v>
      </c>
    </row>
    <row r="16" spans="1:31" x14ac:dyDescent="0.35">
      <c r="A16" t="s">
        <v>63</v>
      </c>
      <c r="B16" s="9">
        <v>3.5168664999999999</v>
      </c>
      <c r="C16" s="9">
        <v>3.5720722</v>
      </c>
      <c r="D16" s="9">
        <v>3.6485623999999999</v>
      </c>
      <c r="E16" s="9">
        <v>3.7509695999999999</v>
      </c>
      <c r="F16" s="9">
        <v>3.8698855999999999</v>
      </c>
      <c r="G16" s="9">
        <v>3.9988188</v>
      </c>
      <c r="H16" s="9">
        <v>4.1315814</v>
      </c>
      <c r="I16" s="9">
        <v>4.2627784999999996</v>
      </c>
      <c r="J16" s="9">
        <v>4.3886297000000001</v>
      </c>
      <c r="K16" s="9">
        <v>4.5069514000000002</v>
      </c>
      <c r="L16" s="9">
        <v>4.6166730999999999</v>
      </c>
      <c r="M16" s="9">
        <v>4.7173638999999996</v>
      </c>
      <c r="N16" s="9">
        <v>4.8088680999999998</v>
      </c>
      <c r="O16" s="9">
        <v>4.8910966</v>
      </c>
      <c r="P16" s="9">
        <v>4.9640098999999998</v>
      </c>
      <c r="Q16" s="9">
        <v>5.0277251999999999</v>
      </c>
      <c r="R16" s="9">
        <v>5.0825659999999999</v>
      </c>
      <c r="S16" s="9">
        <v>5.1290431999999999</v>
      </c>
      <c r="T16" s="9">
        <v>5.1678559000000002</v>
      </c>
      <c r="U16" s="9">
        <v>5.1998486000000002</v>
      </c>
      <c r="V16" s="9">
        <v>5.2258991000000004</v>
      </c>
      <c r="W16" s="9">
        <v>5.2468184000000004</v>
      </c>
      <c r="X16" s="9">
        <v>5.2632931999999997</v>
      </c>
      <c r="Y16" s="9">
        <v>5.2758551999999996</v>
      </c>
      <c r="Z16" s="9">
        <v>5.2848793000000001</v>
      </c>
      <c r="AA16" s="9">
        <v>5.2905929</v>
      </c>
      <c r="AB16" s="9">
        <v>5.2931001999999996</v>
      </c>
      <c r="AC16" s="9">
        <v>5.2924208000000004</v>
      </c>
      <c r="AD16" s="9">
        <v>5.2885327000000002</v>
      </c>
      <c r="AE16" s="9">
        <v>5.2814002000000002</v>
      </c>
    </row>
    <row r="17" spans="1:31" x14ac:dyDescent="0.35">
      <c r="A17" t="s">
        <v>64</v>
      </c>
      <c r="B17" s="9">
        <v>3.5222405999999999</v>
      </c>
      <c r="C17" s="9">
        <v>3.5528615000000001</v>
      </c>
      <c r="D17" s="9">
        <v>3.628644</v>
      </c>
      <c r="E17" s="9">
        <v>3.7303459999999999</v>
      </c>
      <c r="F17" s="9">
        <v>3.8473023999999998</v>
      </c>
      <c r="G17" s="9">
        <v>3.9734549000000001</v>
      </c>
      <c r="H17" s="9">
        <v>4.1030765000000002</v>
      </c>
      <c r="I17" s="9">
        <v>4.2311199999999998</v>
      </c>
      <c r="J17" s="9">
        <v>4.3540273999999997</v>
      </c>
      <c r="K17" s="9">
        <v>4.4697339999999999</v>
      </c>
      <c r="L17" s="9">
        <v>4.5772104999999996</v>
      </c>
      <c r="M17" s="9">
        <v>4.6760216999999997</v>
      </c>
      <c r="N17" s="9">
        <v>4.7659871999999996</v>
      </c>
      <c r="O17" s="9">
        <v>4.8469917000000002</v>
      </c>
      <c r="P17" s="9">
        <v>4.9189639999999999</v>
      </c>
      <c r="Q17" s="9">
        <v>4.9819807999999997</v>
      </c>
      <c r="R17" s="9">
        <v>5.0363182000000002</v>
      </c>
      <c r="S17" s="9">
        <v>5.0824392999999999</v>
      </c>
      <c r="T17" s="9">
        <v>5.1210025000000003</v>
      </c>
      <c r="U17" s="9">
        <v>5.1528203000000001</v>
      </c>
      <c r="V17" s="9">
        <v>5.1787482000000002</v>
      </c>
      <c r="W17" s="9">
        <v>5.1995823000000003</v>
      </c>
      <c r="X17" s="9">
        <v>5.2160013999999997</v>
      </c>
      <c r="Y17" s="9">
        <v>5.2285332999999996</v>
      </c>
      <c r="Z17" s="9">
        <v>5.2375524000000002</v>
      </c>
      <c r="AA17" s="9">
        <v>5.2432878000000001</v>
      </c>
      <c r="AB17" s="9">
        <v>5.2458457999999997</v>
      </c>
      <c r="AC17" s="9">
        <v>5.2452490999999997</v>
      </c>
      <c r="AD17" s="9">
        <v>5.2414791000000003</v>
      </c>
      <c r="AE17" s="9">
        <v>5.2345024999999996</v>
      </c>
    </row>
    <row r="18" spans="1:31" x14ac:dyDescent="0.35">
      <c r="A18" t="s">
        <v>65</v>
      </c>
      <c r="B18" s="9">
        <v>3.5295314000000002</v>
      </c>
      <c r="C18" s="9">
        <v>3.5638442000000001</v>
      </c>
      <c r="D18" s="9">
        <v>3.6384441999999999</v>
      </c>
      <c r="E18" s="9">
        <v>3.7381997999999999</v>
      </c>
      <c r="F18" s="9">
        <v>3.8528533999999999</v>
      </c>
      <c r="G18" s="9">
        <v>3.9765953999999999</v>
      </c>
      <c r="H18" s="9">
        <v>4.1039180000000002</v>
      </c>
      <c r="I18" s="9">
        <v>4.2298866999999998</v>
      </c>
      <c r="J18" s="9">
        <v>4.3509466000000003</v>
      </c>
      <c r="K18" s="9">
        <v>4.4649953</v>
      </c>
      <c r="L18" s="9">
        <v>4.5709733999999997</v>
      </c>
      <c r="M18" s="9">
        <v>4.6684331999999999</v>
      </c>
      <c r="N18" s="9">
        <v>4.7571943000000001</v>
      </c>
      <c r="O18" s="9">
        <v>4.8371510999999998</v>
      </c>
      <c r="P18" s="9">
        <v>4.9082471999999999</v>
      </c>
      <c r="Q18" s="9">
        <v>4.9705699000000001</v>
      </c>
      <c r="R18" s="9">
        <v>5.0243964999999999</v>
      </c>
      <c r="S18" s="9">
        <v>5.0701790000000004</v>
      </c>
      <c r="T18" s="9">
        <v>5.1085532000000002</v>
      </c>
      <c r="U18" s="9">
        <v>5.1403005999999998</v>
      </c>
      <c r="V18" s="9">
        <v>5.1662416999999996</v>
      </c>
      <c r="W18" s="9">
        <v>5.1871397999999997</v>
      </c>
      <c r="X18" s="9">
        <v>5.2036451000000001</v>
      </c>
      <c r="Y18" s="9">
        <v>5.2162636999999998</v>
      </c>
      <c r="Z18" s="9">
        <v>5.2253550000000004</v>
      </c>
      <c r="AA18" s="9">
        <v>5.2311388000000001</v>
      </c>
      <c r="AB18" s="9">
        <v>5.2337160000000003</v>
      </c>
      <c r="AC18" s="9">
        <v>5.2331067999999998</v>
      </c>
      <c r="AD18" s="9">
        <v>5.2292909999999999</v>
      </c>
      <c r="AE18" s="9">
        <v>5.2222350000000004</v>
      </c>
    </row>
    <row r="19" spans="1:31" x14ac:dyDescent="0.35">
      <c r="A19" t="s">
        <v>66</v>
      </c>
      <c r="B19" s="9">
        <v>3.5340737999999998</v>
      </c>
      <c r="C19" s="9">
        <v>3.5640016000000001</v>
      </c>
      <c r="D19" s="9">
        <v>3.6422167000000001</v>
      </c>
      <c r="E19" s="9">
        <v>3.7463972000000001</v>
      </c>
      <c r="F19" s="9">
        <v>3.8646398</v>
      </c>
      <c r="G19" s="9">
        <v>3.9910777</v>
      </c>
      <c r="H19" s="9">
        <v>4.1203424000000002</v>
      </c>
      <c r="I19" s="9">
        <v>4.2476187000000003</v>
      </c>
      <c r="J19" s="9">
        <v>4.3694648000000003</v>
      </c>
      <c r="K19" s="9">
        <v>4.4838949000000001</v>
      </c>
      <c r="L19" s="9">
        <v>4.5899707999999997</v>
      </c>
      <c r="M19" s="9">
        <v>4.6873676</v>
      </c>
      <c r="N19" s="9">
        <v>4.7760169000000001</v>
      </c>
      <c r="O19" s="9">
        <v>4.8559009</v>
      </c>
      <c r="P19" s="9">
        <v>4.9270205000000002</v>
      </c>
      <c r="Q19" s="9">
        <v>4.9894878</v>
      </c>
      <c r="R19" s="9">
        <v>5.0435778000000004</v>
      </c>
      <c r="S19" s="9">
        <v>5.0897246000000003</v>
      </c>
      <c r="T19" s="9">
        <v>5.1285382000000004</v>
      </c>
      <c r="U19" s="9">
        <v>5.1607719999999997</v>
      </c>
      <c r="V19" s="9">
        <v>5.1872183999999999</v>
      </c>
      <c r="W19" s="9">
        <v>5.2086157000000002</v>
      </c>
      <c r="X19" s="9">
        <v>5.2255944999999997</v>
      </c>
      <c r="Y19" s="9">
        <v>5.2386457999999996</v>
      </c>
      <c r="Z19" s="9">
        <v>5.2481188999999997</v>
      </c>
      <c r="AA19" s="9">
        <v>5.2542266</v>
      </c>
      <c r="AB19" s="9">
        <v>5.2570658999999997</v>
      </c>
      <c r="AC19" s="9">
        <v>5.2566556999999996</v>
      </c>
      <c r="AD19" s="9">
        <v>5.2529766000000002</v>
      </c>
      <c r="AE19" s="9">
        <v>5.2459974999999996</v>
      </c>
    </row>
    <row r="20" spans="1:31" x14ac:dyDescent="0.35">
      <c r="A20" t="s">
        <v>67</v>
      </c>
      <c r="B20" s="9">
        <v>3.5120862000000002</v>
      </c>
      <c r="C20" s="9">
        <v>3.5349308000000002</v>
      </c>
      <c r="D20" s="9">
        <v>3.6086279000000001</v>
      </c>
      <c r="E20" s="9">
        <v>3.7103861</v>
      </c>
      <c r="F20" s="9">
        <v>3.8276444000000001</v>
      </c>
      <c r="G20" s="9">
        <v>3.9539011999999998</v>
      </c>
      <c r="H20" s="9">
        <v>4.0833585000000001</v>
      </c>
      <c r="I20" s="9">
        <v>4.2109762000000002</v>
      </c>
      <c r="J20" s="9">
        <v>4.3332402999999999</v>
      </c>
      <c r="K20" s="9">
        <v>4.4481668000000001</v>
      </c>
      <c r="L20" s="9">
        <v>4.5548440000000001</v>
      </c>
      <c r="M20" s="9">
        <v>4.6529730999999996</v>
      </c>
      <c r="N20" s="9">
        <v>4.7425003999999999</v>
      </c>
      <c r="O20" s="9">
        <v>4.8234060000000003</v>
      </c>
      <c r="P20" s="9">
        <v>4.8956711999999998</v>
      </c>
      <c r="Q20" s="9">
        <v>4.9593774000000002</v>
      </c>
      <c r="R20" s="9">
        <v>5.0147636000000002</v>
      </c>
      <c r="S20" s="9">
        <v>5.0622252000000003</v>
      </c>
      <c r="T20" s="9">
        <v>5.1023322000000002</v>
      </c>
      <c r="U20" s="9">
        <v>5.1357999000000003</v>
      </c>
      <c r="V20" s="9">
        <v>5.1633893000000004</v>
      </c>
      <c r="W20" s="9">
        <v>5.1858183000000002</v>
      </c>
      <c r="X20" s="9">
        <v>5.2037098999999998</v>
      </c>
      <c r="Y20" s="9">
        <v>5.2175598000000001</v>
      </c>
      <c r="Z20" s="9">
        <v>5.2277316000000003</v>
      </c>
      <c r="AA20" s="9">
        <v>5.2344612000000001</v>
      </c>
      <c r="AB20" s="9">
        <v>5.2378755000000004</v>
      </c>
      <c r="AC20" s="9">
        <v>5.2380262999999996</v>
      </c>
      <c r="AD20" s="9">
        <v>5.2349275000000004</v>
      </c>
      <c r="AE20" s="9">
        <v>5.2285792000000004</v>
      </c>
    </row>
    <row r="21" spans="1:31" x14ac:dyDescent="0.35">
      <c r="A21" t="s">
        <v>68</v>
      </c>
      <c r="B21" s="9">
        <v>3.5439235</v>
      </c>
      <c r="C21" s="9">
        <v>3.5756885</v>
      </c>
      <c r="D21" s="9">
        <v>3.6497307000000001</v>
      </c>
      <c r="E21" s="9">
        <v>3.7494822999999999</v>
      </c>
      <c r="F21" s="9">
        <v>3.8641046999999999</v>
      </c>
      <c r="G21" s="9">
        <v>3.9876239</v>
      </c>
      <c r="H21" s="9">
        <v>4.1145164999999997</v>
      </c>
      <c r="I21" s="9">
        <v>4.2398676000000002</v>
      </c>
      <c r="J21" s="9">
        <v>4.3601744</v>
      </c>
      <c r="K21" s="9">
        <v>4.4734059999999998</v>
      </c>
      <c r="L21" s="9">
        <v>4.5785819999999999</v>
      </c>
      <c r="M21" s="9">
        <v>4.6753321999999997</v>
      </c>
      <c r="N21" s="9">
        <v>4.7635401999999996</v>
      </c>
      <c r="O21" s="9">
        <v>4.8431423999999996</v>
      </c>
      <c r="P21" s="9">
        <v>4.9141003000000003</v>
      </c>
      <c r="Q21" s="9">
        <v>4.9764923999999997</v>
      </c>
      <c r="R21" s="9">
        <v>5.0305664999999999</v>
      </c>
      <c r="S21" s="9">
        <v>5.0767334999999996</v>
      </c>
      <c r="T21" s="9">
        <v>5.1155818000000002</v>
      </c>
      <c r="U21" s="9">
        <v>5.1478460000000004</v>
      </c>
      <c r="V21" s="9">
        <v>5.1743046000000001</v>
      </c>
      <c r="W21" s="9">
        <v>5.1956879999999996</v>
      </c>
      <c r="X21" s="9">
        <v>5.2126251999999997</v>
      </c>
      <c r="Y21" s="9">
        <v>5.2256125000000004</v>
      </c>
      <c r="Z21" s="9">
        <v>5.2350102999999999</v>
      </c>
      <c r="AA21" s="9">
        <v>5.2410489</v>
      </c>
      <c r="AB21" s="9">
        <v>5.2438487</v>
      </c>
      <c r="AC21" s="9">
        <v>5.2434561000000004</v>
      </c>
      <c r="AD21" s="9">
        <v>5.2398813999999998</v>
      </c>
      <c r="AE21" s="9">
        <v>5.2331235999999999</v>
      </c>
    </row>
    <row r="22" spans="1:31" x14ac:dyDescent="0.35">
      <c r="A22" t="s">
        <v>69</v>
      </c>
      <c r="B22" s="9">
        <v>3.5590462999999999</v>
      </c>
      <c r="C22" s="9">
        <v>3.5981234</v>
      </c>
      <c r="D22" s="9">
        <v>3.6762883999999998</v>
      </c>
      <c r="E22" s="9">
        <v>3.7785074999999999</v>
      </c>
      <c r="F22" s="9">
        <v>3.8942646999999999</v>
      </c>
      <c r="G22" s="9">
        <v>4.0179935999999996</v>
      </c>
      <c r="H22" s="9">
        <v>4.1444656999999996</v>
      </c>
      <c r="I22" s="9">
        <v>4.268993</v>
      </c>
      <c r="J22" s="9">
        <v>4.3882700000000003</v>
      </c>
      <c r="K22" s="9">
        <v>4.5004184</v>
      </c>
      <c r="L22" s="9">
        <v>4.6045585999999998</v>
      </c>
      <c r="M22" s="9">
        <v>4.7003750999999996</v>
      </c>
      <c r="N22" s="9">
        <v>4.7877748999999996</v>
      </c>
      <c r="O22" s="9">
        <v>4.8666999000000004</v>
      </c>
      <c r="P22" s="9">
        <v>4.9371084999999999</v>
      </c>
      <c r="Q22" s="9">
        <v>4.9990737000000003</v>
      </c>
      <c r="R22" s="9">
        <v>5.0528380000000004</v>
      </c>
      <c r="S22" s="9">
        <v>5.0988065000000002</v>
      </c>
      <c r="T22" s="9">
        <v>5.1375590999999998</v>
      </c>
      <c r="U22" s="9">
        <v>5.1698174999999997</v>
      </c>
      <c r="V22" s="9">
        <v>5.1963435000000002</v>
      </c>
      <c r="W22" s="9">
        <v>5.2178487000000002</v>
      </c>
      <c r="X22" s="9">
        <v>5.2349430999999997</v>
      </c>
      <c r="Y22" s="9">
        <v>5.2481052999999998</v>
      </c>
      <c r="Z22" s="9">
        <v>5.2576801</v>
      </c>
      <c r="AA22" s="9">
        <v>5.2638844000000002</v>
      </c>
      <c r="AB22" s="9">
        <v>5.2668271000000004</v>
      </c>
      <c r="AC22" s="9">
        <v>5.2665443999999999</v>
      </c>
      <c r="AD22" s="9">
        <v>5.2630368000000001</v>
      </c>
      <c r="AE22" s="9">
        <v>5.2562937999999999</v>
      </c>
    </row>
    <row r="23" spans="1:31" x14ac:dyDescent="0.35">
      <c r="A23" t="s">
        <v>70</v>
      </c>
      <c r="B23" s="9">
        <v>3.5392115999999998</v>
      </c>
      <c r="C23" s="9">
        <v>3.5817282000000001</v>
      </c>
      <c r="D23" s="9">
        <v>3.6640643000000002</v>
      </c>
      <c r="E23" s="9">
        <v>3.7703641000000001</v>
      </c>
      <c r="F23" s="9">
        <v>3.8892503999999999</v>
      </c>
      <c r="G23" s="9">
        <v>4.0151233</v>
      </c>
      <c r="H23" s="9">
        <v>4.1430246000000004</v>
      </c>
      <c r="I23" s="9">
        <v>4.2685876</v>
      </c>
      <c r="J23" s="9">
        <v>4.3887536999999996</v>
      </c>
      <c r="K23" s="9">
        <v>4.5017953999999998</v>
      </c>
      <c r="L23" s="9">
        <v>4.6069060000000004</v>
      </c>
      <c r="M23" s="9">
        <v>4.7037924999999996</v>
      </c>
      <c r="N23" s="9">
        <v>4.7923577000000002</v>
      </c>
      <c r="O23" s="9">
        <v>4.8725250000000004</v>
      </c>
      <c r="P23" s="9">
        <v>4.9442275000000002</v>
      </c>
      <c r="Q23" s="9">
        <v>5.0075067000000004</v>
      </c>
      <c r="R23" s="9">
        <v>5.06257</v>
      </c>
      <c r="S23" s="9">
        <v>5.1097919000000003</v>
      </c>
      <c r="T23" s="9">
        <v>5.1497308999999998</v>
      </c>
      <c r="U23" s="9">
        <v>5.1830962999999999</v>
      </c>
      <c r="V23" s="9">
        <v>5.2106428999999999</v>
      </c>
      <c r="W23" s="9">
        <v>5.2330785999999998</v>
      </c>
      <c r="X23" s="9">
        <v>5.2510101999999996</v>
      </c>
      <c r="Y23" s="9">
        <v>5.2649134000000002</v>
      </c>
      <c r="Z23" s="9">
        <v>5.2751292000000003</v>
      </c>
      <c r="AA23" s="9">
        <v>5.2818705000000001</v>
      </c>
      <c r="AB23" s="9">
        <v>5.2852408999999998</v>
      </c>
      <c r="AC23" s="9">
        <v>5.2852708000000002</v>
      </c>
      <c r="AD23" s="9">
        <v>5.2819544</v>
      </c>
      <c r="AE23" s="9">
        <v>5.2752755000000002</v>
      </c>
    </row>
    <row r="24" spans="1:31" x14ac:dyDescent="0.35">
      <c r="A24" t="s">
        <v>71</v>
      </c>
      <c r="B24" s="9">
        <v>3.5396681999999999</v>
      </c>
      <c r="C24" s="9">
        <v>3.5975784000000002</v>
      </c>
      <c r="D24" s="9">
        <v>3.6899247000000002</v>
      </c>
      <c r="E24" s="9">
        <v>3.8035369000000001</v>
      </c>
      <c r="F24" s="9">
        <v>3.9279958000000001</v>
      </c>
      <c r="G24" s="9">
        <v>4.0583308000000002</v>
      </c>
      <c r="H24" s="9">
        <v>4.1899379999999997</v>
      </c>
      <c r="I24" s="9">
        <v>4.3186533999999996</v>
      </c>
      <c r="J24" s="9">
        <v>4.4415532000000004</v>
      </c>
      <c r="K24" s="9">
        <v>4.5570136999999997</v>
      </c>
      <c r="L24" s="9">
        <v>4.6643173000000004</v>
      </c>
      <c r="M24" s="9">
        <v>4.7632422999999999</v>
      </c>
      <c r="N24" s="9">
        <v>4.8537337999999997</v>
      </c>
      <c r="O24" s="9">
        <v>4.9357221999999998</v>
      </c>
      <c r="P24" s="9">
        <v>5.0091215</v>
      </c>
      <c r="Q24" s="9">
        <v>5.0739457000000003</v>
      </c>
      <c r="R24" s="9">
        <v>5.1303787999999999</v>
      </c>
      <c r="S24" s="9">
        <v>5.1787815999999998</v>
      </c>
      <c r="T24" s="9">
        <v>5.2197117000000004</v>
      </c>
      <c r="U24" s="9">
        <v>5.2538878999999996</v>
      </c>
      <c r="V24" s="9">
        <v>5.2820815000000003</v>
      </c>
      <c r="W24" s="9">
        <v>5.3050196999999999</v>
      </c>
      <c r="X24" s="9">
        <v>5.3233293000000002</v>
      </c>
      <c r="Y24" s="9">
        <v>5.3375038999999997</v>
      </c>
      <c r="Z24" s="9">
        <v>5.3479003000000001</v>
      </c>
      <c r="AA24" s="9">
        <v>5.3547419999999999</v>
      </c>
      <c r="AB24" s="9">
        <v>5.3581390000000004</v>
      </c>
      <c r="AC24" s="9">
        <v>5.3581232999999999</v>
      </c>
      <c r="AD24" s="9">
        <v>5.3546882</v>
      </c>
      <c r="AE24" s="9">
        <v>5.3478135</v>
      </c>
    </row>
    <row r="25" spans="1:31" x14ac:dyDescent="0.35">
      <c r="A25" t="s">
        <v>72</v>
      </c>
      <c r="B25" s="9">
        <v>3.5356708999999999</v>
      </c>
      <c r="C25" s="9">
        <v>3.5906351999999999</v>
      </c>
      <c r="D25" s="9">
        <v>3.6797982</v>
      </c>
      <c r="E25" s="9">
        <v>3.7917016000000001</v>
      </c>
      <c r="F25" s="9">
        <v>3.9152714999999998</v>
      </c>
      <c r="G25" s="9">
        <v>4.0451275000000004</v>
      </c>
      <c r="H25" s="9">
        <v>4.1765118000000001</v>
      </c>
      <c r="I25" s="9">
        <v>4.3052019000000001</v>
      </c>
      <c r="J25" s="9">
        <v>4.4282044000000003</v>
      </c>
      <c r="K25" s="9">
        <v>4.5437944999999997</v>
      </c>
      <c r="L25" s="9">
        <v>4.6511458000000001</v>
      </c>
      <c r="M25" s="9">
        <v>4.7499462000000001</v>
      </c>
      <c r="N25" s="9">
        <v>4.8400825999999997</v>
      </c>
      <c r="O25" s="9">
        <v>4.9214644999999999</v>
      </c>
      <c r="P25" s="9">
        <v>4.9940199999999999</v>
      </c>
      <c r="Q25" s="9">
        <v>5.0578035000000003</v>
      </c>
      <c r="R25" s="9">
        <v>5.1130544999999996</v>
      </c>
      <c r="S25" s="9">
        <v>5.1601920999999997</v>
      </c>
      <c r="T25" s="9">
        <v>5.1998272999999999</v>
      </c>
      <c r="U25" s="9">
        <v>5.2327238999999999</v>
      </c>
      <c r="V25" s="9">
        <v>5.2596898999999997</v>
      </c>
      <c r="W25" s="9">
        <v>5.2814819999999996</v>
      </c>
      <c r="X25" s="9">
        <v>5.2987494999999996</v>
      </c>
      <c r="Y25" s="9">
        <v>5.3120028000000001</v>
      </c>
      <c r="Z25" s="9">
        <v>5.3216080000000003</v>
      </c>
      <c r="AA25" s="9">
        <v>5.3277926000000004</v>
      </c>
      <c r="AB25" s="9">
        <v>5.3306652000000003</v>
      </c>
      <c r="AC25" s="9">
        <v>5.3302528000000002</v>
      </c>
      <c r="AD25" s="9">
        <v>5.3265396000000003</v>
      </c>
      <c r="AE25" s="9">
        <v>5.3194945999999996</v>
      </c>
    </row>
    <row r="26" spans="1:31" x14ac:dyDescent="0.35">
      <c r="A26" t="s">
        <v>73</v>
      </c>
      <c r="B26" s="9">
        <v>3.5372164000000001</v>
      </c>
      <c r="C26" s="9">
        <v>3.5982530000000001</v>
      </c>
      <c r="D26" s="9">
        <v>3.6944566000000001</v>
      </c>
      <c r="E26" s="9">
        <v>3.8119546999999998</v>
      </c>
      <c r="F26" s="9">
        <v>3.9397101999999999</v>
      </c>
      <c r="G26" s="9">
        <v>4.0726611999999998</v>
      </c>
      <c r="H26" s="9">
        <v>4.2062941</v>
      </c>
      <c r="I26" s="9">
        <v>4.3365764999999996</v>
      </c>
      <c r="J26" s="9">
        <v>4.4606802999999999</v>
      </c>
      <c r="K26" s="9">
        <v>4.5770226999999997</v>
      </c>
      <c r="L26" s="9">
        <v>4.6848922999999996</v>
      </c>
      <c r="M26" s="9">
        <v>4.7840606000000001</v>
      </c>
      <c r="N26" s="9">
        <v>4.8744725999999998</v>
      </c>
      <c r="O26" s="9">
        <v>4.9560744999999997</v>
      </c>
      <c r="P26" s="9">
        <v>5.0288143999999999</v>
      </c>
      <c r="Q26" s="9">
        <v>5.0927534000000003</v>
      </c>
      <c r="R26" s="9">
        <v>5.1481288999999997</v>
      </c>
      <c r="S26" s="9">
        <v>5.1953566000000002</v>
      </c>
      <c r="T26" s="9">
        <v>5.2350450999999998</v>
      </c>
      <c r="U26" s="9">
        <v>5.2679593999999996</v>
      </c>
      <c r="V26" s="9">
        <v>5.2949115000000004</v>
      </c>
      <c r="W26" s="9">
        <v>5.3166640000000003</v>
      </c>
      <c r="X26" s="9">
        <v>5.3338733999999999</v>
      </c>
      <c r="Y26" s="9">
        <v>5.3470564999999999</v>
      </c>
      <c r="Z26" s="9">
        <v>5.3565852999999999</v>
      </c>
      <c r="AA26" s="9">
        <v>5.3626911000000002</v>
      </c>
      <c r="AB26" s="9">
        <v>5.3654849000000002</v>
      </c>
      <c r="AC26" s="9">
        <v>5.3649950000000004</v>
      </c>
      <c r="AD26" s="9">
        <v>5.3612061999999998</v>
      </c>
      <c r="AE26" s="9">
        <v>5.3540866999999999</v>
      </c>
    </row>
    <row r="27" spans="1:31" x14ac:dyDescent="0.35">
      <c r="A27" t="s">
        <v>74</v>
      </c>
      <c r="B27" s="9">
        <v>3.5686249000000001</v>
      </c>
      <c r="C27" s="9">
        <v>3.6397894000000002</v>
      </c>
      <c r="D27" s="9">
        <v>3.7339416000000001</v>
      </c>
      <c r="E27" s="9">
        <v>3.8472157999999999</v>
      </c>
      <c r="F27" s="9">
        <v>3.9705279</v>
      </c>
      <c r="G27" s="9">
        <v>4.0993317999999999</v>
      </c>
      <c r="H27" s="9">
        <v>4.2293029999999998</v>
      </c>
      <c r="I27" s="9">
        <v>4.3564641999999996</v>
      </c>
      <c r="J27" s="9">
        <v>4.4779527000000003</v>
      </c>
      <c r="K27" s="9">
        <v>4.5920953000000004</v>
      </c>
      <c r="L27" s="9">
        <v>4.6980680000000001</v>
      </c>
      <c r="M27" s="9">
        <v>4.7955359</v>
      </c>
      <c r="N27" s="9">
        <v>4.8843589999999999</v>
      </c>
      <c r="O27" s="9">
        <v>4.9644288000000003</v>
      </c>
      <c r="P27" s="9">
        <v>5.0356712000000003</v>
      </c>
      <c r="Q27" s="9">
        <v>5.0981518000000001</v>
      </c>
      <c r="R27" s="9">
        <v>5.1521280000000003</v>
      </c>
      <c r="S27" s="9">
        <v>5.1980383999999997</v>
      </c>
      <c r="T27" s="9">
        <v>5.2365104000000002</v>
      </c>
      <c r="U27" s="9">
        <v>5.2683200000000001</v>
      </c>
      <c r="V27" s="9">
        <v>5.2942837000000003</v>
      </c>
      <c r="W27" s="9">
        <v>5.3151637000000003</v>
      </c>
      <c r="X27" s="9">
        <v>5.3316116999999998</v>
      </c>
      <c r="Y27" s="9">
        <v>5.3441367</v>
      </c>
      <c r="Z27" s="9">
        <v>5.3531003999999998</v>
      </c>
      <c r="AA27" s="9">
        <v>5.3587227999999998</v>
      </c>
      <c r="AB27" s="9">
        <v>5.3611034999999996</v>
      </c>
      <c r="AC27" s="9">
        <v>5.3602606000000002</v>
      </c>
      <c r="AD27" s="9">
        <v>5.3561705000000002</v>
      </c>
      <c r="AE27" s="9">
        <v>5.3487948000000003</v>
      </c>
    </row>
    <row r="28" spans="1:31" x14ac:dyDescent="0.35">
      <c r="A28" t="s">
        <v>75</v>
      </c>
      <c r="B28" s="9">
        <v>3.5800065000000001</v>
      </c>
      <c r="C28" s="9">
        <v>3.6477792</v>
      </c>
      <c r="D28" s="9">
        <v>3.7395477000000001</v>
      </c>
      <c r="E28" s="9">
        <v>3.8511668999999999</v>
      </c>
      <c r="F28" s="9">
        <v>3.9731722999999999</v>
      </c>
      <c r="G28" s="9">
        <v>4.1007514</v>
      </c>
      <c r="H28" s="9">
        <v>4.2294632999999999</v>
      </c>
      <c r="I28" s="9">
        <v>4.3553359</v>
      </c>
      <c r="J28" s="9">
        <v>4.4755628999999999</v>
      </c>
      <c r="K28" s="9">
        <v>4.5885256999999999</v>
      </c>
      <c r="L28" s="9">
        <v>4.6934364000000004</v>
      </c>
      <c r="M28" s="9">
        <v>4.7899795000000003</v>
      </c>
      <c r="N28" s="9">
        <v>4.8780225000000002</v>
      </c>
      <c r="O28" s="9">
        <v>4.9574585999999998</v>
      </c>
      <c r="P28" s="9">
        <v>5.0282121000000002</v>
      </c>
      <c r="Q28" s="9">
        <v>5.0903448999999998</v>
      </c>
      <c r="R28" s="9">
        <v>5.1441077000000002</v>
      </c>
      <c r="S28" s="9">
        <v>5.1899293000000002</v>
      </c>
      <c r="T28" s="9">
        <v>5.2284245</v>
      </c>
      <c r="U28" s="9">
        <v>5.2603533999999996</v>
      </c>
      <c r="V28" s="9">
        <v>5.2865150999999999</v>
      </c>
      <c r="W28" s="9">
        <v>5.3076540999999997</v>
      </c>
      <c r="X28" s="9">
        <v>5.3244056999999998</v>
      </c>
      <c r="Y28" s="9">
        <v>5.3372636</v>
      </c>
      <c r="Z28" s="9">
        <v>5.3465759000000004</v>
      </c>
      <c r="AA28" s="9">
        <v>5.3525498999999996</v>
      </c>
      <c r="AB28" s="9">
        <v>5.3552749999999998</v>
      </c>
      <c r="AC28" s="9">
        <v>5.3547605000000003</v>
      </c>
      <c r="AD28" s="9">
        <v>5.3509770999999997</v>
      </c>
      <c r="AE28" s="9">
        <v>5.3438825999999997</v>
      </c>
    </row>
    <row r="29" spans="1:31" x14ac:dyDescent="0.35">
      <c r="A29" t="s">
        <v>76</v>
      </c>
      <c r="B29" s="9">
        <v>3.579024</v>
      </c>
      <c r="C29" s="9">
        <v>3.656012</v>
      </c>
      <c r="D29" s="9">
        <v>3.7528885000000001</v>
      </c>
      <c r="E29" s="9">
        <v>3.8683036999999998</v>
      </c>
      <c r="F29" s="9">
        <v>3.9933871999999999</v>
      </c>
      <c r="G29" s="9">
        <v>4.1235286999999996</v>
      </c>
      <c r="H29" s="9">
        <v>4.2543921999999998</v>
      </c>
      <c r="I29" s="9">
        <v>4.3820494999999999</v>
      </c>
      <c r="J29" s="9">
        <v>4.5037118999999999</v>
      </c>
      <c r="K29" s="9">
        <v>4.6177897000000003</v>
      </c>
      <c r="L29" s="9">
        <v>4.7235452000000002</v>
      </c>
      <c r="M29" s="9">
        <v>4.8207237000000003</v>
      </c>
      <c r="N29" s="9">
        <v>4.9092526999999997</v>
      </c>
      <c r="O29" s="9">
        <v>4.9890761000000001</v>
      </c>
      <c r="P29" s="9">
        <v>5.0601590999999999</v>
      </c>
      <c r="Q29" s="9">
        <v>5.1225952000000001</v>
      </c>
      <c r="R29" s="9">
        <v>5.1766572999999996</v>
      </c>
      <c r="S29" s="9">
        <v>5.2227880000000004</v>
      </c>
      <c r="T29" s="9">
        <v>5.2616066000000004</v>
      </c>
      <c r="U29" s="9">
        <v>5.2938707000000003</v>
      </c>
      <c r="V29" s="9">
        <v>5.3203718000000002</v>
      </c>
      <c r="W29" s="9">
        <v>5.3418451999999998</v>
      </c>
      <c r="X29" s="9">
        <v>5.3589169999999999</v>
      </c>
      <c r="Y29" s="9">
        <v>5.3720733000000003</v>
      </c>
      <c r="Z29" s="9">
        <v>5.3816563000000004</v>
      </c>
      <c r="AA29" s="9">
        <v>5.3878696000000001</v>
      </c>
      <c r="AB29" s="9">
        <v>5.3908006000000004</v>
      </c>
      <c r="AC29" s="9">
        <v>5.3904578000000001</v>
      </c>
      <c r="AD29" s="9">
        <v>5.3868108000000001</v>
      </c>
      <c r="AE29" s="9">
        <v>5.3798168000000004</v>
      </c>
    </row>
    <row r="30" spans="1:31" x14ac:dyDescent="0.35">
      <c r="A30" t="s">
        <v>77</v>
      </c>
      <c r="B30" s="9">
        <v>3.5702614000000001</v>
      </c>
      <c r="C30" s="9">
        <v>3.6588250000000002</v>
      </c>
      <c r="D30" s="9">
        <v>3.7566918999999999</v>
      </c>
      <c r="E30" s="9">
        <v>3.8736815999999998</v>
      </c>
      <c r="F30" s="9">
        <v>4.0012344000000004</v>
      </c>
      <c r="G30" s="9">
        <v>4.1342433999999999</v>
      </c>
      <c r="H30" s="9">
        <v>4.2679397999999997</v>
      </c>
      <c r="I30" s="9">
        <v>4.3981364999999997</v>
      </c>
      <c r="J30" s="9">
        <v>4.5219369</v>
      </c>
      <c r="K30" s="9">
        <v>4.6377433999999997</v>
      </c>
      <c r="L30" s="9">
        <v>4.7448620000000004</v>
      </c>
      <c r="M30" s="9">
        <v>4.8431037000000003</v>
      </c>
      <c r="N30" s="9">
        <v>4.9324665999999997</v>
      </c>
      <c r="O30" s="9">
        <v>5.0129590000000004</v>
      </c>
      <c r="P30" s="9">
        <v>5.0845984</v>
      </c>
      <c r="Q30" s="9">
        <v>5.1475166000000003</v>
      </c>
      <c r="R30" s="9">
        <v>5.2020111</v>
      </c>
      <c r="S30" s="9">
        <v>5.2485388000000004</v>
      </c>
      <c r="T30" s="9">
        <v>5.2877264999999998</v>
      </c>
      <c r="U30" s="9">
        <v>5.3203347000000001</v>
      </c>
      <c r="V30" s="9">
        <v>5.3471552999999998</v>
      </c>
      <c r="W30" s="9">
        <v>5.3689244</v>
      </c>
      <c r="X30" s="9">
        <v>5.3862696000000003</v>
      </c>
      <c r="Y30" s="9">
        <v>5.3996798000000004</v>
      </c>
      <c r="Z30" s="9">
        <v>5.4095011</v>
      </c>
      <c r="AA30" s="9">
        <v>5.4159426000000002</v>
      </c>
      <c r="AB30" s="9">
        <v>5.4190977</v>
      </c>
      <c r="AC30" s="9">
        <v>5.4189824</v>
      </c>
      <c r="AD30" s="9">
        <v>5.4155737000000004</v>
      </c>
      <c r="AE30" s="9">
        <v>5.4088358000000003</v>
      </c>
    </row>
    <row r="31" spans="1:31" x14ac:dyDescent="0.35">
      <c r="A31" t="s">
        <v>78</v>
      </c>
      <c r="B31" s="9">
        <v>3.5429822999999998</v>
      </c>
      <c r="C31" s="9">
        <v>3.6234329999999999</v>
      </c>
      <c r="D31" s="9">
        <v>3.7158199999999999</v>
      </c>
      <c r="E31" s="9">
        <v>3.8299454000000002</v>
      </c>
      <c r="F31" s="9">
        <v>3.9571044999999998</v>
      </c>
      <c r="G31" s="9">
        <v>4.0916170999999997</v>
      </c>
      <c r="H31" s="9">
        <v>4.2279197999999996</v>
      </c>
      <c r="I31" s="9">
        <v>4.3611161999999997</v>
      </c>
      <c r="J31" s="9">
        <v>4.4878343000000003</v>
      </c>
      <c r="K31" s="9">
        <v>4.6062085000000002</v>
      </c>
      <c r="L31" s="9">
        <v>4.7154249000000004</v>
      </c>
      <c r="M31" s="9">
        <v>4.8152694</v>
      </c>
      <c r="N31" s="9">
        <v>4.9057702000000001</v>
      </c>
      <c r="O31" s="9">
        <v>4.9869935999999999</v>
      </c>
      <c r="P31" s="9">
        <v>5.0590251999999998</v>
      </c>
      <c r="Q31" s="9">
        <v>5.1220651999999998</v>
      </c>
      <c r="R31" s="9">
        <v>5.1764741000000001</v>
      </c>
      <c r="S31" s="9">
        <v>5.2227665999999999</v>
      </c>
      <c r="T31" s="9">
        <v>5.2616221000000003</v>
      </c>
      <c r="U31" s="9">
        <v>5.2938485000000002</v>
      </c>
      <c r="V31" s="9">
        <v>5.3202783</v>
      </c>
      <c r="W31" s="9">
        <v>5.3416785000000004</v>
      </c>
      <c r="X31" s="9">
        <v>5.3586974999999999</v>
      </c>
      <c r="Y31" s="9">
        <v>5.3718357000000001</v>
      </c>
      <c r="Z31" s="9">
        <v>5.381443</v>
      </c>
      <c r="AA31" s="9">
        <v>5.3877258000000001</v>
      </c>
      <c r="AB31" s="9">
        <v>5.3907714000000002</v>
      </c>
      <c r="AC31" s="9">
        <v>5.3905867000000001</v>
      </c>
      <c r="AD31" s="9">
        <v>5.3871393999999997</v>
      </c>
      <c r="AE31" s="9">
        <v>5.3803850999999998</v>
      </c>
    </row>
    <row r="32" spans="1:31" x14ac:dyDescent="0.35">
      <c r="A32" t="s">
        <v>79</v>
      </c>
      <c r="B32" s="9">
        <v>3.5482333000000001</v>
      </c>
      <c r="C32" s="9">
        <v>3.6281964000000002</v>
      </c>
      <c r="D32" s="9">
        <v>3.7217484999999999</v>
      </c>
      <c r="E32" s="9">
        <v>3.8397804999999998</v>
      </c>
      <c r="F32" s="9">
        <v>3.9707086</v>
      </c>
      <c r="G32" s="9">
        <v>4.1080619</v>
      </c>
      <c r="H32" s="9">
        <v>4.2463126999999998</v>
      </c>
      <c r="I32" s="9">
        <v>4.3807954999999996</v>
      </c>
      <c r="J32" s="9">
        <v>4.5083780999999998</v>
      </c>
      <c r="K32" s="9">
        <v>4.6273911999999999</v>
      </c>
      <c r="L32" s="9">
        <v>4.7371565999999996</v>
      </c>
      <c r="M32" s="9">
        <v>4.8375488000000004</v>
      </c>
      <c r="N32" s="9">
        <v>4.9286487000000001</v>
      </c>
      <c r="O32" s="9">
        <v>5.0105488999999999</v>
      </c>
      <c r="P32" s="9">
        <v>5.0833367000000003</v>
      </c>
      <c r="Q32" s="9">
        <v>5.1471932999999996</v>
      </c>
      <c r="R32" s="9">
        <v>5.2024457999999996</v>
      </c>
      <c r="S32" s="9">
        <v>5.2495742999999999</v>
      </c>
      <c r="T32" s="9">
        <v>5.2892298999999996</v>
      </c>
      <c r="U32" s="9">
        <v>5.3221990000000003</v>
      </c>
      <c r="V32" s="9">
        <v>5.3492999000000001</v>
      </c>
      <c r="W32" s="9">
        <v>5.3712901000000004</v>
      </c>
      <c r="X32" s="9">
        <v>5.3888135000000004</v>
      </c>
      <c r="Y32" s="9">
        <v>5.4023696000000001</v>
      </c>
      <c r="Z32" s="9">
        <v>5.4123105999999996</v>
      </c>
      <c r="AA32" s="9">
        <v>5.4188485000000002</v>
      </c>
      <c r="AB32" s="9">
        <v>5.4220772999999998</v>
      </c>
      <c r="AC32" s="9">
        <v>5.4220125000000001</v>
      </c>
      <c r="AD32" s="9">
        <v>5.4186300999999997</v>
      </c>
      <c r="AE32" s="9">
        <v>5.4118934000000003</v>
      </c>
    </row>
    <row r="33" spans="1:31" x14ac:dyDescent="0.35">
      <c r="A33" t="s">
        <v>80</v>
      </c>
      <c r="B33" s="9">
        <v>3.5495049000000001</v>
      </c>
      <c r="C33" s="9">
        <v>3.6228669</v>
      </c>
      <c r="D33" s="9">
        <v>3.7158351000000001</v>
      </c>
      <c r="E33" s="9">
        <v>3.8323689000000001</v>
      </c>
      <c r="F33" s="9">
        <v>3.9616229999999999</v>
      </c>
      <c r="G33" s="9">
        <v>4.0974754999999998</v>
      </c>
      <c r="H33" s="9">
        <v>4.2345433999999997</v>
      </c>
      <c r="I33" s="9">
        <v>4.3682055000000002</v>
      </c>
      <c r="J33" s="9">
        <v>4.4952902999999997</v>
      </c>
      <c r="K33" s="9">
        <v>4.6140422000000001</v>
      </c>
      <c r="L33" s="9">
        <v>4.7236821999999998</v>
      </c>
      <c r="M33" s="9">
        <v>4.8239938999999996</v>
      </c>
      <c r="N33" s="9">
        <v>4.9149922000000004</v>
      </c>
      <c r="O33" s="9">
        <v>4.9967356000000001</v>
      </c>
      <c r="P33" s="9">
        <v>5.0693087999999999</v>
      </c>
      <c r="Q33" s="9">
        <v>5.1329162999999998</v>
      </c>
      <c r="R33" s="9">
        <v>5.1879213000000002</v>
      </c>
      <c r="S33" s="9">
        <v>5.2348378999999996</v>
      </c>
      <c r="T33" s="9">
        <v>5.2743399000000002</v>
      </c>
      <c r="U33" s="9">
        <v>5.3072226999999996</v>
      </c>
      <c r="V33" s="9">
        <v>5.3343015999999999</v>
      </c>
      <c r="W33" s="9">
        <v>5.3563241000000001</v>
      </c>
      <c r="X33" s="9">
        <v>5.3739204999999997</v>
      </c>
      <c r="Y33" s="9">
        <v>5.3875769</v>
      </c>
      <c r="Z33" s="9">
        <v>5.3976350000000002</v>
      </c>
      <c r="AA33" s="9">
        <v>5.4043007000000003</v>
      </c>
      <c r="AB33" s="9">
        <v>5.4076662999999998</v>
      </c>
      <c r="AC33" s="9">
        <v>5.4077476999999998</v>
      </c>
      <c r="AD33" s="9">
        <v>5.4045234999999998</v>
      </c>
      <c r="AE33" s="9">
        <v>5.3979597000000004</v>
      </c>
    </row>
    <row r="34" spans="1:31" x14ac:dyDescent="0.35">
      <c r="A34" t="s">
        <v>81</v>
      </c>
      <c r="B34" s="9">
        <v>3.5554804999999998</v>
      </c>
      <c r="C34" s="9">
        <v>3.6300531</v>
      </c>
      <c r="D34" s="9">
        <v>3.7246627999999999</v>
      </c>
      <c r="E34" s="9">
        <v>3.8411400000000002</v>
      </c>
      <c r="F34" s="9">
        <v>3.9695735000000001</v>
      </c>
      <c r="G34" s="9">
        <v>4.1043256000000001</v>
      </c>
      <c r="H34" s="9">
        <v>4.2402796</v>
      </c>
      <c r="I34" s="9">
        <v>4.3729936</v>
      </c>
      <c r="J34" s="9">
        <v>4.4994016999999999</v>
      </c>
      <c r="K34" s="9">
        <v>4.6177874000000001</v>
      </c>
      <c r="L34" s="9">
        <v>4.7273610000000001</v>
      </c>
      <c r="M34" s="9">
        <v>4.8278622999999996</v>
      </c>
      <c r="N34" s="9">
        <v>4.9192451000000004</v>
      </c>
      <c r="O34" s="9">
        <v>5.0015055000000004</v>
      </c>
      <c r="P34" s="9">
        <v>5.0746731</v>
      </c>
      <c r="Q34" s="9">
        <v>5.1389136999999998</v>
      </c>
      <c r="R34" s="9">
        <v>5.1945664999999996</v>
      </c>
      <c r="S34" s="9">
        <v>5.2421319999999998</v>
      </c>
      <c r="T34" s="9">
        <v>5.2822754999999999</v>
      </c>
      <c r="U34" s="9">
        <v>5.3157848000000003</v>
      </c>
      <c r="V34" s="9">
        <v>5.3434673999999998</v>
      </c>
      <c r="W34" s="9">
        <v>5.3660636999999998</v>
      </c>
      <c r="X34" s="9">
        <v>5.3841973999999997</v>
      </c>
      <c r="Y34" s="9">
        <v>5.3983492999999996</v>
      </c>
      <c r="Z34" s="9">
        <v>5.4088566</v>
      </c>
      <c r="AA34" s="9">
        <v>5.4159214000000002</v>
      </c>
      <c r="AB34" s="9">
        <v>5.4196330000000001</v>
      </c>
      <c r="AC34" s="9">
        <v>5.4200052999999997</v>
      </c>
      <c r="AD34" s="9">
        <v>5.4170153000000001</v>
      </c>
      <c r="AE34" s="9">
        <v>5.4106287999999996</v>
      </c>
    </row>
    <row r="35" spans="1:31" x14ac:dyDescent="0.35">
      <c r="A35" t="s">
        <v>82</v>
      </c>
      <c r="B35" s="9">
        <v>3.5700335000000001</v>
      </c>
      <c r="C35" s="9">
        <v>3.6381402</v>
      </c>
      <c r="D35" s="9">
        <v>3.7361846999999999</v>
      </c>
      <c r="E35" s="9">
        <v>3.8554826000000002</v>
      </c>
      <c r="F35" s="9">
        <v>3.9860671000000001</v>
      </c>
      <c r="G35" s="9">
        <v>4.1226909999999997</v>
      </c>
      <c r="H35" s="9">
        <v>4.2603593000000002</v>
      </c>
      <c r="I35" s="9">
        <v>4.3946303000000002</v>
      </c>
      <c r="J35" s="9">
        <v>4.5224332</v>
      </c>
      <c r="K35" s="9">
        <v>4.6420735000000004</v>
      </c>
      <c r="L35" s="9">
        <v>4.7528040999999996</v>
      </c>
      <c r="M35" s="9">
        <v>4.8544102999999996</v>
      </c>
      <c r="N35" s="9">
        <v>4.9468847</v>
      </c>
      <c r="O35" s="9">
        <v>5.0302471999999998</v>
      </c>
      <c r="P35" s="9">
        <v>5.1045328000000003</v>
      </c>
      <c r="Q35" s="9">
        <v>5.1698956999999996</v>
      </c>
      <c r="R35" s="9">
        <v>5.2266534</v>
      </c>
      <c r="S35" s="9">
        <v>5.2752824</v>
      </c>
      <c r="T35" s="9">
        <v>5.3164278999999999</v>
      </c>
      <c r="U35" s="9">
        <v>5.3508633999999997</v>
      </c>
      <c r="V35" s="9">
        <v>5.3793864999999998</v>
      </c>
      <c r="W35" s="9">
        <v>5.4027298000000004</v>
      </c>
      <c r="X35" s="9">
        <v>5.4215118999999996</v>
      </c>
      <c r="Y35" s="9">
        <v>5.4362117000000003</v>
      </c>
      <c r="Z35" s="9">
        <v>5.4471689000000003</v>
      </c>
      <c r="AA35" s="9">
        <v>5.4545925999999998</v>
      </c>
      <c r="AB35" s="9">
        <v>5.4585834999999996</v>
      </c>
      <c r="AC35" s="9">
        <v>5.4591700999999997</v>
      </c>
      <c r="AD35" s="9">
        <v>5.4563471999999997</v>
      </c>
      <c r="AE35" s="9">
        <v>5.4501001000000002</v>
      </c>
    </row>
    <row r="36" spans="1:31" x14ac:dyDescent="0.35">
      <c r="A36" t="s">
        <v>83</v>
      </c>
      <c r="B36" s="9">
        <v>3.5117782000000002</v>
      </c>
      <c r="C36" s="9">
        <v>3.5874022000000001</v>
      </c>
      <c r="D36" s="9">
        <v>3.6942328</v>
      </c>
      <c r="E36" s="9">
        <v>3.8233636999999998</v>
      </c>
      <c r="F36" s="9">
        <v>3.9638654999999998</v>
      </c>
      <c r="G36" s="9">
        <v>4.1098780000000001</v>
      </c>
      <c r="H36" s="9">
        <v>4.2560963000000003</v>
      </c>
      <c r="I36" s="9">
        <v>4.3979287999999999</v>
      </c>
      <c r="J36" s="9">
        <v>4.5322515000000001</v>
      </c>
      <c r="K36" s="9">
        <v>4.6574106000000004</v>
      </c>
      <c r="L36" s="9">
        <v>4.7727789999999999</v>
      </c>
      <c r="M36" s="9">
        <v>4.8783003000000003</v>
      </c>
      <c r="N36" s="9">
        <v>4.9741267999999996</v>
      </c>
      <c r="O36" s="9">
        <v>5.0604139999999997</v>
      </c>
      <c r="P36" s="9">
        <v>5.1372995000000001</v>
      </c>
      <c r="Q36" s="9">
        <v>5.2050092000000001</v>
      </c>
      <c r="R36" s="9">
        <v>5.2639069000000003</v>
      </c>
      <c r="S36" s="9">
        <v>5.3144969</v>
      </c>
      <c r="T36" s="9">
        <v>5.357443</v>
      </c>
      <c r="U36" s="9">
        <v>5.3935310000000003</v>
      </c>
      <c r="V36" s="9">
        <v>5.4235657000000002</v>
      </c>
      <c r="W36" s="9">
        <v>5.4482831999999997</v>
      </c>
      <c r="X36" s="9">
        <v>5.4683036999999999</v>
      </c>
      <c r="Y36" s="9">
        <v>5.484108</v>
      </c>
      <c r="Z36" s="9">
        <v>5.4960389999999997</v>
      </c>
      <c r="AA36" s="9">
        <v>5.5043103999999996</v>
      </c>
      <c r="AB36" s="9">
        <v>5.5090288000000003</v>
      </c>
      <c r="AC36" s="9">
        <v>5.5102305999999999</v>
      </c>
      <c r="AD36" s="9">
        <v>5.5079197000000004</v>
      </c>
      <c r="AE36" s="9">
        <v>5.5020927999999998</v>
      </c>
    </row>
    <row r="37" spans="1:31" x14ac:dyDescent="0.35">
      <c r="A37" t="s">
        <v>84</v>
      </c>
      <c r="B37" s="9">
        <v>3.4933801999999998</v>
      </c>
      <c r="C37" s="9">
        <v>3.5613478999999999</v>
      </c>
      <c r="D37" s="9">
        <v>3.6671440999999998</v>
      </c>
      <c r="E37" s="9">
        <v>3.7972457999999998</v>
      </c>
      <c r="F37" s="9">
        <v>3.9392686000000001</v>
      </c>
      <c r="G37" s="9">
        <v>4.0868653000000004</v>
      </c>
      <c r="H37" s="9">
        <v>4.2344723000000002</v>
      </c>
      <c r="I37" s="9">
        <v>4.3773755000000003</v>
      </c>
      <c r="J37" s="9">
        <v>4.5124446999999996</v>
      </c>
      <c r="K37" s="9">
        <v>4.6380654999999997</v>
      </c>
      <c r="L37" s="9">
        <v>4.7536614000000004</v>
      </c>
      <c r="M37" s="9">
        <v>4.8592287000000001</v>
      </c>
      <c r="N37" s="9">
        <v>4.9549719999999997</v>
      </c>
      <c r="O37" s="9">
        <v>5.0410972000000003</v>
      </c>
      <c r="P37" s="9">
        <v>5.1177907999999999</v>
      </c>
      <c r="Q37" s="9">
        <v>5.1853182000000002</v>
      </c>
      <c r="R37" s="9">
        <v>5.2440721999999997</v>
      </c>
      <c r="S37" s="9">
        <v>5.2945741000000002</v>
      </c>
      <c r="T37" s="9">
        <v>5.3374978999999998</v>
      </c>
      <c r="U37" s="9">
        <v>5.3736341000000003</v>
      </c>
      <c r="V37" s="9">
        <v>5.4037873999999997</v>
      </c>
      <c r="W37" s="9">
        <v>5.4286906000000004</v>
      </c>
      <c r="X37" s="9">
        <v>5.4489574999999997</v>
      </c>
      <c r="Y37" s="9">
        <v>5.4650609000000001</v>
      </c>
      <c r="Z37" s="9">
        <v>5.4773347000000001</v>
      </c>
      <c r="AA37" s="9">
        <v>5.4859833</v>
      </c>
      <c r="AB37" s="9">
        <v>5.4911041999999997</v>
      </c>
      <c r="AC37" s="9">
        <v>5.4927257000000003</v>
      </c>
      <c r="AD37" s="9">
        <v>5.4908463000000003</v>
      </c>
      <c r="AE37" s="9">
        <v>5.4854590999999999</v>
      </c>
    </row>
    <row r="38" spans="1:31" x14ac:dyDescent="0.35">
      <c r="A38" t="s">
        <v>85</v>
      </c>
      <c r="B38" s="9">
        <v>3.4939640000000001</v>
      </c>
      <c r="C38" s="9">
        <v>3.5553884</v>
      </c>
      <c r="D38" s="9">
        <v>3.6623486000000001</v>
      </c>
      <c r="E38" s="9">
        <v>3.7950039000000002</v>
      </c>
      <c r="F38" s="9">
        <v>3.9397137</v>
      </c>
      <c r="G38" s="9">
        <v>4.0897325000000002</v>
      </c>
      <c r="H38" s="9">
        <v>4.2394574</v>
      </c>
      <c r="I38" s="9">
        <v>4.3842306000000004</v>
      </c>
      <c r="J38" s="9">
        <v>4.5209567000000002</v>
      </c>
      <c r="K38" s="9">
        <v>4.6480188</v>
      </c>
      <c r="L38" s="9">
        <v>4.7648118999999998</v>
      </c>
      <c r="M38" s="9">
        <v>4.8712929999999997</v>
      </c>
      <c r="N38" s="9">
        <v>4.9676336000000001</v>
      </c>
      <c r="O38" s="9">
        <v>5.0540250000000002</v>
      </c>
      <c r="P38" s="9">
        <v>5.1306605999999997</v>
      </c>
      <c r="Q38" s="9">
        <v>5.1978330000000001</v>
      </c>
      <c r="R38" s="9">
        <v>5.2559775999999996</v>
      </c>
      <c r="S38" s="9">
        <v>5.3056692999999999</v>
      </c>
      <c r="T38" s="9">
        <v>5.3476410999999997</v>
      </c>
      <c r="U38" s="9">
        <v>5.3827444</v>
      </c>
      <c r="V38" s="9">
        <v>5.4118408999999996</v>
      </c>
      <c r="W38" s="9">
        <v>5.4357120999999999</v>
      </c>
      <c r="X38" s="9">
        <v>5.4550086000000002</v>
      </c>
      <c r="Y38" s="9">
        <v>5.4702266000000002</v>
      </c>
      <c r="Z38" s="9">
        <v>5.4817106999999998</v>
      </c>
      <c r="AA38" s="9">
        <v>5.4896649999999996</v>
      </c>
      <c r="AB38" s="9">
        <v>5.4941782000000003</v>
      </c>
      <c r="AC38" s="9">
        <v>5.4952639000000003</v>
      </c>
      <c r="AD38" s="9">
        <v>5.4929022999999999</v>
      </c>
      <c r="AE38" s="9">
        <v>5.4870663000000004</v>
      </c>
    </row>
    <row r="39" spans="1:31" x14ac:dyDescent="0.35">
      <c r="A39" t="s">
        <v>86</v>
      </c>
      <c r="B39" s="9">
        <v>3.5049705000000002</v>
      </c>
      <c r="C39" s="9">
        <v>3.5595222999999998</v>
      </c>
      <c r="D39" s="9">
        <v>3.6569148999999999</v>
      </c>
      <c r="E39" s="9">
        <v>3.7814774999999998</v>
      </c>
      <c r="F39" s="9">
        <v>3.9198957000000001</v>
      </c>
      <c r="G39" s="9">
        <v>4.0649937999999999</v>
      </c>
      <c r="H39" s="9">
        <v>4.2107913000000003</v>
      </c>
      <c r="I39" s="9">
        <v>4.3524263999999997</v>
      </c>
      <c r="J39" s="9">
        <v>4.4867058999999996</v>
      </c>
      <c r="K39" s="9">
        <v>4.6119326000000003</v>
      </c>
      <c r="L39" s="9">
        <v>4.7274095999999997</v>
      </c>
      <c r="M39" s="9">
        <v>4.8329950000000004</v>
      </c>
      <c r="N39" s="9">
        <v>4.9287665000000001</v>
      </c>
      <c r="O39" s="9">
        <v>5.0148372999999999</v>
      </c>
      <c r="P39" s="9">
        <v>5.0913430000000002</v>
      </c>
      <c r="Q39" s="9">
        <v>5.1585359000000004</v>
      </c>
      <c r="R39" s="9">
        <v>5.2168235999999997</v>
      </c>
      <c r="S39" s="9">
        <v>5.2667580999999997</v>
      </c>
      <c r="T39" s="9">
        <v>5.3090497000000001</v>
      </c>
      <c r="U39" s="9">
        <v>5.3445252999999999</v>
      </c>
      <c r="V39" s="9">
        <v>5.3740237000000004</v>
      </c>
      <c r="W39" s="9">
        <v>5.398307</v>
      </c>
      <c r="X39" s="9">
        <v>5.4180120000000001</v>
      </c>
      <c r="Y39" s="9">
        <v>5.4336262</v>
      </c>
      <c r="Z39" s="9">
        <v>5.4454893999999996</v>
      </c>
      <c r="AA39" s="9">
        <v>5.4538042000000004</v>
      </c>
      <c r="AB39" s="9">
        <v>5.4586594000000002</v>
      </c>
      <c r="AC39" s="9">
        <v>5.4600698999999997</v>
      </c>
      <c r="AD39" s="9">
        <v>5.4580169999999999</v>
      </c>
      <c r="AE39" s="9">
        <v>5.4524748000000001</v>
      </c>
    </row>
    <row r="40" spans="1:31" x14ac:dyDescent="0.35">
      <c r="A40" t="s">
        <v>87</v>
      </c>
      <c r="B40" s="9">
        <v>3.5019415</v>
      </c>
      <c r="C40" s="9">
        <v>3.5589623000000001</v>
      </c>
      <c r="D40" s="9">
        <v>3.6571465999999999</v>
      </c>
      <c r="E40" s="9">
        <v>3.7810869</v>
      </c>
      <c r="F40" s="9">
        <v>3.9178147999999999</v>
      </c>
      <c r="G40" s="9">
        <v>4.0606448000000004</v>
      </c>
      <c r="H40" s="9">
        <v>4.2040275999999999</v>
      </c>
      <c r="I40" s="9">
        <v>4.3433777999999998</v>
      </c>
      <c r="J40" s="9">
        <v>4.4756292999999996</v>
      </c>
      <c r="K40" s="9">
        <v>4.5991134999999996</v>
      </c>
      <c r="L40" s="9">
        <v>4.7131194000000001</v>
      </c>
      <c r="M40" s="9">
        <v>4.8174782</v>
      </c>
      <c r="N40" s="9">
        <v>4.9122364999999997</v>
      </c>
      <c r="O40" s="9">
        <v>4.9974764</v>
      </c>
      <c r="P40" s="9">
        <v>5.0733022999999999</v>
      </c>
      <c r="Q40" s="9">
        <v>5.1399353000000003</v>
      </c>
      <c r="R40" s="9">
        <v>5.1977530999999999</v>
      </c>
      <c r="S40" s="9">
        <v>5.2472837999999999</v>
      </c>
      <c r="T40" s="9">
        <v>5.2892200999999996</v>
      </c>
      <c r="U40" s="9">
        <v>5.3243789000000001</v>
      </c>
      <c r="V40" s="9">
        <v>5.3535937000000002</v>
      </c>
      <c r="W40" s="9">
        <v>5.3776244000000002</v>
      </c>
      <c r="X40" s="9">
        <v>5.3971077000000003</v>
      </c>
      <c r="Y40" s="9">
        <v>5.4125322000000002</v>
      </c>
      <c r="Z40" s="9">
        <v>5.4242397999999996</v>
      </c>
      <c r="AA40" s="9">
        <v>5.4324367999999996</v>
      </c>
      <c r="AB40" s="9">
        <v>5.4372175</v>
      </c>
      <c r="AC40" s="9">
        <v>5.4386041000000001</v>
      </c>
      <c r="AD40" s="9">
        <v>5.4365867000000003</v>
      </c>
      <c r="AE40" s="9">
        <v>5.4311493000000004</v>
      </c>
    </row>
    <row r="41" spans="1:31" x14ac:dyDescent="0.35">
      <c r="A41" t="s">
        <v>88</v>
      </c>
      <c r="B41" s="9">
        <v>3.4744831</v>
      </c>
      <c r="C41" s="9">
        <v>3.5277498</v>
      </c>
      <c r="D41" s="9">
        <v>3.6267239999999998</v>
      </c>
      <c r="E41" s="9">
        <v>3.7513348999999998</v>
      </c>
      <c r="F41" s="9">
        <v>3.8878322000000001</v>
      </c>
      <c r="G41" s="9">
        <v>4.0296669999999999</v>
      </c>
      <c r="H41" s="9">
        <v>4.1716118</v>
      </c>
      <c r="I41" s="9">
        <v>4.3093509000000001</v>
      </c>
      <c r="J41" s="9">
        <v>4.4399905000000004</v>
      </c>
      <c r="K41" s="9">
        <v>4.5619562</v>
      </c>
      <c r="L41" s="9">
        <v>4.6745812999999998</v>
      </c>
      <c r="M41" s="9">
        <v>4.7777139000000002</v>
      </c>
      <c r="N41" s="9">
        <v>4.8714069000000002</v>
      </c>
      <c r="O41" s="9">
        <v>4.9557471</v>
      </c>
      <c r="P41" s="9">
        <v>5.0308415999999996</v>
      </c>
      <c r="Q41" s="9">
        <v>5.0969027999999996</v>
      </c>
      <c r="R41" s="9">
        <v>5.1542897999999999</v>
      </c>
      <c r="S41" s="9">
        <v>5.2035070000000001</v>
      </c>
      <c r="T41" s="9">
        <v>5.2452252000000001</v>
      </c>
      <c r="U41" s="9">
        <v>5.2802438</v>
      </c>
      <c r="V41" s="9">
        <v>5.3093843999999999</v>
      </c>
      <c r="W41" s="9">
        <v>5.3334001999999998</v>
      </c>
      <c r="X41" s="9">
        <v>5.3529254000000002</v>
      </c>
      <c r="Y41" s="9">
        <v>5.3684484000000001</v>
      </c>
      <c r="Z41" s="9">
        <v>5.3803118999999997</v>
      </c>
      <c r="AA41" s="9">
        <v>5.3887216000000002</v>
      </c>
      <c r="AB41" s="9">
        <v>5.3937698999999997</v>
      </c>
      <c r="AC41" s="9">
        <v>5.3954754999999999</v>
      </c>
      <c r="AD41" s="9">
        <v>5.3938239000000001</v>
      </c>
      <c r="AE41" s="9">
        <v>5.3887941000000001</v>
      </c>
    </row>
    <row r="42" spans="1:31" x14ac:dyDescent="0.35">
      <c r="A42" t="s">
        <v>89</v>
      </c>
      <c r="B42" s="9">
        <v>3.4639454000000001</v>
      </c>
      <c r="C42" s="9">
        <v>3.5044561000000001</v>
      </c>
      <c r="D42" s="9">
        <v>3.5950413000000001</v>
      </c>
      <c r="E42" s="9">
        <v>3.7150560000000001</v>
      </c>
      <c r="F42" s="9">
        <v>3.8491236</v>
      </c>
      <c r="G42" s="9">
        <v>3.9897505999999998</v>
      </c>
      <c r="H42" s="9">
        <v>4.1311979000000001</v>
      </c>
      <c r="I42" s="9">
        <v>4.2688831</v>
      </c>
      <c r="J42" s="9">
        <v>4.3997636</v>
      </c>
      <c r="K42" s="9">
        <v>4.5221577000000002</v>
      </c>
      <c r="L42" s="9">
        <v>4.6353010000000001</v>
      </c>
      <c r="M42" s="9">
        <v>4.7389504999999996</v>
      </c>
      <c r="N42" s="9">
        <v>4.8330869999999999</v>
      </c>
      <c r="O42" s="9">
        <v>4.9177472</v>
      </c>
      <c r="P42" s="9">
        <v>4.9930120999999996</v>
      </c>
      <c r="Q42" s="9">
        <v>5.0590935000000004</v>
      </c>
      <c r="R42" s="9">
        <v>5.1163689999999997</v>
      </c>
      <c r="S42" s="9">
        <v>5.1653713999999997</v>
      </c>
      <c r="T42" s="9">
        <v>5.2068012000000001</v>
      </c>
      <c r="U42" s="9">
        <v>5.2414844</v>
      </c>
      <c r="V42" s="9">
        <v>5.2702647000000002</v>
      </c>
      <c r="W42" s="9">
        <v>5.2939126999999999</v>
      </c>
      <c r="X42" s="9">
        <v>5.3130761</v>
      </c>
      <c r="Y42" s="9">
        <v>5.3282534999999998</v>
      </c>
      <c r="Z42" s="9">
        <v>5.3397943999999997</v>
      </c>
      <c r="AA42" s="9">
        <v>5.3479093000000004</v>
      </c>
      <c r="AB42" s="9">
        <v>5.3526942999999996</v>
      </c>
      <c r="AC42" s="9">
        <v>5.3541715999999999</v>
      </c>
      <c r="AD42" s="9">
        <v>5.3523296</v>
      </c>
      <c r="AE42" s="9">
        <v>5.3471495999999998</v>
      </c>
    </row>
    <row r="43" spans="1:31" x14ac:dyDescent="0.35">
      <c r="A43" t="s">
        <v>90</v>
      </c>
      <c r="B43" s="9">
        <v>3.4655906000000001</v>
      </c>
      <c r="C43" s="9">
        <v>3.5016826000000001</v>
      </c>
      <c r="D43" s="9">
        <v>3.5893158999999999</v>
      </c>
      <c r="E43" s="9">
        <v>3.7073914000000001</v>
      </c>
      <c r="F43" s="9">
        <v>3.8404699</v>
      </c>
      <c r="G43" s="9">
        <v>3.9807779999999999</v>
      </c>
      <c r="H43" s="9">
        <v>4.1223162999999996</v>
      </c>
      <c r="I43" s="9">
        <v>4.2603280000000003</v>
      </c>
      <c r="J43" s="9">
        <v>4.3916575</v>
      </c>
      <c r="K43" s="9">
        <v>4.5145350000000004</v>
      </c>
      <c r="L43" s="9">
        <v>4.6281170999999999</v>
      </c>
      <c r="M43" s="9">
        <v>4.7320972000000001</v>
      </c>
      <c r="N43" s="9">
        <v>4.8264139000000004</v>
      </c>
      <c r="O43" s="9">
        <v>4.9110877000000004</v>
      </c>
      <c r="P43" s="9">
        <v>4.9862076999999996</v>
      </c>
      <c r="Q43" s="9">
        <v>5.0520094999999996</v>
      </c>
      <c r="R43" s="9">
        <v>5.1089023999999998</v>
      </c>
      <c r="S43" s="9">
        <v>5.1574523000000001</v>
      </c>
      <c r="T43" s="9">
        <v>5.1983902000000004</v>
      </c>
      <c r="U43" s="9">
        <v>5.2325675</v>
      </c>
      <c r="V43" s="9">
        <v>5.2608477000000002</v>
      </c>
      <c r="W43" s="9">
        <v>5.2840160000000003</v>
      </c>
      <c r="X43" s="9">
        <v>5.3027302000000001</v>
      </c>
      <c r="Y43" s="9">
        <v>5.3174951999999998</v>
      </c>
      <c r="Z43" s="9">
        <v>5.3286655999999999</v>
      </c>
      <c r="AA43" s="9">
        <v>5.3364549999999999</v>
      </c>
      <c r="AB43" s="9">
        <v>5.3409617000000003</v>
      </c>
      <c r="AC43" s="9">
        <v>5.3422086999999996</v>
      </c>
      <c r="AD43" s="9">
        <v>5.3401841000000001</v>
      </c>
      <c r="AE43" s="9">
        <v>5.3348680000000002</v>
      </c>
    </row>
    <row r="44" spans="1:31" x14ac:dyDescent="0.35">
      <c r="A44" t="s">
        <v>91</v>
      </c>
      <c r="B44" s="9">
        <v>3.4645294</v>
      </c>
      <c r="C44" s="9">
        <v>3.4940440000000001</v>
      </c>
      <c r="D44" s="9">
        <v>3.5792554999999999</v>
      </c>
      <c r="E44" s="9">
        <v>3.6954031000000001</v>
      </c>
      <c r="F44" s="9">
        <v>3.8262003999999998</v>
      </c>
      <c r="G44" s="9">
        <v>3.9639445000000002</v>
      </c>
      <c r="H44" s="9">
        <v>4.1029245000000003</v>
      </c>
      <c r="I44" s="9">
        <v>4.2386185999999997</v>
      </c>
      <c r="J44" s="9">
        <v>4.3679857000000002</v>
      </c>
      <c r="K44" s="9">
        <v>4.4892861999999996</v>
      </c>
      <c r="L44" s="9">
        <v>4.6016564000000004</v>
      </c>
      <c r="M44" s="9">
        <v>4.7047425</v>
      </c>
      <c r="N44" s="9">
        <v>4.7984258999999998</v>
      </c>
      <c r="O44" s="9">
        <v>4.8826695999999998</v>
      </c>
      <c r="P44" s="9">
        <v>4.9575101000000004</v>
      </c>
      <c r="Q44" s="9">
        <v>5.0231377999999998</v>
      </c>
      <c r="R44" s="9">
        <v>5.0799253999999996</v>
      </c>
      <c r="S44" s="9">
        <v>5.1284127000000002</v>
      </c>
      <c r="T44" s="9">
        <v>5.1693138000000003</v>
      </c>
      <c r="U44" s="9">
        <v>5.2034710000000004</v>
      </c>
      <c r="V44" s="9">
        <v>5.2317435000000003</v>
      </c>
      <c r="W44" s="9">
        <v>5.2549153000000004</v>
      </c>
      <c r="X44" s="9">
        <v>5.2736435000000004</v>
      </c>
      <c r="Y44" s="9">
        <v>5.2884333000000003</v>
      </c>
      <c r="Z44" s="9">
        <v>5.2996387</v>
      </c>
      <c r="AA44" s="9">
        <v>5.3074726999999999</v>
      </c>
      <c r="AB44" s="9">
        <v>5.3120319</v>
      </c>
      <c r="AC44" s="9">
        <v>5.3133366999999998</v>
      </c>
      <c r="AD44" s="9">
        <v>5.3113714999999999</v>
      </c>
      <c r="AE44" s="9">
        <v>5.3061116999999998</v>
      </c>
    </row>
    <row r="45" spans="1:31" x14ac:dyDescent="0.35">
      <c r="A45" t="s">
        <v>92</v>
      </c>
      <c r="B45" s="9">
        <v>3.4632358000000001</v>
      </c>
      <c r="C45" s="9">
        <v>3.4965221999999998</v>
      </c>
      <c r="D45" s="9">
        <v>3.5827586</v>
      </c>
      <c r="E45" s="9">
        <v>3.6989154000000002</v>
      </c>
      <c r="F45" s="9">
        <v>3.8293064999999999</v>
      </c>
      <c r="G45" s="9">
        <v>3.9665029000000001</v>
      </c>
      <c r="H45" s="9">
        <v>4.1048916999999996</v>
      </c>
      <c r="I45" s="9">
        <v>4.2399483</v>
      </c>
      <c r="J45" s="9">
        <v>4.3686021999999998</v>
      </c>
      <c r="K45" s="9">
        <v>4.4891078000000002</v>
      </c>
      <c r="L45" s="9">
        <v>4.6006314000000001</v>
      </c>
      <c r="M45" s="9">
        <v>4.7028730999999997</v>
      </c>
      <c r="N45" s="9">
        <v>4.7957697000000001</v>
      </c>
      <c r="O45" s="9">
        <v>4.8793221999999998</v>
      </c>
      <c r="P45" s="9">
        <v>4.9535824000000002</v>
      </c>
      <c r="Q45" s="9">
        <v>5.0187362000000002</v>
      </c>
      <c r="R45" s="9">
        <v>5.0751397000000003</v>
      </c>
      <c r="S45" s="9">
        <v>5.1233116000000001</v>
      </c>
      <c r="T45" s="9">
        <v>5.1639470000000003</v>
      </c>
      <c r="U45" s="9">
        <v>5.1978733999999998</v>
      </c>
      <c r="V45" s="9">
        <v>5.2259406000000004</v>
      </c>
      <c r="W45" s="9">
        <v>5.2489265999999999</v>
      </c>
      <c r="X45" s="9">
        <v>5.2674856999999999</v>
      </c>
      <c r="Y45" s="9">
        <v>5.2821220000000002</v>
      </c>
      <c r="Z45" s="9">
        <v>5.2931891000000002</v>
      </c>
      <c r="AA45" s="9">
        <v>5.3009000000000004</v>
      </c>
      <c r="AB45" s="9">
        <v>5.3053515000000004</v>
      </c>
      <c r="AC45" s="9">
        <v>5.3065644000000001</v>
      </c>
      <c r="AD45" s="9">
        <v>5.3045235000000002</v>
      </c>
      <c r="AE45" s="9">
        <v>5.2992039000000002</v>
      </c>
    </row>
    <row r="46" spans="1:31" x14ac:dyDescent="0.35">
      <c r="A46" t="s">
        <v>93</v>
      </c>
      <c r="B46" s="9">
        <v>3.4539247999999998</v>
      </c>
      <c r="C46" s="9">
        <v>3.4841850000000001</v>
      </c>
      <c r="D46" s="9">
        <v>3.5700875999999999</v>
      </c>
      <c r="E46" s="9">
        <v>3.6877534000000001</v>
      </c>
      <c r="F46" s="9">
        <v>3.8204056999999998</v>
      </c>
      <c r="G46" s="9">
        <v>3.9599156</v>
      </c>
      <c r="H46" s="9">
        <v>4.1003233000000003</v>
      </c>
      <c r="I46" s="9">
        <v>4.2370150999999998</v>
      </c>
      <c r="J46" s="9">
        <v>4.3669697999999997</v>
      </c>
      <c r="K46" s="9">
        <v>4.4885381000000004</v>
      </c>
      <c r="L46" s="9">
        <v>4.6009739999999999</v>
      </c>
      <c r="M46" s="9">
        <v>4.7040411000000004</v>
      </c>
      <c r="N46" s="9">
        <v>4.7977148999999999</v>
      </c>
      <c r="O46" s="9">
        <v>4.8820151000000003</v>
      </c>
      <c r="P46" s="9">
        <v>4.9569976000000002</v>
      </c>
      <c r="Q46" s="9">
        <v>5.0228457000000004</v>
      </c>
      <c r="R46" s="9">
        <v>5.0799098999999996</v>
      </c>
      <c r="S46" s="9">
        <v>5.1287045000000004</v>
      </c>
      <c r="T46" s="9">
        <v>5.1699216999999997</v>
      </c>
      <c r="U46" s="9">
        <v>5.2043875000000002</v>
      </c>
      <c r="V46" s="9">
        <v>5.2329492999999996</v>
      </c>
      <c r="W46" s="9">
        <v>5.2563829999999996</v>
      </c>
      <c r="X46" s="9">
        <v>5.2753411000000003</v>
      </c>
      <c r="Y46" s="9">
        <v>5.2903256000000001</v>
      </c>
      <c r="Z46" s="9">
        <v>5.3016889000000003</v>
      </c>
      <c r="AA46" s="9">
        <v>5.3096427000000004</v>
      </c>
      <c r="AB46" s="9">
        <v>5.3142829999999996</v>
      </c>
      <c r="AC46" s="9">
        <v>5.3156308000000001</v>
      </c>
      <c r="AD46" s="9">
        <v>5.3136714999999999</v>
      </c>
      <c r="AE46" s="9">
        <v>5.3083815999999997</v>
      </c>
    </row>
    <row r="47" spans="1:31" x14ac:dyDescent="0.35">
      <c r="A47" t="s">
        <v>94</v>
      </c>
      <c r="B47" s="9">
        <v>3.4577135000000001</v>
      </c>
      <c r="C47" s="9">
        <v>3.4849193999999999</v>
      </c>
      <c r="D47" s="9">
        <v>3.5663423000000001</v>
      </c>
      <c r="E47" s="9">
        <v>3.6797979000000001</v>
      </c>
      <c r="F47" s="9">
        <v>3.8089707000000002</v>
      </c>
      <c r="G47" s="9">
        <v>3.9456859</v>
      </c>
      <c r="H47" s="9">
        <v>4.0838216999999997</v>
      </c>
      <c r="I47" s="9">
        <v>4.2186348000000002</v>
      </c>
      <c r="J47" s="9">
        <v>4.3470303000000001</v>
      </c>
      <c r="K47" s="9">
        <v>4.4673160999999997</v>
      </c>
      <c r="L47" s="9">
        <v>4.5787180999999997</v>
      </c>
      <c r="M47" s="9">
        <v>4.6809776000000003</v>
      </c>
      <c r="N47" s="9">
        <v>4.7740475</v>
      </c>
      <c r="O47" s="9">
        <v>4.8579223999999996</v>
      </c>
      <c r="P47" s="9">
        <v>4.932633</v>
      </c>
      <c r="Q47" s="9">
        <v>4.9983376000000002</v>
      </c>
      <c r="R47" s="9">
        <v>5.0553613999999998</v>
      </c>
      <c r="S47" s="9">
        <v>5.1041951000000001</v>
      </c>
      <c r="T47" s="9">
        <v>5.1455102999999998</v>
      </c>
      <c r="U47" s="9">
        <v>5.1801145000000002</v>
      </c>
      <c r="V47" s="9">
        <v>5.2088390000000002</v>
      </c>
      <c r="W47" s="9">
        <v>5.2324456000000001</v>
      </c>
      <c r="X47" s="9">
        <v>5.2515748000000002</v>
      </c>
      <c r="Y47" s="9">
        <v>5.2667194000000004</v>
      </c>
      <c r="Z47" s="9">
        <v>5.2782248000000003</v>
      </c>
      <c r="AA47" s="9">
        <v>5.2862989000000002</v>
      </c>
      <c r="AB47" s="9">
        <v>5.2910366</v>
      </c>
      <c r="AC47" s="9">
        <v>5.2924595999999999</v>
      </c>
      <c r="AD47" s="9">
        <v>5.2905553999999997</v>
      </c>
      <c r="AE47" s="9">
        <v>5.2853022999999997</v>
      </c>
    </row>
    <row r="48" spans="1:31" x14ac:dyDescent="0.35">
      <c r="A48" t="s">
        <v>95</v>
      </c>
      <c r="B48" s="9">
        <v>3.4469264000000002</v>
      </c>
      <c r="C48" s="9">
        <v>3.4680399</v>
      </c>
      <c r="D48" s="9">
        <v>3.5451117999999999</v>
      </c>
      <c r="E48" s="9">
        <v>3.6551300000000002</v>
      </c>
      <c r="F48" s="9">
        <v>3.7812801999999999</v>
      </c>
      <c r="G48" s="9">
        <v>3.9151693000000001</v>
      </c>
      <c r="H48" s="9">
        <v>4.0506922000000003</v>
      </c>
      <c r="I48" s="9">
        <v>4.1832126000000001</v>
      </c>
      <c r="J48" s="9">
        <v>4.3097384999999999</v>
      </c>
      <c r="K48" s="9">
        <v>4.4286301000000003</v>
      </c>
      <c r="L48" s="9">
        <v>4.5391028999999996</v>
      </c>
      <c r="M48" s="9">
        <v>4.6408408000000003</v>
      </c>
      <c r="N48" s="9">
        <v>4.7337138000000003</v>
      </c>
      <c r="O48" s="9">
        <v>4.8176261</v>
      </c>
      <c r="P48" s="9">
        <v>4.892525</v>
      </c>
      <c r="Q48" s="9">
        <v>4.9585011000000003</v>
      </c>
      <c r="R48" s="9">
        <v>5.0158288000000004</v>
      </c>
      <c r="S48" s="9">
        <v>5.0649639999999998</v>
      </c>
      <c r="T48" s="9">
        <v>5.1065564999999999</v>
      </c>
      <c r="U48" s="9">
        <v>5.1414029000000001</v>
      </c>
      <c r="V48" s="9">
        <v>5.1703305999999998</v>
      </c>
      <c r="W48" s="9">
        <v>5.1941027000000002</v>
      </c>
      <c r="X48" s="9">
        <v>5.2133643999999997</v>
      </c>
      <c r="Y48" s="9">
        <v>5.2286153000000004</v>
      </c>
      <c r="Z48" s="9">
        <v>5.240208</v>
      </c>
      <c r="AA48" s="9">
        <v>5.2483567999999998</v>
      </c>
      <c r="AB48" s="9">
        <v>5.2531618</v>
      </c>
      <c r="AC48" s="9">
        <v>5.2546488</v>
      </c>
      <c r="AD48" s="9">
        <v>5.2528082999999999</v>
      </c>
      <c r="AE48" s="9">
        <v>5.2476213999999999</v>
      </c>
    </row>
    <row r="49" spans="1:31" x14ac:dyDescent="0.35">
      <c r="A49" t="s">
        <v>96</v>
      </c>
      <c r="B49" s="9">
        <v>3.4646707999999999</v>
      </c>
      <c r="C49" s="9">
        <v>3.4802764000000002</v>
      </c>
      <c r="D49" s="9">
        <v>3.5523007999999998</v>
      </c>
      <c r="E49" s="9">
        <v>3.6587817</v>
      </c>
      <c r="F49" s="9">
        <v>3.7823674</v>
      </c>
      <c r="G49" s="9">
        <v>3.9143457000000001</v>
      </c>
      <c r="H49" s="9">
        <v>4.0484004000000002</v>
      </c>
      <c r="I49" s="9">
        <v>4.1797386000000003</v>
      </c>
      <c r="J49" s="9">
        <v>4.3052678000000002</v>
      </c>
      <c r="K49" s="9">
        <v>4.4233073999999997</v>
      </c>
      <c r="L49" s="9">
        <v>4.5330798999999997</v>
      </c>
      <c r="M49" s="9">
        <v>4.6342981999999999</v>
      </c>
      <c r="N49" s="9">
        <v>4.7268619999999997</v>
      </c>
      <c r="O49" s="9">
        <v>4.8106952999999999</v>
      </c>
      <c r="P49" s="9">
        <v>4.8857460000000001</v>
      </c>
      <c r="Q49" s="9">
        <v>4.952083</v>
      </c>
      <c r="R49" s="9">
        <v>5.0099383</v>
      </c>
      <c r="S49" s="9">
        <v>5.0597130999999997</v>
      </c>
      <c r="T49" s="9">
        <v>5.1019994000000004</v>
      </c>
      <c r="U49" s="9">
        <v>5.1375390999999997</v>
      </c>
      <c r="V49" s="9">
        <v>5.1671142000000003</v>
      </c>
      <c r="W49" s="9">
        <v>5.1914553999999997</v>
      </c>
      <c r="X49" s="9">
        <v>5.2111891999999997</v>
      </c>
      <c r="Y49" s="9">
        <v>5.2268094999999999</v>
      </c>
      <c r="Z49" s="9">
        <v>5.2386730000000004</v>
      </c>
      <c r="AA49" s="9">
        <v>5.2470052999999997</v>
      </c>
      <c r="AB49" s="9">
        <v>5.2519212</v>
      </c>
      <c r="AC49" s="9">
        <v>5.2534625999999998</v>
      </c>
      <c r="AD49" s="9">
        <v>5.2516350999999997</v>
      </c>
      <c r="AE49" s="9">
        <v>5.2464329000000003</v>
      </c>
    </row>
    <row r="50" spans="1:31" x14ac:dyDescent="0.35">
      <c r="A50" t="s">
        <v>97</v>
      </c>
      <c r="B50" s="9">
        <v>3.4677783</v>
      </c>
      <c r="C50" s="9">
        <v>3.4863974</v>
      </c>
      <c r="D50" s="9">
        <v>3.5614813000000001</v>
      </c>
      <c r="E50" s="9">
        <v>3.6680809999999999</v>
      </c>
      <c r="F50" s="9">
        <v>3.7906247999999998</v>
      </c>
      <c r="G50" s="9">
        <v>3.9214172</v>
      </c>
      <c r="H50" s="9">
        <v>4.0545663999999997</v>
      </c>
      <c r="I50" s="9">
        <v>4.1854044000000004</v>
      </c>
      <c r="J50" s="9">
        <v>4.3108282999999998</v>
      </c>
      <c r="K50" s="9">
        <v>4.4290978000000001</v>
      </c>
      <c r="L50" s="9">
        <v>4.5393705000000004</v>
      </c>
      <c r="M50" s="9">
        <v>4.6413019000000002</v>
      </c>
      <c r="N50" s="9">
        <v>4.7347422000000003</v>
      </c>
      <c r="O50" s="9">
        <v>4.8195721999999996</v>
      </c>
      <c r="P50" s="9">
        <v>4.8957006999999999</v>
      </c>
      <c r="Q50" s="9">
        <v>4.9631644000000001</v>
      </c>
      <c r="R50" s="9">
        <v>5.0221698000000004</v>
      </c>
      <c r="S50" s="9">
        <v>5.0730978000000002</v>
      </c>
      <c r="T50" s="9">
        <v>5.1165212000000002</v>
      </c>
      <c r="U50" s="9">
        <v>5.1531625999999999</v>
      </c>
      <c r="V50" s="9">
        <v>5.1837850000000003</v>
      </c>
      <c r="W50" s="9">
        <v>5.2091010999999998</v>
      </c>
      <c r="X50" s="9">
        <v>5.2297225000000003</v>
      </c>
      <c r="Y50" s="9">
        <v>5.2461319</v>
      </c>
      <c r="Z50" s="9">
        <v>5.25868</v>
      </c>
      <c r="AA50" s="9">
        <v>5.2675913999999997</v>
      </c>
      <c r="AB50" s="9">
        <v>5.2729849</v>
      </c>
      <c r="AC50" s="9">
        <v>5.2749096</v>
      </c>
      <c r="AD50" s="9">
        <v>5.2733803000000004</v>
      </c>
      <c r="AE50" s="9">
        <v>5.2684005999999997</v>
      </c>
    </row>
    <row r="51" spans="1:31" x14ac:dyDescent="0.35">
      <c r="A51" t="s">
        <v>98</v>
      </c>
      <c r="B51" s="9">
        <v>3.4494259999999999</v>
      </c>
      <c r="C51" s="9">
        <v>3.4577331999999998</v>
      </c>
      <c r="D51" s="9">
        <v>3.5295755999999998</v>
      </c>
      <c r="E51" s="9">
        <v>3.6358647999999998</v>
      </c>
      <c r="F51" s="9">
        <v>3.7588645000000001</v>
      </c>
      <c r="G51" s="9">
        <v>3.8899623999999999</v>
      </c>
      <c r="H51" s="9">
        <v>4.0230328000000002</v>
      </c>
      <c r="I51" s="9">
        <v>4.1534719999999998</v>
      </c>
      <c r="J51" s="9">
        <v>4.2782850000000003</v>
      </c>
      <c r="K51" s="9">
        <v>4.3958016000000004</v>
      </c>
      <c r="L51" s="9">
        <v>4.5052116</v>
      </c>
      <c r="M51" s="9">
        <v>4.6061845999999997</v>
      </c>
      <c r="N51" s="9">
        <v>4.6985849999999996</v>
      </c>
      <c r="O51" s="9">
        <v>4.7823167</v>
      </c>
      <c r="P51" s="9">
        <v>4.8573174999999997</v>
      </c>
      <c r="Q51" s="9">
        <v>4.9236548999999998</v>
      </c>
      <c r="R51" s="9">
        <v>4.9815646999999998</v>
      </c>
      <c r="S51" s="9">
        <v>5.0314541999999998</v>
      </c>
      <c r="T51" s="9">
        <v>5.0739191999999997</v>
      </c>
      <c r="U51" s="9">
        <v>5.1097014999999999</v>
      </c>
      <c r="V51" s="9">
        <v>5.1395790999999997</v>
      </c>
      <c r="W51" s="9">
        <v>5.1642751999999996</v>
      </c>
      <c r="X51" s="9">
        <v>5.1844066</v>
      </c>
      <c r="Y51" s="9">
        <v>5.2004555000000003</v>
      </c>
      <c r="Z51" s="9">
        <v>5.2127672</v>
      </c>
      <c r="AA51" s="9">
        <v>5.2215568000000001</v>
      </c>
      <c r="AB51" s="9">
        <v>5.2269310999999998</v>
      </c>
      <c r="AC51" s="9">
        <v>5.2289259000000001</v>
      </c>
      <c r="AD51" s="9">
        <v>5.2275435000000003</v>
      </c>
      <c r="AE51" s="9">
        <v>5.2227759999999996</v>
      </c>
    </row>
    <row r="52" spans="1:31" x14ac:dyDescent="0.35">
      <c r="A52" t="s">
        <v>99</v>
      </c>
      <c r="B52" s="9">
        <v>3.4216359999999999</v>
      </c>
      <c r="C52" s="9">
        <v>3.4236887999999999</v>
      </c>
      <c r="D52" s="9">
        <v>3.4920874999999998</v>
      </c>
      <c r="E52" s="9">
        <v>3.5963880000000001</v>
      </c>
      <c r="F52" s="9">
        <v>3.7180677000000002</v>
      </c>
      <c r="G52" s="9">
        <v>3.8481979000000002</v>
      </c>
      <c r="H52" s="9">
        <v>3.9805372000000001</v>
      </c>
      <c r="I52" s="9">
        <v>4.1104114000000003</v>
      </c>
      <c r="J52" s="9">
        <v>4.2347723000000004</v>
      </c>
      <c r="K52" s="9">
        <v>4.3519306000000002</v>
      </c>
      <c r="L52" s="9">
        <v>4.4610789000000004</v>
      </c>
      <c r="M52" s="9">
        <v>4.5618844000000003</v>
      </c>
      <c r="N52" s="9">
        <v>4.6541997000000004</v>
      </c>
      <c r="O52" s="9">
        <v>4.7379102</v>
      </c>
      <c r="P52" s="9">
        <v>4.8129308000000002</v>
      </c>
      <c r="Q52" s="9">
        <v>4.8793059000000003</v>
      </c>
      <c r="R52" s="9">
        <v>4.9372502999999996</v>
      </c>
      <c r="S52" s="9">
        <v>4.9871565999999996</v>
      </c>
      <c r="T52" s="9">
        <v>5.0296156999999999</v>
      </c>
      <c r="U52" s="9">
        <v>5.0653721000000003</v>
      </c>
      <c r="V52" s="9">
        <v>5.0952111000000002</v>
      </c>
      <c r="W52" s="9">
        <v>5.1198648000000002</v>
      </c>
      <c r="X52" s="9">
        <v>5.1399584999999997</v>
      </c>
      <c r="Y52" s="9">
        <v>5.1559821000000001</v>
      </c>
      <c r="Z52" s="9">
        <v>5.1682872</v>
      </c>
      <c r="AA52" s="9">
        <v>5.1770940000000003</v>
      </c>
      <c r="AB52" s="9">
        <v>5.1825131999999998</v>
      </c>
      <c r="AC52" s="9">
        <v>5.1845847000000003</v>
      </c>
      <c r="AD52" s="9">
        <v>5.1833144000000004</v>
      </c>
      <c r="AE52" s="9">
        <v>5.1786989999999999</v>
      </c>
    </row>
    <row r="53" spans="1:31" x14ac:dyDescent="0.35">
      <c r="A53" t="s">
        <v>100</v>
      </c>
      <c r="B53" s="9">
        <v>3.5329831</v>
      </c>
      <c r="C53" s="9">
        <v>3.5280325000000001</v>
      </c>
      <c r="D53" s="9">
        <v>3.5839612999999999</v>
      </c>
      <c r="E53" s="9">
        <v>3.6782886000000001</v>
      </c>
      <c r="F53" s="9">
        <v>3.7927024</v>
      </c>
      <c r="G53" s="9">
        <v>3.9176788999999999</v>
      </c>
      <c r="H53" s="9">
        <v>4.0464215000000001</v>
      </c>
      <c r="I53" s="9">
        <v>4.1738200000000001</v>
      </c>
      <c r="J53" s="9">
        <v>4.2964856999999999</v>
      </c>
      <c r="K53" s="9">
        <v>4.4124650000000001</v>
      </c>
      <c r="L53" s="9">
        <v>4.5207546000000001</v>
      </c>
      <c r="M53" s="9">
        <v>4.6208837000000003</v>
      </c>
      <c r="N53" s="9">
        <v>4.7126144999999999</v>
      </c>
      <c r="O53" s="9">
        <v>4.7957840000000003</v>
      </c>
      <c r="P53" s="9">
        <v>4.8702904</v>
      </c>
      <c r="Q53" s="9">
        <v>4.9361820999999999</v>
      </c>
      <c r="R53" s="9">
        <v>4.9936902999999999</v>
      </c>
      <c r="S53" s="9">
        <v>5.0432246999999997</v>
      </c>
      <c r="T53" s="9">
        <v>5.0853875000000004</v>
      </c>
      <c r="U53" s="9">
        <v>5.1209255999999996</v>
      </c>
      <c r="V53" s="9">
        <v>5.1506198000000003</v>
      </c>
      <c r="W53" s="9">
        <v>5.175192</v>
      </c>
      <c r="X53" s="9">
        <v>5.1952533000000001</v>
      </c>
      <c r="Y53" s="9">
        <v>5.2112775999999998</v>
      </c>
      <c r="Z53" s="9">
        <v>5.2236003000000002</v>
      </c>
      <c r="AA53" s="9">
        <v>5.2324267000000004</v>
      </c>
      <c r="AB53" s="9">
        <v>5.2378558000000002</v>
      </c>
      <c r="AC53" s="9">
        <v>5.2399187999999999</v>
      </c>
      <c r="AD53" s="9">
        <v>5.2386169999999996</v>
      </c>
      <c r="AE53" s="9">
        <v>5.2339460000000004</v>
      </c>
    </row>
    <row r="54" spans="1:31" x14ac:dyDescent="0.35">
      <c r="A54" t="s">
        <v>101</v>
      </c>
      <c r="B54" s="9">
        <v>3.6423424999999998</v>
      </c>
      <c r="C54" s="9">
        <v>3.6619978</v>
      </c>
      <c r="D54" s="9">
        <v>3.7217316</v>
      </c>
      <c r="E54" s="9">
        <v>3.8152624999999998</v>
      </c>
      <c r="F54" s="9">
        <v>3.9291043000000001</v>
      </c>
      <c r="G54" s="9">
        <v>4.0546625000000001</v>
      </c>
      <c r="H54" s="9">
        <v>4.1848432999999998</v>
      </c>
      <c r="I54" s="9">
        <v>4.3139778</v>
      </c>
      <c r="J54" s="9">
        <v>4.4382171000000001</v>
      </c>
      <c r="K54" s="9">
        <v>4.5553293999999998</v>
      </c>
      <c r="L54" s="9">
        <v>4.6642079000000001</v>
      </c>
      <c r="M54" s="9">
        <v>4.7644061000000004</v>
      </c>
      <c r="N54" s="9">
        <v>4.8557848000000003</v>
      </c>
      <c r="O54" s="9">
        <v>4.9383081999999998</v>
      </c>
      <c r="P54" s="9">
        <v>5.0119975999999999</v>
      </c>
      <c r="Q54" s="9">
        <v>5.0769963000000002</v>
      </c>
      <c r="R54" s="9">
        <v>5.1335991999999999</v>
      </c>
      <c r="S54" s="9">
        <v>5.1822562999999997</v>
      </c>
      <c r="T54" s="9">
        <v>5.2235956000000003</v>
      </c>
      <c r="U54" s="9">
        <v>5.2583788</v>
      </c>
      <c r="V54" s="9">
        <v>5.2873935000000003</v>
      </c>
      <c r="W54" s="9">
        <v>5.3113619999999999</v>
      </c>
      <c r="X54" s="9">
        <v>5.3308907999999997</v>
      </c>
      <c r="Y54" s="9">
        <v>5.3464457000000003</v>
      </c>
      <c r="Z54" s="9">
        <v>5.3583512000000004</v>
      </c>
      <c r="AA54" s="9">
        <v>5.3667993000000003</v>
      </c>
      <c r="AB54" s="9">
        <v>5.3718744000000003</v>
      </c>
      <c r="AC54" s="9">
        <v>5.3735926999999997</v>
      </c>
      <c r="AD54" s="9">
        <v>5.3719410999999999</v>
      </c>
      <c r="AE54" s="9">
        <v>5.3669028000000001</v>
      </c>
    </row>
    <row r="55" spans="1:31" x14ac:dyDescent="0.35">
      <c r="A55" t="s">
        <v>102</v>
      </c>
      <c r="B55" s="9">
        <v>3.5795756000000001</v>
      </c>
      <c r="C55" s="9">
        <v>3.5960401000000002</v>
      </c>
      <c r="D55" s="9">
        <v>3.6546428999999998</v>
      </c>
      <c r="E55" s="9">
        <v>3.7473144999999999</v>
      </c>
      <c r="F55" s="9">
        <v>3.8603990000000001</v>
      </c>
      <c r="G55" s="9">
        <v>3.9853448</v>
      </c>
      <c r="H55" s="9">
        <v>4.1151502000000004</v>
      </c>
      <c r="I55" s="9">
        <v>4.2442263000000002</v>
      </c>
      <c r="J55" s="9">
        <v>4.3687526999999999</v>
      </c>
      <c r="K55" s="9">
        <v>4.4864670000000002</v>
      </c>
      <c r="L55" s="9">
        <v>4.5961897</v>
      </c>
      <c r="M55" s="9">
        <v>4.6973776999999997</v>
      </c>
      <c r="N55" s="9">
        <v>4.7897891000000001</v>
      </c>
      <c r="O55" s="9">
        <v>4.8732971999999997</v>
      </c>
      <c r="P55" s="9">
        <v>4.9478597999999998</v>
      </c>
      <c r="Q55" s="9">
        <v>5.0135924000000003</v>
      </c>
      <c r="R55" s="9">
        <v>5.0707896999999997</v>
      </c>
      <c r="S55" s="9">
        <v>5.1199170000000001</v>
      </c>
      <c r="T55" s="9">
        <v>5.1616232999999996</v>
      </c>
      <c r="U55" s="9">
        <v>5.1966916999999997</v>
      </c>
      <c r="V55" s="9">
        <v>5.2259292000000004</v>
      </c>
      <c r="W55" s="9">
        <v>5.2500742999999996</v>
      </c>
      <c r="X55" s="9">
        <v>5.2697466999999998</v>
      </c>
      <c r="Y55" s="9">
        <v>5.2854219999999996</v>
      </c>
      <c r="Z55" s="9">
        <v>5.2974313000000004</v>
      </c>
      <c r="AA55" s="9">
        <v>5.3059710999999998</v>
      </c>
      <c r="AB55" s="9">
        <v>5.3111275999999998</v>
      </c>
      <c r="AC55" s="9">
        <v>5.3129179000000004</v>
      </c>
      <c r="AD55" s="9">
        <v>5.3113294</v>
      </c>
      <c r="AE55" s="9">
        <v>5.3063459999999996</v>
      </c>
    </row>
    <row r="56" spans="1:31" x14ac:dyDescent="0.35">
      <c r="A56" t="s">
        <v>103</v>
      </c>
      <c r="B56" s="9">
        <v>3.6565929000000001</v>
      </c>
      <c r="C56" s="9">
        <v>3.6842866999999999</v>
      </c>
      <c r="D56" s="9">
        <v>3.7464897000000001</v>
      </c>
      <c r="E56" s="9">
        <v>3.8400763000000002</v>
      </c>
      <c r="F56" s="9">
        <v>3.9531217000000001</v>
      </c>
      <c r="G56" s="9">
        <v>4.0776833999999997</v>
      </c>
      <c r="H56" s="9">
        <v>4.2069628999999997</v>
      </c>
      <c r="I56" s="9">
        <v>4.3354318000000003</v>
      </c>
      <c r="J56" s="9">
        <v>4.4592773000000001</v>
      </c>
      <c r="K56" s="9">
        <v>4.5762119999999999</v>
      </c>
      <c r="L56" s="9">
        <v>4.6850269000000004</v>
      </c>
      <c r="M56" s="9">
        <v>4.7851670000000004</v>
      </c>
      <c r="N56" s="9">
        <v>4.8764004999999999</v>
      </c>
      <c r="O56" s="9">
        <v>4.9586332000000004</v>
      </c>
      <c r="P56" s="9">
        <v>5.0318776999999999</v>
      </c>
      <c r="Q56" s="9">
        <v>5.0963168000000003</v>
      </c>
      <c r="R56" s="9">
        <v>5.1523107000000001</v>
      </c>
      <c r="S56" s="9">
        <v>5.2003748999999999</v>
      </c>
      <c r="T56" s="9">
        <v>5.2411865000000004</v>
      </c>
      <c r="U56" s="9">
        <v>5.2755349000000002</v>
      </c>
      <c r="V56" s="9">
        <v>5.3042173999999997</v>
      </c>
      <c r="W56" s="9">
        <v>5.3279538000000004</v>
      </c>
      <c r="X56" s="9">
        <v>5.3473401999999997</v>
      </c>
      <c r="Y56" s="9">
        <v>5.3628277000000004</v>
      </c>
      <c r="Z56" s="9">
        <v>5.3747239999999996</v>
      </c>
      <c r="AA56" s="9">
        <v>5.3832046</v>
      </c>
      <c r="AB56" s="9">
        <v>5.3883387000000003</v>
      </c>
      <c r="AC56" s="9">
        <v>5.3901291999999996</v>
      </c>
      <c r="AD56" s="9">
        <v>5.3885519000000004</v>
      </c>
      <c r="AE56" s="9">
        <v>5.3835813000000003</v>
      </c>
    </row>
    <row r="57" spans="1:31" x14ac:dyDescent="0.35">
      <c r="A57" t="s">
        <v>104</v>
      </c>
      <c r="B57" s="9">
        <v>3.7133234000000002</v>
      </c>
      <c r="C57" s="9">
        <v>3.7821340999999999</v>
      </c>
      <c r="D57" s="9">
        <v>3.8664470999999998</v>
      </c>
      <c r="E57" s="9">
        <v>3.9705444000000001</v>
      </c>
      <c r="F57" s="9">
        <v>4.0881249999999998</v>
      </c>
      <c r="G57" s="9">
        <v>4.2138812000000003</v>
      </c>
      <c r="H57" s="9">
        <v>4.3422830000000001</v>
      </c>
      <c r="I57" s="9">
        <v>4.4685876999999996</v>
      </c>
      <c r="J57" s="9">
        <v>4.5895763000000001</v>
      </c>
      <c r="K57" s="9">
        <v>4.7034094</v>
      </c>
      <c r="L57" s="9">
        <v>4.8091853000000002</v>
      </c>
      <c r="M57" s="9">
        <v>4.9065285999999997</v>
      </c>
      <c r="N57" s="9">
        <v>4.9952975000000004</v>
      </c>
      <c r="O57" s="9">
        <v>5.0754270000000004</v>
      </c>
      <c r="P57" s="9">
        <v>5.1469201</v>
      </c>
      <c r="Q57" s="9">
        <v>5.2099238000000003</v>
      </c>
      <c r="R57" s="9">
        <v>5.2647500999999997</v>
      </c>
      <c r="S57" s="9">
        <v>5.3118623999999999</v>
      </c>
      <c r="T57" s="9">
        <v>5.3518882000000003</v>
      </c>
      <c r="U57" s="9">
        <v>5.3855722999999998</v>
      </c>
      <c r="V57" s="9">
        <v>5.4136743000000003</v>
      </c>
      <c r="W57" s="9">
        <v>5.4368832999999999</v>
      </c>
      <c r="X57" s="9">
        <v>5.4557713999999997</v>
      </c>
      <c r="Y57" s="9">
        <v>5.4707711999999997</v>
      </c>
      <c r="Z57" s="9">
        <v>5.4821761999999996</v>
      </c>
      <c r="AA57" s="9">
        <v>5.4901505999999998</v>
      </c>
      <c r="AB57" s="9">
        <v>5.4947543000000003</v>
      </c>
      <c r="AC57" s="9">
        <v>5.4959816999999997</v>
      </c>
      <c r="AD57" s="9">
        <v>5.4938009000000001</v>
      </c>
      <c r="AE57" s="9">
        <v>5.4881789999999997</v>
      </c>
    </row>
    <row r="58" spans="1:31" x14ac:dyDescent="0.35">
      <c r="A58" t="s">
        <v>105</v>
      </c>
      <c r="B58" s="9">
        <v>3.7793781000000002</v>
      </c>
      <c r="C58" s="9">
        <v>3.8494144000000001</v>
      </c>
      <c r="D58" s="9">
        <v>3.9145568000000002</v>
      </c>
      <c r="E58" s="9">
        <v>3.9984677</v>
      </c>
      <c r="F58" s="9">
        <v>4.0984834000000001</v>
      </c>
      <c r="G58" s="9">
        <v>4.2099159000000004</v>
      </c>
      <c r="H58" s="9">
        <v>4.3269447000000003</v>
      </c>
      <c r="I58" s="9">
        <v>4.4443358999999996</v>
      </c>
      <c r="J58" s="9">
        <v>4.5583676999999998</v>
      </c>
      <c r="K58" s="9">
        <v>4.6667535000000004</v>
      </c>
      <c r="L58" s="9">
        <v>4.7682333999999997</v>
      </c>
      <c r="M58" s="9">
        <v>4.8621531999999998</v>
      </c>
      <c r="N58" s="9">
        <v>4.9481561000000003</v>
      </c>
      <c r="O58" s="9">
        <v>5.0260189999999998</v>
      </c>
      <c r="P58" s="9">
        <v>5.0956340999999998</v>
      </c>
      <c r="Q58" s="9">
        <v>5.1570736999999998</v>
      </c>
      <c r="R58" s="9">
        <v>5.2105980000000001</v>
      </c>
      <c r="S58" s="9">
        <v>5.2566297000000004</v>
      </c>
      <c r="T58" s="9">
        <v>5.2957574999999997</v>
      </c>
      <c r="U58" s="9">
        <v>5.3286876000000003</v>
      </c>
      <c r="V58" s="9">
        <v>5.3561440999999999</v>
      </c>
      <c r="W58" s="9">
        <v>5.3787864000000001</v>
      </c>
      <c r="X58" s="9">
        <v>5.3971643</v>
      </c>
      <c r="Y58" s="9">
        <v>5.4116954000000002</v>
      </c>
      <c r="Z58" s="9">
        <v>5.4226650999999997</v>
      </c>
      <c r="AA58" s="9">
        <v>5.4302352999999997</v>
      </c>
      <c r="AB58" s="9">
        <v>5.4344668</v>
      </c>
      <c r="AC58" s="9">
        <v>5.4353562000000002</v>
      </c>
      <c r="AD58" s="9">
        <v>5.4328728999999996</v>
      </c>
      <c r="AE58" s="9">
        <v>5.4269837000000001</v>
      </c>
    </row>
    <row r="59" spans="1:31" x14ac:dyDescent="0.35">
      <c r="A59" t="s">
        <v>106</v>
      </c>
      <c r="B59" s="9">
        <v>3.7053682000000001</v>
      </c>
      <c r="C59" s="9">
        <v>3.7496189000000002</v>
      </c>
      <c r="D59" s="9">
        <v>3.8109570000000001</v>
      </c>
      <c r="E59" s="9">
        <v>3.8999793999999999</v>
      </c>
      <c r="F59" s="9">
        <v>4.0070117999999999</v>
      </c>
      <c r="G59" s="9">
        <v>4.1248468999999996</v>
      </c>
      <c r="H59" s="9">
        <v>4.2470333</v>
      </c>
      <c r="I59" s="9">
        <v>4.3684387999999998</v>
      </c>
      <c r="J59" s="9">
        <v>4.4856363000000004</v>
      </c>
      <c r="K59" s="9">
        <v>4.5966165999999999</v>
      </c>
      <c r="L59" s="9">
        <v>4.7003215999999997</v>
      </c>
      <c r="M59" s="9">
        <v>4.7962347000000003</v>
      </c>
      <c r="N59" s="9">
        <v>4.8840867000000001</v>
      </c>
      <c r="O59" s="9">
        <v>4.9636987000000001</v>
      </c>
      <c r="P59" s="9">
        <v>5.0349732999999999</v>
      </c>
      <c r="Q59" s="9">
        <v>5.0979701000000004</v>
      </c>
      <c r="R59" s="9">
        <v>5.1529274999999997</v>
      </c>
      <c r="S59" s="9">
        <v>5.2002508000000001</v>
      </c>
      <c r="T59" s="9">
        <v>5.2405223999999997</v>
      </c>
      <c r="U59" s="9">
        <v>5.2744543999999998</v>
      </c>
      <c r="V59" s="9">
        <v>5.3027832999999998</v>
      </c>
      <c r="W59" s="9">
        <v>5.3261846999999998</v>
      </c>
      <c r="X59" s="9">
        <v>5.3452251000000004</v>
      </c>
      <c r="Y59" s="9">
        <v>5.3603382999999996</v>
      </c>
      <c r="Z59" s="9">
        <v>5.3718244999999998</v>
      </c>
      <c r="AA59" s="9">
        <v>5.3798586000000004</v>
      </c>
      <c r="AB59" s="9">
        <v>5.3845133000000001</v>
      </c>
      <c r="AC59" s="9">
        <v>5.3857968999999999</v>
      </c>
      <c r="AD59" s="9">
        <v>5.3836906000000004</v>
      </c>
      <c r="AE59" s="9">
        <v>5.3781732</v>
      </c>
    </row>
    <row r="60" spans="1:31" x14ac:dyDescent="0.35">
      <c r="A60" t="s">
        <v>107</v>
      </c>
      <c r="B60" s="9">
        <v>3.8423395999999999</v>
      </c>
      <c r="C60" s="9">
        <v>3.9017943000000002</v>
      </c>
      <c r="D60" s="9">
        <v>3.9667905000000001</v>
      </c>
      <c r="E60" s="9">
        <v>4.0543953999999998</v>
      </c>
      <c r="F60" s="9">
        <v>4.1579924999999998</v>
      </c>
      <c r="G60" s="9">
        <v>4.2719107999999997</v>
      </c>
      <c r="H60" s="9">
        <v>4.3905459000000002</v>
      </c>
      <c r="I60" s="9">
        <v>4.5091650000000003</v>
      </c>
      <c r="J60" s="9">
        <v>4.6244068</v>
      </c>
      <c r="K60" s="9">
        <v>4.7341338000000004</v>
      </c>
      <c r="L60" s="9">
        <v>4.8370740999999997</v>
      </c>
      <c r="M60" s="9">
        <v>4.9324915000000003</v>
      </c>
      <c r="N60" s="9">
        <v>5.0199315000000002</v>
      </c>
      <c r="O60" s="9">
        <v>5.0990865000000003</v>
      </c>
      <c r="P60" s="9">
        <v>5.1697899999999999</v>
      </c>
      <c r="Q60" s="9">
        <v>5.2320795999999996</v>
      </c>
      <c r="R60" s="9">
        <v>5.2862024999999999</v>
      </c>
      <c r="S60" s="9">
        <v>5.3325870999999996</v>
      </c>
      <c r="T60" s="9">
        <v>5.3718423</v>
      </c>
      <c r="U60" s="9">
        <v>5.4047045000000002</v>
      </c>
      <c r="V60" s="9">
        <v>5.4319310999999999</v>
      </c>
      <c r="W60" s="9">
        <v>5.4542146000000002</v>
      </c>
      <c r="X60" s="9">
        <v>5.4721348000000001</v>
      </c>
      <c r="Y60" s="9">
        <v>5.4861354000000002</v>
      </c>
      <c r="Z60" s="9">
        <v>5.4965248000000004</v>
      </c>
      <c r="AA60" s="9">
        <v>5.5034852000000001</v>
      </c>
      <c r="AB60" s="9">
        <v>5.5070959999999998</v>
      </c>
      <c r="AC60" s="9">
        <v>5.5073717999999996</v>
      </c>
      <c r="AD60" s="9">
        <v>5.5042999000000004</v>
      </c>
      <c r="AE60" s="9">
        <v>5.4978645999999998</v>
      </c>
    </row>
    <row r="61" spans="1:31" x14ac:dyDescent="0.35">
      <c r="A61" t="s">
        <v>108</v>
      </c>
      <c r="B61" s="9">
        <v>3.8918100999999998</v>
      </c>
      <c r="C61" s="9">
        <v>3.9679262999999998</v>
      </c>
      <c r="D61" s="9">
        <v>4.0367891</v>
      </c>
      <c r="E61" s="9">
        <v>4.1261342000000001</v>
      </c>
      <c r="F61" s="9">
        <v>4.2312646999999997</v>
      </c>
      <c r="G61" s="9">
        <v>4.3468670999999999</v>
      </c>
      <c r="H61" s="9">
        <v>4.4673045</v>
      </c>
      <c r="I61" s="9">
        <v>4.5877470999999996</v>
      </c>
      <c r="J61" s="9">
        <v>4.7047774999999996</v>
      </c>
      <c r="K61" s="9">
        <v>4.8162338</v>
      </c>
      <c r="L61" s="9">
        <v>4.9208258000000002</v>
      </c>
      <c r="M61" s="9">
        <v>5.0177996</v>
      </c>
      <c r="N61" s="9">
        <v>5.1066865000000004</v>
      </c>
      <c r="O61" s="9">
        <v>5.1871707000000002</v>
      </c>
      <c r="P61" s="9">
        <v>5.2590826000000002</v>
      </c>
      <c r="Q61" s="9">
        <v>5.3224610999999999</v>
      </c>
      <c r="R61" s="9">
        <v>5.3775547000000001</v>
      </c>
      <c r="S61" s="9">
        <v>5.4247936000000001</v>
      </c>
      <c r="T61" s="9">
        <v>5.4647883000000004</v>
      </c>
      <c r="U61" s="9">
        <v>5.4982765999999996</v>
      </c>
      <c r="V61" s="9">
        <v>5.5260188000000001</v>
      </c>
      <c r="W61" s="9">
        <v>5.5487130999999996</v>
      </c>
      <c r="X61" s="9">
        <v>5.5669468000000002</v>
      </c>
      <c r="Y61" s="9">
        <v>5.5811717999999999</v>
      </c>
      <c r="Z61" s="9">
        <v>5.5917044000000002</v>
      </c>
      <c r="AA61" s="9">
        <v>5.5987337000000004</v>
      </c>
      <c r="AB61" s="9">
        <v>5.6023459000000004</v>
      </c>
      <c r="AC61" s="9">
        <v>5.6025613999999999</v>
      </c>
      <c r="AD61" s="9">
        <v>5.5993718000000001</v>
      </c>
      <c r="AE61" s="9">
        <v>5.592765</v>
      </c>
    </row>
    <row r="62" spans="1:31" x14ac:dyDescent="0.35">
      <c r="A62" t="s">
        <v>109</v>
      </c>
      <c r="B62" s="9">
        <v>3.9075495</v>
      </c>
      <c r="C62" s="9">
        <v>3.9911724999999998</v>
      </c>
      <c r="D62" s="9">
        <v>4.0636218</v>
      </c>
      <c r="E62" s="9">
        <v>4.1556832000000004</v>
      </c>
      <c r="F62" s="9">
        <v>4.2632583999999998</v>
      </c>
      <c r="G62" s="9">
        <v>4.3810587999999999</v>
      </c>
      <c r="H62" s="9">
        <v>4.5032712000000004</v>
      </c>
      <c r="I62" s="9">
        <v>4.6249509</v>
      </c>
      <c r="J62" s="9">
        <v>4.7426950999999997</v>
      </c>
      <c r="K62" s="9">
        <v>4.8544432000000004</v>
      </c>
      <c r="L62" s="9">
        <v>4.9590296</v>
      </c>
      <c r="M62" s="9">
        <v>5.0558109</v>
      </c>
      <c r="N62" s="9">
        <v>5.1444019000000001</v>
      </c>
      <c r="O62" s="9">
        <v>5.2245398999999999</v>
      </c>
      <c r="P62" s="9">
        <v>5.2960836999999996</v>
      </c>
      <c r="Q62" s="9">
        <v>5.3590831000000003</v>
      </c>
      <c r="R62" s="9">
        <v>5.4137877999999997</v>
      </c>
      <c r="S62" s="9">
        <v>5.4606246000000001</v>
      </c>
      <c r="T62" s="9">
        <v>5.5001993000000002</v>
      </c>
      <c r="U62" s="9">
        <v>5.5332451000000002</v>
      </c>
      <c r="V62" s="9">
        <v>5.5605183</v>
      </c>
      <c r="W62" s="9">
        <v>5.5827152</v>
      </c>
      <c r="X62" s="9">
        <v>5.6004231000000004</v>
      </c>
      <c r="Y62" s="9">
        <v>5.6140958999999997</v>
      </c>
      <c r="Z62" s="9">
        <v>5.6240519000000004</v>
      </c>
      <c r="AA62" s="9">
        <v>5.6304829999999999</v>
      </c>
      <c r="AB62" s="9">
        <v>5.6334783000000002</v>
      </c>
      <c r="AC62" s="9">
        <v>5.6330613999999999</v>
      </c>
      <c r="AD62" s="9">
        <v>5.6292270000000002</v>
      </c>
      <c r="AE62" s="9">
        <v>5.6219662000000001</v>
      </c>
    </row>
    <row r="63" spans="1:31" x14ac:dyDescent="0.35">
      <c r="A63" t="s">
        <v>110</v>
      </c>
      <c r="B63" s="9">
        <v>3.8901379999999999</v>
      </c>
      <c r="C63" s="9">
        <v>3.9620175999999998</v>
      </c>
      <c r="D63" s="9">
        <v>4.0265814999999998</v>
      </c>
      <c r="E63" s="9">
        <v>4.1124273000000002</v>
      </c>
      <c r="F63" s="9">
        <v>4.2149653999999996</v>
      </c>
      <c r="G63" s="9">
        <v>4.3287268000000001</v>
      </c>
      <c r="H63" s="9">
        <v>4.4478308999999996</v>
      </c>
      <c r="I63" s="9">
        <v>4.5672093</v>
      </c>
      <c r="J63" s="9">
        <v>4.6832998999999997</v>
      </c>
      <c r="K63" s="9">
        <v>4.7939024999999997</v>
      </c>
      <c r="L63" s="9">
        <v>4.8977504999999999</v>
      </c>
      <c r="M63" s="9">
        <v>4.9941260999999999</v>
      </c>
      <c r="N63" s="9">
        <v>5.0825826999999997</v>
      </c>
      <c r="O63" s="9">
        <v>5.1627995000000002</v>
      </c>
      <c r="P63" s="9">
        <v>5.2345765000000002</v>
      </c>
      <c r="Q63" s="9">
        <v>5.2979050000000001</v>
      </c>
      <c r="R63" s="9">
        <v>5.3529800999999999</v>
      </c>
      <c r="S63" s="9">
        <v>5.4001850999999998</v>
      </c>
      <c r="T63" s="9">
        <v>5.4400957999999999</v>
      </c>
      <c r="U63" s="9">
        <v>5.4734293000000003</v>
      </c>
      <c r="V63" s="9">
        <v>5.5009354000000004</v>
      </c>
      <c r="W63" s="9">
        <v>5.5233105</v>
      </c>
      <c r="X63" s="9">
        <v>5.5411460000000003</v>
      </c>
      <c r="Y63" s="9">
        <v>5.5549020000000002</v>
      </c>
      <c r="Z63" s="9">
        <v>5.5649039</v>
      </c>
      <c r="AA63" s="9">
        <v>5.5713509999999999</v>
      </c>
      <c r="AB63" s="9">
        <v>5.5743393000000001</v>
      </c>
      <c r="AC63" s="9">
        <v>5.5738989999999999</v>
      </c>
      <c r="AD63" s="9">
        <v>5.5700308999999999</v>
      </c>
      <c r="AE63" s="9">
        <v>5.5627314999999999</v>
      </c>
    </row>
    <row r="64" spans="1:31" x14ac:dyDescent="0.35">
      <c r="A64" t="s">
        <v>111</v>
      </c>
      <c r="B64" s="9">
        <v>3.8744759000000002</v>
      </c>
      <c r="C64" s="9">
        <v>3.9235012999999999</v>
      </c>
      <c r="D64" s="9">
        <v>3.9789911999999998</v>
      </c>
      <c r="E64" s="9">
        <v>4.059545</v>
      </c>
      <c r="F64" s="9">
        <v>4.1588304000000003</v>
      </c>
      <c r="G64" s="9">
        <v>4.2706729000000001</v>
      </c>
      <c r="H64" s="9">
        <v>4.388801</v>
      </c>
      <c r="I64" s="9">
        <v>4.5078857000000001</v>
      </c>
      <c r="J64" s="9">
        <v>4.6241582000000001</v>
      </c>
      <c r="K64" s="9">
        <v>4.7352616999999997</v>
      </c>
      <c r="L64" s="9">
        <v>4.8398165999999998</v>
      </c>
      <c r="M64" s="9">
        <v>4.9370234000000002</v>
      </c>
      <c r="N64" s="9">
        <v>5.0263733000000004</v>
      </c>
      <c r="O64" s="9">
        <v>5.1074960999999997</v>
      </c>
      <c r="P64" s="9">
        <v>5.1801518</v>
      </c>
      <c r="Q64" s="9">
        <v>5.2442964999999999</v>
      </c>
      <c r="R64" s="9">
        <v>5.3000938</v>
      </c>
      <c r="S64" s="9">
        <v>5.3479025</v>
      </c>
      <c r="T64" s="9">
        <v>5.3882838</v>
      </c>
      <c r="U64" s="9">
        <v>5.4219502999999998</v>
      </c>
      <c r="V64" s="9">
        <v>5.4496545999999997</v>
      </c>
      <c r="W64" s="9">
        <v>5.4721016000000002</v>
      </c>
      <c r="X64" s="9">
        <v>5.4898964000000001</v>
      </c>
      <c r="Y64" s="9">
        <v>5.5035173999999998</v>
      </c>
      <c r="Z64" s="9">
        <v>5.5133124000000002</v>
      </c>
      <c r="AA64" s="9">
        <v>5.5195052000000002</v>
      </c>
      <c r="AB64" s="9">
        <v>5.5222176000000003</v>
      </c>
      <c r="AC64" s="9">
        <v>5.5215038999999999</v>
      </c>
      <c r="AD64" s="9">
        <v>5.5173874999999999</v>
      </c>
      <c r="AE64" s="9">
        <v>5.5098843000000004</v>
      </c>
    </row>
    <row r="65" spans="1:31" x14ac:dyDescent="0.35">
      <c r="A65" t="s">
        <v>112</v>
      </c>
      <c r="B65" s="9">
        <v>3.9410452999999999</v>
      </c>
      <c r="C65" s="9">
        <v>3.9900210999999999</v>
      </c>
      <c r="D65" s="9">
        <v>4.0393340999999996</v>
      </c>
      <c r="E65" s="9">
        <v>4.1151084000000004</v>
      </c>
      <c r="F65" s="9">
        <v>4.2113168999999999</v>
      </c>
      <c r="G65" s="9">
        <v>4.3213698000000003</v>
      </c>
      <c r="H65" s="9">
        <v>4.4386051999999996</v>
      </c>
      <c r="I65" s="9">
        <v>4.5573896999999999</v>
      </c>
      <c r="J65" s="9">
        <v>4.6736978999999996</v>
      </c>
      <c r="K65" s="9">
        <v>4.7849522000000002</v>
      </c>
      <c r="L65" s="9">
        <v>4.8896008000000002</v>
      </c>
      <c r="M65" s="9">
        <v>4.9867318999999997</v>
      </c>
      <c r="N65" s="9">
        <v>5.0757816</v>
      </c>
      <c r="O65" s="9">
        <v>5.1563762000000004</v>
      </c>
      <c r="P65" s="9">
        <v>5.2283135999999999</v>
      </c>
      <c r="Q65" s="9">
        <v>5.2916138999999998</v>
      </c>
      <c r="R65" s="9">
        <v>5.3465122999999997</v>
      </c>
      <c r="S65" s="9">
        <v>5.3934322000000003</v>
      </c>
      <c r="T65" s="9">
        <v>5.4329834999999997</v>
      </c>
      <c r="U65" s="9">
        <v>5.4659085000000003</v>
      </c>
      <c r="V65" s="9">
        <v>5.4929752000000001</v>
      </c>
      <c r="W65" s="9">
        <v>5.5148928000000002</v>
      </c>
      <c r="X65" s="9">
        <v>5.5322636999999997</v>
      </c>
      <c r="Y65" s="9">
        <v>5.5455595000000004</v>
      </c>
      <c r="Z65" s="9">
        <v>5.5551200999999999</v>
      </c>
      <c r="AA65" s="9">
        <v>5.5611619000000001</v>
      </c>
      <c r="AB65" s="9">
        <v>5.5638003999999999</v>
      </c>
      <c r="AC65" s="9">
        <v>5.5630861999999999</v>
      </c>
      <c r="AD65" s="9">
        <v>5.5590406999999997</v>
      </c>
      <c r="AE65" s="9">
        <v>5.5516798999999999</v>
      </c>
    </row>
    <row r="66" spans="1:31" x14ac:dyDescent="0.35">
      <c r="A66" t="s">
        <v>113</v>
      </c>
      <c r="B66" s="9">
        <v>4.2310287000000004</v>
      </c>
      <c r="C66" s="9">
        <v>4.2732855000000001</v>
      </c>
      <c r="D66" s="9">
        <v>4.2816152000000001</v>
      </c>
      <c r="E66" s="9">
        <v>4.3174672999999997</v>
      </c>
      <c r="F66" s="9">
        <v>4.3793506000000004</v>
      </c>
      <c r="G66" s="9">
        <v>4.4607650999999997</v>
      </c>
      <c r="H66" s="9">
        <v>4.5545489000000003</v>
      </c>
      <c r="I66" s="9">
        <v>4.6544271999999998</v>
      </c>
      <c r="J66" s="9">
        <v>4.7556311000000004</v>
      </c>
      <c r="K66" s="9">
        <v>4.8547960000000003</v>
      </c>
      <c r="L66" s="9">
        <v>4.9496051999999997</v>
      </c>
      <c r="M66" s="9">
        <v>5.0384640000000003</v>
      </c>
      <c r="N66" s="9">
        <v>5.1202443999999998</v>
      </c>
      <c r="O66" s="9">
        <v>5.1941617000000004</v>
      </c>
      <c r="P66" s="9">
        <v>5.2597588000000002</v>
      </c>
      <c r="Q66" s="9">
        <v>5.3169335000000002</v>
      </c>
      <c r="R66" s="9">
        <v>5.3658913000000004</v>
      </c>
      <c r="S66" s="9">
        <v>5.4070729000000002</v>
      </c>
      <c r="T66" s="9">
        <v>5.4411234000000004</v>
      </c>
      <c r="U66" s="9">
        <v>5.4688243999999999</v>
      </c>
      <c r="V66" s="9">
        <v>5.4909834000000002</v>
      </c>
      <c r="W66" s="9">
        <v>5.5083463000000004</v>
      </c>
      <c r="X66" s="9">
        <v>5.5215455999999996</v>
      </c>
      <c r="Y66" s="9">
        <v>5.5310755</v>
      </c>
      <c r="Z66" s="9">
        <v>5.5372887000000004</v>
      </c>
      <c r="AA66" s="9">
        <v>5.5404055999999997</v>
      </c>
      <c r="AB66" s="9">
        <v>5.5405381</v>
      </c>
      <c r="AC66" s="9">
        <v>5.5377254999999996</v>
      </c>
      <c r="AD66" s="9">
        <v>5.5319704999999999</v>
      </c>
      <c r="AE66" s="9">
        <v>5.5232646000000001</v>
      </c>
    </row>
    <row r="67" spans="1:31" x14ac:dyDescent="0.35">
      <c r="A67" t="s">
        <v>114</v>
      </c>
      <c r="B67" s="9">
        <v>4.3869091999999998</v>
      </c>
      <c r="C67" s="9">
        <v>4.4327548999999999</v>
      </c>
      <c r="D67" s="9">
        <v>4.4272013000000001</v>
      </c>
      <c r="E67" s="9">
        <v>4.4533044000000004</v>
      </c>
      <c r="F67" s="9">
        <v>4.5110929999999998</v>
      </c>
      <c r="G67" s="9">
        <v>4.5924376999999996</v>
      </c>
      <c r="H67" s="9">
        <v>4.6882948999999998</v>
      </c>
      <c r="I67" s="9">
        <v>4.7909554999999999</v>
      </c>
      <c r="J67" s="9">
        <v>4.8947903999999998</v>
      </c>
      <c r="K67" s="9">
        <v>4.9960348000000003</v>
      </c>
      <c r="L67" s="9">
        <v>5.0922822999999999</v>
      </c>
      <c r="M67" s="9">
        <v>5.1820012000000002</v>
      </c>
      <c r="N67" s="9">
        <v>5.2641739000000003</v>
      </c>
      <c r="O67" s="9">
        <v>5.3381116000000004</v>
      </c>
      <c r="P67" s="9">
        <v>5.4034135000000001</v>
      </c>
      <c r="Q67" s="9">
        <v>5.4600030999999998</v>
      </c>
      <c r="R67" s="9">
        <v>5.5080999999999998</v>
      </c>
      <c r="S67" s="9">
        <v>5.5481692000000002</v>
      </c>
      <c r="T67" s="9">
        <v>5.5808960000000001</v>
      </c>
      <c r="U67" s="9">
        <v>5.6071162000000001</v>
      </c>
      <c r="V67" s="9">
        <v>5.6276979999999996</v>
      </c>
      <c r="W67" s="9">
        <v>5.6434481999999999</v>
      </c>
      <c r="X67" s="9">
        <v>5.6550560000000001</v>
      </c>
      <c r="Y67" s="9">
        <v>5.6630640000000003</v>
      </c>
      <c r="Z67" s="9">
        <v>5.6678636999999998</v>
      </c>
      <c r="AA67" s="9">
        <v>5.6697037999999997</v>
      </c>
      <c r="AB67" s="9">
        <v>5.6687155999999996</v>
      </c>
      <c r="AC67" s="9">
        <v>5.6649501000000004</v>
      </c>
      <c r="AD67" s="9">
        <v>5.6584146999999998</v>
      </c>
      <c r="AE67" s="9">
        <v>5.6490983000000003</v>
      </c>
    </row>
    <row r="68" spans="1:31" x14ac:dyDescent="0.35">
      <c r="A68" t="s">
        <v>115</v>
      </c>
      <c r="B68" s="9">
        <v>4.2713396000000001</v>
      </c>
      <c r="C68" s="9">
        <v>4.3068993000000004</v>
      </c>
      <c r="D68" s="9">
        <v>4.3116377000000004</v>
      </c>
      <c r="E68" s="9">
        <v>4.3534446999999998</v>
      </c>
      <c r="F68" s="9">
        <v>4.4264465</v>
      </c>
      <c r="G68" s="9">
        <v>4.5206369000000004</v>
      </c>
      <c r="H68" s="9">
        <v>4.6265263000000001</v>
      </c>
      <c r="I68" s="9">
        <v>4.7365887999999998</v>
      </c>
      <c r="J68" s="9">
        <v>4.8456533000000004</v>
      </c>
      <c r="K68" s="9">
        <v>4.9505067</v>
      </c>
      <c r="L68" s="9">
        <v>5.0492844000000003</v>
      </c>
      <c r="M68" s="9">
        <v>5.1409303</v>
      </c>
      <c r="N68" s="9">
        <v>5.2248066</v>
      </c>
      <c r="O68" s="9">
        <v>5.3004851999999998</v>
      </c>
      <c r="P68" s="9">
        <v>5.3677067999999997</v>
      </c>
      <c r="Q68" s="9">
        <v>5.4264393000000002</v>
      </c>
      <c r="R68" s="9">
        <v>5.4768771000000003</v>
      </c>
      <c r="S68" s="9">
        <v>5.5194222000000002</v>
      </c>
      <c r="T68" s="9">
        <v>5.5546838999999997</v>
      </c>
      <c r="U68" s="9">
        <v>5.5834215</v>
      </c>
      <c r="V68" s="9">
        <v>5.6064328999999997</v>
      </c>
      <c r="W68" s="9">
        <v>5.6244655000000003</v>
      </c>
      <c r="X68" s="9">
        <v>5.6381626999999996</v>
      </c>
      <c r="Y68" s="9">
        <v>5.6480347999999996</v>
      </c>
      <c r="Z68" s="9">
        <v>5.6544534999999998</v>
      </c>
      <c r="AA68" s="9">
        <v>5.6576585000000001</v>
      </c>
      <c r="AB68" s="9">
        <v>5.6577793999999999</v>
      </c>
      <c r="AC68" s="9">
        <v>5.6548721000000004</v>
      </c>
      <c r="AD68" s="9">
        <v>5.6489535000000002</v>
      </c>
      <c r="AE68" s="9">
        <v>5.6400262000000003</v>
      </c>
    </row>
    <row r="69" spans="1:31" x14ac:dyDescent="0.35">
      <c r="A69" t="s">
        <v>116</v>
      </c>
      <c r="B69" s="9">
        <v>4.2969334999999997</v>
      </c>
      <c r="C69" s="9">
        <v>4.3176949999999996</v>
      </c>
      <c r="D69" s="9">
        <v>4.3116361999999997</v>
      </c>
      <c r="E69" s="9">
        <v>4.3481243999999997</v>
      </c>
      <c r="F69" s="9">
        <v>4.4197661999999998</v>
      </c>
      <c r="G69" s="9">
        <v>4.5149811</v>
      </c>
      <c r="H69" s="9">
        <v>4.6229794000000002</v>
      </c>
      <c r="I69" s="9">
        <v>4.7354076999999997</v>
      </c>
      <c r="J69" s="9">
        <v>4.8466826000000003</v>
      </c>
      <c r="K69" s="9">
        <v>4.9534341</v>
      </c>
      <c r="L69" s="9">
        <v>5.0537841999999999</v>
      </c>
      <c r="M69" s="9">
        <v>5.1467273000000002</v>
      </c>
      <c r="N69" s="9">
        <v>5.2316944999999997</v>
      </c>
      <c r="O69" s="9">
        <v>5.3083176999999999</v>
      </c>
      <c r="P69" s="9">
        <v>5.3763793</v>
      </c>
      <c r="Q69" s="9">
        <v>5.4358725000000003</v>
      </c>
      <c r="R69" s="9">
        <v>5.4870052999999999</v>
      </c>
      <c r="S69" s="9">
        <v>5.5301863999999998</v>
      </c>
      <c r="T69" s="9">
        <v>5.5660277000000002</v>
      </c>
      <c r="U69" s="9">
        <v>5.5952865999999997</v>
      </c>
      <c r="V69" s="9">
        <v>5.6187547000000002</v>
      </c>
      <c r="W69" s="9">
        <v>5.6371697999999997</v>
      </c>
      <c r="X69" s="9">
        <v>5.6511643999999999</v>
      </c>
      <c r="Y69" s="9">
        <v>5.6612406000000002</v>
      </c>
      <c r="Z69" s="9">
        <v>5.6677660000000003</v>
      </c>
      <c r="AA69" s="9">
        <v>5.6709817999999999</v>
      </c>
      <c r="AB69" s="9">
        <v>5.6710238000000004</v>
      </c>
      <c r="AC69" s="9">
        <v>5.6679563999999996</v>
      </c>
      <c r="AD69" s="9">
        <v>5.6618073999999998</v>
      </c>
      <c r="AE69" s="9">
        <v>5.6525904000000002</v>
      </c>
    </row>
    <row r="70" spans="1:31" x14ac:dyDescent="0.35">
      <c r="A70" t="s">
        <v>117</v>
      </c>
      <c r="B70" s="9">
        <v>4.2572473000000004</v>
      </c>
      <c r="C70" s="9">
        <v>4.2666433000000001</v>
      </c>
      <c r="D70" s="9">
        <v>4.2519755000000004</v>
      </c>
      <c r="E70" s="9">
        <v>4.2805733999999998</v>
      </c>
      <c r="F70" s="9">
        <v>4.3440479999999999</v>
      </c>
      <c r="G70" s="9">
        <v>4.4310967999999997</v>
      </c>
      <c r="H70" s="9">
        <v>4.5316292000000002</v>
      </c>
      <c r="I70" s="9">
        <v>4.6378104999999996</v>
      </c>
      <c r="J70" s="9">
        <v>4.7442126</v>
      </c>
      <c r="K70" s="9">
        <v>4.8473474999999997</v>
      </c>
      <c r="L70" s="9">
        <v>4.9450672000000004</v>
      </c>
      <c r="M70" s="9">
        <v>5.0360509000000002</v>
      </c>
      <c r="N70" s="9">
        <v>5.1194385000000002</v>
      </c>
      <c r="O70" s="9">
        <v>5.1946428999999998</v>
      </c>
      <c r="P70" s="9">
        <v>5.2613171999999997</v>
      </c>
      <c r="Q70" s="9">
        <v>5.3194062999999998</v>
      </c>
      <c r="R70" s="9">
        <v>5.3691240000000002</v>
      </c>
      <c r="S70" s="9">
        <v>5.4109107999999999</v>
      </c>
      <c r="T70" s="9">
        <v>5.4454175999999999</v>
      </c>
      <c r="U70" s="9">
        <v>5.4734394999999996</v>
      </c>
      <c r="V70" s="9">
        <v>5.4958001999999997</v>
      </c>
      <c r="W70" s="9">
        <v>5.5132615999999999</v>
      </c>
      <c r="X70" s="9">
        <v>5.5264730000000002</v>
      </c>
      <c r="Y70" s="9">
        <v>5.5359454000000001</v>
      </c>
      <c r="Z70" s="9">
        <v>5.5420489999999996</v>
      </c>
      <c r="AA70" s="9">
        <v>5.5450214999999998</v>
      </c>
      <c r="AB70" s="9">
        <v>5.5449913000000004</v>
      </c>
      <c r="AC70" s="9">
        <v>5.5420132000000004</v>
      </c>
      <c r="AD70" s="9">
        <v>5.5361045999999998</v>
      </c>
      <c r="AE70" s="9">
        <v>5.5272690999999998</v>
      </c>
    </row>
    <row r="71" spans="1:31" x14ac:dyDescent="0.35">
      <c r="A71" t="s">
        <v>118</v>
      </c>
      <c r="B71" s="9">
        <v>4.3316159000000001</v>
      </c>
      <c r="C71" s="9">
        <v>4.3663053999999999</v>
      </c>
      <c r="D71" s="9">
        <v>4.3652156</v>
      </c>
      <c r="E71" s="9">
        <v>4.3999734000000004</v>
      </c>
      <c r="F71" s="9">
        <v>4.4657219000000001</v>
      </c>
      <c r="G71" s="9">
        <v>4.5531585000000003</v>
      </c>
      <c r="H71" s="9">
        <v>4.6531878000000004</v>
      </c>
      <c r="I71" s="9">
        <v>4.7584914999999999</v>
      </c>
      <c r="J71" s="9">
        <v>4.8639269000000001</v>
      </c>
      <c r="K71" s="9">
        <v>4.9661543000000004</v>
      </c>
      <c r="L71" s="9">
        <v>5.0630959999999998</v>
      </c>
      <c r="M71" s="9">
        <v>5.1534633999999997</v>
      </c>
      <c r="N71" s="9">
        <v>5.2364090000000001</v>
      </c>
      <c r="O71" s="9">
        <v>5.3113465</v>
      </c>
      <c r="P71" s="9">
        <v>5.3779212999999997</v>
      </c>
      <c r="Q71" s="9">
        <v>5.4360606999999996</v>
      </c>
      <c r="R71" s="9">
        <v>5.4859555999999996</v>
      </c>
      <c r="S71" s="9">
        <v>5.5280224999999996</v>
      </c>
      <c r="T71" s="9">
        <v>5.5628871999999996</v>
      </c>
      <c r="U71" s="9">
        <v>5.5913196000000003</v>
      </c>
      <c r="V71" s="9">
        <v>5.6141189999999996</v>
      </c>
      <c r="W71" s="9">
        <v>5.6320265999999997</v>
      </c>
      <c r="X71" s="9">
        <v>5.6456743999999999</v>
      </c>
      <c r="Y71" s="9">
        <v>5.6555587999999997</v>
      </c>
      <c r="Z71" s="9">
        <v>5.6620379999999999</v>
      </c>
      <c r="AA71" s="9">
        <v>5.6653387999999998</v>
      </c>
      <c r="AB71" s="9">
        <v>5.6655810999999998</v>
      </c>
      <c r="AC71" s="9">
        <v>5.6628134000000001</v>
      </c>
      <c r="AD71" s="9">
        <v>5.6570489000000004</v>
      </c>
      <c r="AE71" s="9">
        <v>5.6482897999999997</v>
      </c>
    </row>
    <row r="72" spans="1:31" x14ac:dyDescent="0.35">
      <c r="A72" t="s">
        <v>119</v>
      </c>
      <c r="B72" s="9">
        <v>4.2962499000000003</v>
      </c>
      <c r="C72" s="9">
        <v>4.3574650999999998</v>
      </c>
      <c r="D72" s="9">
        <v>4.3659420000000004</v>
      </c>
      <c r="E72" s="9">
        <v>4.4086125999999997</v>
      </c>
      <c r="F72" s="9">
        <v>4.4817041</v>
      </c>
      <c r="G72" s="9">
        <v>4.5759711000000003</v>
      </c>
      <c r="H72" s="9">
        <v>4.6822561</v>
      </c>
      <c r="I72" s="9">
        <v>4.7931512999999999</v>
      </c>
      <c r="J72" s="9">
        <v>4.9034490999999996</v>
      </c>
      <c r="K72" s="9">
        <v>5.0097832999999996</v>
      </c>
      <c r="L72" s="9">
        <v>5.1100680000000001</v>
      </c>
      <c r="M72" s="9">
        <v>5.2030167</v>
      </c>
      <c r="N72" s="9">
        <v>5.2878049000000003</v>
      </c>
      <c r="O72" s="9">
        <v>5.3638966000000003</v>
      </c>
      <c r="P72" s="9">
        <v>5.4310214999999999</v>
      </c>
      <c r="Q72" s="9">
        <v>5.4892225000000003</v>
      </c>
      <c r="R72" s="9">
        <v>5.5388196000000001</v>
      </c>
      <c r="S72" s="9">
        <v>5.5803488000000003</v>
      </c>
      <c r="T72" s="9">
        <v>5.6145351999999997</v>
      </c>
      <c r="U72" s="9">
        <v>5.6422223000000002</v>
      </c>
      <c r="V72" s="9">
        <v>5.6642617</v>
      </c>
      <c r="W72" s="9">
        <v>5.6814289000000002</v>
      </c>
      <c r="X72" s="9">
        <v>5.6943754000000002</v>
      </c>
      <c r="Y72" s="9">
        <v>5.7036037999999998</v>
      </c>
      <c r="Z72" s="9">
        <v>5.7094668000000004</v>
      </c>
      <c r="AA72" s="9">
        <v>5.7121756000000001</v>
      </c>
      <c r="AB72" s="9">
        <v>5.7118273000000004</v>
      </c>
      <c r="AC72" s="9">
        <v>5.7084441999999997</v>
      </c>
      <c r="AD72" s="9">
        <v>5.7020127</v>
      </c>
      <c r="AE72" s="9">
        <v>5.6925106999999997</v>
      </c>
    </row>
    <row r="73" spans="1:31" x14ac:dyDescent="0.35">
      <c r="A73" t="s">
        <v>120</v>
      </c>
      <c r="B73" s="9">
        <v>4.2759812000000004</v>
      </c>
      <c r="C73" s="9">
        <v>4.3176367999999998</v>
      </c>
      <c r="D73" s="9">
        <v>4.3192580999999999</v>
      </c>
      <c r="E73" s="9">
        <v>4.3596057000000004</v>
      </c>
      <c r="F73" s="9">
        <v>4.4318616999999998</v>
      </c>
      <c r="G73" s="9">
        <v>4.5256816999999998</v>
      </c>
      <c r="H73" s="9">
        <v>4.6315609000000002</v>
      </c>
      <c r="I73" s="9">
        <v>4.7420287999999999</v>
      </c>
      <c r="J73" s="9">
        <v>4.8518999999999997</v>
      </c>
      <c r="K73" s="9">
        <v>4.9578552</v>
      </c>
      <c r="L73" s="9">
        <v>5.0578577999999998</v>
      </c>
      <c r="M73" s="9">
        <v>5.1506577</v>
      </c>
      <c r="N73" s="9">
        <v>5.2354510000000003</v>
      </c>
      <c r="O73" s="9">
        <v>5.3117036000000004</v>
      </c>
      <c r="P73" s="9">
        <v>5.3791308999999998</v>
      </c>
      <c r="Q73" s="9">
        <v>5.4377455000000001</v>
      </c>
      <c r="R73" s="9">
        <v>5.4878286000000003</v>
      </c>
      <c r="S73" s="9">
        <v>5.5298767</v>
      </c>
      <c r="T73" s="9">
        <v>5.5645813000000004</v>
      </c>
      <c r="U73" s="9">
        <v>5.5927591999999997</v>
      </c>
      <c r="V73" s="9">
        <v>5.6152413000000001</v>
      </c>
      <c r="W73" s="9">
        <v>5.6327879000000003</v>
      </c>
      <c r="X73" s="9">
        <v>5.6460395999999999</v>
      </c>
      <c r="Y73" s="9">
        <v>5.6554922999999997</v>
      </c>
      <c r="Z73" s="9">
        <v>5.6614946000000002</v>
      </c>
      <c r="AA73" s="9">
        <v>5.6642577000000003</v>
      </c>
      <c r="AB73" s="9">
        <v>5.6638821000000004</v>
      </c>
      <c r="AC73" s="9">
        <v>5.6603968</v>
      </c>
      <c r="AD73" s="9">
        <v>5.6537975999999999</v>
      </c>
      <c r="AE73" s="9">
        <v>5.6440717999999999</v>
      </c>
    </row>
    <row r="74" spans="1:31" x14ac:dyDescent="0.35">
      <c r="A74" t="s">
        <v>121</v>
      </c>
      <c r="B74" s="9">
        <v>4.2502117000000004</v>
      </c>
      <c r="C74" s="9">
        <v>4.2829739</v>
      </c>
      <c r="D74" s="9">
        <v>4.2853744999999996</v>
      </c>
      <c r="E74" s="9">
        <v>4.3301692000000003</v>
      </c>
      <c r="F74" s="9">
        <v>4.4075745</v>
      </c>
      <c r="G74" s="9">
        <v>4.5060134999999999</v>
      </c>
      <c r="H74" s="9">
        <v>4.6153449999999996</v>
      </c>
      <c r="I74" s="9">
        <v>4.7278789999999997</v>
      </c>
      <c r="J74" s="9">
        <v>4.8385163999999996</v>
      </c>
      <c r="K74" s="9">
        <v>4.9441894</v>
      </c>
      <c r="L74" s="9">
        <v>5.0431901000000003</v>
      </c>
      <c r="M74" s="9">
        <v>5.1346118000000001</v>
      </c>
      <c r="N74" s="9">
        <v>5.2179631999999998</v>
      </c>
      <c r="O74" s="9">
        <v>5.2929605999999998</v>
      </c>
      <c r="P74" s="9">
        <v>5.3594818999999996</v>
      </c>
      <c r="Q74" s="9">
        <v>5.417605</v>
      </c>
      <c r="R74" s="9">
        <v>5.4675995000000004</v>
      </c>
      <c r="S74" s="9">
        <v>5.5099073000000001</v>
      </c>
      <c r="T74" s="9">
        <v>5.5451484999999998</v>
      </c>
      <c r="U74" s="9">
        <v>5.5740656</v>
      </c>
      <c r="V74" s="9">
        <v>5.5974196999999997</v>
      </c>
      <c r="W74" s="9">
        <v>5.6159086</v>
      </c>
      <c r="X74" s="9">
        <v>5.6301207</v>
      </c>
      <c r="Y74" s="9">
        <v>5.6405111000000003</v>
      </c>
      <c r="Z74" s="9">
        <v>5.6474003000000002</v>
      </c>
      <c r="AA74" s="9">
        <v>5.6509828999999998</v>
      </c>
      <c r="AB74" s="9">
        <v>5.6513517000000002</v>
      </c>
      <c r="AC74" s="9">
        <v>5.6485345999999996</v>
      </c>
      <c r="AD74" s="9">
        <v>5.6425301000000001</v>
      </c>
      <c r="AE74" s="9">
        <v>5.6333308999999998</v>
      </c>
    </row>
    <row r="75" spans="1:31" x14ac:dyDescent="0.35">
      <c r="A75" t="s">
        <v>122</v>
      </c>
      <c r="B75" s="9">
        <v>4.1517249999999999</v>
      </c>
      <c r="C75" s="9">
        <v>4.1760602999999996</v>
      </c>
      <c r="D75" s="9">
        <v>4.1888370999999998</v>
      </c>
      <c r="E75" s="9">
        <v>4.2409318000000003</v>
      </c>
      <c r="F75" s="9">
        <v>4.3225218999999999</v>
      </c>
      <c r="G75" s="9">
        <v>4.4232874999999998</v>
      </c>
      <c r="H75" s="9">
        <v>4.5339988</v>
      </c>
      <c r="I75" s="9">
        <v>4.6475081999999999</v>
      </c>
      <c r="J75" s="9">
        <v>4.7590268</v>
      </c>
      <c r="K75" s="9">
        <v>4.8656613000000002</v>
      </c>
      <c r="L75" s="9">
        <v>4.9657986000000003</v>
      </c>
      <c r="M75" s="9">
        <v>5.0585751999999999</v>
      </c>
      <c r="N75" s="9">
        <v>5.1435051999999999</v>
      </c>
      <c r="O75" s="9">
        <v>5.2202840000000004</v>
      </c>
      <c r="P75" s="9">
        <v>5.2887547000000001</v>
      </c>
      <c r="Q75" s="9">
        <v>5.3489569000000001</v>
      </c>
      <c r="R75" s="9">
        <v>5.4011221999999997</v>
      </c>
      <c r="S75" s="9">
        <v>5.4456534999999997</v>
      </c>
      <c r="T75" s="9">
        <v>5.4831306</v>
      </c>
      <c r="U75" s="9">
        <v>5.5142559000000002</v>
      </c>
      <c r="V75" s="9">
        <v>5.5397515000000004</v>
      </c>
      <c r="W75" s="9">
        <v>5.5602809999999998</v>
      </c>
      <c r="X75" s="9">
        <v>5.5764041000000004</v>
      </c>
      <c r="Y75" s="9">
        <v>5.5885544999999999</v>
      </c>
      <c r="Z75" s="9">
        <v>5.5970383000000004</v>
      </c>
      <c r="AA75" s="9">
        <v>5.602042</v>
      </c>
      <c r="AB75" s="9">
        <v>5.6036558999999997</v>
      </c>
      <c r="AC75" s="9">
        <v>5.6019107999999997</v>
      </c>
      <c r="AD75" s="9">
        <v>5.5968128999999998</v>
      </c>
      <c r="AE75" s="9">
        <v>5.5883669999999999</v>
      </c>
    </row>
    <row r="76" spans="1:31" x14ac:dyDescent="0.35">
      <c r="A76" t="s">
        <v>123</v>
      </c>
      <c r="B76" s="9">
        <v>4.1714384999999998</v>
      </c>
      <c r="C76" s="9">
        <v>4.1952236999999997</v>
      </c>
      <c r="D76" s="9">
        <v>4.2022328</v>
      </c>
      <c r="E76" s="9">
        <v>4.2487852000000004</v>
      </c>
      <c r="F76" s="9">
        <v>4.3259169999999996</v>
      </c>
      <c r="G76" s="9">
        <v>4.4233349999999998</v>
      </c>
      <c r="H76" s="9">
        <v>4.5316539000000002</v>
      </c>
      <c r="I76" s="9">
        <v>4.6435199999999996</v>
      </c>
      <c r="J76" s="9">
        <v>4.7539398999999998</v>
      </c>
      <c r="K76" s="9">
        <v>4.8598486999999997</v>
      </c>
      <c r="L76" s="9">
        <v>4.9595000999999996</v>
      </c>
      <c r="M76" s="9">
        <v>5.0519341999999998</v>
      </c>
      <c r="N76" s="9">
        <v>5.1365943999999999</v>
      </c>
      <c r="O76" s="9">
        <v>5.2131270000000001</v>
      </c>
      <c r="P76" s="9">
        <v>5.2813476000000001</v>
      </c>
      <c r="Q76" s="9">
        <v>5.3412875</v>
      </c>
      <c r="R76" s="9">
        <v>5.3931825</v>
      </c>
      <c r="S76" s="9">
        <v>5.4374466000000004</v>
      </c>
      <c r="T76" s="9">
        <v>5.4746727000000002</v>
      </c>
      <c r="U76" s="9">
        <v>5.5055738999999999</v>
      </c>
      <c r="V76" s="9">
        <v>5.5308783999999998</v>
      </c>
      <c r="W76" s="9">
        <v>5.5512490000000003</v>
      </c>
      <c r="X76" s="9">
        <v>5.5672398000000003</v>
      </c>
      <c r="Y76" s="9">
        <v>5.5792755999999999</v>
      </c>
      <c r="Z76" s="9">
        <v>5.5876524999999999</v>
      </c>
      <c r="AA76" s="9">
        <v>5.5925482999999998</v>
      </c>
      <c r="AB76" s="9">
        <v>5.5940466999999998</v>
      </c>
      <c r="AC76" s="9">
        <v>5.5921748999999998</v>
      </c>
      <c r="AD76" s="9">
        <v>5.5869388999999998</v>
      </c>
      <c r="AE76" s="9">
        <v>5.5783462999999998</v>
      </c>
    </row>
    <row r="77" spans="1:31" x14ac:dyDescent="0.35">
      <c r="A77" t="s">
        <v>124</v>
      </c>
      <c r="B77" s="9" t="e">
        <v>#N/A</v>
      </c>
      <c r="C77" s="9" t="e">
        <v>#N/A</v>
      </c>
      <c r="D77" s="9" t="e">
        <v>#N/A</v>
      </c>
      <c r="E77" s="9" t="e">
        <v>#N/A</v>
      </c>
      <c r="F77" s="9" t="e">
        <v>#N/A</v>
      </c>
      <c r="G77" s="9" t="e">
        <v>#N/A</v>
      </c>
      <c r="H77" s="9" t="e">
        <v>#N/A</v>
      </c>
      <c r="I77" s="9" t="e">
        <v>#N/A</v>
      </c>
      <c r="J77" s="9" t="e">
        <v>#N/A</v>
      </c>
      <c r="K77" s="9" t="e">
        <v>#N/A</v>
      </c>
      <c r="L77" s="9" t="e">
        <v>#N/A</v>
      </c>
      <c r="M77" s="9" t="e">
        <v>#N/A</v>
      </c>
      <c r="N77" s="9" t="e">
        <v>#N/A</v>
      </c>
      <c r="O77" s="9" t="e">
        <v>#N/A</v>
      </c>
      <c r="P77" s="9" t="e">
        <v>#N/A</v>
      </c>
      <c r="Q77" s="9" t="e">
        <v>#N/A</v>
      </c>
      <c r="R77" s="9" t="e">
        <v>#N/A</v>
      </c>
      <c r="S77" s="9" t="e">
        <v>#N/A</v>
      </c>
      <c r="T77" s="9" t="e">
        <v>#N/A</v>
      </c>
      <c r="U77" s="9" t="e">
        <v>#N/A</v>
      </c>
      <c r="V77" s="9" t="e">
        <v>#N/A</v>
      </c>
      <c r="W77" s="9" t="e">
        <v>#N/A</v>
      </c>
      <c r="X77" s="9" t="e">
        <v>#N/A</v>
      </c>
      <c r="Y77" s="9" t="e">
        <v>#N/A</v>
      </c>
      <c r="Z77" s="9" t="e">
        <v>#N/A</v>
      </c>
      <c r="AA77" s="9" t="e">
        <v>#N/A</v>
      </c>
      <c r="AB77" s="9" t="e">
        <v>#N/A</v>
      </c>
      <c r="AC77" s="9" t="e">
        <v>#N/A</v>
      </c>
      <c r="AD77" s="9" t="e">
        <v>#N/A</v>
      </c>
      <c r="AE77" s="9" t="e">
        <v>#N/A</v>
      </c>
    </row>
    <row r="78" spans="1:31" x14ac:dyDescent="0.35">
      <c r="A78" t="s">
        <v>125</v>
      </c>
      <c r="B78" s="9" t="e">
        <v>#N/A</v>
      </c>
      <c r="C78" s="9" t="e">
        <v>#N/A</v>
      </c>
      <c r="D78" s="9" t="e">
        <v>#N/A</v>
      </c>
      <c r="E78" s="9" t="e">
        <v>#N/A</v>
      </c>
      <c r="F78" s="9" t="e">
        <v>#N/A</v>
      </c>
      <c r="G78" s="9" t="e">
        <v>#N/A</v>
      </c>
      <c r="H78" s="9" t="e">
        <v>#N/A</v>
      </c>
      <c r="I78" s="9" t="e">
        <v>#N/A</v>
      </c>
      <c r="J78" s="9" t="e">
        <v>#N/A</v>
      </c>
      <c r="K78" s="9" t="e">
        <v>#N/A</v>
      </c>
      <c r="L78" s="9" t="e">
        <v>#N/A</v>
      </c>
      <c r="M78" s="9" t="e">
        <v>#N/A</v>
      </c>
      <c r="N78" s="9" t="e">
        <v>#N/A</v>
      </c>
      <c r="O78" s="9" t="e">
        <v>#N/A</v>
      </c>
      <c r="P78" s="9" t="e">
        <v>#N/A</v>
      </c>
      <c r="Q78" s="9" t="e">
        <v>#N/A</v>
      </c>
      <c r="R78" s="9" t="e">
        <v>#N/A</v>
      </c>
      <c r="S78" s="9" t="e">
        <v>#N/A</v>
      </c>
      <c r="T78" s="9" t="e">
        <v>#N/A</v>
      </c>
      <c r="U78" s="9" t="e">
        <v>#N/A</v>
      </c>
      <c r="V78" s="9" t="e">
        <v>#N/A</v>
      </c>
      <c r="W78" s="9" t="e">
        <v>#N/A</v>
      </c>
      <c r="X78" s="9" t="e">
        <v>#N/A</v>
      </c>
      <c r="Y78" s="9" t="e">
        <v>#N/A</v>
      </c>
      <c r="Z78" s="9" t="e">
        <v>#N/A</v>
      </c>
      <c r="AA78" s="9" t="e">
        <v>#N/A</v>
      </c>
      <c r="AB78" s="9" t="e">
        <v>#N/A</v>
      </c>
      <c r="AC78" s="9" t="e">
        <v>#N/A</v>
      </c>
      <c r="AD78" s="9" t="e">
        <v>#N/A</v>
      </c>
      <c r="AE78" s="9" t="e">
        <v>#N/A</v>
      </c>
    </row>
    <row r="79" spans="1:31" x14ac:dyDescent="0.35">
      <c r="A79" t="s">
        <v>126</v>
      </c>
      <c r="B79" s="9">
        <v>4.2661410000000002</v>
      </c>
      <c r="C79" s="9">
        <v>4.3005845999999996</v>
      </c>
      <c r="D79" s="9">
        <v>4.3079862999999996</v>
      </c>
      <c r="E79" s="9">
        <v>4.3522591000000004</v>
      </c>
      <c r="F79" s="9">
        <v>4.4270668000000004</v>
      </c>
      <c r="G79" s="9">
        <v>4.5226540999999996</v>
      </c>
      <c r="H79" s="9">
        <v>4.6296771000000003</v>
      </c>
      <c r="I79" s="9">
        <v>4.7406996000000001</v>
      </c>
      <c r="J79" s="9">
        <v>4.8505792000000003</v>
      </c>
      <c r="K79" s="9">
        <v>4.9560563000000002</v>
      </c>
      <c r="L79" s="9">
        <v>5.0551792000000004</v>
      </c>
      <c r="M79" s="9">
        <v>5.1468160999999997</v>
      </c>
      <c r="N79" s="9">
        <v>5.2302955000000004</v>
      </c>
      <c r="O79" s="9">
        <v>5.3052225000000002</v>
      </c>
      <c r="P79" s="9">
        <v>5.3714472000000004</v>
      </c>
      <c r="Q79" s="9">
        <v>5.4290972000000002</v>
      </c>
      <c r="R79" s="9">
        <v>5.4785389000000002</v>
      </c>
      <c r="S79" s="9">
        <v>5.5203167999999998</v>
      </c>
      <c r="T79" s="9">
        <v>5.5551310000000003</v>
      </c>
      <c r="U79" s="9">
        <v>5.5837729999999999</v>
      </c>
      <c r="V79" s="9">
        <v>5.6070232999999998</v>
      </c>
      <c r="W79" s="9">
        <v>5.6255769000000004</v>
      </c>
      <c r="X79" s="9">
        <v>5.6400031999999998</v>
      </c>
      <c r="Y79" s="9">
        <v>5.6507285999999999</v>
      </c>
      <c r="Z79" s="9">
        <v>5.6580399000000003</v>
      </c>
      <c r="AA79" s="9">
        <v>5.6620976000000001</v>
      </c>
      <c r="AB79" s="9">
        <v>5.6629632000000001</v>
      </c>
      <c r="AC79" s="9">
        <v>5.6606386000000004</v>
      </c>
      <c r="AD79" s="9">
        <v>5.6551032000000001</v>
      </c>
      <c r="AE79" s="9">
        <v>5.6463381000000004</v>
      </c>
    </row>
    <row r="80" spans="1:31" x14ac:dyDescent="0.35">
      <c r="A80" t="s">
        <v>127</v>
      </c>
      <c r="B80" s="9">
        <v>4.0546756999999998</v>
      </c>
      <c r="C80" s="9">
        <v>4.0521703000000002</v>
      </c>
      <c r="D80" s="9">
        <v>4.0628621999999996</v>
      </c>
      <c r="E80" s="9">
        <v>4.1166263000000001</v>
      </c>
      <c r="F80" s="9">
        <v>4.2001910000000002</v>
      </c>
      <c r="G80" s="9">
        <v>4.3024215000000003</v>
      </c>
      <c r="H80" s="9">
        <v>4.41411</v>
      </c>
      <c r="I80" s="9">
        <v>4.5283575000000003</v>
      </c>
      <c r="J80" s="9">
        <v>4.6405880000000002</v>
      </c>
      <c r="K80" s="9">
        <v>4.7479941999999999</v>
      </c>
      <c r="L80" s="9">
        <v>4.848929</v>
      </c>
      <c r="M80" s="9">
        <v>4.9424462</v>
      </c>
      <c r="N80" s="9">
        <v>5.0279762000000003</v>
      </c>
      <c r="O80" s="9">
        <v>5.1051595000000001</v>
      </c>
      <c r="P80" s="9">
        <v>5.1738244</v>
      </c>
      <c r="Q80" s="9">
        <v>5.2340334000000004</v>
      </c>
      <c r="R80" s="9">
        <v>5.2860670000000001</v>
      </c>
      <c r="S80" s="9">
        <v>5.3303889</v>
      </c>
      <c r="T80" s="9">
        <v>5.3676404</v>
      </c>
      <c r="U80" s="9">
        <v>5.3985782000000002</v>
      </c>
      <c r="V80" s="9">
        <v>5.4239671999999999</v>
      </c>
      <c r="W80" s="9">
        <v>5.4445001</v>
      </c>
      <c r="X80" s="9">
        <v>5.4607524999999999</v>
      </c>
      <c r="Y80" s="9">
        <v>5.4731614999999998</v>
      </c>
      <c r="Z80" s="9">
        <v>5.4820257999999997</v>
      </c>
      <c r="AA80" s="9">
        <v>5.4875176000000003</v>
      </c>
      <c r="AB80" s="9">
        <v>5.4897087999999998</v>
      </c>
      <c r="AC80" s="9">
        <v>5.4886112999999996</v>
      </c>
      <c r="AD80" s="9">
        <v>5.4842141</v>
      </c>
      <c r="AE80" s="9">
        <v>5.4765074</v>
      </c>
    </row>
    <row r="81" spans="1:31" x14ac:dyDescent="0.35">
      <c r="A81" t="s">
        <v>153</v>
      </c>
      <c r="B81" s="9">
        <v>4.0773633</v>
      </c>
      <c r="C81" s="9">
        <v>4.1019226</v>
      </c>
      <c r="D81" s="9">
        <v>4.1253779000000002</v>
      </c>
      <c r="E81" s="9">
        <v>4.1860213000000002</v>
      </c>
      <c r="F81" s="9">
        <v>4.2743205</v>
      </c>
      <c r="G81" s="9">
        <v>4.3804289000000001</v>
      </c>
      <c r="H81" s="9">
        <v>4.4955084999999997</v>
      </c>
      <c r="I81" s="9">
        <v>4.6127378999999999</v>
      </c>
      <c r="J81" s="9">
        <v>4.7275513</v>
      </c>
      <c r="K81" s="9">
        <v>4.8371529000000004</v>
      </c>
      <c r="L81" s="9">
        <v>4.9399145999999998</v>
      </c>
      <c r="M81" s="9">
        <v>5.0349130000000004</v>
      </c>
      <c r="N81" s="9">
        <v>5.1216058000000002</v>
      </c>
      <c r="O81" s="9">
        <v>5.1996661</v>
      </c>
      <c r="P81" s="9">
        <v>5.268961</v>
      </c>
      <c r="Q81" s="9">
        <v>5.3295938999999999</v>
      </c>
      <c r="R81" s="9">
        <v>5.3818843999999997</v>
      </c>
      <c r="S81" s="9">
        <v>5.4263310000000002</v>
      </c>
      <c r="T81" s="9">
        <v>5.4636031999999997</v>
      </c>
      <c r="U81" s="9">
        <v>5.4944794000000003</v>
      </c>
      <c r="V81" s="9">
        <v>5.5197417</v>
      </c>
      <c r="W81" s="9">
        <v>5.5400957999999996</v>
      </c>
      <c r="X81" s="9">
        <v>5.5561265999999998</v>
      </c>
      <c r="Y81" s="9">
        <v>5.5682786000000002</v>
      </c>
      <c r="Z81" s="9">
        <v>5.5768563999999996</v>
      </c>
      <c r="AA81" s="9">
        <v>5.5820369000000003</v>
      </c>
      <c r="AB81" s="9">
        <v>5.5838964999999998</v>
      </c>
      <c r="AC81" s="9">
        <v>5.5824501</v>
      </c>
      <c r="AD81" s="9">
        <v>5.5776887999999998</v>
      </c>
      <c r="AE81" s="9">
        <v>5.5696038999999997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6DBF0-9FA9-424D-86A4-DE8D9006FBD4}">
  <dimension ref="A1:J52"/>
  <sheetViews>
    <sheetView zoomScale="85" zoomScaleNormal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L11" sqref="L11"/>
    </sheetView>
  </sheetViews>
  <sheetFormatPr defaultRowHeight="14.5" x14ac:dyDescent="0.35"/>
  <cols>
    <col min="5" max="6" width="2.453125" customWidth="1"/>
  </cols>
  <sheetData>
    <row r="1" spans="1:10" x14ac:dyDescent="0.35">
      <c r="A1" s="8" t="s">
        <v>148</v>
      </c>
      <c r="G1" s="8" t="s">
        <v>149</v>
      </c>
    </row>
    <row r="3" spans="1:10" x14ac:dyDescent="0.35">
      <c r="A3" t="s">
        <v>147</v>
      </c>
      <c r="B3" t="s">
        <v>144</v>
      </c>
      <c r="C3" s="6" t="s">
        <v>146</v>
      </c>
      <c r="D3" s="6" t="s">
        <v>145</v>
      </c>
      <c r="G3" t="s">
        <v>150</v>
      </c>
      <c r="H3" t="s">
        <v>144</v>
      </c>
      <c r="I3" s="6" t="s">
        <v>146</v>
      </c>
      <c r="J3" s="6" t="s">
        <v>145</v>
      </c>
    </row>
    <row r="4" spans="1:10" x14ac:dyDescent="0.35">
      <c r="D4" s="7"/>
      <c r="G4" s="5">
        <v>46023</v>
      </c>
    </row>
    <row r="5" spans="1:10" x14ac:dyDescent="0.35">
      <c r="A5">
        <v>1</v>
      </c>
      <c r="B5" s="4" cm="1">
        <f t="array" ref="B5:B34">TRANSPOSE(HAVERD!B52:AE52)</f>
        <v>3.4216359999999999</v>
      </c>
      <c r="C5" s="4" cm="1">
        <f t="array" ref="C5:C34">TRANSPOSE(HAVERD!B76:AE76)</f>
        <v>4.1714384999999998</v>
      </c>
      <c r="D5" s="4" cm="1">
        <f t="array" ref="D5:D34">TRANSPOSE(HAVERD!B81:AE81)</f>
        <v>4.0773633</v>
      </c>
      <c r="G5" s="5">
        <v>46054</v>
      </c>
      <c r="H5" s="4" cm="1">
        <f t="array" ref="H5:H51">TRANSPOSE('[1]Chart Data'!$E$15:$AY$15)</f>
        <v>3.7267000000000001</v>
      </c>
    </row>
    <row r="6" spans="1:10" x14ac:dyDescent="0.35">
      <c r="A6">
        <v>2</v>
      </c>
      <c r="B6" s="4">
        <v>3.4236887999999999</v>
      </c>
      <c r="C6" s="4">
        <v>4.1952236999999997</v>
      </c>
      <c r="D6" s="4">
        <v>4.1019226</v>
      </c>
      <c r="G6" s="5">
        <v>46082</v>
      </c>
      <c r="H6" s="4">
        <v>3.5178962</v>
      </c>
    </row>
    <row r="7" spans="1:10" x14ac:dyDescent="0.35">
      <c r="A7">
        <v>3</v>
      </c>
      <c r="B7" s="4">
        <v>3.4920874999999998</v>
      </c>
      <c r="C7" s="4">
        <v>4.2022328</v>
      </c>
      <c r="D7" s="4">
        <v>4.1253779000000002</v>
      </c>
      <c r="G7" s="5">
        <v>46113</v>
      </c>
      <c r="H7" s="4">
        <v>3.4951976</v>
      </c>
      <c r="I7" s="4" cm="1">
        <f t="array" ref="I7:I52">TRANSPOSE('[1]Chart Data'!$E$23:$AX$23)</f>
        <v>3.73</v>
      </c>
      <c r="J7" s="4" cm="1">
        <f t="array" ref="J7:J51">TRANSPOSE('[1]Chart Data'!$E$31:$AW$31)</f>
        <v>3.7286999999999999</v>
      </c>
    </row>
    <row r="8" spans="1:10" x14ac:dyDescent="0.35">
      <c r="A8">
        <v>4</v>
      </c>
      <c r="B8" s="4">
        <v>3.5963880000000001</v>
      </c>
      <c r="C8" s="4">
        <v>4.2487852000000004</v>
      </c>
      <c r="D8" s="4">
        <v>4.1860213000000002</v>
      </c>
      <c r="G8" s="5">
        <v>46143</v>
      </c>
      <c r="H8" s="4">
        <v>3.4552223999999998</v>
      </c>
      <c r="I8" s="4">
        <v>3.7535959999999999</v>
      </c>
      <c r="J8" s="4">
        <v>3.7487876999999998</v>
      </c>
    </row>
    <row r="9" spans="1:10" x14ac:dyDescent="0.35">
      <c r="A9">
        <v>5</v>
      </c>
      <c r="B9" s="4">
        <v>3.7180677000000002</v>
      </c>
      <c r="C9" s="4">
        <v>4.3259169999999996</v>
      </c>
      <c r="D9" s="4">
        <v>4.2743205</v>
      </c>
      <c r="G9" s="5">
        <v>46174</v>
      </c>
      <c r="H9" s="4">
        <v>3.4041663</v>
      </c>
      <c r="I9" s="4">
        <v>3.8469901000000002</v>
      </c>
      <c r="J9" s="4">
        <v>3.8110080000000002</v>
      </c>
    </row>
    <row r="10" spans="1:10" x14ac:dyDescent="0.35">
      <c r="A10">
        <v>6</v>
      </c>
      <c r="B10" s="4">
        <v>3.8481979000000002</v>
      </c>
      <c r="C10" s="4">
        <v>4.4233349999999998</v>
      </c>
      <c r="D10" s="4">
        <v>4.3804289000000001</v>
      </c>
      <c r="G10" s="5">
        <v>46204</v>
      </c>
      <c r="H10" s="4">
        <v>3.3509989</v>
      </c>
      <c r="I10" s="4">
        <v>3.9435361000000002</v>
      </c>
      <c r="J10" s="4">
        <v>3.8765784000000001</v>
      </c>
    </row>
    <row r="11" spans="1:10" x14ac:dyDescent="0.35">
      <c r="A11">
        <v>7</v>
      </c>
      <c r="B11" s="4">
        <v>3.9805372000000001</v>
      </c>
      <c r="C11" s="4">
        <v>4.5316539000000002</v>
      </c>
      <c r="D11" s="4">
        <v>4.4955084999999997</v>
      </c>
      <c r="G11" s="5">
        <v>46235</v>
      </c>
      <c r="H11" s="4">
        <v>3.3038577999999998</v>
      </c>
      <c r="I11" s="4">
        <v>4.0349472999999998</v>
      </c>
      <c r="J11" s="4">
        <v>3.9370481000000002</v>
      </c>
    </row>
    <row r="12" spans="1:10" x14ac:dyDescent="0.35">
      <c r="A12">
        <v>8</v>
      </c>
      <c r="B12" s="4">
        <v>4.1104114000000003</v>
      </c>
      <c r="C12" s="4">
        <v>4.6435199999999996</v>
      </c>
      <c r="D12" s="4">
        <v>4.6127378999999999</v>
      </c>
      <c r="G12" s="5">
        <v>46266</v>
      </c>
      <c r="H12" s="4">
        <v>3.2659639999999999</v>
      </c>
      <c r="I12" s="4">
        <v>4.1107529999999999</v>
      </c>
      <c r="J12" s="4">
        <v>3.9854788999999999</v>
      </c>
    </row>
    <row r="13" spans="1:10" x14ac:dyDescent="0.35">
      <c r="A13">
        <v>9</v>
      </c>
      <c r="B13" s="4">
        <v>4.2347723000000004</v>
      </c>
      <c r="C13" s="4">
        <v>4.7539398999999998</v>
      </c>
      <c r="D13" s="4">
        <v>4.7275513</v>
      </c>
      <c r="G13" s="5">
        <v>46296</v>
      </c>
      <c r="H13" s="4">
        <v>3.2391741999999999</v>
      </c>
      <c r="I13" s="4">
        <v>4.1657421000000001</v>
      </c>
      <c r="J13" s="4">
        <v>4.0194080999999997</v>
      </c>
    </row>
    <row r="14" spans="1:10" x14ac:dyDescent="0.35">
      <c r="A14">
        <v>10</v>
      </c>
      <c r="B14" s="4">
        <v>4.3519306000000002</v>
      </c>
      <c r="C14" s="4">
        <v>4.8598486999999997</v>
      </c>
      <c r="D14" s="4">
        <v>4.8371529000000004</v>
      </c>
      <c r="G14" s="5">
        <v>46327</v>
      </c>
      <c r="H14" s="4">
        <v>3.2229112999999998</v>
      </c>
      <c r="I14" s="4">
        <v>4.2050498000000003</v>
      </c>
      <c r="J14" s="4">
        <v>4.0426574000000004</v>
      </c>
    </row>
    <row r="15" spans="1:10" x14ac:dyDescent="0.35">
      <c r="A15">
        <v>11</v>
      </c>
      <c r="B15" s="4">
        <v>4.4610789000000004</v>
      </c>
      <c r="C15" s="4">
        <v>4.9595000999999996</v>
      </c>
      <c r="D15" s="4">
        <v>4.9399145999999998</v>
      </c>
      <c r="G15" s="5">
        <v>46357</v>
      </c>
      <c r="H15" s="4">
        <v>3.2150986000000001</v>
      </c>
      <c r="I15" s="4">
        <v>4.2327572</v>
      </c>
      <c r="J15" s="4">
        <v>4.0582202000000001</v>
      </c>
    </row>
    <row r="16" spans="1:10" x14ac:dyDescent="0.35">
      <c r="A16">
        <v>12</v>
      </c>
      <c r="B16" s="4">
        <v>4.5618844000000003</v>
      </c>
      <c r="C16" s="4">
        <v>5.0519341999999998</v>
      </c>
      <c r="D16" s="4">
        <v>5.0349130000000004</v>
      </c>
      <c r="G16" s="5">
        <v>46388</v>
      </c>
      <c r="H16" s="4">
        <v>3.2142658000000002</v>
      </c>
      <c r="I16" s="4">
        <v>4.2538675000000001</v>
      </c>
      <c r="J16" s="4">
        <v>4.0697463000000003</v>
      </c>
    </row>
    <row r="17" spans="1:10" x14ac:dyDescent="0.35">
      <c r="A17">
        <v>13</v>
      </c>
      <c r="B17" s="4">
        <v>4.6541997000000004</v>
      </c>
      <c r="C17" s="4">
        <v>5.1365943999999999</v>
      </c>
      <c r="D17" s="4">
        <v>5.1216058000000002</v>
      </c>
      <c r="G17" s="5">
        <v>46419</v>
      </c>
      <c r="H17" s="4">
        <v>3.2181134999999998</v>
      </c>
      <c r="I17" s="4">
        <v>4.2711952999999996</v>
      </c>
      <c r="J17" s="4">
        <v>4.0792662000000002</v>
      </c>
    </row>
    <row r="18" spans="1:10" x14ac:dyDescent="0.35">
      <c r="A18">
        <v>14</v>
      </c>
      <c r="B18" s="4">
        <v>4.7379102</v>
      </c>
      <c r="C18" s="4">
        <v>5.2131270000000001</v>
      </c>
      <c r="D18" s="4">
        <v>5.1996661</v>
      </c>
      <c r="G18" s="5">
        <v>46447</v>
      </c>
      <c r="H18" s="4">
        <v>3.2237811000000001</v>
      </c>
      <c r="I18" s="4">
        <v>4.2852537000000002</v>
      </c>
      <c r="J18" s="4">
        <v>4.0872013000000003</v>
      </c>
    </row>
    <row r="19" spans="1:10" x14ac:dyDescent="0.35">
      <c r="A19">
        <v>15</v>
      </c>
      <c r="B19" s="4">
        <v>4.8129308000000002</v>
      </c>
      <c r="C19" s="4">
        <v>5.2813476000000001</v>
      </c>
      <c r="D19" s="4">
        <v>5.268961</v>
      </c>
      <c r="G19" s="5">
        <v>46478</v>
      </c>
      <c r="H19" s="4">
        <v>3.2304984000000001</v>
      </c>
      <c r="I19" s="4">
        <v>4.2949796999999998</v>
      </c>
      <c r="J19" s="4">
        <v>4.0928193999999998</v>
      </c>
    </row>
    <row r="20" spans="1:10" x14ac:dyDescent="0.35">
      <c r="A20">
        <v>16</v>
      </c>
      <c r="B20" s="4">
        <v>4.8793059000000003</v>
      </c>
      <c r="C20" s="4">
        <v>5.3412875</v>
      </c>
      <c r="D20" s="4">
        <v>5.3295938999999999</v>
      </c>
      <c r="G20" s="5">
        <v>46508</v>
      </c>
      <c r="H20" s="4">
        <v>3.2381883999999999</v>
      </c>
      <c r="I20" s="4">
        <v>4.2986136000000004</v>
      </c>
      <c r="J20" s="4">
        <v>4.0946369999999996</v>
      </c>
    </row>
    <row r="21" spans="1:10" x14ac:dyDescent="0.35">
      <c r="A21">
        <v>17</v>
      </c>
      <c r="B21" s="4">
        <v>4.9372502999999996</v>
      </c>
      <c r="C21" s="4">
        <v>5.3931825</v>
      </c>
      <c r="D21" s="4">
        <v>5.3818843999999997</v>
      </c>
      <c r="G21" s="5">
        <v>46539</v>
      </c>
      <c r="H21" s="4">
        <v>3.2467744000000001</v>
      </c>
      <c r="I21" s="4">
        <v>4.2963149999999999</v>
      </c>
      <c r="J21" s="4">
        <v>4.0926787999999998</v>
      </c>
    </row>
    <row r="22" spans="1:10" x14ac:dyDescent="0.35">
      <c r="A22">
        <v>18</v>
      </c>
      <c r="B22" s="4">
        <v>4.9871565999999996</v>
      </c>
      <c r="C22" s="4">
        <v>5.4374466000000004</v>
      </c>
      <c r="D22" s="4">
        <v>5.4263310000000002</v>
      </c>
      <c r="G22" s="5">
        <v>46569</v>
      </c>
      <c r="H22" s="4">
        <v>3.2561795999999998</v>
      </c>
      <c r="I22" s="4">
        <v>4.2887814999999998</v>
      </c>
      <c r="J22" s="4">
        <v>4.0874071000000001</v>
      </c>
    </row>
    <row r="23" spans="1:10" x14ac:dyDescent="0.35">
      <c r="A23">
        <v>19</v>
      </c>
      <c r="B23" s="4">
        <v>5.0296156999999999</v>
      </c>
      <c r="C23" s="4">
        <v>5.4746727000000002</v>
      </c>
      <c r="D23" s="4">
        <v>5.4636031999999997</v>
      </c>
      <c r="G23" s="5">
        <v>46600</v>
      </c>
      <c r="H23" s="4">
        <v>3.266327</v>
      </c>
      <c r="I23" s="4">
        <v>4.2767105000000001</v>
      </c>
      <c r="J23" s="4">
        <v>4.0792840999999997</v>
      </c>
    </row>
    <row r="24" spans="1:10" x14ac:dyDescent="0.35">
      <c r="A24">
        <v>20</v>
      </c>
      <c r="B24" s="4">
        <v>5.0653721000000003</v>
      </c>
      <c r="C24" s="4">
        <v>5.5055738999999999</v>
      </c>
      <c r="D24" s="4">
        <v>5.4944794000000003</v>
      </c>
      <c r="G24" s="5">
        <v>46631</v>
      </c>
      <c r="H24" s="4">
        <v>3.2771436999999999</v>
      </c>
      <c r="I24" s="4">
        <v>4.2607998</v>
      </c>
      <c r="J24" s="4">
        <v>4.0687720000000001</v>
      </c>
    </row>
    <row r="25" spans="1:10" x14ac:dyDescent="0.35">
      <c r="A25">
        <v>21</v>
      </c>
      <c r="B25" s="4">
        <v>5.0952111000000002</v>
      </c>
      <c r="C25" s="4">
        <v>5.5308783999999998</v>
      </c>
      <c r="D25" s="4">
        <v>5.5197417</v>
      </c>
      <c r="G25" s="5">
        <v>46661</v>
      </c>
      <c r="H25" s="4">
        <v>3.2885697999999999</v>
      </c>
      <c r="I25" s="4">
        <v>4.2417467000000002</v>
      </c>
      <c r="J25" s="4">
        <v>4.0563330999999998</v>
      </c>
    </row>
    <row r="26" spans="1:10" x14ac:dyDescent="0.35">
      <c r="A26">
        <v>22</v>
      </c>
      <c r="B26" s="4">
        <v>5.1198648000000002</v>
      </c>
      <c r="C26" s="4">
        <v>5.5512490000000003</v>
      </c>
      <c r="D26" s="4">
        <v>5.5400957999999996</v>
      </c>
      <c r="G26" s="5">
        <v>46692</v>
      </c>
      <c r="H26" s="4">
        <v>3.3005477000000001</v>
      </c>
      <c r="I26" s="4">
        <v>4.2202548999999996</v>
      </c>
      <c r="J26" s="4">
        <v>4.0424413000000001</v>
      </c>
    </row>
    <row r="27" spans="1:10" x14ac:dyDescent="0.35">
      <c r="A27">
        <v>23</v>
      </c>
      <c r="B27" s="4">
        <v>5.1399584999999997</v>
      </c>
      <c r="C27" s="4">
        <v>5.5672398000000003</v>
      </c>
      <c r="D27" s="4">
        <v>5.5561265999999998</v>
      </c>
      <c r="G27" s="5">
        <v>46722</v>
      </c>
      <c r="H27" s="4">
        <v>3.3130202999999998</v>
      </c>
      <c r="I27" s="4">
        <v>4.1970586000000001</v>
      </c>
      <c r="J27" s="4">
        <v>4.0276293000000001</v>
      </c>
    </row>
    <row r="28" spans="1:10" x14ac:dyDescent="0.35">
      <c r="A28">
        <v>24</v>
      </c>
      <c r="B28" s="4">
        <v>5.1559821000000001</v>
      </c>
      <c r="C28" s="4">
        <v>5.5792755999999999</v>
      </c>
      <c r="D28" s="4">
        <v>5.5682786000000002</v>
      </c>
      <c r="G28" s="5">
        <v>46753</v>
      </c>
      <c r="H28" s="4">
        <v>3.3259305000000001</v>
      </c>
      <c r="I28" s="4">
        <v>4.1729016000000003</v>
      </c>
      <c r="J28" s="4">
        <v>4.0124485999999999</v>
      </c>
    </row>
    <row r="29" spans="1:10" x14ac:dyDescent="0.35">
      <c r="A29">
        <v>25</v>
      </c>
      <c r="B29" s="4">
        <v>5.1682872</v>
      </c>
      <c r="C29" s="4">
        <v>5.5876524999999999</v>
      </c>
      <c r="D29" s="4">
        <v>5.5768563999999996</v>
      </c>
      <c r="G29" s="5">
        <v>46784</v>
      </c>
      <c r="H29" s="4">
        <v>3.3392208000000001</v>
      </c>
      <c r="I29" s="4">
        <v>4.1485279000000004</v>
      </c>
      <c r="J29" s="4">
        <v>3.9974509999999999</v>
      </c>
    </row>
    <row r="30" spans="1:10" x14ac:dyDescent="0.35">
      <c r="A30">
        <v>26</v>
      </c>
      <c r="B30" s="4">
        <v>5.1770940000000003</v>
      </c>
      <c r="C30" s="4">
        <v>5.5925482999999998</v>
      </c>
      <c r="D30" s="4">
        <v>5.5820369000000003</v>
      </c>
      <c r="G30" s="5">
        <v>46813</v>
      </c>
      <c r="H30" s="4">
        <v>3.3528378000000001</v>
      </c>
      <c r="I30" s="4">
        <v>4.1246814000000001</v>
      </c>
      <c r="J30" s="4">
        <v>3.9831881</v>
      </c>
    </row>
    <row r="31" spans="1:10" x14ac:dyDescent="0.35">
      <c r="A31">
        <v>27</v>
      </c>
      <c r="B31" s="4">
        <v>5.1825131999999998</v>
      </c>
      <c r="C31" s="4">
        <v>5.5940466999999998</v>
      </c>
      <c r="D31" s="4">
        <v>5.5838964999999998</v>
      </c>
      <c r="G31" s="5">
        <v>46844</v>
      </c>
      <c r="H31" s="4">
        <v>3.3667444</v>
      </c>
      <c r="I31" s="4">
        <v>4.102106</v>
      </c>
      <c r="J31" s="4">
        <v>3.9702115</v>
      </c>
    </row>
    <row r="32" spans="1:10" x14ac:dyDescent="0.35">
      <c r="A32">
        <v>28</v>
      </c>
      <c r="B32" s="4">
        <v>5.1845847000000003</v>
      </c>
      <c r="C32" s="4">
        <v>5.5921748999999998</v>
      </c>
      <c r="D32" s="4">
        <v>5.5824501</v>
      </c>
      <c r="G32" s="5">
        <v>46874</v>
      </c>
      <c r="H32" s="4">
        <v>3.3809076</v>
      </c>
      <c r="I32" s="4">
        <v>4.0814382</v>
      </c>
      <c r="J32" s="4">
        <v>3.9589872000000002</v>
      </c>
    </row>
    <row r="33" spans="1:10" x14ac:dyDescent="0.35">
      <c r="A33">
        <v>29</v>
      </c>
      <c r="B33" s="4">
        <v>5.1833144000000004</v>
      </c>
      <c r="C33" s="4">
        <v>5.5869388999999998</v>
      </c>
      <c r="D33" s="4">
        <v>5.5776887999999998</v>
      </c>
      <c r="G33" s="5">
        <v>46905</v>
      </c>
      <c r="H33" s="4">
        <v>3.3952949000000001</v>
      </c>
      <c r="I33" s="4">
        <v>4.0627896000000003</v>
      </c>
      <c r="J33" s="4">
        <v>3.9495632000000001</v>
      </c>
    </row>
    <row r="34" spans="1:10" x14ac:dyDescent="0.35">
      <c r="A34">
        <v>30</v>
      </c>
      <c r="B34" s="4">
        <v>5.1786989999999999</v>
      </c>
      <c r="C34" s="4">
        <v>5.5783462999999998</v>
      </c>
      <c r="D34" s="4">
        <v>5.5696038999999997</v>
      </c>
      <c r="G34" s="5">
        <v>46935</v>
      </c>
      <c r="H34" s="4">
        <v>3.4098736999999999</v>
      </c>
      <c r="I34" s="4">
        <v>4.0461124000000002</v>
      </c>
      <c r="J34" s="4">
        <v>3.9418603999999999</v>
      </c>
    </row>
    <row r="35" spans="1:10" x14ac:dyDescent="0.35">
      <c r="G35" s="5">
        <v>46966</v>
      </c>
      <c r="H35" s="4">
        <v>3.4246110000000001</v>
      </c>
      <c r="I35" s="4">
        <v>4.0313587000000002</v>
      </c>
      <c r="J35" s="4">
        <v>3.9357999000000001</v>
      </c>
    </row>
    <row r="36" spans="1:10" x14ac:dyDescent="0.35">
      <c r="G36" s="5">
        <v>46997</v>
      </c>
      <c r="H36" s="4">
        <v>3.4394741999999998</v>
      </c>
      <c r="I36" s="4">
        <v>4.0184804999999999</v>
      </c>
      <c r="J36" s="4">
        <v>3.9313025000000001</v>
      </c>
    </row>
    <row r="37" spans="1:10" x14ac:dyDescent="0.35">
      <c r="G37" s="5">
        <v>47027</v>
      </c>
      <c r="H37" s="4">
        <v>3.4544309000000002</v>
      </c>
      <c r="I37" s="4">
        <v>4.0074300999999997</v>
      </c>
      <c r="J37" s="4">
        <v>3.9282891000000002</v>
      </c>
    </row>
    <row r="38" spans="1:10" x14ac:dyDescent="0.35">
      <c r="G38" s="5">
        <v>47058</v>
      </c>
      <c r="H38" s="4">
        <v>3.4694479</v>
      </c>
      <c r="I38" s="4">
        <v>3.9981594999999999</v>
      </c>
      <c r="J38" s="4">
        <v>3.9266806999999999</v>
      </c>
    </row>
    <row r="39" spans="1:10" x14ac:dyDescent="0.35">
      <c r="G39" s="5">
        <v>47088</v>
      </c>
      <c r="H39" s="4">
        <v>3.4844928999999998</v>
      </c>
      <c r="I39" s="4">
        <v>3.9906207999999999</v>
      </c>
      <c r="J39" s="4">
        <v>3.9263981999999999</v>
      </c>
    </row>
    <row r="40" spans="1:10" x14ac:dyDescent="0.35">
      <c r="G40" s="5">
        <v>47119</v>
      </c>
      <c r="H40" s="4">
        <v>3.4995330999999998</v>
      </c>
      <c r="I40" s="4">
        <v>3.9847660999999999</v>
      </c>
      <c r="J40" s="4">
        <v>3.9273625000000001</v>
      </c>
    </row>
    <row r="41" spans="1:10" x14ac:dyDescent="0.35">
      <c r="G41" s="5">
        <v>47150</v>
      </c>
      <c r="H41" s="4">
        <v>3.5145355999999999</v>
      </c>
      <c r="I41" s="4">
        <v>3.9805476</v>
      </c>
      <c r="J41" s="4">
        <v>3.9294945999999999</v>
      </c>
    </row>
    <row r="42" spans="1:10" x14ac:dyDescent="0.35">
      <c r="G42" s="5">
        <v>47178</v>
      </c>
      <c r="H42" s="4">
        <v>3.5294737999999999</v>
      </c>
      <c r="I42" s="4">
        <v>3.9779173000000001</v>
      </c>
      <c r="J42" s="4">
        <v>3.9327152999999999</v>
      </c>
    </row>
    <row r="43" spans="1:10" x14ac:dyDescent="0.35">
      <c r="G43" s="5">
        <v>47209</v>
      </c>
      <c r="H43" s="4">
        <v>3.5443470000000001</v>
      </c>
      <c r="I43" s="4">
        <v>3.9768273999999999</v>
      </c>
      <c r="J43" s="4">
        <v>3.9369456</v>
      </c>
    </row>
    <row r="44" spans="1:10" x14ac:dyDescent="0.35">
      <c r="G44" s="5">
        <v>47239</v>
      </c>
      <c r="H44" s="4">
        <v>3.5591615000000001</v>
      </c>
      <c r="I44" s="4">
        <v>3.9772242000000002</v>
      </c>
      <c r="J44" s="4">
        <v>3.9421089</v>
      </c>
    </row>
    <row r="45" spans="1:10" x14ac:dyDescent="0.35">
      <c r="G45" s="5">
        <v>47270</v>
      </c>
      <c r="H45" s="4">
        <v>3.5739236999999999</v>
      </c>
      <c r="I45" s="4">
        <v>3.9790264</v>
      </c>
      <c r="J45" s="4">
        <v>3.9481392999999998</v>
      </c>
    </row>
    <row r="46" spans="1:10" x14ac:dyDescent="0.35">
      <c r="G46" s="5">
        <v>47300</v>
      </c>
      <c r="H46" s="4">
        <v>3.5886404000000001</v>
      </c>
      <c r="I46" s="4">
        <v>3.9821442</v>
      </c>
      <c r="J46" s="4">
        <v>3.9549740999999998</v>
      </c>
    </row>
    <row r="47" spans="1:10" x14ac:dyDescent="0.35">
      <c r="G47" s="5">
        <v>47331</v>
      </c>
      <c r="H47" s="4">
        <v>3.6033175000000002</v>
      </c>
      <c r="I47" s="4">
        <v>3.9864879000000002</v>
      </c>
      <c r="J47" s="4">
        <v>3.9625506000000001</v>
      </c>
    </row>
    <row r="48" spans="1:10" x14ac:dyDescent="0.35">
      <c r="G48" s="5">
        <v>47362</v>
      </c>
      <c r="H48" s="4">
        <v>3.6179619000000001</v>
      </c>
      <c r="I48" s="4">
        <v>3.9919676000000002</v>
      </c>
      <c r="J48" s="4">
        <v>3.9708057999999999</v>
      </c>
    </row>
    <row r="49" spans="7:10" x14ac:dyDescent="0.35">
      <c r="G49" s="5">
        <v>47392</v>
      </c>
      <c r="H49" s="4">
        <v>3.6325799000000001</v>
      </c>
      <c r="I49" s="4">
        <v>3.9984936000000002</v>
      </c>
      <c r="J49" s="4">
        <v>3.9796770000000001</v>
      </c>
    </row>
    <row r="50" spans="7:10" x14ac:dyDescent="0.35">
      <c r="G50" s="5">
        <v>47423</v>
      </c>
      <c r="H50" s="4">
        <v>3.6471779</v>
      </c>
      <c r="I50" s="4">
        <v>4.0059759000000001</v>
      </c>
      <c r="J50" s="4">
        <v>3.9891014999999999</v>
      </c>
    </row>
    <row r="51" spans="7:10" x14ac:dyDescent="0.35">
      <c r="G51" s="5">
        <v>47453</v>
      </c>
      <c r="H51" s="4">
        <v>3.6617622999999999</v>
      </c>
      <c r="I51" s="4">
        <v>4.0143250000000004</v>
      </c>
      <c r="J51" s="4">
        <v>3.9990163000000001</v>
      </c>
    </row>
    <row r="52" spans="7:10" x14ac:dyDescent="0.35">
      <c r="I52">
        <v>4.0234508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HAVERD</vt:lpstr>
      <vt:lpstr>Chart Data</vt:lpstr>
      <vt:lpstr>Chart1</vt:lpstr>
      <vt:lpstr>Chart2</vt:lpstr>
      <vt:lpstr>Chart1 (2)</vt:lpstr>
      <vt:lpstr>_DLX1.INC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Allenby</dc:creator>
  <cp:lastModifiedBy>Edward Allenby</cp:lastModifiedBy>
  <dcterms:created xsi:type="dcterms:W3CDTF">2026-04-09T21:10:36Z</dcterms:created>
  <dcterms:modified xsi:type="dcterms:W3CDTF">2026-04-10T10:47:25Z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2026-04-09T21:14:20Z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  <property fmtid="{D5CDD505-2E9C-101B-9397-08002B2CF9AE}" pid="7" name="MSIP_Label_231f5784-19ed-4d1e-9a93-4ea41014d730_ActionId">
    <vt:lpwstr>be8a1839-aba4-4783-9ef8-0bac395f00f1</vt:lpwstr>
  </property>
  <property fmtid="{D5CDD505-2E9C-101B-9397-08002B2CF9AE}" pid="8" name="MSIP_Label_231f5784-19ed-4d1e-9a93-4ea41014d730_ContentBits">
    <vt:lpwstr>0</vt:lpwstr>
  </property>
  <property fmtid="{D5CDD505-2E9C-101B-9397-08002B2CF9AE}" pid="9" name="MSIP_Label_231f5784-19ed-4d1e-9a93-4ea41014d730_Tag">
    <vt:lpwstr>10, 0, 1, 1</vt:lpwstr>
  </property>
</Properties>
</file>