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UK Team\UK Weekly\"/>
    </mc:Choice>
  </mc:AlternateContent>
  <xr:revisionPtr revIDLastSave="0" documentId="13_ncr:1_{EC1B21F1-7E32-43EE-8571-A080599A5BCC}" xr6:coauthVersionLast="47" xr6:coauthVersionMax="47" xr10:uidLastSave="{00000000-0000-0000-0000-000000000000}"/>
  <bookViews>
    <workbookView xWindow="-120" yWindow="-120" windowWidth="29040" windowHeight="15720" xr2:uid="{E58769CA-E08B-45B6-87D3-F360D02520E4}"/>
  </bookViews>
  <sheets>
    <sheet name="Chart1" sheetId="5" r:id="rId1"/>
    <sheet name="Chart2" sheetId="4" r:id="rId2"/>
    <sheet name="Chart Data" sheetId="3" r:id="rId3"/>
    <sheet name="data" sheetId="1" r:id="rId4"/>
    <sheet name="HAVER" sheetId="2" r:id="rId5"/>
  </sheets>
  <externalReferences>
    <externalReference r:id="rId6"/>
  </externalReferences>
  <definedNames>
    <definedName name="_DLX1.INC">HAVER!$A$1:$B$6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4" i="3" l="1"/>
  <c r="O122" i="3"/>
  <c r="N122" i="3"/>
  <c r="K122" i="3"/>
  <c r="L122" i="3" s="1"/>
  <c r="K121" i="3"/>
  <c r="K120" i="3"/>
  <c r="K119" i="3"/>
  <c r="K118" i="3"/>
  <c r="K117" i="3"/>
  <c r="K116" i="3"/>
  <c r="K115" i="3"/>
  <c r="K114" i="3"/>
  <c r="K113" i="3"/>
  <c r="K112" i="3"/>
  <c r="K111" i="3"/>
  <c r="K110" i="3"/>
  <c r="L110" i="3" s="1"/>
  <c r="K109" i="3"/>
  <c r="K108" i="3"/>
  <c r="K107" i="3"/>
  <c r="K106" i="3"/>
  <c r="K105" i="3"/>
  <c r="K104" i="3"/>
  <c r="K103" i="3"/>
  <c r="K102" i="3"/>
  <c r="K101" i="3"/>
  <c r="K100" i="3"/>
  <c r="K99" i="3"/>
  <c r="K98" i="3"/>
  <c r="L98" i="3" s="1"/>
  <c r="K97" i="3"/>
  <c r="K96" i="3"/>
  <c r="K95" i="3"/>
  <c r="K94" i="3"/>
  <c r="K93" i="3"/>
  <c r="K92" i="3"/>
  <c r="K91" i="3"/>
  <c r="K90" i="3"/>
  <c r="K89" i="3"/>
  <c r="K88" i="3"/>
  <c r="K87" i="3"/>
  <c r="K86" i="3"/>
  <c r="L86" i="3" s="1"/>
  <c r="K85" i="3"/>
  <c r="K84" i="3"/>
  <c r="K83" i="3"/>
  <c r="K82" i="3"/>
  <c r="K81" i="3"/>
  <c r="K80" i="3"/>
  <c r="K79" i="3"/>
  <c r="K78" i="3"/>
  <c r="K77" i="3"/>
  <c r="K76" i="3"/>
  <c r="K75" i="3"/>
  <c r="K74" i="3"/>
  <c r="L74" i="3" s="1"/>
  <c r="K73" i="3"/>
  <c r="K72" i="3"/>
  <c r="K71" i="3"/>
  <c r="K70" i="3"/>
  <c r="K69" i="3"/>
  <c r="K68" i="3"/>
  <c r="K67" i="3"/>
  <c r="K66" i="3"/>
  <c r="K65" i="3"/>
  <c r="K64" i="3"/>
  <c r="K63" i="3"/>
  <c r="K62" i="3"/>
  <c r="L62" i="3" s="1"/>
  <c r="K61" i="3"/>
  <c r="K60" i="3"/>
  <c r="K59" i="3"/>
  <c r="K58" i="3"/>
  <c r="K57" i="3"/>
  <c r="K56" i="3"/>
  <c r="K55" i="3"/>
  <c r="K54" i="3"/>
  <c r="K53" i="3"/>
  <c r="K52" i="3"/>
  <c r="K51" i="3"/>
  <c r="K50" i="3"/>
  <c r="L50" i="3" s="1"/>
  <c r="K49" i="3"/>
  <c r="K48" i="3"/>
  <c r="K47" i="3"/>
  <c r="K46" i="3"/>
  <c r="K45" i="3"/>
  <c r="K44" i="3"/>
  <c r="K43" i="3"/>
  <c r="K42" i="3"/>
  <c r="K41" i="3"/>
  <c r="K40" i="3"/>
  <c r="K39" i="3"/>
  <c r="K38" i="3"/>
  <c r="L38" i="3" s="1"/>
  <c r="K37" i="3"/>
  <c r="K36" i="3"/>
  <c r="K35" i="3"/>
  <c r="K34" i="3"/>
  <c r="K33" i="3"/>
  <c r="K32" i="3"/>
  <c r="K31" i="3"/>
  <c r="K30" i="3"/>
  <c r="K29" i="3"/>
  <c r="K28" i="3"/>
  <c r="K27" i="3"/>
  <c r="L26" i="3"/>
  <c r="K26" i="3"/>
  <c r="K25" i="3"/>
  <c r="K24" i="3"/>
  <c r="K23" i="3"/>
  <c r="K22" i="3"/>
  <c r="K21" i="3"/>
  <c r="K20" i="3"/>
  <c r="K19" i="3"/>
  <c r="K18" i="3"/>
  <c r="K17" i="3"/>
  <c r="K16" i="3"/>
  <c r="K15" i="3"/>
  <c r="K14" i="3"/>
  <c r="L14" i="3" s="1"/>
  <c r="K13" i="3"/>
  <c r="K12" i="3"/>
  <c r="K11" i="3"/>
  <c r="K10" i="3"/>
  <c r="K9" i="3"/>
  <c r="K8" i="3"/>
  <c r="K7" i="3"/>
  <c r="K6" i="3"/>
  <c r="K5" i="3"/>
  <c r="K4" i="3"/>
  <c r="K3" i="3"/>
  <c r="C3" i="3"/>
  <c r="D3" i="3" s="1"/>
  <c r="C4" i="3"/>
  <c r="C5" i="3"/>
  <c r="D5" i="3" s="1"/>
  <c r="C6" i="3"/>
  <c r="C7" i="3"/>
  <c r="C8" i="3"/>
  <c r="C9" i="3"/>
  <c r="D9" i="3"/>
  <c r="C10" i="3"/>
  <c r="C11" i="3"/>
  <c r="C12" i="3"/>
  <c r="C13" i="3"/>
  <c r="C14" i="3"/>
  <c r="C15" i="3"/>
  <c r="C16" i="3"/>
  <c r="C17" i="3"/>
  <c r="C18" i="3"/>
  <c r="C19" i="3"/>
  <c r="C20" i="3"/>
  <c r="D20" i="3" s="1"/>
  <c r="C21" i="3"/>
  <c r="D21" i="3" s="1"/>
  <c r="C22" i="3"/>
  <c r="D22" i="3" s="1"/>
  <c r="C23" i="3"/>
  <c r="C24" i="3"/>
  <c r="C25" i="3"/>
  <c r="C26" i="3"/>
  <c r="D26" i="3" s="1"/>
  <c r="C27" i="3"/>
  <c r="D27" i="3" s="1"/>
  <c r="C28" i="3"/>
  <c r="D28" i="3" s="1"/>
  <c r="C29" i="3"/>
  <c r="D29" i="3" s="1"/>
  <c r="C30" i="3"/>
  <c r="C31" i="3"/>
  <c r="C32" i="3"/>
  <c r="C33" i="3"/>
  <c r="D33" i="3"/>
  <c r="C34" i="3"/>
  <c r="D34" i="3" s="1"/>
  <c r="C35" i="3"/>
  <c r="D35" i="3" s="1"/>
  <c r="C36" i="3"/>
  <c r="C37" i="3"/>
  <c r="D37" i="3" s="1"/>
  <c r="C38" i="3"/>
  <c r="C39" i="3"/>
  <c r="C40" i="3"/>
  <c r="C41" i="3"/>
  <c r="D41" i="3"/>
  <c r="C42" i="3"/>
  <c r="C43" i="3"/>
  <c r="C44" i="3"/>
  <c r="C45" i="3"/>
  <c r="C46" i="3"/>
  <c r="C47" i="3"/>
  <c r="C48" i="3"/>
  <c r="C49" i="3"/>
  <c r="C50" i="3"/>
  <c r="C51" i="3"/>
  <c r="C52" i="3"/>
  <c r="D52" i="3" s="1"/>
  <c r="C53" i="3"/>
  <c r="D53" i="3" s="1"/>
  <c r="C54" i="3"/>
  <c r="D54" i="3" s="1"/>
  <c r="C55" i="3"/>
  <c r="C56" i="3"/>
  <c r="C57" i="3"/>
  <c r="C58" i="3"/>
  <c r="D58" i="3" s="1"/>
  <c r="C59" i="3"/>
  <c r="D59" i="3" s="1"/>
  <c r="C60" i="3"/>
  <c r="D60" i="3" s="1"/>
  <c r="C61" i="3"/>
  <c r="D61" i="3" s="1"/>
  <c r="C62" i="3"/>
  <c r="C63" i="3"/>
  <c r="C64" i="3"/>
  <c r="C65" i="3"/>
  <c r="D65" i="3"/>
  <c r="C66" i="3"/>
  <c r="D66" i="3" s="1"/>
  <c r="C67" i="3"/>
  <c r="D67" i="3" s="1"/>
  <c r="C2" i="3"/>
  <c r="B3" i="3"/>
  <c r="B4" i="3"/>
  <c r="B5" i="3"/>
  <c r="B6" i="3"/>
  <c r="B7" i="3"/>
  <c r="B8" i="3"/>
  <c r="B9" i="3"/>
  <c r="B10" i="3"/>
  <c r="B11" i="3"/>
  <c r="B12" i="3"/>
  <c r="B13" i="3"/>
  <c r="D13" i="3" s="1"/>
  <c r="B14" i="3"/>
  <c r="B15" i="3"/>
  <c r="B16" i="3"/>
  <c r="B17" i="3"/>
  <c r="D17" i="3" s="1"/>
  <c r="B18" i="3"/>
  <c r="B19" i="3"/>
  <c r="B20" i="3"/>
  <c r="B21" i="3"/>
  <c r="B22" i="3"/>
  <c r="B23" i="3"/>
  <c r="B24" i="3"/>
  <c r="B25" i="3"/>
  <c r="D25" i="3" s="1"/>
  <c r="B26" i="3"/>
  <c r="B27" i="3"/>
  <c r="B28" i="3"/>
  <c r="B29" i="3"/>
  <c r="B30" i="3"/>
  <c r="B31" i="3"/>
  <c r="B32" i="3"/>
  <c r="B33" i="3"/>
  <c r="B34" i="3"/>
  <c r="B35" i="3"/>
  <c r="B36" i="3"/>
  <c r="B37" i="3"/>
  <c r="B38" i="3"/>
  <c r="B39" i="3"/>
  <c r="B40" i="3"/>
  <c r="B41" i="3"/>
  <c r="B42" i="3"/>
  <c r="B43" i="3"/>
  <c r="B44" i="3"/>
  <c r="B45" i="3"/>
  <c r="D45" i="3" s="1"/>
  <c r="B46" i="3"/>
  <c r="B47" i="3"/>
  <c r="B48" i="3"/>
  <c r="B49" i="3"/>
  <c r="D49" i="3" s="1"/>
  <c r="B50" i="3"/>
  <c r="B51" i="3"/>
  <c r="B52" i="3"/>
  <c r="B53" i="3"/>
  <c r="B54" i="3"/>
  <c r="B55" i="3"/>
  <c r="B56" i="3"/>
  <c r="B57" i="3"/>
  <c r="D57" i="3" s="1"/>
  <c r="B58" i="3"/>
  <c r="B59" i="3"/>
  <c r="B60" i="3"/>
  <c r="B61" i="3"/>
  <c r="B62" i="3"/>
  <c r="B63" i="3"/>
  <c r="B64" i="3"/>
  <c r="B65" i="3"/>
  <c r="B66" i="3"/>
  <c r="B67" i="3"/>
  <c r="B68" i="3"/>
  <c r="B69" i="3"/>
  <c r="B70" i="3"/>
  <c r="B71" i="3"/>
  <c r="B72" i="3"/>
  <c r="B73" i="3"/>
  <c r="D2" i="3" l="1"/>
  <c r="E61" i="3" s="1"/>
  <c r="D47" i="3"/>
  <c r="D15" i="3"/>
  <c r="D40" i="3"/>
  <c r="D64" i="3"/>
  <c r="D51" i="3"/>
  <c r="D38" i="3"/>
  <c r="D32" i="3"/>
  <c r="D19" i="3"/>
  <c r="D6" i="3"/>
  <c r="D7" i="3"/>
  <c r="D63" i="3"/>
  <c r="D50" i="3"/>
  <c r="D44" i="3"/>
  <c r="D31" i="3"/>
  <c r="D18" i="3"/>
  <c r="D12" i="3"/>
  <c r="D46" i="3"/>
  <c r="D8" i="3"/>
  <c r="D62" i="3"/>
  <c r="D56" i="3"/>
  <c r="D43" i="3"/>
  <c r="D30" i="3"/>
  <c r="D24" i="3"/>
  <c r="D11" i="3"/>
  <c r="D48" i="3"/>
  <c r="D14" i="3"/>
  <c r="D39" i="3"/>
  <c r="D55" i="3"/>
  <c r="D42" i="3"/>
  <c r="D36" i="3"/>
  <c r="D23" i="3"/>
  <c r="D10" i="3"/>
  <c r="D4" i="3"/>
  <c r="D16" i="3"/>
  <c r="L125" i="3"/>
  <c r="B2" i="3"/>
</calcChain>
</file>

<file path=xl/sharedStrings.xml><?xml version="1.0" encoding="utf-8"?>
<sst xmlns="http://schemas.openxmlformats.org/spreadsheetml/2006/main" count="415" uniqueCount="411">
  <si>
    <t/>
  </si>
  <si>
    <t>Figure 2: The CPI annual inflation rate was 0.03 percentage points lower on average when groceries scanner data were included</t>
  </si>
  <si>
    <t>Indicative impact of implementing groceries scanner data on the Consumer Prices Index (CPI) 12-month rate (including 2025 methods improvements), UK, January 2020 to June 2025</t>
  </si>
  <si>
    <t>Notes</t>
  </si>
  <si>
    <t>1. The data in this chart have been rounded to one decimal place to clearly show which periods the headline annual inflation rate would have been unchanged or different at the one decimal place level commonly used when reporting annual inflation rates.</t>
  </si>
  <si>
    <t>Unit</t>
  </si>
  <si>
    <t>Percentage (%), percentage (%) and percentage point (pp)</t>
  </si>
  <si>
    <t>period</t>
  </si>
  <si>
    <t>CPI (2025 improvements)</t>
  </si>
  <si>
    <t>CPI (introducing groceries scanner data)</t>
  </si>
  <si>
    <t>Impact of introducing groceries scanner data</t>
  </si>
  <si>
    <t>Jan 2020</t>
  </si>
  <si>
    <t>1.6</t>
  </si>
  <si>
    <t>0.0</t>
  </si>
  <si>
    <t>Feb 2020</t>
  </si>
  <si>
    <t>Mar 2020</t>
  </si>
  <si>
    <t>Apr 2020</t>
  </si>
  <si>
    <t>May 2020</t>
  </si>
  <si>
    <t>June 2020</t>
  </si>
  <si>
    <t>July 2020</t>
  </si>
  <si>
    <t>Aug 2020</t>
  </si>
  <si>
    <t>Sep 2020</t>
  </si>
  <si>
    <t>Oct 2020</t>
  </si>
  <si>
    <t>Nov 2020</t>
  </si>
  <si>
    <t>Dec 2020</t>
  </si>
  <si>
    <t>Jan 2021</t>
  </si>
  <si>
    <t>Feb 2021</t>
  </si>
  <si>
    <t>Mar 2021</t>
  </si>
  <si>
    <t>Apr 2021</t>
  </si>
  <si>
    <t>May 2021</t>
  </si>
  <si>
    <t>June 2021</t>
  </si>
  <si>
    <t>July 2021</t>
  </si>
  <si>
    <t>Aug 2021</t>
  </si>
  <si>
    <t>Sep 2021</t>
  </si>
  <si>
    <t>Oct 2021</t>
  </si>
  <si>
    <t>Nov 2021</t>
  </si>
  <si>
    <t>Dec 2021</t>
  </si>
  <si>
    <t>Jan 2022</t>
  </si>
  <si>
    <t>Feb 2022</t>
  </si>
  <si>
    <t>Mar 2022</t>
  </si>
  <si>
    <t>Apr 2022</t>
  </si>
  <si>
    <t>May 2022</t>
  </si>
  <si>
    <t>June 2022</t>
  </si>
  <si>
    <t>July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</si>
  <si>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</si>
  <si>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</si>
  <si>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</si>
  <si>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</si>
  <si>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</si>
  <si>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</si>
  <si>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</si>
  <si>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</si>
  <si>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</si>
  <si>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</si>
  <si>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</si>
  <si>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</si>
  <si>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</si>
  <si>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</si>
  <si>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</si>
  <si>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</si>
  <si>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</si>
  <si>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</si>
  <si>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</si>
  <si>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</si>
  <si>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</si>
  <si>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</si>
  <si>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June 2024</t>
  </si>
  <si>
    <t>July 2024</t>
  </si>
  <si>
    <t>Aug 2024</t>
  </si>
  <si>
    <t>Sep 2024</t>
  </si>
  <si>
    <t>Oct 2024</t>
  </si>
  <si>
    <t>Nov 2024</t>
  </si>
  <si>
    <t>Dec 2024</t>
  </si>
  <si>
    <t>Jan 2025</t>
  </si>
  <si>
    <t>Feb 2025</t>
  </si>
  <si>
    <t>Mar 2025</t>
  </si>
  <si>
    <t>Apr 2025</t>
  </si>
  <si>
    <t>May 2025</t>
  </si>
  <si>
    <t>June 2025</t>
  </si>
  <si>
    <t>201001 !M</t>
  </si>
  <si>
    <t>201001</t>
  </si>
  <si>
    <t>.DTLM</t>
  </si>
  <si>
    <t>.LSOURCE</t>
  </si>
  <si>
    <t>.TN</t>
  </si>
  <si>
    <t>.T1</t>
  </si>
  <si>
    <t>.DESC</t>
  </si>
  <si>
    <t>Jan-21-2026 07:02</t>
  </si>
  <si>
    <t>Office for National Statistics</t>
  </si>
  <si>
    <t>Dec-2025</t>
  </si>
  <si>
    <t>Jan-1988</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</si>
  <si>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</si>
  <si>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</si>
  <si>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</si>
  <si>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</si>
  <si>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</si>
  <si>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</si>
  <si>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</si>
  <si>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</si>
  <si>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</si>
  <si>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</si>
  <si>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</si>
  <si>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</si>
  <si>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</si>
  <si>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</si>
  <si>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</si>
  <si>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</si>
  <si>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</si>
  <si>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</si>
  <si>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</si>
  <si>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</si>
  <si>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</si>
  <si>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</si>
  <si>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</si>
  <si>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</si>
  <si>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</si>
  <si>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</si>
  <si>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</si>
  <si>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</si>
  <si>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</si>
  <si>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</si>
  <si>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</si>
  <si>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</si>
  <si>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</si>
  <si>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</si>
  <si>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</si>
  <si>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</si>
  <si>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</si>
  <si>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</si>
  <si>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</si>
  <si>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</si>
  <si>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</si>
  <si>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</si>
  <si>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</si>
  <si>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</si>
  <si>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</si>
  <si>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</si>
  <si>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</si>
  <si>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</si>
  <si>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</si>
  <si>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</si>
  <si>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</si>
  <si>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</si>
  <si>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</si>
  <si>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</si>
  <si>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</si>
  <si>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</si>
  <si>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</si>
  <si>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</si>
  <si>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</si>
  <si>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</si>
  <si>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</si>
  <si>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</si>
  <si>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</si>
  <si>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</si>
  <si>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</si>
  <si>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</si>
  <si>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</si>
  <si>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</si>
  <si>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</si>
  <si>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</si>
  <si>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</si>
  <si>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</si>
  <si>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</si>
  <si>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</si>
  <si>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</si>
  <si>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</si>
  <si>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</si>
  <si>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</si>
  <si>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</si>
  <si>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</si>
  <si>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</si>
  <si>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</si>
  <si>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</si>
  <si>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</si>
  <si>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</si>
  <si>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</si>
  <si>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</si>
  <si>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</si>
  <si>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</si>
  <si>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</si>
  <si>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</si>
  <si>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</si>
  <si>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</si>
  <si>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</si>
  <si>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</si>
  <si>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</si>
  <si>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</si>
  <si>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</si>
  <si>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</si>
  <si>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</si>
  <si>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</si>
  <si>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</si>
  <si>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</si>
  <si>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</si>
  <si>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</si>
  <si>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</si>
  <si>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</si>
  <si>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</si>
  <si>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</si>
  <si>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</si>
  <si>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</si>
  <si>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</si>
  <si>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</si>
  <si>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</si>
  <si>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</si>
  <si>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</si>
  <si>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</si>
  <si>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</si>
  <si>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</si>
  <si>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</si>
  <si>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</si>
  <si>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</si>
  <si>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</si>
  <si>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</si>
  <si>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</si>
  <si>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</si>
  <si>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</si>
  <si>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</si>
  <si>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</si>
  <si>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</si>
  <si>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</si>
  <si>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</si>
  <si>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</si>
  <si>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</si>
  <si>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</si>
  <si>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</si>
  <si>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</si>
  <si>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</si>
  <si>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</si>
  <si>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</si>
  <si>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</si>
  <si>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</si>
  <si>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</si>
  <si>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</si>
  <si>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</si>
  <si>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</si>
  <si>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</si>
  <si>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</si>
  <si>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</si>
  <si>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</si>
  <si>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</si>
  <si>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</si>
  <si>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</si>
  <si>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</si>
  <si>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</si>
  <si>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</si>
  <si>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</si>
  <si>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</si>
  <si>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</si>
  <si>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</si>
  <si>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</si>
  <si>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</si>
  <si>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</si>
  <si>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</si>
  <si>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</si>
  <si>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</si>
  <si>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</si>
  <si>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</si>
  <si>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</si>
  <si>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</si>
  <si>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</si>
  <si>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</si>
  <si>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</si>
  <si>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</si>
  <si>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</si>
  <si>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</si>
  <si>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</si>
  <si>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</si>
  <si>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</si>
  <si>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</si>
  <si>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</si>
  <si>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</si>
  <si>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</si>
  <si>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</si>
  <si>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</si>
  <si>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</si>
  <si>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</si>
  <si>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</si>
  <si>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</si>
  <si>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</si>
  <si>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</si>
  <si>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Current data</t>
  </si>
  <si>
    <t>D7BT3@UK</t>
  </si>
  <si>
    <t>UK: Consumer Price Index [3-digit]: All Items (NSA, 2015=100)</t>
  </si>
  <si>
    <t>Difference</t>
  </si>
  <si>
    <t>Data under new methodology</t>
  </si>
  <si>
    <t>Date</t>
  </si>
  <si>
    <t>Monthly number of total sterling approvals for house purchase to individuals not seasonally adjusted                          LPMVTVU</t>
  </si>
  <si>
    <t>Monthly number of total sterling approvals for house purchase to individuals seasonally adjusted              [c]             LPMVTVX</t>
  </si>
  <si>
    <t>Non seasonally adjusted</t>
  </si>
  <si>
    <t>Seasonally adjusted</t>
  </si>
  <si>
    <t>31 Jan 16</t>
  </si>
  <si>
    <t>29 Feb 16</t>
  </si>
  <si>
    <t>31 Mar 16</t>
  </si>
  <si>
    <t>30 Apr 16</t>
  </si>
  <si>
    <t>31 May 16</t>
  </si>
  <si>
    <t>30 Jun 16</t>
  </si>
  <si>
    <t>31 Jul 16</t>
  </si>
  <si>
    <t>31 Aug 16</t>
  </si>
  <si>
    <t>30 Sep 16</t>
  </si>
  <si>
    <t>31 Oct 16</t>
  </si>
  <si>
    <t>30 Nov 16</t>
  </si>
  <si>
    <t>31 Dec 16</t>
  </si>
  <si>
    <t>31 Jan 17</t>
  </si>
  <si>
    <t>28 Feb 17</t>
  </si>
  <si>
    <t>31 Mar 17</t>
  </si>
  <si>
    <t>30 Apr 17</t>
  </si>
  <si>
    <t>31 May 17</t>
  </si>
  <si>
    <t>30 Jun 17</t>
  </si>
  <si>
    <t>31 Jul 17</t>
  </si>
  <si>
    <t>31 Aug 17</t>
  </si>
  <si>
    <t>30 Sep 17</t>
  </si>
  <si>
    <t>31 Oct 17</t>
  </si>
  <si>
    <t>30 Nov 17</t>
  </si>
  <si>
    <t>31 Dec 17</t>
  </si>
  <si>
    <t>31 Jan 18</t>
  </si>
  <si>
    <t>28 Feb 18</t>
  </si>
  <si>
    <t>31 Mar 18</t>
  </si>
  <si>
    <t>30 Apr 18</t>
  </si>
  <si>
    <t>31 May 18</t>
  </si>
  <si>
    <t>30 Jun 18</t>
  </si>
  <si>
    <t>31 Jul 18</t>
  </si>
  <si>
    <t>31 Aug 18</t>
  </si>
  <si>
    <t>30 Sep 18</t>
  </si>
  <si>
    <t>31 Oct 18</t>
  </si>
  <si>
    <t>30 Nov 18</t>
  </si>
  <si>
    <t>31 Dec 18</t>
  </si>
  <si>
    <t>31 Jan 19</t>
  </si>
  <si>
    <t>28 Feb 19</t>
  </si>
  <si>
    <t>31 Mar 19</t>
  </si>
  <si>
    <t>30 Apr 19</t>
  </si>
  <si>
    <t>31 May 19</t>
  </si>
  <si>
    <t>30 Jun 19</t>
  </si>
  <si>
    <t>31 Jul 19</t>
  </si>
  <si>
    <t>31 Aug 19</t>
  </si>
  <si>
    <t>30 Sep 19</t>
  </si>
  <si>
    <t>31 Oct 19</t>
  </si>
  <si>
    <t>30 Nov 19</t>
  </si>
  <si>
    <t>31 Dec 19</t>
  </si>
  <si>
    <t>31 Jan 20</t>
  </si>
  <si>
    <t>29 Feb 20</t>
  </si>
  <si>
    <t>31 Mar 20</t>
  </si>
  <si>
    <t>30 Apr 20</t>
  </si>
  <si>
    <t>31 May 20</t>
  </si>
  <si>
    <t>30 Jun 20</t>
  </si>
  <si>
    <t>31 Jul 20</t>
  </si>
  <si>
    <t>31 Aug 20</t>
  </si>
  <si>
    <t>30 Sep 20</t>
  </si>
  <si>
    <t>31 Oct 20</t>
  </si>
  <si>
    <t>30 Nov 20</t>
  </si>
  <si>
    <t>31 Dec 20</t>
  </si>
  <si>
    <t>31 Jan 21</t>
  </si>
  <si>
    <t>28 Feb 21</t>
  </si>
  <si>
    <t>31 Mar 21</t>
  </si>
  <si>
    <t>30 Apr 21</t>
  </si>
  <si>
    <t>31 May 21</t>
  </si>
  <si>
    <t>30 Jun 21</t>
  </si>
  <si>
    <t>31 Jul 21</t>
  </si>
  <si>
    <t>31 Aug 21</t>
  </si>
  <si>
    <t>30 Sep 21</t>
  </si>
  <si>
    <t>31 Oct 21</t>
  </si>
  <si>
    <t>30 Nov 21</t>
  </si>
  <si>
    <t>31 Dec 21</t>
  </si>
  <si>
    <t>31 Jan 22</t>
  </si>
  <si>
    <t>28 Feb 22</t>
  </si>
  <si>
    <t>31 Mar 22</t>
  </si>
  <si>
    <t>30 Apr 22</t>
  </si>
  <si>
    <t>31 May 22</t>
  </si>
  <si>
    <t>30 Jun 22</t>
  </si>
  <si>
    <t>31 Jul 22</t>
  </si>
  <si>
    <t>31 Aug 22</t>
  </si>
  <si>
    <t>30 Sep 22</t>
  </si>
  <si>
    <t>31 Oct 22</t>
  </si>
  <si>
    <t>30 Nov 22</t>
  </si>
  <si>
    <t>31 Dec 22</t>
  </si>
  <si>
    <t>31 Jan 23</t>
  </si>
  <si>
    <t>28 Feb 23</t>
  </si>
  <si>
    <t>31 Mar 23</t>
  </si>
  <si>
    <t>30 Apr 23</t>
  </si>
  <si>
    <t>31 May 23</t>
  </si>
  <si>
    <t>30 Jun 23</t>
  </si>
  <si>
    <t>31 Jul 23</t>
  </si>
  <si>
    <t>31 Aug 23</t>
  </si>
  <si>
    <t>30 Sep 23</t>
  </si>
  <si>
    <t>31 Oct 23</t>
  </si>
  <si>
    <t>30 Nov 23</t>
  </si>
  <si>
    <t>31 Dec 23</t>
  </si>
  <si>
    <t>31 Jan 24</t>
  </si>
  <si>
    <t>29 Feb 24</t>
  </si>
  <si>
    <t>31 Mar 24</t>
  </si>
  <si>
    <t>30 Apr 24</t>
  </si>
  <si>
    <t>31 May 24</t>
  </si>
  <si>
    <t>30 Jun 24</t>
  </si>
  <si>
    <t>31 Jul 24</t>
  </si>
  <si>
    <t>31 Aug 24</t>
  </si>
  <si>
    <t>30 Sep 24</t>
  </si>
  <si>
    <t>31 Oct 24</t>
  </si>
  <si>
    <t>30 Nov 24</t>
  </si>
  <si>
    <t>31 Dec 24</t>
  </si>
  <si>
    <t>31 Jan 25</t>
  </si>
  <si>
    <t>28 Feb 25</t>
  </si>
  <si>
    <t>31 Mar 25</t>
  </si>
  <si>
    <t>30 Apr 25</t>
  </si>
  <si>
    <t>31 May 25</t>
  </si>
  <si>
    <t>30 Jun 25</t>
  </si>
  <si>
    <t>31 Jul 25</t>
  </si>
  <si>
    <t>31 Aug 25</t>
  </si>
  <si>
    <t>30 Sep 25</t>
  </si>
  <si>
    <t>31 Oct 25</t>
  </si>
  <si>
    <t>30 Nov 25</t>
  </si>
  <si>
    <t>31 Dec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</si>
</sst>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0"/>
      <name val="Arial"/>
    </font>
    <font>
      <sz val="10"/>
      <name val="Arial"/>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xf numFmtId="0" fontId="0" fillId="0" borderId="0" xfId="0" applyFill="1"/>
    <xf numFmtId="0" fontId="0" fillId="0" borderId="0" xfId="0" quotePrefix="1"/>
    <xf numFmtId="14" fontId="0" fillId="0" borderId="0" xfId="0" applyNumberFormat="1"/>
    <xf numFmtId="165" fontId="0" fillId="0" borderId="0" xfId="0" applyNumberFormat="1"/>
    <xf numFmtId="0" fontId="0" fillId="0" borderId="0" xfId="0" applyAlignment="1">
      <alignment horizontal="right"/>
    </xf>
    <xf numFmtId="0" fontId="2" fillId="0" borderId="0" xfId="0"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externalLink" Target="externalLinks/externalLink1.xml"/><Relationship Id="rId5" Type="http://schemas.openxmlformats.org/officeDocument/2006/relationships/worksheet" Target="worksheets/sheet3.xml"/><Relationship Id="rId10" Type="http://schemas.openxmlformats.org/officeDocument/2006/relationships/calcChain" Target="calcChain.xml"/><Relationship Id="rId4" Type="http://schemas.openxmlformats.org/officeDocument/2006/relationships/worksheet" Target="worksheets/sheet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50242448507501E-2"/>
          <c:y val="0.14725688325786473"/>
          <c:w val="0.87295638892596039"/>
          <c:h val="0.71318700601518292"/>
        </c:manualLayout>
      </c:layout>
      <c:lineChart>
        <c:grouping val="standard"/>
        <c:varyColors val="0"/>
        <c:ser>
          <c:idx val="0"/>
          <c:order val="0"/>
          <c:tx>
            <c:strRef>
              <c:f>'Chart Data'!$I$2</c:f>
              <c:strCache>
                <c:ptCount val="1"/>
                <c:pt idx="0">
                  <c:v>Non seasonally adjusted</c:v>
                </c:pt>
              </c:strCache>
            </c:strRef>
          </c:tx>
          <c:spPr>
            <a:ln w="38100">
              <a:solidFill>
                <a:srgbClr val="BD1B21"/>
              </a:solidFill>
            </a:ln>
          </c:spPr>
          <c:marker>
            <c:symbol val="none"/>
          </c:marker>
          <c:cat>
            <c:numRef>
              <c:f>'Chart Data'!$H$3:$H$123</c:f>
              <c:numCache>
                <c:formatCode>m/d/yyyy</c:formatCode>
                <c:ptCount val="12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numCache>
            </c:numRef>
          </c:cat>
          <c:val>
            <c:numRef>
              <c:f>'Chart Data'!$I$3:$I$123</c:f>
              <c:numCache>
                <c:formatCode>0</c:formatCode>
                <c:ptCount val="121"/>
                <c:pt idx="0">
                  <c:v>49700</c:v>
                </c:pt>
                <c:pt idx="1">
                  <c:v>66250</c:v>
                </c:pt>
                <c:pt idx="2">
                  <c:v>77609</c:v>
                </c:pt>
                <c:pt idx="3">
                  <c:v>72660</c:v>
                </c:pt>
                <c:pt idx="4">
                  <c:v>74217</c:v>
                </c:pt>
                <c:pt idx="5">
                  <c:v>78557</c:v>
                </c:pt>
                <c:pt idx="6">
                  <c:v>67727</c:v>
                </c:pt>
                <c:pt idx="7">
                  <c:v>64389</c:v>
                </c:pt>
                <c:pt idx="8">
                  <c:v>66905</c:v>
                </c:pt>
                <c:pt idx="9">
                  <c:v>68175</c:v>
                </c:pt>
                <c:pt idx="10">
                  <c:v>71336</c:v>
                </c:pt>
                <c:pt idx="11">
                  <c:v>50460</c:v>
                </c:pt>
                <c:pt idx="12">
                  <c:v>48505</c:v>
                </c:pt>
                <c:pt idx="13">
                  <c:v>61064</c:v>
                </c:pt>
                <c:pt idx="14">
                  <c:v>80339</c:v>
                </c:pt>
                <c:pt idx="15">
                  <c:v>63293</c:v>
                </c:pt>
                <c:pt idx="16">
                  <c:v>75135</c:v>
                </c:pt>
                <c:pt idx="17">
                  <c:v>78891</c:v>
                </c:pt>
                <c:pt idx="18">
                  <c:v>73221</c:v>
                </c:pt>
                <c:pt idx="19">
                  <c:v>70491</c:v>
                </c:pt>
                <c:pt idx="20">
                  <c:v>66228</c:v>
                </c:pt>
                <c:pt idx="21">
                  <c:v>67946</c:v>
                </c:pt>
                <c:pt idx="22">
                  <c:v>67872</c:v>
                </c:pt>
                <c:pt idx="23">
                  <c:v>43818</c:v>
                </c:pt>
                <c:pt idx="24">
                  <c:v>49411</c:v>
                </c:pt>
                <c:pt idx="25">
                  <c:v>57019</c:v>
                </c:pt>
                <c:pt idx="26">
                  <c:v>67004</c:v>
                </c:pt>
                <c:pt idx="27">
                  <c:v>66254</c:v>
                </c:pt>
                <c:pt idx="28">
                  <c:v>74586</c:v>
                </c:pt>
                <c:pt idx="29">
                  <c:v>76455</c:v>
                </c:pt>
                <c:pt idx="30">
                  <c:v>72160</c:v>
                </c:pt>
                <c:pt idx="31">
                  <c:v>70507</c:v>
                </c:pt>
                <c:pt idx="32">
                  <c:v>62852</c:v>
                </c:pt>
                <c:pt idx="33">
                  <c:v>73674</c:v>
                </c:pt>
                <c:pt idx="34">
                  <c:v>66947</c:v>
                </c:pt>
                <c:pt idx="35">
                  <c:v>44510</c:v>
                </c:pt>
                <c:pt idx="36">
                  <c:v>49669</c:v>
                </c:pt>
                <c:pt idx="37">
                  <c:v>58628</c:v>
                </c:pt>
                <c:pt idx="38">
                  <c:v>67911</c:v>
                </c:pt>
                <c:pt idx="39">
                  <c:v>67368</c:v>
                </c:pt>
                <c:pt idx="40">
                  <c:v>75377</c:v>
                </c:pt>
                <c:pt idx="41">
                  <c:v>73651</c:v>
                </c:pt>
                <c:pt idx="42">
                  <c:v>78065</c:v>
                </c:pt>
                <c:pt idx="43">
                  <c:v>67088</c:v>
                </c:pt>
                <c:pt idx="44">
                  <c:v>65176</c:v>
                </c:pt>
                <c:pt idx="45">
                  <c:v>71721</c:v>
                </c:pt>
                <c:pt idx="46">
                  <c:v>65490</c:v>
                </c:pt>
                <c:pt idx="47">
                  <c:v>48501</c:v>
                </c:pt>
                <c:pt idx="48">
                  <c:v>53586</c:v>
                </c:pt>
                <c:pt idx="49">
                  <c:v>66511</c:v>
                </c:pt>
                <c:pt idx="50">
                  <c:v>63148</c:v>
                </c:pt>
                <c:pt idx="51">
                  <c:v>16418</c:v>
                </c:pt>
                <c:pt idx="52">
                  <c:v>9922</c:v>
                </c:pt>
                <c:pt idx="53">
                  <c:v>47957</c:v>
                </c:pt>
                <c:pt idx="54">
                  <c:v>78374</c:v>
                </c:pt>
                <c:pt idx="55">
                  <c:v>82115</c:v>
                </c:pt>
                <c:pt idx="56">
                  <c:v>96007</c:v>
                </c:pt>
                <c:pt idx="57">
                  <c:v>104598</c:v>
                </c:pt>
                <c:pt idx="58">
                  <c:v>103525</c:v>
                </c:pt>
                <c:pt idx="59">
                  <c:v>77683</c:v>
                </c:pt>
                <c:pt idx="60">
                  <c:v>69472</c:v>
                </c:pt>
                <c:pt idx="61">
                  <c:v>78495</c:v>
                </c:pt>
                <c:pt idx="62">
                  <c:v>95033</c:v>
                </c:pt>
                <c:pt idx="63">
                  <c:v>88510</c:v>
                </c:pt>
                <c:pt idx="64">
                  <c:v>89820</c:v>
                </c:pt>
                <c:pt idx="65">
                  <c:v>94570</c:v>
                </c:pt>
                <c:pt idx="66">
                  <c:v>82136</c:v>
                </c:pt>
                <c:pt idx="67">
                  <c:v>71417</c:v>
                </c:pt>
                <c:pt idx="68">
                  <c:v>73201</c:v>
                </c:pt>
                <c:pt idx="69">
                  <c:v>67724</c:v>
                </c:pt>
                <c:pt idx="70">
                  <c:v>69175</c:v>
                </c:pt>
                <c:pt idx="71">
                  <c:v>54797</c:v>
                </c:pt>
                <c:pt idx="72">
                  <c:v>52362</c:v>
                </c:pt>
                <c:pt idx="73">
                  <c:v>63783</c:v>
                </c:pt>
                <c:pt idx="74">
                  <c:v>81514</c:v>
                </c:pt>
                <c:pt idx="75">
                  <c:v>65822</c:v>
                </c:pt>
                <c:pt idx="76">
                  <c:v>71769</c:v>
                </c:pt>
                <c:pt idx="77">
                  <c:v>74695</c:v>
                </c:pt>
                <c:pt idx="78">
                  <c:v>68384</c:v>
                </c:pt>
                <c:pt idx="79">
                  <c:v>75824</c:v>
                </c:pt>
                <c:pt idx="80">
                  <c:v>67781</c:v>
                </c:pt>
                <c:pt idx="81">
                  <c:v>56456</c:v>
                </c:pt>
                <c:pt idx="82">
                  <c:v>46676</c:v>
                </c:pt>
                <c:pt idx="83">
                  <c:v>29954</c:v>
                </c:pt>
                <c:pt idx="84">
                  <c:v>29342</c:v>
                </c:pt>
                <c:pt idx="85">
                  <c:v>40272</c:v>
                </c:pt>
                <c:pt idx="86">
                  <c:v>60964</c:v>
                </c:pt>
                <c:pt idx="87">
                  <c:v>46495</c:v>
                </c:pt>
                <c:pt idx="88">
                  <c:v>57240</c:v>
                </c:pt>
                <c:pt idx="89">
                  <c:v>64958</c:v>
                </c:pt>
                <c:pt idx="90">
                  <c:v>53023</c:v>
                </c:pt>
                <c:pt idx="91">
                  <c:v>48063</c:v>
                </c:pt>
                <c:pt idx="92">
                  <c:v>44293</c:v>
                </c:pt>
                <c:pt idx="93">
                  <c:v>48927</c:v>
                </c:pt>
                <c:pt idx="94">
                  <c:v>50096</c:v>
                </c:pt>
                <c:pt idx="95">
                  <c:v>36231</c:v>
                </c:pt>
                <c:pt idx="96">
                  <c:v>43032</c:v>
                </c:pt>
                <c:pt idx="97">
                  <c:v>58929</c:v>
                </c:pt>
                <c:pt idx="98">
                  <c:v>63394</c:v>
                </c:pt>
                <c:pt idx="99">
                  <c:v>67528</c:v>
                </c:pt>
                <c:pt idx="100">
                  <c:v>69014</c:v>
                </c:pt>
                <c:pt idx="101">
                  <c:v>66625</c:v>
                </c:pt>
                <c:pt idx="102">
                  <c:v>73174</c:v>
                </c:pt>
                <c:pt idx="103">
                  <c:v>66939</c:v>
                </c:pt>
                <c:pt idx="104">
                  <c:v>65048</c:v>
                </c:pt>
                <c:pt idx="105">
                  <c:v>72750</c:v>
                </c:pt>
                <c:pt idx="106">
                  <c:v>63654</c:v>
                </c:pt>
                <c:pt idx="107">
                  <c:v>47416</c:v>
                </c:pt>
                <c:pt idx="108">
                  <c:v>51482</c:v>
                </c:pt>
                <c:pt idx="109">
                  <c:v>61049</c:v>
                </c:pt>
                <c:pt idx="110">
                  <c:v>70056</c:v>
                </c:pt>
                <c:pt idx="111">
                  <c:v>62262</c:v>
                </c:pt>
                <c:pt idx="112">
                  <c:v>68578</c:v>
                </c:pt>
                <c:pt idx="113">
                  <c:v>72588</c:v>
                </c:pt>
                <c:pt idx="114">
                  <c:v>77087</c:v>
                </c:pt>
                <c:pt idx="115">
                  <c:v>64076</c:v>
                </c:pt>
                <c:pt idx="116">
                  <c:v>68358</c:v>
                </c:pt>
                <c:pt idx="117">
                  <c:v>69760</c:v>
                </c:pt>
                <c:pt idx="118">
                  <c:v>59465</c:v>
                </c:pt>
                <c:pt idx="119">
                  <c:v>45146</c:v>
                </c:pt>
              </c:numCache>
            </c:numRef>
          </c:val>
          <c:smooth val="0"/>
          <c:extLst>
            <c:ext xmlns:c16="http://schemas.microsoft.com/office/drawing/2014/chart" uri="{C3380CC4-5D6E-409C-BE32-E72D297353CC}">
              <c16:uniqueId val="{00000000-18CC-4D3A-8191-8D91F324B23C}"/>
            </c:ext>
          </c:extLst>
        </c:ser>
        <c:ser>
          <c:idx val="1"/>
          <c:order val="1"/>
          <c:tx>
            <c:strRef>
              <c:f>'Chart Data'!$J$2</c:f>
              <c:strCache>
                <c:ptCount val="1"/>
                <c:pt idx="0">
                  <c:v>Seasonally adjusted</c:v>
                </c:pt>
              </c:strCache>
            </c:strRef>
          </c:tx>
          <c:spPr>
            <a:ln w="38100">
              <a:solidFill>
                <a:srgbClr val="003469"/>
              </a:solidFill>
            </a:ln>
          </c:spPr>
          <c:marker>
            <c:symbol val="none"/>
          </c:marker>
          <c:cat>
            <c:numRef>
              <c:f>'Chart Data'!$H$3:$H$123</c:f>
              <c:numCache>
                <c:formatCode>m/d/yyyy</c:formatCode>
                <c:ptCount val="12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pt idx="100">
                  <c:v>45413</c:v>
                </c:pt>
                <c:pt idx="101">
                  <c:v>45444</c:v>
                </c:pt>
                <c:pt idx="102">
                  <c:v>45474</c:v>
                </c:pt>
                <c:pt idx="103">
                  <c:v>45505</c:v>
                </c:pt>
                <c:pt idx="104">
                  <c:v>45536</c:v>
                </c:pt>
                <c:pt idx="105">
                  <c:v>45566</c:v>
                </c:pt>
                <c:pt idx="106">
                  <c:v>45597</c:v>
                </c:pt>
                <c:pt idx="107">
                  <c:v>45627</c:v>
                </c:pt>
                <c:pt idx="108">
                  <c:v>45658</c:v>
                </c:pt>
                <c:pt idx="109">
                  <c:v>45689</c:v>
                </c:pt>
                <c:pt idx="110">
                  <c:v>45717</c:v>
                </c:pt>
                <c:pt idx="111">
                  <c:v>45748</c:v>
                </c:pt>
                <c:pt idx="112">
                  <c:v>45778</c:v>
                </c:pt>
                <c:pt idx="113">
                  <c:v>45809</c:v>
                </c:pt>
                <c:pt idx="114">
                  <c:v>45839</c:v>
                </c:pt>
                <c:pt idx="115">
                  <c:v>45870</c:v>
                </c:pt>
                <c:pt idx="116">
                  <c:v>45901</c:v>
                </c:pt>
                <c:pt idx="117">
                  <c:v>45931</c:v>
                </c:pt>
                <c:pt idx="118">
                  <c:v>45962</c:v>
                </c:pt>
                <c:pt idx="119">
                  <c:v>45992</c:v>
                </c:pt>
              </c:numCache>
            </c:numRef>
          </c:cat>
          <c:val>
            <c:numRef>
              <c:f>'Chart Data'!$J$3:$J$123</c:f>
              <c:numCache>
                <c:formatCode>0</c:formatCode>
                <c:ptCount val="121"/>
                <c:pt idx="0">
                  <c:v>72479</c:v>
                </c:pt>
                <c:pt idx="1">
                  <c:v>71870</c:v>
                </c:pt>
                <c:pt idx="2">
                  <c:v>70738</c:v>
                </c:pt>
                <c:pt idx="3">
                  <c:v>68694</c:v>
                </c:pt>
                <c:pt idx="4">
                  <c:v>67879</c:v>
                </c:pt>
                <c:pt idx="5">
                  <c:v>65596</c:v>
                </c:pt>
                <c:pt idx="6">
                  <c:v>62635</c:v>
                </c:pt>
                <c:pt idx="7">
                  <c:v>61444</c:v>
                </c:pt>
                <c:pt idx="8">
                  <c:v>64230</c:v>
                </c:pt>
                <c:pt idx="9">
                  <c:v>67903</c:v>
                </c:pt>
                <c:pt idx="10">
                  <c:v>68382</c:v>
                </c:pt>
                <c:pt idx="11">
                  <c:v>68328</c:v>
                </c:pt>
                <c:pt idx="12">
                  <c:v>67977</c:v>
                </c:pt>
                <c:pt idx="13">
                  <c:v>68133</c:v>
                </c:pt>
                <c:pt idx="14">
                  <c:v>68052</c:v>
                </c:pt>
                <c:pt idx="15">
                  <c:v>67131</c:v>
                </c:pt>
                <c:pt idx="16">
                  <c:v>66046</c:v>
                </c:pt>
                <c:pt idx="17">
                  <c:v>65374</c:v>
                </c:pt>
                <c:pt idx="18">
                  <c:v>68551</c:v>
                </c:pt>
                <c:pt idx="19">
                  <c:v>66897</c:v>
                </c:pt>
                <c:pt idx="20">
                  <c:v>66313</c:v>
                </c:pt>
                <c:pt idx="21">
                  <c:v>65175</c:v>
                </c:pt>
                <c:pt idx="22">
                  <c:v>65671</c:v>
                </c:pt>
                <c:pt idx="23">
                  <c:v>62277</c:v>
                </c:pt>
                <c:pt idx="24">
                  <c:v>65827</c:v>
                </c:pt>
                <c:pt idx="25">
                  <c:v>63000</c:v>
                </c:pt>
                <c:pt idx="26">
                  <c:v>63111</c:v>
                </c:pt>
                <c:pt idx="27">
                  <c:v>63329</c:v>
                </c:pt>
                <c:pt idx="28">
                  <c:v>65112</c:v>
                </c:pt>
                <c:pt idx="29">
                  <c:v>65910</c:v>
                </c:pt>
                <c:pt idx="30">
                  <c:v>64761</c:v>
                </c:pt>
                <c:pt idx="31">
                  <c:v>66809</c:v>
                </c:pt>
                <c:pt idx="32">
                  <c:v>66005</c:v>
                </c:pt>
                <c:pt idx="33">
                  <c:v>68210</c:v>
                </c:pt>
                <c:pt idx="34">
                  <c:v>64924</c:v>
                </c:pt>
                <c:pt idx="35">
                  <c:v>64365</c:v>
                </c:pt>
                <c:pt idx="36">
                  <c:v>65055</c:v>
                </c:pt>
                <c:pt idx="37">
                  <c:v>64164</c:v>
                </c:pt>
                <c:pt idx="38">
                  <c:v>62219</c:v>
                </c:pt>
                <c:pt idx="39">
                  <c:v>65927</c:v>
                </c:pt>
                <c:pt idx="40">
                  <c:v>65581</c:v>
                </c:pt>
                <c:pt idx="41">
                  <c:v>66593</c:v>
                </c:pt>
                <c:pt idx="42">
                  <c:v>67265</c:v>
                </c:pt>
                <c:pt idx="43">
                  <c:v>66033</c:v>
                </c:pt>
                <c:pt idx="44">
                  <c:v>66247</c:v>
                </c:pt>
                <c:pt idx="45">
                  <c:v>66260</c:v>
                </c:pt>
                <c:pt idx="46">
                  <c:v>66608</c:v>
                </c:pt>
                <c:pt idx="47">
                  <c:v>67467</c:v>
                </c:pt>
                <c:pt idx="48">
                  <c:v>69420</c:v>
                </c:pt>
                <c:pt idx="49">
                  <c:v>71636</c:v>
                </c:pt>
                <c:pt idx="50">
                  <c:v>56248</c:v>
                </c:pt>
                <c:pt idx="51">
                  <c:v>15959</c:v>
                </c:pt>
                <c:pt idx="52">
                  <c:v>9374</c:v>
                </c:pt>
                <c:pt idx="53">
                  <c:v>40298</c:v>
                </c:pt>
                <c:pt idx="54">
                  <c:v>66615</c:v>
                </c:pt>
                <c:pt idx="55">
                  <c:v>85240</c:v>
                </c:pt>
                <c:pt idx="56">
                  <c:v>92610</c:v>
                </c:pt>
                <c:pt idx="57">
                  <c:v>100662</c:v>
                </c:pt>
                <c:pt idx="58">
                  <c:v>107760</c:v>
                </c:pt>
                <c:pt idx="59">
                  <c:v>103105</c:v>
                </c:pt>
                <c:pt idx="60">
                  <c:v>96978</c:v>
                </c:pt>
                <c:pt idx="61">
                  <c:v>84552</c:v>
                </c:pt>
                <c:pt idx="62">
                  <c:v>81126</c:v>
                </c:pt>
                <c:pt idx="63">
                  <c:v>85514</c:v>
                </c:pt>
                <c:pt idx="64">
                  <c:v>86247</c:v>
                </c:pt>
                <c:pt idx="65">
                  <c:v>79187</c:v>
                </c:pt>
                <c:pt idx="66">
                  <c:v>72395</c:v>
                </c:pt>
                <c:pt idx="67">
                  <c:v>70954</c:v>
                </c:pt>
                <c:pt idx="68">
                  <c:v>70518</c:v>
                </c:pt>
                <c:pt idx="69">
                  <c:v>68226</c:v>
                </c:pt>
                <c:pt idx="70">
                  <c:v>69263</c:v>
                </c:pt>
                <c:pt idx="71">
                  <c:v>72550</c:v>
                </c:pt>
                <c:pt idx="72">
                  <c:v>73823</c:v>
                </c:pt>
                <c:pt idx="73">
                  <c:v>68363</c:v>
                </c:pt>
                <c:pt idx="74">
                  <c:v>68954</c:v>
                </c:pt>
                <c:pt idx="75">
                  <c:v>66216</c:v>
                </c:pt>
                <c:pt idx="76">
                  <c:v>66552</c:v>
                </c:pt>
                <c:pt idx="77">
                  <c:v>62856</c:v>
                </c:pt>
                <c:pt idx="78">
                  <c:v>62611</c:v>
                </c:pt>
                <c:pt idx="79">
                  <c:v>72022</c:v>
                </c:pt>
                <c:pt idx="80">
                  <c:v>64670</c:v>
                </c:pt>
                <c:pt idx="81">
                  <c:v>57741</c:v>
                </c:pt>
                <c:pt idx="82">
                  <c:v>46528</c:v>
                </c:pt>
                <c:pt idx="83">
                  <c:v>41267</c:v>
                </c:pt>
                <c:pt idx="84">
                  <c:v>39718</c:v>
                </c:pt>
                <c:pt idx="85">
                  <c:v>43036</c:v>
                </c:pt>
                <c:pt idx="86">
                  <c:v>51286</c:v>
                </c:pt>
                <c:pt idx="87">
                  <c:v>49200</c:v>
                </c:pt>
                <c:pt idx="88">
                  <c:v>51190</c:v>
                </c:pt>
                <c:pt idx="89">
                  <c:v>54463</c:v>
                </c:pt>
                <c:pt idx="90">
                  <c:v>49095</c:v>
                </c:pt>
                <c:pt idx="91">
                  <c:v>45101</c:v>
                </c:pt>
                <c:pt idx="92">
                  <c:v>43772</c:v>
                </c:pt>
                <c:pt idx="93">
                  <c:v>47996</c:v>
                </c:pt>
                <c:pt idx="94">
                  <c:v>50014</c:v>
                </c:pt>
                <c:pt idx="95">
                  <c:v>52180</c:v>
                </c:pt>
                <c:pt idx="96">
                  <c:v>55972</c:v>
                </c:pt>
                <c:pt idx="97">
                  <c:v>60141</c:v>
                </c:pt>
                <c:pt idx="98">
                  <c:v>61841</c:v>
                </c:pt>
                <c:pt idx="99">
                  <c:v>62071</c:v>
                </c:pt>
                <c:pt idx="100">
                  <c:v>61324</c:v>
                </c:pt>
                <c:pt idx="101">
                  <c:v>60920</c:v>
                </c:pt>
                <c:pt idx="102">
                  <c:v>62261</c:v>
                </c:pt>
                <c:pt idx="103">
                  <c:v>64818</c:v>
                </c:pt>
                <c:pt idx="104">
                  <c:v>65155</c:v>
                </c:pt>
                <c:pt idx="105">
                  <c:v>67854</c:v>
                </c:pt>
                <c:pt idx="106">
                  <c:v>65521</c:v>
                </c:pt>
                <c:pt idx="107">
                  <c:v>66634</c:v>
                </c:pt>
                <c:pt idx="108">
                  <c:v>66399</c:v>
                </c:pt>
                <c:pt idx="109">
                  <c:v>65360</c:v>
                </c:pt>
                <c:pt idx="110">
                  <c:v>64525</c:v>
                </c:pt>
                <c:pt idx="111">
                  <c:v>61137</c:v>
                </c:pt>
                <c:pt idx="112">
                  <c:v>63432</c:v>
                </c:pt>
                <c:pt idx="113">
                  <c:v>64344</c:v>
                </c:pt>
                <c:pt idx="114">
                  <c:v>65071</c:v>
                </c:pt>
                <c:pt idx="115">
                  <c:v>64566</c:v>
                </c:pt>
                <c:pt idx="116">
                  <c:v>65414</c:v>
                </c:pt>
                <c:pt idx="117">
                  <c:v>64629</c:v>
                </c:pt>
                <c:pt idx="118">
                  <c:v>64072</c:v>
                </c:pt>
                <c:pt idx="119">
                  <c:v>61013</c:v>
                </c:pt>
              </c:numCache>
            </c:numRef>
          </c:val>
          <c:smooth val="0"/>
          <c:extLst>
            <c:ext xmlns:c16="http://schemas.microsoft.com/office/drawing/2014/chart" uri="{C3380CC4-5D6E-409C-BE32-E72D297353CC}">
              <c16:uniqueId val="{00000001-18CC-4D3A-8191-8D91F324B23C}"/>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12"/>
        <c:noMultiLvlLbl val="0"/>
      </c:catAx>
      <c:valAx>
        <c:axId val="263608576"/>
        <c:scaling>
          <c:orientation val="minMax"/>
          <c:max val="100000"/>
          <c:min val="200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dispUnits>
          <c:builtInUnit val="thousands"/>
          <c:dispUnitsLbl/>
        </c:dispUnits>
      </c:valAx>
      <c:spPr>
        <a:noFill/>
        <a:ln w="25400">
          <a:noFill/>
        </a:ln>
      </c:spPr>
    </c:plotArea>
    <c:legend>
      <c:legendPos val="t"/>
      <c:layout>
        <c:manualLayout>
          <c:xMode val="edge"/>
          <c:yMode val="edge"/>
          <c:x val="0.15076211408880838"/>
          <c:y val="7.2542377076608849E-2"/>
          <c:w val="0.71842804395213311"/>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592330619689486E-2"/>
          <c:y val="0.14725688325786473"/>
          <c:w val="0.89301576286015083"/>
          <c:h val="0.71318700601518292"/>
        </c:manualLayout>
      </c:layout>
      <c:barChart>
        <c:barDir val="col"/>
        <c:grouping val="clustered"/>
        <c:varyColors val="0"/>
        <c:ser>
          <c:idx val="2"/>
          <c:order val="2"/>
          <c:tx>
            <c:strRef>
              <c:f>'Chart Data'!$D$1</c:f>
              <c:strCache>
                <c:ptCount val="1"/>
                <c:pt idx="0">
                  <c:v>Difference</c:v>
                </c:pt>
              </c:strCache>
            </c:strRef>
          </c:tx>
          <c:spPr>
            <a:solidFill>
              <a:srgbClr val="7B7C77"/>
            </a:solidFill>
            <a:ln w="38100">
              <a:noFill/>
            </a:ln>
          </c:spPr>
          <c:invertIfNegative val="0"/>
          <c:cat>
            <c:numRef>
              <c:f>'Chart Data'!$A$2:$A$73</c:f>
              <c:numCache>
                <c:formatCode>m/d/yyyy</c:formatCode>
                <c:ptCount val="7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numCache>
            </c:numRef>
          </c:cat>
          <c:val>
            <c:numRef>
              <c:f>'Chart Data'!$D$2:$D$73</c:f>
              <c:numCache>
                <c:formatCode>0.0</c:formatCode>
                <c:ptCount val="72"/>
                <c:pt idx="0">
                  <c:v>-0.1692705638903349</c:v>
                </c:pt>
                <c:pt idx="1">
                  <c:v>-0.10952973888944806</c:v>
                </c:pt>
                <c:pt idx="2">
                  <c:v>-0.12330753990503895</c:v>
                </c:pt>
                <c:pt idx="3">
                  <c:v>0.13257736939414821</c:v>
                </c:pt>
                <c:pt idx="4">
                  <c:v>2.0139326342316188E-2</c:v>
                </c:pt>
                <c:pt idx="5">
                  <c:v>-0.10315195537972155</c:v>
                </c:pt>
                <c:pt idx="6">
                  <c:v>-4.0306070459195986E-2</c:v>
                </c:pt>
                <c:pt idx="7">
                  <c:v>-0.31960784313725943</c:v>
                </c:pt>
                <c:pt idx="8">
                  <c:v>-0.33190018344564381</c:v>
                </c:pt>
                <c:pt idx="9">
                  <c:v>-0.39715045522538156</c:v>
                </c:pt>
                <c:pt idx="10">
                  <c:v>-0.41506508581378154</c:v>
                </c:pt>
                <c:pt idx="11">
                  <c:v>-0.28876644676224555</c:v>
                </c:pt>
                <c:pt idx="12">
                  <c:v>-0.30058042811194097</c:v>
                </c:pt>
                <c:pt idx="13">
                  <c:v>-0.31421588932151201</c:v>
                </c:pt>
                <c:pt idx="14">
                  <c:v>-0.41432516523370905</c:v>
                </c:pt>
                <c:pt idx="15">
                  <c:v>-0.7259222378963599</c:v>
                </c:pt>
                <c:pt idx="16">
                  <c:v>-0.61494846311286455</c:v>
                </c:pt>
                <c:pt idx="17">
                  <c:v>-0.61418256833417795</c:v>
                </c:pt>
                <c:pt idx="18">
                  <c:v>-0.63993692239987654</c:v>
                </c:pt>
                <c:pt idx="19">
                  <c:v>-0.39667074843710282</c:v>
                </c:pt>
                <c:pt idx="20">
                  <c:v>-0.38006895539907326</c:v>
                </c:pt>
                <c:pt idx="21">
                  <c:v>-0.40621165855135111</c:v>
                </c:pt>
                <c:pt idx="22">
                  <c:v>-0.32990054274458114</c:v>
                </c:pt>
                <c:pt idx="23">
                  <c:v>-0.58604574474905746</c:v>
                </c:pt>
                <c:pt idx="24">
                  <c:v>-0.45551333590321708</c:v>
                </c:pt>
                <c:pt idx="25">
                  <c:v>-0.57660809064157803</c:v>
                </c:pt>
                <c:pt idx="26">
                  <c:v>-0.4231240288821887</c:v>
                </c:pt>
                <c:pt idx="27">
                  <c:v>-0.51066167789745798</c:v>
                </c:pt>
                <c:pt idx="28">
                  <c:v>-0.38270133622244273</c:v>
                </c:pt>
                <c:pt idx="29">
                  <c:v>-0.31211348078410062</c:v>
                </c:pt>
                <c:pt idx="30">
                  <c:v>-0.30090119230526646</c:v>
                </c:pt>
                <c:pt idx="31">
                  <c:v>-0.27018780389883368</c:v>
                </c:pt>
                <c:pt idx="32">
                  <c:v>-0.29562780767689745</c:v>
                </c:pt>
                <c:pt idx="33">
                  <c:v>-0.35156634987680846</c:v>
                </c:pt>
                <c:pt idx="34">
                  <c:v>-0.27201271871205357</c:v>
                </c:pt>
                <c:pt idx="35">
                  <c:v>-0.22837437310409925</c:v>
                </c:pt>
                <c:pt idx="36">
                  <c:v>-0.1515239603822689</c:v>
                </c:pt>
                <c:pt idx="37">
                  <c:v>-0.11639686774240587</c:v>
                </c:pt>
                <c:pt idx="38">
                  <c:v>-0.15687738056604239</c:v>
                </c:pt>
                <c:pt idx="39">
                  <c:v>-0.25823586257457087</c:v>
                </c:pt>
                <c:pt idx="40">
                  <c:v>-0.18068200629035225</c:v>
                </c:pt>
                <c:pt idx="41">
                  <c:v>-0.24968429522708835</c:v>
                </c:pt>
                <c:pt idx="42">
                  <c:v>-0.2272141930324274</c:v>
                </c:pt>
                <c:pt idx="43">
                  <c:v>-0.25703056484880893</c:v>
                </c:pt>
                <c:pt idx="44">
                  <c:v>-0.25217672344140496</c:v>
                </c:pt>
                <c:pt idx="45">
                  <c:v>-0.19987797050689338</c:v>
                </c:pt>
                <c:pt idx="46">
                  <c:v>-0.24099168074257804</c:v>
                </c:pt>
                <c:pt idx="47">
                  <c:v>-0.29326853511998685</c:v>
                </c:pt>
                <c:pt idx="48">
                  <c:v>-0.28111461719139452</c:v>
                </c:pt>
                <c:pt idx="49">
                  <c:v>-0.31147217965158669</c:v>
                </c:pt>
                <c:pt idx="50">
                  <c:v>-0.32805928455032207</c:v>
                </c:pt>
                <c:pt idx="51">
                  <c:v>-0.23307009944108126</c:v>
                </c:pt>
                <c:pt idx="52">
                  <c:v>-0.18997776220792839</c:v>
                </c:pt>
                <c:pt idx="53">
                  <c:v>-0.17531052003070413</c:v>
                </c:pt>
                <c:pt idx="54">
                  <c:v>-0.13444482640082756</c:v>
                </c:pt>
                <c:pt idx="55">
                  <c:v>-0.11628370867783522</c:v>
                </c:pt>
                <c:pt idx="56">
                  <c:v>-0.18034121987619134</c:v>
                </c:pt>
                <c:pt idx="57">
                  <c:v>-0.18099148510649821</c:v>
                </c:pt>
                <c:pt idx="58">
                  <c:v>-0.12212670954609095</c:v>
                </c:pt>
                <c:pt idx="59">
                  <c:v>-2.9869481707711643E-3</c:v>
                </c:pt>
                <c:pt idx="60">
                  <c:v>-8.294050090888172E-2</c:v>
                </c:pt>
                <c:pt idx="61">
                  <c:v>-0.1361876677630347</c:v>
                </c:pt>
                <c:pt idx="62">
                  <c:v>-9.4151695106372557E-2</c:v>
                </c:pt>
                <c:pt idx="63">
                  <c:v>-0.12733157516182958</c:v>
                </c:pt>
                <c:pt idx="64">
                  <c:v>-5.7949836097407115E-2</c:v>
                </c:pt>
                <c:pt idx="65">
                  <c:v>-7.6489893339318549E-2</c:v>
                </c:pt>
              </c:numCache>
            </c:numRef>
          </c:val>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gapWidth val="10"/>
        <c:axId val="263607040"/>
        <c:axId val="263608576"/>
      </c:barChart>
      <c:lineChart>
        <c:grouping val="standard"/>
        <c:varyColors val="0"/>
        <c:ser>
          <c:idx val="0"/>
          <c:order val="0"/>
          <c:tx>
            <c:strRef>
              <c:f>'Chart Data'!$B$1</c:f>
              <c:strCache>
                <c:ptCount val="1"/>
                <c:pt idx="0">
                  <c:v>Current data</c:v>
                </c:pt>
              </c:strCache>
            </c:strRef>
          </c:tx>
          <c:spPr>
            <a:ln w="38100">
              <a:solidFill>
                <a:srgbClr val="BD1B21"/>
              </a:solidFill>
            </a:ln>
          </c:spPr>
          <c:marker>
            <c:symbol val="none"/>
          </c:marker>
          <c:cat>
            <c:numRef>
              <c:f>'Chart Data'!$A$2:$A$73</c:f>
              <c:numCache>
                <c:formatCode>m/d/yyyy</c:formatCode>
                <c:ptCount val="7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numCache>
            </c:numRef>
          </c:cat>
          <c:val>
            <c:numRef>
              <c:f>'Chart Data'!$B$2:$B$73</c:f>
              <c:numCache>
                <c:formatCode>0.0</c:formatCode>
                <c:ptCount val="72"/>
                <c:pt idx="0">
                  <c:v>1.769270563890335</c:v>
                </c:pt>
                <c:pt idx="1">
                  <c:v>1.7095297388894481</c:v>
                </c:pt>
                <c:pt idx="2">
                  <c:v>1.5233075399050389</c:v>
                </c:pt>
                <c:pt idx="3">
                  <c:v>0.76742263060585181</c:v>
                </c:pt>
                <c:pt idx="4">
                  <c:v>0.47986067365768381</c:v>
                </c:pt>
                <c:pt idx="5">
                  <c:v>0.60315195537972155</c:v>
                </c:pt>
                <c:pt idx="6">
                  <c:v>1.040306070459196</c:v>
                </c:pt>
                <c:pt idx="7">
                  <c:v>0.21960784313725945</c:v>
                </c:pt>
                <c:pt idx="8">
                  <c:v>0.53190018344564383</c:v>
                </c:pt>
                <c:pt idx="9">
                  <c:v>0.69715045522538155</c:v>
                </c:pt>
                <c:pt idx="10">
                  <c:v>0.31506508581378156</c:v>
                </c:pt>
                <c:pt idx="11">
                  <c:v>0.58876644676224554</c:v>
                </c:pt>
                <c:pt idx="12">
                  <c:v>0.70058042811194099</c:v>
                </c:pt>
                <c:pt idx="13">
                  <c:v>0.41421588932151199</c:v>
                </c:pt>
                <c:pt idx="14">
                  <c:v>0.71432516523370904</c:v>
                </c:pt>
                <c:pt idx="15">
                  <c:v>1.5259222378963599</c:v>
                </c:pt>
                <c:pt idx="16">
                  <c:v>2.1149484631128646</c:v>
                </c:pt>
                <c:pt idx="17">
                  <c:v>2.5141825683341779</c:v>
                </c:pt>
                <c:pt idx="18">
                  <c:v>2.0399369223998765</c:v>
                </c:pt>
                <c:pt idx="19">
                  <c:v>3.1966707484371026</c:v>
                </c:pt>
                <c:pt idx="20">
                  <c:v>3.0800689553990734</c:v>
                </c:pt>
                <c:pt idx="21">
                  <c:v>4.2062116585513509</c:v>
                </c:pt>
                <c:pt idx="22">
                  <c:v>5.129900542744581</c:v>
                </c:pt>
                <c:pt idx="23">
                  <c:v>5.3860457447490573</c:v>
                </c:pt>
                <c:pt idx="24">
                  <c:v>5.4555133359032171</c:v>
                </c:pt>
                <c:pt idx="25">
                  <c:v>6.1766080906415777</c:v>
                </c:pt>
                <c:pt idx="26">
                  <c:v>7.0231240288821883</c:v>
                </c:pt>
                <c:pt idx="27">
                  <c:v>9.010661677897458</c:v>
                </c:pt>
                <c:pt idx="28">
                  <c:v>9.082701336222442</c:v>
                </c:pt>
                <c:pt idx="29">
                  <c:v>9.4121134807841003</c:v>
                </c:pt>
                <c:pt idx="30">
                  <c:v>10.100901192305267</c:v>
                </c:pt>
                <c:pt idx="31">
                  <c:v>9.8701878038988333</c:v>
                </c:pt>
                <c:pt idx="32">
                  <c:v>10.095627807676898</c:v>
                </c:pt>
                <c:pt idx="33">
                  <c:v>11.051566349876808</c:v>
                </c:pt>
                <c:pt idx="34">
                  <c:v>10.672012718712054</c:v>
                </c:pt>
                <c:pt idx="35">
                  <c:v>10.5283743731041</c:v>
                </c:pt>
                <c:pt idx="36">
                  <c:v>10.051523960382269</c:v>
                </c:pt>
                <c:pt idx="37">
                  <c:v>10.416396867742407</c:v>
                </c:pt>
                <c:pt idx="38">
                  <c:v>10.056877380566043</c:v>
                </c:pt>
                <c:pt idx="39">
                  <c:v>8.6582358625745712</c:v>
                </c:pt>
                <c:pt idx="40">
                  <c:v>8.6806820062903522</c:v>
                </c:pt>
                <c:pt idx="41">
                  <c:v>7.9496842952270885</c:v>
                </c:pt>
                <c:pt idx="42">
                  <c:v>6.827214193032427</c:v>
                </c:pt>
                <c:pt idx="43">
                  <c:v>6.6570305648488093</c:v>
                </c:pt>
                <c:pt idx="44">
                  <c:v>6.6521767234414053</c:v>
                </c:pt>
                <c:pt idx="45">
                  <c:v>4.5998779705068937</c:v>
                </c:pt>
                <c:pt idx="46">
                  <c:v>3.9409916807425782</c:v>
                </c:pt>
                <c:pt idx="47">
                  <c:v>3.993268535119987</c:v>
                </c:pt>
                <c:pt idx="48">
                  <c:v>3.9811146171913947</c:v>
                </c:pt>
                <c:pt idx="49">
                  <c:v>3.4114721796515868</c:v>
                </c:pt>
                <c:pt idx="50">
                  <c:v>3.228059284550322</c:v>
                </c:pt>
                <c:pt idx="51">
                  <c:v>2.3330700994410813</c:v>
                </c:pt>
                <c:pt idx="52">
                  <c:v>1.9899777622079284</c:v>
                </c:pt>
                <c:pt idx="53">
                  <c:v>1.9753105200307042</c:v>
                </c:pt>
                <c:pt idx="54">
                  <c:v>2.2344448264008276</c:v>
                </c:pt>
                <c:pt idx="55">
                  <c:v>2.2162837086778353</c:v>
                </c:pt>
                <c:pt idx="56">
                  <c:v>1.6803412198761913</c:v>
                </c:pt>
                <c:pt idx="57">
                  <c:v>2.2809914851064983</c:v>
                </c:pt>
                <c:pt idx="58">
                  <c:v>2.622126709546091</c:v>
                </c:pt>
                <c:pt idx="59">
                  <c:v>2.5029869481707712</c:v>
                </c:pt>
                <c:pt idx="60">
                  <c:v>2.9829405009088816</c:v>
                </c:pt>
                <c:pt idx="61">
                  <c:v>2.8361876677630349</c:v>
                </c:pt>
                <c:pt idx="62">
                  <c:v>2.5941516951063726</c:v>
                </c:pt>
                <c:pt idx="63">
                  <c:v>3.5273315751618295</c:v>
                </c:pt>
                <c:pt idx="64">
                  <c:v>3.3579498360974069</c:v>
                </c:pt>
                <c:pt idx="65">
                  <c:v>3.5764898933393185</c:v>
                </c:pt>
                <c:pt idx="66">
                  <c:v>3.829485167750124</c:v>
                </c:pt>
                <c:pt idx="67">
                  <c:v>3.7882568506669934</c:v>
                </c:pt>
                <c:pt idx="68">
                  <c:v>3.7827366538762508</c:v>
                </c:pt>
                <c:pt idx="69">
                  <c:v>3.5588638299448361</c:v>
                </c:pt>
                <c:pt idx="70">
                  <c:v>3.2477430812490882</c:v>
                </c:pt>
                <c:pt idx="71">
                  <c:v>3.3736130783758256</c:v>
                </c:pt>
              </c:numCache>
            </c:numRef>
          </c:val>
          <c:smooth val="0"/>
          <c:extLst>
            <c:ext xmlns:c16="http://schemas.microsoft.com/office/drawing/2014/chart" uri="{C3380CC4-5D6E-409C-BE32-E72D297353CC}">
              <c16:uniqueId val="{00000000-E850-417B-95DA-4ED900504230}"/>
            </c:ext>
          </c:extLst>
        </c:ser>
        <c:ser>
          <c:idx val="1"/>
          <c:order val="1"/>
          <c:tx>
            <c:strRef>
              <c:f>'Chart Data'!$C$1</c:f>
              <c:strCache>
                <c:ptCount val="1"/>
                <c:pt idx="0">
                  <c:v>Data under new methodology</c:v>
                </c:pt>
              </c:strCache>
            </c:strRef>
          </c:tx>
          <c:spPr>
            <a:ln w="38100">
              <a:solidFill>
                <a:srgbClr val="003469"/>
              </a:solidFill>
            </a:ln>
          </c:spPr>
          <c:marker>
            <c:symbol val="none"/>
          </c:marker>
          <c:cat>
            <c:numRef>
              <c:f>'Chart Data'!$A$2:$A$73</c:f>
              <c:numCache>
                <c:formatCode>m/d/yyyy</c:formatCode>
                <c:ptCount val="72"/>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numCache>
            </c:numRef>
          </c:cat>
          <c:val>
            <c:numRef>
              <c:f>'Chart Data'!$C$2:$C$73</c:f>
              <c:numCache>
                <c:formatCode>General</c:formatCode>
                <c:ptCount val="72"/>
                <c:pt idx="0">
                  <c:v>0</c:v>
                </c:pt>
                <c:pt idx="1">
                  <c:v>1.6</c:v>
                </c:pt>
                <c:pt idx="2">
                  <c:v>1.4</c:v>
                </c:pt>
                <c:pt idx="3">
                  <c:v>0.9</c:v>
                </c:pt>
                <c:pt idx="4">
                  <c:v>0.5</c:v>
                </c:pt>
                <c:pt idx="5">
                  <c:v>0.5</c:v>
                </c:pt>
                <c:pt idx="6">
                  <c:v>1</c:v>
                </c:pt>
                <c:pt idx="7">
                  <c:v>-0.1</c:v>
                </c:pt>
                <c:pt idx="8">
                  <c:v>0.2</c:v>
                </c:pt>
                <c:pt idx="9">
                  <c:v>0.3</c:v>
                </c:pt>
                <c:pt idx="10">
                  <c:v>-0.1</c:v>
                </c:pt>
                <c:pt idx="11">
                  <c:v>0.3</c:v>
                </c:pt>
                <c:pt idx="12">
                  <c:v>0.4</c:v>
                </c:pt>
                <c:pt idx="13">
                  <c:v>0.1</c:v>
                </c:pt>
                <c:pt idx="14">
                  <c:v>0.3</c:v>
                </c:pt>
                <c:pt idx="15">
                  <c:v>0.8</c:v>
                </c:pt>
                <c:pt idx="16">
                  <c:v>1.5</c:v>
                </c:pt>
                <c:pt idx="17">
                  <c:v>1.9</c:v>
                </c:pt>
                <c:pt idx="18">
                  <c:v>1.4</c:v>
                </c:pt>
                <c:pt idx="19">
                  <c:v>2.8</c:v>
                </c:pt>
                <c:pt idx="20">
                  <c:v>2.7</c:v>
                </c:pt>
                <c:pt idx="21">
                  <c:v>3.8</c:v>
                </c:pt>
                <c:pt idx="22">
                  <c:v>4.8</c:v>
                </c:pt>
                <c:pt idx="23">
                  <c:v>4.8</c:v>
                </c:pt>
                <c:pt idx="24">
                  <c:v>5</c:v>
                </c:pt>
                <c:pt idx="25">
                  <c:v>5.6</c:v>
                </c:pt>
                <c:pt idx="26">
                  <c:v>6.6</c:v>
                </c:pt>
                <c:pt idx="27">
                  <c:v>8.5</c:v>
                </c:pt>
                <c:pt idx="28">
                  <c:v>8.6999999999999993</c:v>
                </c:pt>
                <c:pt idx="29">
                  <c:v>9.1</c:v>
                </c:pt>
                <c:pt idx="30">
                  <c:v>9.8000000000000007</c:v>
                </c:pt>
                <c:pt idx="31">
                  <c:v>9.6</c:v>
                </c:pt>
                <c:pt idx="32">
                  <c:v>9.8000000000000007</c:v>
                </c:pt>
                <c:pt idx="33">
                  <c:v>10.7</c:v>
                </c:pt>
                <c:pt idx="34">
                  <c:v>10.4</c:v>
                </c:pt>
                <c:pt idx="35">
                  <c:v>10.3</c:v>
                </c:pt>
                <c:pt idx="36">
                  <c:v>9.9</c:v>
                </c:pt>
                <c:pt idx="37">
                  <c:v>10.3</c:v>
                </c:pt>
                <c:pt idx="38">
                  <c:v>9.9</c:v>
                </c:pt>
                <c:pt idx="39">
                  <c:v>8.4</c:v>
                </c:pt>
                <c:pt idx="40">
                  <c:v>8.5</c:v>
                </c:pt>
                <c:pt idx="41">
                  <c:v>7.7</c:v>
                </c:pt>
                <c:pt idx="42">
                  <c:v>6.6</c:v>
                </c:pt>
                <c:pt idx="43">
                  <c:v>6.4</c:v>
                </c:pt>
                <c:pt idx="44">
                  <c:v>6.4</c:v>
                </c:pt>
                <c:pt idx="45">
                  <c:v>4.4000000000000004</c:v>
                </c:pt>
                <c:pt idx="46">
                  <c:v>3.7</c:v>
                </c:pt>
                <c:pt idx="47">
                  <c:v>3.7</c:v>
                </c:pt>
                <c:pt idx="48">
                  <c:v>3.7</c:v>
                </c:pt>
                <c:pt idx="49">
                  <c:v>3.1</c:v>
                </c:pt>
                <c:pt idx="50">
                  <c:v>2.9</c:v>
                </c:pt>
                <c:pt idx="51">
                  <c:v>2.1</c:v>
                </c:pt>
                <c:pt idx="52">
                  <c:v>1.8</c:v>
                </c:pt>
                <c:pt idx="53">
                  <c:v>1.8</c:v>
                </c:pt>
                <c:pt idx="54">
                  <c:v>2.1</c:v>
                </c:pt>
                <c:pt idx="55">
                  <c:v>2.1</c:v>
                </c:pt>
                <c:pt idx="56">
                  <c:v>1.5</c:v>
                </c:pt>
                <c:pt idx="57">
                  <c:v>2.1</c:v>
                </c:pt>
                <c:pt idx="58">
                  <c:v>2.5</c:v>
                </c:pt>
                <c:pt idx="59">
                  <c:v>2.5</c:v>
                </c:pt>
                <c:pt idx="60">
                  <c:v>2.9</c:v>
                </c:pt>
                <c:pt idx="61">
                  <c:v>2.7</c:v>
                </c:pt>
                <c:pt idx="62">
                  <c:v>2.5</c:v>
                </c:pt>
                <c:pt idx="63">
                  <c:v>3.4</c:v>
                </c:pt>
                <c:pt idx="64">
                  <c:v>3.3</c:v>
                </c:pt>
                <c:pt idx="65">
                  <c:v>3.5</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r"/>
      <c:layout>
        <c:manualLayout>
          <c:xMode val="edge"/>
          <c:yMode val="edge"/>
          <c:x val="8.2169017008467141E-2"/>
          <c:y val="9.1847902864833103E-2"/>
          <c:w val="0.91632439165443302"/>
          <c:h val="8.3537433174960776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292CD56-A39D-46E7-9837-D08459CC7ACD}">
  <sheetPr/>
  <sheetViews>
    <sheetView tabSelected="1"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4B5D9BD-41E3-4B1E-9999-C587588FEEC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531980B-5F01-950D-94FD-D5E7DC4EEE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348B147F-23F8-27F9-815A-1FCAC40F17D1}"/>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Mortgage approvals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463A6D02-37ED-61D6-468C-25F2258E2FFF}"/>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cdr:x>
      <cdr:y>0.07554</cdr:y>
    </cdr:from>
    <cdr:to>
      <cdr:x>1</cdr:x>
      <cdr:y>0.12653</cdr:y>
    </cdr:to>
    <cdr:sp macro="" textlink="">
      <cdr:nvSpPr>
        <cdr:cNvPr id="6" name="TextBox 5">
          <a:extLst xmlns:a="http://schemas.openxmlformats.org/drawingml/2006/main">
            <a:ext uri="{FF2B5EF4-FFF2-40B4-BE49-F238E27FC236}">
              <a16:creationId xmlns:a16="http://schemas.microsoft.com/office/drawing/2014/main" id="{4CE8B3D5-4CC3-F1C1-9354-EF139DF10910}"/>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0821FF0A-002E-0FF5-8E0C-8BEC2A9AF49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B6DCC8DC-16EE-C04B-8DDC-EE6091B5399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Impact of methodological changes on CPI inflation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64182E5E-5EED-CA03-AEA1-ABECD96DA23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calculations using data from ONS &amp; Haver Analytics</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CDF887DB-F551-BD07-F45D-EA3CD40438F2}"/>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oxecon-my.sharepoint.com/personal/agoodwin_oxfordeconomics_com/Documents/Desktop/Mortgage%20approvals.xlsx" TargetMode="External"/><Relationship Id="rId1" Type="http://schemas.openxmlformats.org/officeDocument/2006/relationships/externalLinkPath" Target="https://oxecon-my.sharepoint.com/personal/agoodwin_oxfordeconomics_com/Documents/Desktop/Mortgage%20approva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1"/>
      <sheetName val="Sheet1"/>
    </sheetNames>
    <sheetDataSet>
      <sheetData sheetId="1">
        <row r="3">
          <cell r="C3" t="str">
            <v>Non seasonally adjusted</v>
          </cell>
          <cell r="D3" t="str">
            <v>Seasonally adjusted</v>
          </cell>
        </row>
        <row r="4">
          <cell r="B4">
            <v>42370</v>
          </cell>
          <cell r="C4">
            <v>49700</v>
          </cell>
          <cell r="D4">
            <v>72479</v>
          </cell>
        </row>
        <row r="5">
          <cell r="B5">
            <v>42401</v>
          </cell>
          <cell r="C5">
            <v>66250</v>
          </cell>
          <cell r="D5">
            <v>71870</v>
          </cell>
        </row>
        <row r="6">
          <cell r="B6">
            <v>42430</v>
          </cell>
          <cell r="C6">
            <v>77609</v>
          </cell>
          <cell r="D6">
            <v>70738</v>
          </cell>
        </row>
        <row r="7">
          <cell r="B7">
            <v>42461</v>
          </cell>
          <cell r="C7">
            <v>72660</v>
          </cell>
          <cell r="D7">
            <v>68694</v>
          </cell>
        </row>
        <row r="8">
          <cell r="B8">
            <v>42491</v>
          </cell>
          <cell r="C8">
            <v>74217</v>
          </cell>
          <cell r="D8">
            <v>67879</v>
          </cell>
        </row>
        <row r="9">
          <cell r="B9">
            <v>42522</v>
          </cell>
          <cell r="C9">
            <v>78557</v>
          </cell>
          <cell r="D9">
            <v>65596</v>
          </cell>
        </row>
        <row r="10">
          <cell r="B10">
            <v>42552</v>
          </cell>
          <cell r="C10">
            <v>67727</v>
          </cell>
          <cell r="D10">
            <v>62635</v>
          </cell>
        </row>
        <row r="11">
          <cell r="B11">
            <v>42583</v>
          </cell>
          <cell r="C11">
            <v>64389</v>
          </cell>
          <cell r="D11">
            <v>61444</v>
          </cell>
        </row>
        <row r="12">
          <cell r="B12">
            <v>42614</v>
          </cell>
          <cell r="C12">
            <v>66905</v>
          </cell>
          <cell r="D12">
            <v>64230</v>
          </cell>
        </row>
        <row r="13">
          <cell r="B13">
            <v>42644</v>
          </cell>
          <cell r="C13">
            <v>68175</v>
          </cell>
          <cell r="D13">
            <v>67903</v>
          </cell>
        </row>
        <row r="14">
          <cell r="B14">
            <v>42675</v>
          </cell>
          <cell r="C14">
            <v>71336</v>
          </cell>
          <cell r="D14">
            <v>68382</v>
          </cell>
        </row>
        <row r="15">
          <cell r="B15">
            <v>42705</v>
          </cell>
          <cell r="C15">
            <v>50460</v>
          </cell>
          <cell r="D15">
            <v>68328</v>
          </cell>
        </row>
        <row r="16">
          <cell r="B16">
            <v>42736</v>
          </cell>
          <cell r="C16">
            <v>48505</v>
          </cell>
          <cell r="D16">
            <v>67977</v>
          </cell>
        </row>
        <row r="17">
          <cell r="B17">
            <v>42767</v>
          </cell>
          <cell r="C17">
            <v>61064</v>
          </cell>
          <cell r="D17">
            <v>68133</v>
          </cell>
        </row>
        <row r="18">
          <cell r="B18">
            <v>42795</v>
          </cell>
          <cell r="C18">
            <v>80339</v>
          </cell>
          <cell r="D18">
            <v>68052</v>
          </cell>
        </row>
        <row r="19">
          <cell r="B19">
            <v>42826</v>
          </cell>
          <cell r="C19">
            <v>63293</v>
          </cell>
          <cell r="D19">
            <v>67131</v>
          </cell>
        </row>
        <row r="20">
          <cell r="B20">
            <v>42856</v>
          </cell>
          <cell r="C20">
            <v>75135</v>
          </cell>
          <cell r="D20">
            <v>66046</v>
          </cell>
        </row>
        <row r="21">
          <cell r="B21">
            <v>42887</v>
          </cell>
          <cell r="C21">
            <v>78891</v>
          </cell>
          <cell r="D21">
            <v>65374</v>
          </cell>
        </row>
        <row r="22">
          <cell r="B22">
            <v>42917</v>
          </cell>
          <cell r="C22">
            <v>73221</v>
          </cell>
          <cell r="D22">
            <v>68551</v>
          </cell>
        </row>
        <row r="23">
          <cell r="B23">
            <v>42948</v>
          </cell>
          <cell r="C23">
            <v>70491</v>
          </cell>
          <cell r="D23">
            <v>66897</v>
          </cell>
        </row>
        <row r="24">
          <cell r="B24">
            <v>42979</v>
          </cell>
          <cell r="C24">
            <v>66228</v>
          </cell>
          <cell r="D24">
            <v>66313</v>
          </cell>
        </row>
        <row r="25">
          <cell r="B25">
            <v>43009</v>
          </cell>
          <cell r="C25">
            <v>67946</v>
          </cell>
          <cell r="D25">
            <v>65175</v>
          </cell>
        </row>
        <row r="26">
          <cell r="B26">
            <v>43040</v>
          </cell>
          <cell r="C26">
            <v>67872</v>
          </cell>
          <cell r="D26">
            <v>65671</v>
          </cell>
        </row>
        <row r="27">
          <cell r="B27">
            <v>43070</v>
          </cell>
          <cell r="C27">
            <v>43818</v>
          </cell>
          <cell r="D27">
            <v>62277</v>
          </cell>
        </row>
        <row r="28">
          <cell r="B28">
            <v>43101</v>
          </cell>
          <cell r="C28">
            <v>49411</v>
          </cell>
          <cell r="D28">
            <v>65827</v>
          </cell>
        </row>
        <row r="29">
          <cell r="B29">
            <v>43132</v>
          </cell>
          <cell r="C29">
            <v>57019</v>
          </cell>
          <cell r="D29">
            <v>63000</v>
          </cell>
        </row>
        <row r="30">
          <cell r="B30">
            <v>43160</v>
          </cell>
          <cell r="C30">
            <v>67004</v>
          </cell>
          <cell r="D30">
            <v>63111</v>
          </cell>
        </row>
        <row r="31">
          <cell r="B31">
            <v>43191</v>
          </cell>
          <cell r="C31">
            <v>66254</v>
          </cell>
          <cell r="D31">
            <v>63329</v>
          </cell>
        </row>
        <row r="32">
          <cell r="B32">
            <v>43221</v>
          </cell>
          <cell r="C32">
            <v>74586</v>
          </cell>
          <cell r="D32">
            <v>65112</v>
          </cell>
        </row>
        <row r="33">
          <cell r="B33">
            <v>43252</v>
          </cell>
          <cell r="C33">
            <v>76455</v>
          </cell>
          <cell r="D33">
            <v>65910</v>
          </cell>
        </row>
        <row r="34">
          <cell r="B34">
            <v>43282</v>
          </cell>
          <cell r="C34">
            <v>72160</v>
          </cell>
          <cell r="D34">
            <v>64761</v>
          </cell>
        </row>
        <row r="35">
          <cell r="B35">
            <v>43313</v>
          </cell>
          <cell r="C35">
            <v>70507</v>
          </cell>
          <cell r="D35">
            <v>66809</v>
          </cell>
        </row>
        <row r="36">
          <cell r="B36">
            <v>43344</v>
          </cell>
          <cell r="C36">
            <v>62852</v>
          </cell>
          <cell r="D36">
            <v>66005</v>
          </cell>
        </row>
        <row r="37">
          <cell r="B37">
            <v>43374</v>
          </cell>
          <cell r="C37">
            <v>73674</v>
          </cell>
          <cell r="D37">
            <v>68210</v>
          </cell>
        </row>
        <row r="38">
          <cell r="B38">
            <v>43405</v>
          </cell>
          <cell r="C38">
            <v>66947</v>
          </cell>
          <cell r="D38">
            <v>64924</v>
          </cell>
        </row>
        <row r="39">
          <cell r="B39">
            <v>43435</v>
          </cell>
          <cell r="C39">
            <v>44510</v>
          </cell>
          <cell r="D39">
            <v>64365</v>
          </cell>
        </row>
        <row r="40">
          <cell r="B40">
            <v>43466</v>
          </cell>
          <cell r="C40">
            <v>49669</v>
          </cell>
          <cell r="D40">
            <v>65055</v>
          </cell>
        </row>
        <row r="41">
          <cell r="B41">
            <v>43497</v>
          </cell>
          <cell r="C41">
            <v>58628</v>
          </cell>
          <cell r="D41">
            <v>64164</v>
          </cell>
        </row>
        <row r="42">
          <cell r="B42">
            <v>43525</v>
          </cell>
          <cell r="C42">
            <v>67911</v>
          </cell>
          <cell r="D42">
            <v>62219</v>
          </cell>
        </row>
        <row r="43">
          <cell r="B43">
            <v>43556</v>
          </cell>
          <cell r="C43">
            <v>67368</v>
          </cell>
          <cell r="D43">
            <v>65927</v>
          </cell>
        </row>
        <row r="44">
          <cell r="B44">
            <v>43586</v>
          </cell>
          <cell r="C44">
            <v>75377</v>
          </cell>
          <cell r="D44">
            <v>65581</v>
          </cell>
        </row>
        <row r="45">
          <cell r="B45">
            <v>43617</v>
          </cell>
          <cell r="C45">
            <v>73651</v>
          </cell>
          <cell r="D45">
            <v>66593</v>
          </cell>
        </row>
        <row r="46">
          <cell r="B46">
            <v>43647</v>
          </cell>
          <cell r="C46">
            <v>78065</v>
          </cell>
          <cell r="D46">
            <v>67265</v>
          </cell>
        </row>
        <row r="47">
          <cell r="B47">
            <v>43678</v>
          </cell>
          <cell r="C47">
            <v>67088</v>
          </cell>
          <cell r="D47">
            <v>66033</v>
          </cell>
        </row>
        <row r="48">
          <cell r="B48">
            <v>43709</v>
          </cell>
          <cell r="C48">
            <v>65176</v>
          </cell>
          <cell r="D48">
            <v>66247</v>
          </cell>
        </row>
        <row r="49">
          <cell r="B49">
            <v>43739</v>
          </cell>
          <cell r="C49">
            <v>71721</v>
          </cell>
          <cell r="D49">
            <v>66260</v>
          </cell>
        </row>
        <row r="50">
          <cell r="B50">
            <v>43770</v>
          </cell>
          <cell r="C50">
            <v>65490</v>
          </cell>
          <cell r="D50">
            <v>66608</v>
          </cell>
        </row>
        <row r="51">
          <cell r="B51">
            <v>43800</v>
          </cell>
          <cell r="C51">
            <v>48501</v>
          </cell>
          <cell r="D51">
            <v>67467</v>
          </cell>
        </row>
        <row r="52">
          <cell r="B52">
            <v>43831</v>
          </cell>
          <cell r="C52">
            <v>53586</v>
          </cell>
          <cell r="D52">
            <v>69420</v>
          </cell>
        </row>
        <row r="53">
          <cell r="B53">
            <v>43862</v>
          </cell>
          <cell r="C53">
            <v>66511</v>
          </cell>
          <cell r="D53">
            <v>71636</v>
          </cell>
        </row>
        <row r="54">
          <cell r="B54">
            <v>43891</v>
          </cell>
          <cell r="C54">
            <v>63148</v>
          </cell>
          <cell r="D54">
            <v>56248</v>
          </cell>
        </row>
        <row r="55">
          <cell r="B55">
            <v>43922</v>
          </cell>
          <cell r="C55">
            <v>16418</v>
          </cell>
          <cell r="D55">
            <v>15959</v>
          </cell>
        </row>
        <row r="56">
          <cell r="B56">
            <v>43952</v>
          </cell>
          <cell r="C56">
            <v>9922</v>
          </cell>
          <cell r="D56">
            <v>9374</v>
          </cell>
        </row>
        <row r="57">
          <cell r="B57">
            <v>43983</v>
          </cell>
          <cell r="C57">
            <v>47957</v>
          </cell>
          <cell r="D57">
            <v>40298</v>
          </cell>
        </row>
        <row r="58">
          <cell r="B58">
            <v>44013</v>
          </cell>
          <cell r="C58">
            <v>78374</v>
          </cell>
          <cell r="D58">
            <v>66615</v>
          </cell>
        </row>
        <row r="59">
          <cell r="B59">
            <v>44044</v>
          </cell>
          <cell r="C59">
            <v>82115</v>
          </cell>
          <cell r="D59">
            <v>85240</v>
          </cell>
        </row>
        <row r="60">
          <cell r="B60">
            <v>44075</v>
          </cell>
          <cell r="C60">
            <v>96007</v>
          </cell>
          <cell r="D60">
            <v>92610</v>
          </cell>
        </row>
        <row r="61">
          <cell r="B61">
            <v>44105</v>
          </cell>
          <cell r="C61">
            <v>104598</v>
          </cell>
          <cell r="D61">
            <v>100662</v>
          </cell>
        </row>
        <row r="62">
          <cell r="B62">
            <v>44136</v>
          </cell>
          <cell r="C62">
            <v>103525</v>
          </cell>
          <cell r="D62">
            <v>107760</v>
          </cell>
        </row>
        <row r="63">
          <cell r="B63">
            <v>44166</v>
          </cell>
          <cell r="C63">
            <v>77683</v>
          </cell>
          <cell r="D63">
            <v>103105</v>
          </cell>
        </row>
        <row r="64">
          <cell r="B64">
            <v>44197</v>
          </cell>
          <cell r="C64">
            <v>69472</v>
          </cell>
          <cell r="D64">
            <v>96978</v>
          </cell>
        </row>
        <row r="65">
          <cell r="B65">
            <v>44228</v>
          </cell>
          <cell r="C65">
            <v>78495</v>
          </cell>
          <cell r="D65">
            <v>84552</v>
          </cell>
        </row>
        <row r="66">
          <cell r="B66">
            <v>44256</v>
          </cell>
          <cell r="C66">
            <v>95033</v>
          </cell>
          <cell r="D66">
            <v>81126</v>
          </cell>
        </row>
        <row r="67">
          <cell r="B67">
            <v>44287</v>
          </cell>
          <cell r="C67">
            <v>88510</v>
          </cell>
          <cell r="D67">
            <v>85514</v>
          </cell>
        </row>
        <row r="68">
          <cell r="B68">
            <v>44317</v>
          </cell>
          <cell r="C68">
            <v>89820</v>
          </cell>
          <cell r="D68">
            <v>86247</v>
          </cell>
        </row>
        <row r="69">
          <cell r="B69">
            <v>44348</v>
          </cell>
          <cell r="C69">
            <v>94570</v>
          </cell>
          <cell r="D69">
            <v>79187</v>
          </cell>
        </row>
        <row r="70">
          <cell r="B70">
            <v>44378</v>
          </cell>
          <cell r="C70">
            <v>82136</v>
          </cell>
          <cell r="D70">
            <v>72395</v>
          </cell>
        </row>
        <row r="71">
          <cell r="B71">
            <v>44409</v>
          </cell>
          <cell r="C71">
            <v>71417</v>
          </cell>
          <cell r="D71">
            <v>70954</v>
          </cell>
        </row>
        <row r="72">
          <cell r="B72">
            <v>44440</v>
          </cell>
          <cell r="C72">
            <v>73201</v>
          </cell>
          <cell r="D72">
            <v>70518</v>
          </cell>
        </row>
        <row r="73">
          <cell r="B73">
            <v>44470</v>
          </cell>
          <cell r="C73">
            <v>67724</v>
          </cell>
          <cell r="D73">
            <v>68226</v>
          </cell>
        </row>
        <row r="74">
          <cell r="B74">
            <v>44501</v>
          </cell>
          <cell r="C74">
            <v>69175</v>
          </cell>
          <cell r="D74">
            <v>69263</v>
          </cell>
        </row>
        <row r="75">
          <cell r="B75">
            <v>44531</v>
          </cell>
          <cell r="C75">
            <v>54797</v>
          </cell>
          <cell r="D75">
            <v>72550</v>
          </cell>
        </row>
        <row r="76">
          <cell r="B76">
            <v>44562</v>
          </cell>
          <cell r="C76">
            <v>52362</v>
          </cell>
          <cell r="D76">
            <v>73823</v>
          </cell>
        </row>
        <row r="77">
          <cell r="B77">
            <v>44593</v>
          </cell>
          <cell r="C77">
            <v>63783</v>
          </cell>
          <cell r="D77">
            <v>68363</v>
          </cell>
        </row>
        <row r="78">
          <cell r="B78">
            <v>44621</v>
          </cell>
          <cell r="C78">
            <v>81514</v>
          </cell>
          <cell r="D78">
            <v>68954</v>
          </cell>
        </row>
        <row r="79">
          <cell r="B79">
            <v>44652</v>
          </cell>
          <cell r="C79">
            <v>65822</v>
          </cell>
          <cell r="D79">
            <v>66216</v>
          </cell>
        </row>
        <row r="80">
          <cell r="B80">
            <v>44682</v>
          </cell>
          <cell r="C80">
            <v>71769</v>
          </cell>
          <cell r="D80">
            <v>66552</v>
          </cell>
        </row>
        <row r="81">
          <cell r="B81">
            <v>44713</v>
          </cell>
          <cell r="C81">
            <v>74695</v>
          </cell>
          <cell r="D81">
            <v>62856</v>
          </cell>
        </row>
        <row r="82">
          <cell r="B82">
            <v>44743</v>
          </cell>
          <cell r="C82">
            <v>68384</v>
          </cell>
          <cell r="D82">
            <v>62611</v>
          </cell>
        </row>
        <row r="83">
          <cell r="B83">
            <v>44774</v>
          </cell>
          <cell r="C83">
            <v>75824</v>
          </cell>
          <cell r="D83">
            <v>72022</v>
          </cell>
        </row>
        <row r="84">
          <cell r="B84">
            <v>44805</v>
          </cell>
          <cell r="C84">
            <v>67781</v>
          </cell>
          <cell r="D84">
            <v>64670</v>
          </cell>
        </row>
        <row r="85">
          <cell r="B85">
            <v>44835</v>
          </cell>
          <cell r="C85">
            <v>56456</v>
          </cell>
          <cell r="D85">
            <v>57741</v>
          </cell>
        </row>
        <row r="86">
          <cell r="B86">
            <v>44866</v>
          </cell>
          <cell r="C86">
            <v>46676</v>
          </cell>
          <cell r="D86">
            <v>46528</v>
          </cell>
        </row>
        <row r="87">
          <cell r="B87">
            <v>44896</v>
          </cell>
          <cell r="C87">
            <v>29954</v>
          </cell>
          <cell r="D87">
            <v>41267</v>
          </cell>
        </row>
        <row r="88">
          <cell r="B88">
            <v>44927</v>
          </cell>
          <cell r="C88">
            <v>29342</v>
          </cell>
          <cell r="D88">
            <v>39718</v>
          </cell>
        </row>
        <row r="89">
          <cell r="B89">
            <v>44958</v>
          </cell>
          <cell r="C89">
            <v>40272</v>
          </cell>
          <cell r="D89">
            <v>43036</v>
          </cell>
        </row>
        <row r="90">
          <cell r="B90">
            <v>44986</v>
          </cell>
          <cell r="C90">
            <v>60964</v>
          </cell>
          <cell r="D90">
            <v>51286</v>
          </cell>
        </row>
        <row r="91">
          <cell r="B91">
            <v>45017</v>
          </cell>
          <cell r="C91">
            <v>46495</v>
          </cell>
          <cell r="D91">
            <v>49200</v>
          </cell>
        </row>
        <row r="92">
          <cell r="B92">
            <v>45047</v>
          </cell>
          <cell r="C92">
            <v>57240</v>
          </cell>
          <cell r="D92">
            <v>51190</v>
          </cell>
        </row>
        <row r="93">
          <cell r="B93">
            <v>45078</v>
          </cell>
          <cell r="C93">
            <v>64958</v>
          </cell>
          <cell r="D93">
            <v>54463</v>
          </cell>
        </row>
        <row r="94">
          <cell r="B94">
            <v>45108</v>
          </cell>
          <cell r="C94">
            <v>53023</v>
          </cell>
          <cell r="D94">
            <v>49095</v>
          </cell>
        </row>
        <row r="95">
          <cell r="B95">
            <v>45139</v>
          </cell>
          <cell r="C95">
            <v>48063</v>
          </cell>
          <cell r="D95">
            <v>45101</v>
          </cell>
        </row>
        <row r="96">
          <cell r="B96">
            <v>45170</v>
          </cell>
          <cell r="C96">
            <v>44293</v>
          </cell>
          <cell r="D96">
            <v>43772</v>
          </cell>
        </row>
        <row r="97">
          <cell r="B97">
            <v>45200</v>
          </cell>
          <cell r="C97">
            <v>48927</v>
          </cell>
          <cell r="D97">
            <v>47996</v>
          </cell>
        </row>
        <row r="98">
          <cell r="B98">
            <v>45231</v>
          </cell>
          <cell r="C98">
            <v>50096</v>
          </cell>
          <cell r="D98">
            <v>50014</v>
          </cell>
        </row>
        <row r="99">
          <cell r="B99">
            <v>45261</v>
          </cell>
          <cell r="C99">
            <v>36231</v>
          </cell>
          <cell r="D99">
            <v>52180</v>
          </cell>
        </row>
        <row r="100">
          <cell r="B100">
            <v>45292</v>
          </cell>
          <cell r="C100">
            <v>43032</v>
          </cell>
          <cell r="D100">
            <v>55972</v>
          </cell>
        </row>
        <row r="101">
          <cell r="B101">
            <v>45323</v>
          </cell>
          <cell r="C101">
            <v>58929</v>
          </cell>
          <cell r="D101">
            <v>60141</v>
          </cell>
        </row>
        <row r="102">
          <cell r="B102">
            <v>45352</v>
          </cell>
          <cell r="C102">
            <v>63394</v>
          </cell>
          <cell r="D102">
            <v>61841</v>
          </cell>
        </row>
        <row r="103">
          <cell r="B103">
            <v>45383</v>
          </cell>
          <cell r="C103">
            <v>67528</v>
          </cell>
          <cell r="D103">
            <v>62071</v>
          </cell>
        </row>
        <row r="104">
          <cell r="B104">
            <v>45413</v>
          </cell>
          <cell r="C104">
            <v>69014</v>
          </cell>
          <cell r="D104">
            <v>61324</v>
          </cell>
        </row>
        <row r="105">
          <cell r="B105">
            <v>45444</v>
          </cell>
          <cell r="C105">
            <v>66625</v>
          </cell>
          <cell r="D105">
            <v>60920</v>
          </cell>
        </row>
        <row r="106">
          <cell r="B106">
            <v>45474</v>
          </cell>
          <cell r="C106">
            <v>73174</v>
          </cell>
          <cell r="D106">
            <v>62261</v>
          </cell>
        </row>
        <row r="107">
          <cell r="B107">
            <v>45505</v>
          </cell>
          <cell r="C107">
            <v>66939</v>
          </cell>
          <cell r="D107">
            <v>64818</v>
          </cell>
        </row>
        <row r="108">
          <cell r="B108">
            <v>45536</v>
          </cell>
          <cell r="C108">
            <v>65048</v>
          </cell>
          <cell r="D108">
            <v>65155</v>
          </cell>
        </row>
        <row r="109">
          <cell r="B109">
            <v>45566</v>
          </cell>
          <cell r="C109">
            <v>72750</v>
          </cell>
          <cell r="D109">
            <v>67854</v>
          </cell>
        </row>
        <row r="110">
          <cell r="B110">
            <v>45597</v>
          </cell>
          <cell r="C110">
            <v>63654</v>
          </cell>
          <cell r="D110">
            <v>65521</v>
          </cell>
        </row>
        <row r="111">
          <cell r="B111">
            <v>45627</v>
          </cell>
          <cell r="C111">
            <v>47416</v>
          </cell>
          <cell r="D111">
            <v>66634</v>
          </cell>
        </row>
        <row r="112">
          <cell r="B112">
            <v>45658</v>
          </cell>
          <cell r="C112">
            <v>51482</v>
          </cell>
          <cell r="D112">
            <v>66399</v>
          </cell>
        </row>
        <row r="113">
          <cell r="B113">
            <v>45689</v>
          </cell>
          <cell r="C113">
            <v>61049</v>
          </cell>
          <cell r="D113">
            <v>65360</v>
          </cell>
        </row>
        <row r="114">
          <cell r="B114">
            <v>45717</v>
          </cell>
          <cell r="C114">
            <v>70056</v>
          </cell>
          <cell r="D114">
            <v>64525</v>
          </cell>
        </row>
        <row r="115">
          <cell r="B115">
            <v>45748</v>
          </cell>
          <cell r="C115">
            <v>62262</v>
          </cell>
          <cell r="D115">
            <v>61137</v>
          </cell>
        </row>
        <row r="116">
          <cell r="B116">
            <v>45778</v>
          </cell>
          <cell r="C116">
            <v>68578</v>
          </cell>
          <cell r="D116">
            <v>63432</v>
          </cell>
        </row>
        <row r="117">
          <cell r="B117">
            <v>45809</v>
          </cell>
          <cell r="C117">
            <v>72588</v>
          </cell>
          <cell r="D117">
            <v>64344</v>
          </cell>
        </row>
        <row r="118">
          <cell r="B118">
            <v>45839</v>
          </cell>
          <cell r="C118">
            <v>77087</v>
          </cell>
          <cell r="D118">
            <v>65071</v>
          </cell>
        </row>
        <row r="119">
          <cell r="B119">
            <v>45870</v>
          </cell>
          <cell r="C119">
            <v>64076</v>
          </cell>
          <cell r="D119">
            <v>64566</v>
          </cell>
        </row>
        <row r="120">
          <cell r="B120">
            <v>45901</v>
          </cell>
          <cell r="C120">
            <v>68358</v>
          </cell>
          <cell r="D120">
            <v>65414</v>
          </cell>
        </row>
        <row r="121">
          <cell r="B121">
            <v>45931</v>
          </cell>
          <cell r="C121">
            <v>69760</v>
          </cell>
          <cell r="D121">
            <v>64629</v>
          </cell>
        </row>
        <row r="122">
          <cell r="B122">
            <v>45962</v>
          </cell>
          <cell r="C122">
            <v>59465</v>
          </cell>
          <cell r="D122">
            <v>64072</v>
          </cell>
        </row>
        <row r="123">
          <cell r="B123">
            <v>45992</v>
          </cell>
          <cell r="C123">
            <v>45146</v>
          </cell>
          <cell r="D123">
            <v>61013</v>
          </cell>
        </row>
      </sheetData>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FCD40-867C-4186-AA36-C8ECA3A6A1A3}">
  <dimension ref="A1:O125"/>
  <sheetViews>
    <sheetView topLeftCell="A83" workbookViewId="0">
      <selection activeCell="H4" sqref="H4"/>
    </sheetView>
  </sheetViews>
  <sheetFormatPr defaultRowHeight="12.75" x14ac:dyDescent="0.2"/>
  <cols>
    <col min="1" max="1" width="10.140625" bestFit="1" customWidth="1"/>
    <col min="7" max="8" width="11.7109375" customWidth="1"/>
    <col min="9" max="10" width="52" customWidth="1"/>
  </cols>
  <sheetData>
    <row r="1" spans="1:12" ht="15" x14ac:dyDescent="0.25">
      <c r="B1" s="2" t="s">
        <v>281</v>
      </c>
      <c r="C1" s="2" t="s">
        <v>285</v>
      </c>
      <c r="D1" s="2" t="s">
        <v>284</v>
      </c>
      <c r="G1" s="8" t="s">
        <v>286</v>
      </c>
      <c r="H1" s="8"/>
      <c r="I1" s="8" t="s">
        <v>287</v>
      </c>
      <c r="J1" s="8" t="s">
        <v>288</v>
      </c>
    </row>
    <row r="2" spans="1:12" ht="15" x14ac:dyDescent="0.25">
      <c r="A2" s="5">
        <v>43831</v>
      </c>
      <c r="B2" s="1">
        <f>100*((HAVER!B127/HAVER!B115)-1)</f>
        <v>1.769270563890335</v>
      </c>
      <c r="C2" s="7" t="str">
        <f>data!C8</f>
        <v>1.6</v>
      </c>
      <c r="D2" s="1">
        <f>C2-B2</f>
        <v>-0.1692705638903349</v>
      </c>
      <c r="G2" s="8"/>
      <c r="H2" s="8"/>
      <c r="I2" s="8" t="s">
        <v>289</v>
      </c>
      <c r="J2" s="8" t="s">
        <v>290</v>
      </c>
    </row>
    <row r="3" spans="1:12" x14ac:dyDescent="0.2">
      <c r="A3" s="5">
        <v>43862</v>
      </c>
      <c r="B3" s="1">
        <f>100*((HAVER!B128/HAVER!B116)-1)</f>
        <v>1.7095297388894481</v>
      </c>
      <c r="C3">
        <f>data!C9</f>
        <v>1.6</v>
      </c>
      <c r="D3" s="1">
        <f t="shared" ref="D3:D66" si="0">C3-B3</f>
        <v>-0.10952973888944806</v>
      </c>
      <c r="G3" t="s">
        <v>291</v>
      </c>
      <c r="H3" s="5">
        <v>42370</v>
      </c>
      <c r="I3" s="9">
        <v>49700</v>
      </c>
      <c r="J3" s="9">
        <v>72479</v>
      </c>
      <c r="K3" s="1">
        <f t="shared" ref="K3:K66" si="1">100*((J3/I3)-1)</f>
        <v>45.83299798792757</v>
      </c>
    </row>
    <row r="4" spans="1:12" x14ac:dyDescent="0.2">
      <c r="A4" s="5">
        <v>43891</v>
      </c>
      <c r="B4" s="1">
        <f>100*((HAVER!B129/HAVER!B117)-1)</f>
        <v>1.5233075399050389</v>
      </c>
      <c r="C4">
        <f>data!C10</f>
        <v>1.4</v>
      </c>
      <c r="D4" s="1">
        <f t="shared" si="0"/>
        <v>-0.12330753990503895</v>
      </c>
      <c r="G4" t="s">
        <v>292</v>
      </c>
      <c r="H4" s="5">
        <v>42401</v>
      </c>
      <c r="I4" s="9">
        <v>66250</v>
      </c>
      <c r="J4" s="9">
        <v>71870</v>
      </c>
      <c r="K4" s="1">
        <f t="shared" si="1"/>
        <v>8.48301886792453</v>
      </c>
    </row>
    <row r="5" spans="1:12" x14ac:dyDescent="0.2">
      <c r="A5" s="5">
        <v>43922</v>
      </c>
      <c r="B5" s="1">
        <f>100*((HAVER!B130/HAVER!B118)-1)</f>
        <v>0.76742263060585181</v>
      </c>
      <c r="C5">
        <f>data!C11</f>
        <v>0.9</v>
      </c>
      <c r="D5" s="1">
        <f t="shared" si="0"/>
        <v>0.13257736939414821</v>
      </c>
      <c r="G5" t="s">
        <v>293</v>
      </c>
      <c r="H5" s="5">
        <v>42430</v>
      </c>
      <c r="I5" s="9">
        <v>77609</v>
      </c>
      <c r="J5" s="9">
        <v>70738</v>
      </c>
      <c r="K5" s="1">
        <f t="shared" si="1"/>
        <v>-8.853354636704502</v>
      </c>
    </row>
    <row r="6" spans="1:12" x14ac:dyDescent="0.2">
      <c r="A6" s="5">
        <v>43952</v>
      </c>
      <c r="B6" s="1">
        <f>100*((HAVER!B131/HAVER!B119)-1)</f>
        <v>0.47986067365768381</v>
      </c>
      <c r="C6">
        <f>data!C12</f>
        <v>0.5</v>
      </c>
      <c r="D6" s="1">
        <f t="shared" si="0"/>
        <v>2.0139326342316188E-2</v>
      </c>
      <c r="G6" t="s">
        <v>294</v>
      </c>
      <c r="H6" s="5">
        <v>42461</v>
      </c>
      <c r="I6" s="9">
        <v>72660</v>
      </c>
      <c r="J6" s="9">
        <v>68694</v>
      </c>
      <c r="K6" s="1">
        <f t="shared" si="1"/>
        <v>-5.4582989265070214</v>
      </c>
    </row>
    <row r="7" spans="1:12" x14ac:dyDescent="0.2">
      <c r="A7" s="5">
        <v>43983</v>
      </c>
      <c r="B7" s="1">
        <f>100*((HAVER!B132/HAVER!B120)-1)</f>
        <v>0.60315195537972155</v>
      </c>
      <c r="C7">
        <f>data!C13</f>
        <v>0.5</v>
      </c>
      <c r="D7" s="1">
        <f t="shared" si="0"/>
        <v>-0.10315195537972155</v>
      </c>
      <c r="G7" t="s">
        <v>295</v>
      </c>
      <c r="H7" s="5">
        <v>42491</v>
      </c>
      <c r="I7" s="9">
        <v>74217</v>
      </c>
      <c r="J7" s="9">
        <v>67879</v>
      </c>
      <c r="K7" s="1">
        <f t="shared" si="1"/>
        <v>-8.5398224126547859</v>
      </c>
    </row>
    <row r="8" spans="1:12" x14ac:dyDescent="0.2">
      <c r="A8" s="5">
        <v>44013</v>
      </c>
      <c r="B8" s="1">
        <f>100*((HAVER!B133/HAVER!B121)-1)</f>
        <v>1.040306070459196</v>
      </c>
      <c r="C8">
        <f>data!C14</f>
        <v>1</v>
      </c>
      <c r="D8" s="1">
        <f t="shared" si="0"/>
        <v>-4.0306070459195986E-2</v>
      </c>
      <c r="G8" t="s">
        <v>296</v>
      </c>
      <c r="H8" s="5">
        <v>42522</v>
      </c>
      <c r="I8" s="9">
        <v>78557</v>
      </c>
      <c r="J8" s="9">
        <v>65596</v>
      </c>
      <c r="K8" s="1">
        <f t="shared" si="1"/>
        <v>-16.498847970263629</v>
      </c>
    </row>
    <row r="9" spans="1:12" x14ac:dyDescent="0.2">
      <c r="A9" s="5">
        <v>44044</v>
      </c>
      <c r="B9" s="1">
        <f>100*((HAVER!B134/HAVER!B122)-1)</f>
        <v>0.21960784313725945</v>
      </c>
      <c r="C9">
        <f>data!C15</f>
        <v>-0.1</v>
      </c>
      <c r="D9" s="1">
        <f t="shared" si="0"/>
        <v>-0.31960784313725943</v>
      </c>
      <c r="G9" t="s">
        <v>297</v>
      </c>
      <c r="H9" s="5">
        <v>42552</v>
      </c>
      <c r="I9" s="9">
        <v>67727</v>
      </c>
      <c r="J9" s="9">
        <v>62635</v>
      </c>
      <c r="K9" s="1">
        <f t="shared" si="1"/>
        <v>-7.518419537259879</v>
      </c>
    </row>
    <row r="10" spans="1:12" x14ac:dyDescent="0.2">
      <c r="A10" s="5">
        <v>44075</v>
      </c>
      <c r="B10" s="1">
        <f>100*((HAVER!B135/HAVER!B123)-1)</f>
        <v>0.53190018344564383</v>
      </c>
      <c r="C10">
        <f>data!C16</f>
        <v>0.2</v>
      </c>
      <c r="D10" s="1">
        <f t="shared" si="0"/>
        <v>-0.33190018344564381</v>
      </c>
      <c r="G10" t="s">
        <v>298</v>
      </c>
      <c r="H10" s="5">
        <v>42583</v>
      </c>
      <c r="I10" s="9">
        <v>64389</v>
      </c>
      <c r="J10" s="9">
        <v>61444</v>
      </c>
      <c r="K10" s="1">
        <f t="shared" si="1"/>
        <v>-4.573762599201725</v>
      </c>
    </row>
    <row r="11" spans="1:12" x14ac:dyDescent="0.2">
      <c r="A11" s="5">
        <v>44105</v>
      </c>
      <c r="B11" s="1">
        <f>100*((HAVER!B136/HAVER!B124)-1)</f>
        <v>0.69715045522538155</v>
      </c>
      <c r="C11">
        <f>data!C17</f>
        <v>0.3</v>
      </c>
      <c r="D11" s="1">
        <f t="shared" si="0"/>
        <v>-0.39715045522538156</v>
      </c>
      <c r="G11" t="s">
        <v>299</v>
      </c>
      <c r="H11" s="5">
        <v>42614</v>
      </c>
      <c r="I11" s="9">
        <v>66905</v>
      </c>
      <c r="J11" s="9">
        <v>64230</v>
      </c>
      <c r="K11" s="1">
        <f t="shared" si="1"/>
        <v>-3.9982064120768213</v>
      </c>
    </row>
    <row r="12" spans="1:12" x14ac:dyDescent="0.2">
      <c r="A12" s="5">
        <v>44136</v>
      </c>
      <c r="B12" s="1">
        <f>100*((HAVER!B137/HAVER!B125)-1)</f>
        <v>0.31506508581378156</v>
      </c>
      <c r="C12">
        <f>data!C18</f>
        <v>-0.1</v>
      </c>
      <c r="D12" s="1">
        <f t="shared" si="0"/>
        <v>-0.41506508581378154</v>
      </c>
      <c r="G12" t="s">
        <v>300</v>
      </c>
      <c r="H12" s="5">
        <v>42644</v>
      </c>
      <c r="I12" s="9">
        <v>68175</v>
      </c>
      <c r="J12" s="9">
        <v>67903</v>
      </c>
      <c r="K12" s="1">
        <f t="shared" si="1"/>
        <v>-0.39897323065639645</v>
      </c>
    </row>
    <row r="13" spans="1:12" x14ac:dyDescent="0.2">
      <c r="A13" s="5">
        <v>44166</v>
      </c>
      <c r="B13" s="1">
        <f>100*((HAVER!B138/HAVER!B126)-1)</f>
        <v>0.58876644676224554</v>
      </c>
      <c r="C13">
        <f>data!C19</f>
        <v>0.3</v>
      </c>
      <c r="D13" s="1">
        <f t="shared" si="0"/>
        <v>-0.28876644676224555</v>
      </c>
      <c r="G13" t="s">
        <v>301</v>
      </c>
      <c r="H13" s="5">
        <v>42675</v>
      </c>
      <c r="I13" s="9">
        <v>71336</v>
      </c>
      <c r="J13" s="9">
        <v>68382</v>
      </c>
      <c r="K13" s="1">
        <f t="shared" si="1"/>
        <v>-4.1409666928339135</v>
      </c>
    </row>
    <row r="14" spans="1:12" x14ac:dyDescent="0.2">
      <c r="A14" s="5">
        <v>44197</v>
      </c>
      <c r="B14" s="1">
        <f>100*((HAVER!B139/HAVER!B127)-1)</f>
        <v>0.70058042811194099</v>
      </c>
      <c r="C14">
        <f>data!C20</f>
        <v>0.4</v>
      </c>
      <c r="D14" s="1">
        <f t="shared" si="0"/>
        <v>-0.30058042811194097</v>
      </c>
      <c r="G14" t="s">
        <v>302</v>
      </c>
      <c r="H14" s="5">
        <v>42705</v>
      </c>
      <c r="I14" s="9">
        <v>50460</v>
      </c>
      <c r="J14" s="9">
        <v>68328</v>
      </c>
      <c r="K14" s="1">
        <f t="shared" si="1"/>
        <v>35.410225921521985</v>
      </c>
      <c r="L14" s="1">
        <f t="shared" ref="L14" si="2">K14</f>
        <v>35.410225921521985</v>
      </c>
    </row>
    <row r="15" spans="1:12" x14ac:dyDescent="0.2">
      <c r="A15" s="5">
        <v>44228</v>
      </c>
      <c r="B15" s="1">
        <f>100*((HAVER!B140/HAVER!B128)-1)</f>
        <v>0.41421588932151199</v>
      </c>
      <c r="C15">
        <f>data!C21</f>
        <v>0.1</v>
      </c>
      <c r="D15" s="1">
        <f t="shared" si="0"/>
        <v>-0.31421588932151201</v>
      </c>
      <c r="G15" t="s">
        <v>303</v>
      </c>
      <c r="H15" s="5">
        <v>42736</v>
      </c>
      <c r="I15" s="9">
        <v>48505</v>
      </c>
      <c r="J15" s="9">
        <v>67977</v>
      </c>
      <c r="K15" s="1">
        <f t="shared" si="1"/>
        <v>40.144315019070206</v>
      </c>
    </row>
    <row r="16" spans="1:12" x14ac:dyDescent="0.2">
      <c r="A16" s="5">
        <v>44256</v>
      </c>
      <c r="B16" s="1">
        <f>100*((HAVER!B141/HAVER!B129)-1)</f>
        <v>0.71432516523370904</v>
      </c>
      <c r="C16">
        <f>data!C22</f>
        <v>0.3</v>
      </c>
      <c r="D16" s="1">
        <f t="shared" si="0"/>
        <v>-0.41432516523370905</v>
      </c>
      <c r="G16" t="s">
        <v>304</v>
      </c>
      <c r="H16" s="5">
        <v>42767</v>
      </c>
      <c r="I16" s="9">
        <v>61064</v>
      </c>
      <c r="J16" s="9">
        <v>68133</v>
      </c>
      <c r="K16" s="1">
        <f t="shared" si="1"/>
        <v>11.576378881173843</v>
      </c>
    </row>
    <row r="17" spans="1:12" x14ac:dyDescent="0.2">
      <c r="A17" s="5">
        <v>44287</v>
      </c>
      <c r="B17" s="1">
        <f>100*((HAVER!B142/HAVER!B130)-1)</f>
        <v>1.5259222378963599</v>
      </c>
      <c r="C17">
        <f>data!C23</f>
        <v>0.8</v>
      </c>
      <c r="D17" s="1">
        <f t="shared" si="0"/>
        <v>-0.7259222378963599</v>
      </c>
      <c r="G17" t="s">
        <v>305</v>
      </c>
      <c r="H17" s="5">
        <v>42795</v>
      </c>
      <c r="I17" s="9">
        <v>80339</v>
      </c>
      <c r="J17" s="9">
        <v>68052</v>
      </c>
      <c r="K17" s="1">
        <f t="shared" si="1"/>
        <v>-15.293941921109299</v>
      </c>
    </row>
    <row r="18" spans="1:12" x14ac:dyDescent="0.2">
      <c r="A18" s="5">
        <v>44317</v>
      </c>
      <c r="B18" s="1">
        <f>100*((HAVER!B143/HAVER!B131)-1)</f>
        <v>2.1149484631128646</v>
      </c>
      <c r="C18">
        <f>data!C24</f>
        <v>1.5</v>
      </c>
      <c r="D18" s="1">
        <f t="shared" si="0"/>
        <v>-0.61494846311286455</v>
      </c>
      <c r="G18" t="s">
        <v>306</v>
      </c>
      <c r="H18" s="5">
        <v>42826</v>
      </c>
      <c r="I18" s="9">
        <v>63293</v>
      </c>
      <c r="J18" s="9">
        <v>67131</v>
      </c>
      <c r="K18" s="1">
        <f t="shared" si="1"/>
        <v>6.0638617224653579</v>
      </c>
    </row>
    <row r="19" spans="1:12" x14ac:dyDescent="0.2">
      <c r="A19" s="5">
        <v>44348</v>
      </c>
      <c r="B19" s="1">
        <f>100*((HAVER!B144/HAVER!B132)-1)</f>
        <v>2.5141825683341779</v>
      </c>
      <c r="C19">
        <f>data!C25</f>
        <v>1.9</v>
      </c>
      <c r="D19" s="1">
        <f t="shared" si="0"/>
        <v>-0.61418256833417795</v>
      </c>
      <c r="G19" t="s">
        <v>307</v>
      </c>
      <c r="H19" s="5">
        <v>42856</v>
      </c>
      <c r="I19" s="9">
        <v>75135</v>
      </c>
      <c r="J19" s="9">
        <v>66046</v>
      </c>
      <c r="K19" s="1">
        <f t="shared" si="1"/>
        <v>-12.096892260597592</v>
      </c>
    </row>
    <row r="20" spans="1:12" x14ac:dyDescent="0.2">
      <c r="A20" s="5">
        <v>44378</v>
      </c>
      <c r="B20" s="1">
        <f>100*((HAVER!B145/HAVER!B133)-1)</f>
        <v>2.0399369223998765</v>
      </c>
      <c r="C20">
        <f>data!C26</f>
        <v>1.4</v>
      </c>
      <c r="D20" s="1">
        <f t="shared" si="0"/>
        <v>-0.63993692239987654</v>
      </c>
      <c r="G20" t="s">
        <v>308</v>
      </c>
      <c r="H20" s="5">
        <v>42887</v>
      </c>
      <c r="I20" s="9">
        <v>78891</v>
      </c>
      <c r="J20" s="9">
        <v>65374</v>
      </c>
      <c r="K20" s="1">
        <f t="shared" si="1"/>
        <v>-17.133766842859131</v>
      </c>
    </row>
    <row r="21" spans="1:12" x14ac:dyDescent="0.2">
      <c r="A21" s="5">
        <v>44409</v>
      </c>
      <c r="B21" s="1">
        <f>100*((HAVER!B146/HAVER!B134)-1)</f>
        <v>3.1966707484371026</v>
      </c>
      <c r="C21">
        <f>data!C27</f>
        <v>2.8</v>
      </c>
      <c r="D21" s="1">
        <f t="shared" si="0"/>
        <v>-0.39667074843710282</v>
      </c>
      <c r="G21" t="s">
        <v>309</v>
      </c>
      <c r="H21" s="5">
        <v>42917</v>
      </c>
      <c r="I21" s="9">
        <v>73221</v>
      </c>
      <c r="J21" s="9">
        <v>68551</v>
      </c>
      <c r="K21" s="1">
        <f t="shared" si="1"/>
        <v>-6.377951680528815</v>
      </c>
    </row>
    <row r="22" spans="1:12" x14ac:dyDescent="0.2">
      <c r="A22" s="5">
        <v>44440</v>
      </c>
      <c r="B22" s="1">
        <f>100*((HAVER!B147/HAVER!B135)-1)</f>
        <v>3.0800689553990734</v>
      </c>
      <c r="C22">
        <f>data!C28</f>
        <v>2.7</v>
      </c>
      <c r="D22" s="1">
        <f t="shared" si="0"/>
        <v>-0.38006895539907326</v>
      </c>
      <c r="G22" t="s">
        <v>310</v>
      </c>
      <c r="H22" s="5">
        <v>42948</v>
      </c>
      <c r="I22" s="9">
        <v>70491</v>
      </c>
      <c r="J22" s="9">
        <v>66897</v>
      </c>
      <c r="K22" s="1">
        <f t="shared" si="1"/>
        <v>-5.0985232157296672</v>
      </c>
    </row>
    <row r="23" spans="1:12" x14ac:dyDescent="0.2">
      <c r="A23" s="5">
        <v>44470</v>
      </c>
      <c r="B23" s="1">
        <f>100*((HAVER!B148/HAVER!B136)-1)</f>
        <v>4.2062116585513509</v>
      </c>
      <c r="C23">
        <f>data!C29</f>
        <v>3.8</v>
      </c>
      <c r="D23" s="1">
        <f t="shared" si="0"/>
        <v>-0.40621165855135111</v>
      </c>
      <c r="G23" t="s">
        <v>311</v>
      </c>
      <c r="H23" s="5">
        <v>42979</v>
      </c>
      <c r="I23" s="9">
        <v>66228</v>
      </c>
      <c r="J23" s="9">
        <v>66313</v>
      </c>
      <c r="K23" s="1">
        <f t="shared" si="1"/>
        <v>0.12834450685510479</v>
      </c>
    </row>
    <row r="24" spans="1:12" x14ac:dyDescent="0.2">
      <c r="A24" s="5">
        <v>44501</v>
      </c>
      <c r="B24" s="1">
        <f>100*((HAVER!B149/HAVER!B137)-1)</f>
        <v>5.129900542744581</v>
      </c>
      <c r="C24">
        <f>data!C30</f>
        <v>4.8</v>
      </c>
      <c r="D24" s="1">
        <f t="shared" si="0"/>
        <v>-0.32990054274458114</v>
      </c>
      <c r="G24" t="s">
        <v>312</v>
      </c>
      <c r="H24" s="5">
        <v>43009</v>
      </c>
      <c r="I24" s="9">
        <v>67946</v>
      </c>
      <c r="J24" s="9">
        <v>65175</v>
      </c>
      <c r="K24" s="1">
        <f t="shared" si="1"/>
        <v>-4.0782386012421679</v>
      </c>
    </row>
    <row r="25" spans="1:12" x14ac:dyDescent="0.2">
      <c r="A25" s="5">
        <v>44531</v>
      </c>
      <c r="B25" s="1">
        <f>100*((HAVER!B150/HAVER!B138)-1)</f>
        <v>5.3860457447490573</v>
      </c>
      <c r="C25">
        <f>data!C31</f>
        <v>4.8</v>
      </c>
      <c r="D25" s="1">
        <f t="shared" si="0"/>
        <v>-0.58604574474905746</v>
      </c>
      <c r="G25" t="s">
        <v>313</v>
      </c>
      <c r="H25" s="5">
        <v>43040</v>
      </c>
      <c r="I25" s="9">
        <v>67872</v>
      </c>
      <c r="J25" s="9">
        <v>65671</v>
      </c>
      <c r="K25" s="1">
        <f t="shared" si="1"/>
        <v>-3.2428689297501201</v>
      </c>
    </row>
    <row r="26" spans="1:12" x14ac:dyDescent="0.2">
      <c r="A26" s="5">
        <v>44562</v>
      </c>
      <c r="B26" s="1">
        <f>100*((HAVER!B151/HAVER!B139)-1)</f>
        <v>5.4555133359032171</v>
      </c>
      <c r="C26">
        <f>data!C32</f>
        <v>5</v>
      </c>
      <c r="D26" s="1">
        <f t="shared" si="0"/>
        <v>-0.45551333590321708</v>
      </c>
      <c r="G26" t="s">
        <v>314</v>
      </c>
      <c r="H26" s="5">
        <v>43070</v>
      </c>
      <c r="I26" s="9">
        <v>43818</v>
      </c>
      <c r="J26" s="9">
        <v>62277</v>
      </c>
      <c r="K26" s="1">
        <f t="shared" si="1"/>
        <v>42.126523346569897</v>
      </c>
      <c r="L26" s="1">
        <f t="shared" ref="L26" si="3">K26</f>
        <v>42.126523346569897</v>
      </c>
    </row>
    <row r="27" spans="1:12" x14ac:dyDescent="0.2">
      <c r="A27" s="5">
        <v>44593</v>
      </c>
      <c r="B27" s="1">
        <f>100*((HAVER!B152/HAVER!B140)-1)</f>
        <v>6.1766080906415777</v>
      </c>
      <c r="C27">
        <f>data!C33</f>
        <v>5.6</v>
      </c>
      <c r="D27" s="1">
        <f t="shared" si="0"/>
        <v>-0.57660809064157803</v>
      </c>
      <c r="G27" t="s">
        <v>315</v>
      </c>
      <c r="H27" s="5">
        <v>43101</v>
      </c>
      <c r="I27" s="9">
        <v>49411</v>
      </c>
      <c r="J27" s="9">
        <v>65827</v>
      </c>
      <c r="K27" s="1">
        <f t="shared" si="1"/>
        <v>33.223371314079863</v>
      </c>
    </row>
    <row r="28" spans="1:12" x14ac:dyDescent="0.2">
      <c r="A28" s="5">
        <v>44621</v>
      </c>
      <c r="B28" s="1">
        <f>100*((HAVER!B153/HAVER!B141)-1)</f>
        <v>7.0231240288821883</v>
      </c>
      <c r="C28">
        <f>data!C34</f>
        <v>6.6</v>
      </c>
      <c r="D28" s="1">
        <f t="shared" si="0"/>
        <v>-0.4231240288821887</v>
      </c>
      <c r="G28" t="s">
        <v>316</v>
      </c>
      <c r="H28" s="5">
        <v>43132</v>
      </c>
      <c r="I28" s="9">
        <v>57019</v>
      </c>
      <c r="J28" s="9">
        <v>63000</v>
      </c>
      <c r="K28" s="1">
        <f t="shared" si="1"/>
        <v>10.489485960820089</v>
      </c>
    </row>
    <row r="29" spans="1:12" x14ac:dyDescent="0.2">
      <c r="A29" s="5">
        <v>44652</v>
      </c>
      <c r="B29" s="1">
        <f>100*((HAVER!B154/HAVER!B142)-1)</f>
        <v>9.010661677897458</v>
      </c>
      <c r="C29">
        <f>data!C35</f>
        <v>8.5</v>
      </c>
      <c r="D29" s="1">
        <f t="shared" si="0"/>
        <v>-0.51066167789745798</v>
      </c>
      <c r="G29" t="s">
        <v>317</v>
      </c>
      <c r="H29" s="5">
        <v>43160</v>
      </c>
      <c r="I29" s="9">
        <v>67004</v>
      </c>
      <c r="J29" s="9">
        <v>63111</v>
      </c>
      <c r="K29" s="1">
        <f t="shared" si="1"/>
        <v>-5.8101008894991368</v>
      </c>
    </row>
    <row r="30" spans="1:12" x14ac:dyDescent="0.2">
      <c r="A30" s="5">
        <v>44682</v>
      </c>
      <c r="B30" s="1">
        <f>100*((HAVER!B155/HAVER!B143)-1)</f>
        <v>9.082701336222442</v>
      </c>
      <c r="C30">
        <f>data!C36</f>
        <v>8.6999999999999993</v>
      </c>
      <c r="D30" s="1">
        <f t="shared" si="0"/>
        <v>-0.38270133622244273</v>
      </c>
      <c r="G30" t="s">
        <v>318</v>
      </c>
      <c r="H30" s="5">
        <v>43191</v>
      </c>
      <c r="I30" s="9">
        <v>66254</v>
      </c>
      <c r="J30" s="9">
        <v>63329</v>
      </c>
      <c r="K30" s="1">
        <f t="shared" si="1"/>
        <v>-4.4148277839828554</v>
      </c>
    </row>
    <row r="31" spans="1:12" x14ac:dyDescent="0.2">
      <c r="A31" s="5">
        <v>44713</v>
      </c>
      <c r="B31" s="1">
        <f>100*((HAVER!B156/HAVER!B144)-1)</f>
        <v>9.4121134807841003</v>
      </c>
      <c r="C31">
        <f>data!C37</f>
        <v>9.1</v>
      </c>
      <c r="D31" s="1">
        <f t="shared" si="0"/>
        <v>-0.31211348078410062</v>
      </c>
      <c r="G31" t="s">
        <v>319</v>
      </c>
      <c r="H31" s="5">
        <v>43221</v>
      </c>
      <c r="I31" s="9">
        <v>74586</v>
      </c>
      <c r="J31" s="9">
        <v>65112</v>
      </c>
      <c r="K31" s="1">
        <f t="shared" si="1"/>
        <v>-12.702115678545567</v>
      </c>
    </row>
    <row r="32" spans="1:12" x14ac:dyDescent="0.2">
      <c r="A32" s="5">
        <v>44743</v>
      </c>
      <c r="B32" s="1">
        <f>100*((HAVER!B157/HAVER!B145)-1)</f>
        <v>10.100901192305267</v>
      </c>
      <c r="C32">
        <f>data!C38</f>
        <v>9.8000000000000007</v>
      </c>
      <c r="D32" s="1">
        <f t="shared" si="0"/>
        <v>-0.30090119230526646</v>
      </c>
      <c r="G32" t="s">
        <v>320</v>
      </c>
      <c r="H32" s="5">
        <v>43252</v>
      </c>
      <c r="I32" s="9">
        <v>76455</v>
      </c>
      <c r="J32" s="9">
        <v>65910</v>
      </c>
      <c r="K32" s="1">
        <f t="shared" si="1"/>
        <v>-13.792426917794787</v>
      </c>
    </row>
    <row r="33" spans="1:12" x14ac:dyDescent="0.2">
      <c r="A33" s="5">
        <v>44774</v>
      </c>
      <c r="B33" s="1">
        <f>100*((HAVER!B158/HAVER!B146)-1)</f>
        <v>9.8701878038988333</v>
      </c>
      <c r="C33">
        <f>data!C39</f>
        <v>9.6</v>
      </c>
      <c r="D33" s="1">
        <f t="shared" si="0"/>
        <v>-0.27018780389883368</v>
      </c>
      <c r="G33" t="s">
        <v>321</v>
      </c>
      <c r="H33" s="5">
        <v>43282</v>
      </c>
      <c r="I33" s="9">
        <v>72160</v>
      </c>
      <c r="J33" s="9">
        <v>64761</v>
      </c>
      <c r="K33" s="1">
        <f t="shared" si="1"/>
        <v>-10.253603104212861</v>
      </c>
    </row>
    <row r="34" spans="1:12" x14ac:dyDescent="0.2">
      <c r="A34" s="5">
        <v>44805</v>
      </c>
      <c r="B34" s="1">
        <f>100*((HAVER!B159/HAVER!B147)-1)</f>
        <v>10.095627807676898</v>
      </c>
      <c r="C34">
        <f>data!C40</f>
        <v>9.8000000000000007</v>
      </c>
      <c r="D34" s="1">
        <f t="shared" si="0"/>
        <v>-0.29562780767689745</v>
      </c>
      <c r="G34" t="s">
        <v>322</v>
      </c>
      <c r="H34" s="5">
        <v>43313</v>
      </c>
      <c r="I34" s="9">
        <v>70507</v>
      </c>
      <c r="J34" s="9">
        <v>66809</v>
      </c>
      <c r="K34" s="1">
        <f t="shared" si="1"/>
        <v>-5.2448693037570715</v>
      </c>
    </row>
    <row r="35" spans="1:12" x14ac:dyDescent="0.2">
      <c r="A35" s="5">
        <v>44835</v>
      </c>
      <c r="B35" s="1">
        <f>100*((HAVER!B160/HAVER!B148)-1)</f>
        <v>11.051566349876808</v>
      </c>
      <c r="C35">
        <f>data!C41</f>
        <v>10.7</v>
      </c>
      <c r="D35" s="1">
        <f t="shared" si="0"/>
        <v>-0.35156634987680846</v>
      </c>
      <c r="G35" t="s">
        <v>323</v>
      </c>
      <c r="H35" s="5">
        <v>43344</v>
      </c>
      <c r="I35" s="9">
        <v>62852</v>
      </c>
      <c r="J35" s="9">
        <v>66005</v>
      </c>
      <c r="K35" s="1">
        <f t="shared" si="1"/>
        <v>5.0165468083752218</v>
      </c>
    </row>
    <row r="36" spans="1:12" x14ac:dyDescent="0.2">
      <c r="A36" s="5">
        <v>44866</v>
      </c>
      <c r="B36" s="1">
        <f>100*((HAVER!B161/HAVER!B149)-1)</f>
        <v>10.672012718712054</v>
      </c>
      <c r="C36">
        <f>data!C42</f>
        <v>10.4</v>
      </c>
      <c r="D36" s="1">
        <f t="shared" si="0"/>
        <v>-0.27201271871205357</v>
      </c>
      <c r="G36" t="s">
        <v>324</v>
      </c>
      <c r="H36" s="5">
        <v>43374</v>
      </c>
      <c r="I36" s="9">
        <v>73674</v>
      </c>
      <c r="J36" s="9">
        <v>68210</v>
      </c>
      <c r="K36" s="1">
        <f t="shared" si="1"/>
        <v>-7.4164562803702765</v>
      </c>
    </row>
    <row r="37" spans="1:12" x14ac:dyDescent="0.2">
      <c r="A37" s="5">
        <v>44896</v>
      </c>
      <c r="B37" s="1">
        <f>100*((HAVER!B162/HAVER!B150)-1)</f>
        <v>10.5283743731041</v>
      </c>
      <c r="C37">
        <f>data!C43</f>
        <v>10.3</v>
      </c>
      <c r="D37" s="1">
        <f t="shared" si="0"/>
        <v>-0.22837437310409925</v>
      </c>
      <c r="G37" t="s">
        <v>325</v>
      </c>
      <c r="H37" s="5">
        <v>43405</v>
      </c>
      <c r="I37" s="9">
        <v>66947</v>
      </c>
      <c r="J37" s="9">
        <v>64924</v>
      </c>
      <c r="K37" s="1">
        <f t="shared" si="1"/>
        <v>-3.0217933589257173</v>
      </c>
    </row>
    <row r="38" spans="1:12" x14ac:dyDescent="0.2">
      <c r="A38" s="5">
        <v>44927</v>
      </c>
      <c r="B38" s="1">
        <f>100*((HAVER!B163/HAVER!B151)-1)</f>
        <v>10.051523960382269</v>
      </c>
      <c r="C38">
        <f>data!C44</f>
        <v>9.9</v>
      </c>
      <c r="D38" s="1">
        <f t="shared" si="0"/>
        <v>-0.1515239603822689</v>
      </c>
      <c r="G38" t="s">
        <v>326</v>
      </c>
      <c r="H38" s="5">
        <v>43435</v>
      </c>
      <c r="I38" s="9">
        <v>44510</v>
      </c>
      <c r="J38" s="9">
        <v>64365</v>
      </c>
      <c r="K38" s="1">
        <f t="shared" si="1"/>
        <v>44.607953268928327</v>
      </c>
      <c r="L38" s="1">
        <f t="shared" ref="L38" si="4">K38</f>
        <v>44.607953268928327</v>
      </c>
    </row>
    <row r="39" spans="1:12" x14ac:dyDescent="0.2">
      <c r="A39" s="5">
        <v>44958</v>
      </c>
      <c r="B39" s="1">
        <f>100*((HAVER!B164/HAVER!B152)-1)</f>
        <v>10.416396867742407</v>
      </c>
      <c r="C39">
        <f>data!C45</f>
        <v>10.3</v>
      </c>
      <c r="D39" s="1">
        <f t="shared" si="0"/>
        <v>-0.11639686774240587</v>
      </c>
      <c r="G39" t="s">
        <v>327</v>
      </c>
      <c r="H39" s="5">
        <v>43466</v>
      </c>
      <c r="I39" s="9">
        <v>49669</v>
      </c>
      <c r="J39" s="9">
        <v>65055</v>
      </c>
      <c r="K39" s="1">
        <f t="shared" si="1"/>
        <v>30.97706819142725</v>
      </c>
    </row>
    <row r="40" spans="1:12" x14ac:dyDescent="0.2">
      <c r="A40" s="5">
        <v>44986</v>
      </c>
      <c r="B40" s="1">
        <f>100*((HAVER!B165/HAVER!B153)-1)</f>
        <v>10.056877380566043</v>
      </c>
      <c r="C40">
        <f>data!C46</f>
        <v>9.9</v>
      </c>
      <c r="D40" s="1">
        <f t="shared" si="0"/>
        <v>-0.15687738056604239</v>
      </c>
      <c r="G40" t="s">
        <v>328</v>
      </c>
      <c r="H40" s="5">
        <v>43497</v>
      </c>
      <c r="I40" s="9">
        <v>58628</v>
      </c>
      <c r="J40" s="9">
        <v>64164</v>
      </c>
      <c r="K40" s="1">
        <f t="shared" si="1"/>
        <v>9.4425871597189079</v>
      </c>
    </row>
    <row r="41" spans="1:12" x14ac:dyDescent="0.2">
      <c r="A41" s="5">
        <v>45017</v>
      </c>
      <c r="B41" s="1">
        <f>100*((HAVER!B166/HAVER!B154)-1)</f>
        <v>8.6582358625745712</v>
      </c>
      <c r="C41">
        <f>data!C47</f>
        <v>8.4</v>
      </c>
      <c r="D41" s="1">
        <f t="shared" si="0"/>
        <v>-0.25823586257457087</v>
      </c>
      <c r="G41" t="s">
        <v>329</v>
      </c>
      <c r="H41" s="5">
        <v>43525</v>
      </c>
      <c r="I41" s="9">
        <v>67911</v>
      </c>
      <c r="J41" s="9">
        <v>62219</v>
      </c>
      <c r="K41" s="1">
        <f t="shared" si="1"/>
        <v>-8.3815582159002204</v>
      </c>
    </row>
    <row r="42" spans="1:12" x14ac:dyDescent="0.2">
      <c r="A42" s="5">
        <v>45047</v>
      </c>
      <c r="B42" s="1">
        <f>100*((HAVER!B167/HAVER!B155)-1)</f>
        <v>8.6806820062903522</v>
      </c>
      <c r="C42">
        <f>data!C48</f>
        <v>8.5</v>
      </c>
      <c r="D42" s="1">
        <f t="shared" si="0"/>
        <v>-0.18068200629035225</v>
      </c>
      <c r="G42" t="s">
        <v>330</v>
      </c>
      <c r="H42" s="5">
        <v>43556</v>
      </c>
      <c r="I42" s="9">
        <v>67368</v>
      </c>
      <c r="J42" s="9">
        <v>65927</v>
      </c>
      <c r="K42" s="1">
        <f t="shared" si="1"/>
        <v>-2.1389977437358931</v>
      </c>
    </row>
    <row r="43" spans="1:12" x14ac:dyDescent="0.2">
      <c r="A43" s="5">
        <v>45078</v>
      </c>
      <c r="B43" s="1">
        <f>100*((HAVER!B168/HAVER!B156)-1)</f>
        <v>7.9496842952270885</v>
      </c>
      <c r="C43">
        <f>data!C49</f>
        <v>7.7</v>
      </c>
      <c r="D43" s="1">
        <f t="shared" si="0"/>
        <v>-0.24968429522708835</v>
      </c>
      <c r="G43" t="s">
        <v>331</v>
      </c>
      <c r="H43" s="5">
        <v>43586</v>
      </c>
      <c r="I43" s="9">
        <v>75377</v>
      </c>
      <c r="J43" s="9">
        <v>65581</v>
      </c>
      <c r="K43" s="1">
        <f t="shared" si="1"/>
        <v>-12.996006739456334</v>
      </c>
    </row>
    <row r="44" spans="1:12" x14ac:dyDescent="0.2">
      <c r="A44" s="5">
        <v>45108</v>
      </c>
      <c r="B44" s="1">
        <f>100*((HAVER!B169/HAVER!B157)-1)</f>
        <v>6.827214193032427</v>
      </c>
      <c r="C44">
        <f>data!C50</f>
        <v>6.6</v>
      </c>
      <c r="D44" s="1">
        <f t="shared" si="0"/>
        <v>-0.2272141930324274</v>
      </c>
      <c r="G44" t="s">
        <v>332</v>
      </c>
      <c r="H44" s="5">
        <v>43617</v>
      </c>
      <c r="I44" s="9">
        <v>73651</v>
      </c>
      <c r="J44" s="9">
        <v>66593</v>
      </c>
      <c r="K44" s="1">
        <f t="shared" si="1"/>
        <v>-9.5830334958113212</v>
      </c>
    </row>
    <row r="45" spans="1:12" x14ac:dyDescent="0.2">
      <c r="A45" s="5">
        <v>45139</v>
      </c>
      <c r="B45" s="1">
        <f>100*((HAVER!B170/HAVER!B158)-1)</f>
        <v>6.6570305648488093</v>
      </c>
      <c r="C45">
        <f>data!C51</f>
        <v>6.4</v>
      </c>
      <c r="D45" s="1">
        <f t="shared" si="0"/>
        <v>-0.25703056484880893</v>
      </c>
      <c r="G45" t="s">
        <v>333</v>
      </c>
      <c r="H45" s="5">
        <v>43647</v>
      </c>
      <c r="I45" s="9">
        <v>78065</v>
      </c>
      <c r="J45" s="9">
        <v>67265</v>
      </c>
      <c r="K45" s="1">
        <f t="shared" si="1"/>
        <v>-13.834624991993849</v>
      </c>
    </row>
    <row r="46" spans="1:12" x14ac:dyDescent="0.2">
      <c r="A46" s="5">
        <v>45170</v>
      </c>
      <c r="B46" s="1">
        <f>100*((HAVER!B171/HAVER!B159)-1)</f>
        <v>6.6521767234414053</v>
      </c>
      <c r="C46">
        <f>data!C52</f>
        <v>6.4</v>
      </c>
      <c r="D46" s="1">
        <f t="shared" si="0"/>
        <v>-0.25217672344140496</v>
      </c>
      <c r="G46" t="s">
        <v>334</v>
      </c>
      <c r="H46" s="5">
        <v>43678</v>
      </c>
      <c r="I46" s="9">
        <v>67088</v>
      </c>
      <c r="J46" s="9">
        <v>66033</v>
      </c>
      <c r="K46" s="1">
        <f t="shared" si="1"/>
        <v>-1.5725614118769382</v>
      </c>
    </row>
    <row r="47" spans="1:12" x14ac:dyDescent="0.2">
      <c r="A47" s="5">
        <v>45200</v>
      </c>
      <c r="B47" s="1">
        <f>100*((HAVER!B172/HAVER!B160)-1)</f>
        <v>4.5998779705068937</v>
      </c>
      <c r="C47">
        <f>data!C53</f>
        <v>4.4000000000000004</v>
      </c>
      <c r="D47" s="1">
        <f t="shared" si="0"/>
        <v>-0.19987797050689338</v>
      </c>
      <c r="G47" t="s">
        <v>335</v>
      </c>
      <c r="H47" s="5">
        <v>43709</v>
      </c>
      <c r="I47" s="9">
        <v>65176</v>
      </c>
      <c r="J47" s="9">
        <v>66247</v>
      </c>
      <c r="K47" s="1">
        <f t="shared" si="1"/>
        <v>1.6432429115011749</v>
      </c>
    </row>
    <row r="48" spans="1:12" x14ac:dyDescent="0.2">
      <c r="A48" s="5">
        <v>45231</v>
      </c>
      <c r="B48" s="1">
        <f>100*((HAVER!B173/HAVER!B161)-1)</f>
        <v>3.9409916807425782</v>
      </c>
      <c r="C48">
        <f>data!C54</f>
        <v>3.7</v>
      </c>
      <c r="D48" s="1">
        <f t="shared" si="0"/>
        <v>-0.24099168074257804</v>
      </c>
      <c r="G48" t="s">
        <v>336</v>
      </c>
      <c r="H48" s="5">
        <v>43739</v>
      </c>
      <c r="I48" s="9">
        <v>71721</v>
      </c>
      <c r="J48" s="9">
        <v>66260</v>
      </c>
      <c r="K48" s="1">
        <f t="shared" si="1"/>
        <v>-7.6142273532159299</v>
      </c>
    </row>
    <row r="49" spans="1:12" x14ac:dyDescent="0.2">
      <c r="A49" s="5">
        <v>45261</v>
      </c>
      <c r="B49" s="1">
        <f>100*((HAVER!B174/HAVER!B162)-1)</f>
        <v>3.993268535119987</v>
      </c>
      <c r="C49">
        <f>data!C55</f>
        <v>3.7</v>
      </c>
      <c r="D49" s="1">
        <f t="shared" si="0"/>
        <v>-0.29326853511998685</v>
      </c>
      <c r="G49" t="s">
        <v>337</v>
      </c>
      <c r="H49" s="5">
        <v>43770</v>
      </c>
      <c r="I49" s="9">
        <v>65490</v>
      </c>
      <c r="J49" s="9">
        <v>66608</v>
      </c>
      <c r="K49" s="1">
        <f t="shared" si="1"/>
        <v>1.7071308596732226</v>
      </c>
    </row>
    <row r="50" spans="1:12" x14ac:dyDescent="0.2">
      <c r="A50" s="5">
        <v>45292</v>
      </c>
      <c r="B50" s="1">
        <f>100*((HAVER!B175/HAVER!B163)-1)</f>
        <v>3.9811146171913947</v>
      </c>
      <c r="C50">
        <f>data!C56</f>
        <v>3.7</v>
      </c>
      <c r="D50" s="1">
        <f t="shared" si="0"/>
        <v>-0.28111461719139452</v>
      </c>
      <c r="G50" t="s">
        <v>338</v>
      </c>
      <c r="H50" s="5">
        <v>43800</v>
      </c>
      <c r="I50" s="9">
        <v>48501</v>
      </c>
      <c r="J50" s="9">
        <v>67467</v>
      </c>
      <c r="K50" s="1">
        <f t="shared" si="1"/>
        <v>39.104348363951267</v>
      </c>
      <c r="L50" s="1">
        <f t="shared" ref="L50" si="5">K50</f>
        <v>39.104348363951267</v>
      </c>
    </row>
    <row r="51" spans="1:12" x14ac:dyDescent="0.2">
      <c r="A51" s="5">
        <v>45323</v>
      </c>
      <c r="B51" s="1">
        <f>100*((HAVER!B176/HAVER!B164)-1)</f>
        <v>3.4114721796515868</v>
      </c>
      <c r="C51">
        <f>data!C57</f>
        <v>3.1</v>
      </c>
      <c r="D51" s="1">
        <f t="shared" si="0"/>
        <v>-0.31147217965158669</v>
      </c>
      <c r="G51" t="s">
        <v>339</v>
      </c>
      <c r="H51" s="5">
        <v>43831</v>
      </c>
      <c r="I51" s="9">
        <v>53586</v>
      </c>
      <c r="J51" s="9">
        <v>69420</v>
      </c>
      <c r="K51" s="1">
        <f t="shared" si="1"/>
        <v>29.548762736535661</v>
      </c>
    </row>
    <row r="52" spans="1:12" x14ac:dyDescent="0.2">
      <c r="A52" s="5">
        <v>45352</v>
      </c>
      <c r="B52" s="1">
        <f>100*((HAVER!B177/HAVER!B165)-1)</f>
        <v>3.228059284550322</v>
      </c>
      <c r="C52">
        <f>data!C58</f>
        <v>2.9</v>
      </c>
      <c r="D52" s="1">
        <f t="shared" si="0"/>
        <v>-0.32805928455032207</v>
      </c>
      <c r="G52" t="s">
        <v>340</v>
      </c>
      <c r="H52" s="5">
        <v>43862</v>
      </c>
      <c r="I52" s="9">
        <v>66511</v>
      </c>
      <c r="J52" s="9">
        <v>71636</v>
      </c>
      <c r="K52" s="1">
        <f t="shared" si="1"/>
        <v>7.7054923245778895</v>
      </c>
    </row>
    <row r="53" spans="1:12" x14ac:dyDescent="0.2">
      <c r="A53" s="5">
        <v>45383</v>
      </c>
      <c r="B53" s="1">
        <f>100*((HAVER!B178/HAVER!B166)-1)</f>
        <v>2.3330700994410813</v>
      </c>
      <c r="C53">
        <f>data!C59</f>
        <v>2.1</v>
      </c>
      <c r="D53" s="1">
        <f t="shared" si="0"/>
        <v>-0.23307009944108126</v>
      </c>
      <c r="G53" t="s">
        <v>341</v>
      </c>
      <c r="H53" s="5">
        <v>43891</v>
      </c>
      <c r="I53" s="9">
        <v>63148</v>
      </c>
      <c r="J53" s="9">
        <v>56248</v>
      </c>
      <c r="K53" s="1">
        <f t="shared" si="1"/>
        <v>-10.926711851523407</v>
      </c>
    </row>
    <row r="54" spans="1:12" x14ac:dyDescent="0.2">
      <c r="A54" s="5">
        <v>45413</v>
      </c>
      <c r="B54" s="1">
        <f>100*((HAVER!B179/HAVER!B167)-1)</f>
        <v>1.9899777622079284</v>
      </c>
      <c r="C54">
        <f>data!C60</f>
        <v>1.8</v>
      </c>
      <c r="D54" s="1">
        <f t="shared" si="0"/>
        <v>-0.18997776220792839</v>
      </c>
      <c r="G54" t="s">
        <v>342</v>
      </c>
      <c r="H54" s="5">
        <v>43922</v>
      </c>
      <c r="I54" s="9">
        <v>16418</v>
      </c>
      <c r="J54" s="9">
        <v>15959</v>
      </c>
      <c r="K54" s="1">
        <f t="shared" si="1"/>
        <v>-2.7957120233889632</v>
      </c>
    </row>
    <row r="55" spans="1:12" x14ac:dyDescent="0.2">
      <c r="A55" s="5">
        <v>45444</v>
      </c>
      <c r="B55" s="1">
        <f>100*((HAVER!B180/HAVER!B168)-1)</f>
        <v>1.9753105200307042</v>
      </c>
      <c r="C55">
        <f>data!C61</f>
        <v>1.8</v>
      </c>
      <c r="D55" s="1">
        <f t="shared" si="0"/>
        <v>-0.17531052003070413</v>
      </c>
      <c r="G55" t="s">
        <v>343</v>
      </c>
      <c r="H55" s="5">
        <v>43952</v>
      </c>
      <c r="I55" s="9">
        <v>9922</v>
      </c>
      <c r="J55" s="9">
        <v>9374</v>
      </c>
      <c r="K55" s="1">
        <f t="shared" si="1"/>
        <v>-5.5230800241886762</v>
      </c>
    </row>
    <row r="56" spans="1:12" x14ac:dyDescent="0.2">
      <c r="A56" s="5">
        <v>45474</v>
      </c>
      <c r="B56" s="1">
        <f>100*((HAVER!B181/HAVER!B169)-1)</f>
        <v>2.2344448264008276</v>
      </c>
      <c r="C56">
        <f>data!C62</f>
        <v>2.1</v>
      </c>
      <c r="D56" s="1">
        <f t="shared" si="0"/>
        <v>-0.13444482640082756</v>
      </c>
      <c r="G56" t="s">
        <v>344</v>
      </c>
      <c r="H56" s="5">
        <v>43983</v>
      </c>
      <c r="I56" s="9">
        <v>47957</v>
      </c>
      <c r="J56" s="9">
        <v>40298</v>
      </c>
      <c r="K56" s="1">
        <f t="shared" si="1"/>
        <v>-15.97055695727423</v>
      </c>
    </row>
    <row r="57" spans="1:12" x14ac:dyDescent="0.2">
      <c r="A57" s="5">
        <v>45505</v>
      </c>
      <c r="B57" s="1">
        <f>100*((HAVER!B182/HAVER!B170)-1)</f>
        <v>2.2162837086778353</v>
      </c>
      <c r="C57">
        <f>data!C63</f>
        <v>2.1</v>
      </c>
      <c r="D57" s="1">
        <f t="shared" si="0"/>
        <v>-0.11628370867783522</v>
      </c>
      <c r="G57" t="s">
        <v>345</v>
      </c>
      <c r="H57" s="5">
        <v>44013</v>
      </c>
      <c r="I57" s="9">
        <v>78374</v>
      </c>
      <c r="J57" s="9">
        <v>66615</v>
      </c>
      <c r="K57" s="1">
        <f t="shared" si="1"/>
        <v>-15.003700206701199</v>
      </c>
    </row>
    <row r="58" spans="1:12" x14ac:dyDescent="0.2">
      <c r="A58" s="5">
        <v>45536</v>
      </c>
      <c r="B58" s="1">
        <f>100*((HAVER!B183/HAVER!B171)-1)</f>
        <v>1.6803412198761913</v>
      </c>
      <c r="C58">
        <f>data!C64</f>
        <v>1.5</v>
      </c>
      <c r="D58" s="1">
        <f t="shared" si="0"/>
        <v>-0.18034121987619134</v>
      </c>
      <c r="G58" t="s">
        <v>346</v>
      </c>
      <c r="H58" s="5">
        <v>44044</v>
      </c>
      <c r="I58" s="9">
        <v>82115</v>
      </c>
      <c r="J58" s="9">
        <v>85240</v>
      </c>
      <c r="K58" s="1">
        <f t="shared" si="1"/>
        <v>3.8056384339036686</v>
      </c>
    </row>
    <row r="59" spans="1:12" x14ac:dyDescent="0.2">
      <c r="A59" s="5">
        <v>45566</v>
      </c>
      <c r="B59" s="1">
        <f>100*((HAVER!B184/HAVER!B172)-1)</f>
        <v>2.2809914851064983</v>
      </c>
      <c r="C59">
        <f>data!C65</f>
        <v>2.1</v>
      </c>
      <c r="D59" s="1">
        <f t="shared" si="0"/>
        <v>-0.18099148510649821</v>
      </c>
      <c r="G59" t="s">
        <v>347</v>
      </c>
      <c r="H59" s="5">
        <v>44075</v>
      </c>
      <c r="I59" s="9">
        <v>96007</v>
      </c>
      <c r="J59" s="9">
        <v>92610</v>
      </c>
      <c r="K59" s="1">
        <f t="shared" si="1"/>
        <v>-3.5382836668159667</v>
      </c>
    </row>
    <row r="60" spans="1:12" x14ac:dyDescent="0.2">
      <c r="A60" s="5">
        <v>45597</v>
      </c>
      <c r="B60" s="1">
        <f>100*((HAVER!B185/HAVER!B173)-1)</f>
        <v>2.622126709546091</v>
      </c>
      <c r="C60">
        <f>data!C66</f>
        <v>2.5</v>
      </c>
      <c r="D60" s="1">
        <f t="shared" si="0"/>
        <v>-0.12212670954609095</v>
      </c>
      <c r="G60" t="s">
        <v>348</v>
      </c>
      <c r="H60" s="5">
        <v>44105</v>
      </c>
      <c r="I60" s="9">
        <v>104598</v>
      </c>
      <c r="J60" s="9">
        <v>100662</v>
      </c>
      <c r="K60" s="1">
        <f t="shared" si="1"/>
        <v>-3.7629782596225514</v>
      </c>
    </row>
    <row r="61" spans="1:12" x14ac:dyDescent="0.2">
      <c r="A61" s="5">
        <v>45627</v>
      </c>
      <c r="B61" s="1">
        <f>100*((HAVER!B186/HAVER!B174)-1)</f>
        <v>2.5029869481707712</v>
      </c>
      <c r="C61">
        <f>data!C67</f>
        <v>2.5</v>
      </c>
      <c r="D61" s="1">
        <f t="shared" si="0"/>
        <v>-2.9869481707711643E-3</v>
      </c>
      <c r="E61" s="1">
        <f>AVERAGE(D2:D61)</f>
        <v>-0.28479800181156989</v>
      </c>
      <c r="G61" t="s">
        <v>349</v>
      </c>
      <c r="H61" s="5">
        <v>44136</v>
      </c>
      <c r="I61" s="9">
        <v>103525</v>
      </c>
      <c r="J61" s="9">
        <v>107760</v>
      </c>
      <c r="K61" s="1">
        <f t="shared" si="1"/>
        <v>4.0907993238348261</v>
      </c>
    </row>
    <row r="62" spans="1:12" x14ac:dyDescent="0.2">
      <c r="A62" s="5">
        <v>45658</v>
      </c>
      <c r="B62" s="1">
        <f>100*((HAVER!B187/HAVER!B175)-1)</f>
        <v>2.9829405009088816</v>
      </c>
      <c r="C62">
        <f>data!C68</f>
        <v>2.9</v>
      </c>
      <c r="D62" s="1">
        <f t="shared" si="0"/>
        <v>-8.294050090888172E-2</v>
      </c>
      <c r="G62" t="s">
        <v>350</v>
      </c>
      <c r="H62" s="5">
        <v>44166</v>
      </c>
      <c r="I62" s="9">
        <v>77683</v>
      </c>
      <c r="J62" s="9">
        <v>103105</v>
      </c>
      <c r="K62" s="1">
        <f t="shared" si="1"/>
        <v>32.725306695158515</v>
      </c>
      <c r="L62" s="1">
        <f t="shared" ref="L62" si="6">K62</f>
        <v>32.725306695158515</v>
      </c>
    </row>
    <row r="63" spans="1:12" x14ac:dyDescent="0.2">
      <c r="A63" s="5">
        <v>45689</v>
      </c>
      <c r="B63" s="1">
        <f>100*((HAVER!B188/HAVER!B176)-1)</f>
        <v>2.8361876677630349</v>
      </c>
      <c r="C63">
        <f>data!C69</f>
        <v>2.7</v>
      </c>
      <c r="D63" s="1">
        <f t="shared" si="0"/>
        <v>-0.1361876677630347</v>
      </c>
      <c r="G63" t="s">
        <v>351</v>
      </c>
      <c r="H63" s="5">
        <v>44197</v>
      </c>
      <c r="I63" s="9">
        <v>69472</v>
      </c>
      <c r="J63" s="9">
        <v>96978</v>
      </c>
      <c r="K63" s="1">
        <f t="shared" si="1"/>
        <v>39.592929525564259</v>
      </c>
    </row>
    <row r="64" spans="1:12" x14ac:dyDescent="0.2">
      <c r="A64" s="5">
        <v>45717</v>
      </c>
      <c r="B64" s="1">
        <f>100*((HAVER!B189/HAVER!B177)-1)</f>
        <v>2.5941516951063726</v>
      </c>
      <c r="C64">
        <f>data!C70</f>
        <v>2.5</v>
      </c>
      <c r="D64" s="1">
        <f t="shared" si="0"/>
        <v>-9.4151695106372557E-2</v>
      </c>
      <c r="G64" t="s">
        <v>352</v>
      </c>
      <c r="H64" s="5">
        <v>44228</v>
      </c>
      <c r="I64" s="9">
        <v>78495</v>
      </c>
      <c r="J64" s="9">
        <v>84552</v>
      </c>
      <c r="K64" s="1">
        <f t="shared" si="1"/>
        <v>7.7164150582839763</v>
      </c>
    </row>
    <row r="65" spans="1:12" x14ac:dyDescent="0.2">
      <c r="A65" s="5">
        <v>45748</v>
      </c>
      <c r="B65" s="1">
        <f>100*((HAVER!B190/HAVER!B178)-1)</f>
        <v>3.5273315751618295</v>
      </c>
      <c r="C65">
        <f>data!C71</f>
        <v>3.4</v>
      </c>
      <c r="D65" s="1">
        <f t="shared" si="0"/>
        <v>-0.12733157516182958</v>
      </c>
      <c r="G65" t="s">
        <v>353</v>
      </c>
      <c r="H65" s="5">
        <v>44256</v>
      </c>
      <c r="I65" s="9">
        <v>95033</v>
      </c>
      <c r="J65" s="9">
        <v>81126</v>
      </c>
      <c r="K65" s="1">
        <f t="shared" si="1"/>
        <v>-14.633864026180376</v>
      </c>
    </row>
    <row r="66" spans="1:12" x14ac:dyDescent="0.2">
      <c r="A66" s="5">
        <v>45778</v>
      </c>
      <c r="B66" s="1">
        <f>100*((HAVER!B191/HAVER!B179)-1)</f>
        <v>3.3579498360974069</v>
      </c>
      <c r="C66">
        <f>data!C72</f>
        <v>3.3</v>
      </c>
      <c r="D66" s="1">
        <f t="shared" si="0"/>
        <v>-5.7949836097407115E-2</v>
      </c>
      <c r="G66" t="s">
        <v>354</v>
      </c>
      <c r="H66" s="5">
        <v>44287</v>
      </c>
      <c r="I66" s="9">
        <v>88510</v>
      </c>
      <c r="J66" s="9">
        <v>85514</v>
      </c>
      <c r="K66" s="1">
        <f t="shared" si="1"/>
        <v>-3.3849282566941641</v>
      </c>
    </row>
    <row r="67" spans="1:12" x14ac:dyDescent="0.2">
      <c r="A67" s="5">
        <v>45809</v>
      </c>
      <c r="B67" s="1">
        <f>100*((HAVER!B192/HAVER!B180)-1)</f>
        <v>3.5764898933393185</v>
      </c>
      <c r="C67">
        <f>data!C73</f>
        <v>3.5</v>
      </c>
      <c r="D67" s="1">
        <f t="shared" ref="D67" si="7">C67-B67</f>
        <v>-7.6489893339318549E-2</v>
      </c>
      <c r="G67" t="s">
        <v>355</v>
      </c>
      <c r="H67" s="5">
        <v>44317</v>
      </c>
      <c r="I67" s="9">
        <v>89820</v>
      </c>
      <c r="J67" s="9">
        <v>86247</v>
      </c>
      <c r="K67" s="1">
        <f t="shared" ref="K67:K121" si="8">100*((J67/I67)-1)</f>
        <v>-3.9779559118236496</v>
      </c>
    </row>
    <row r="68" spans="1:12" x14ac:dyDescent="0.2">
      <c r="A68" s="5">
        <v>45839</v>
      </c>
      <c r="B68" s="1">
        <f>100*((HAVER!B193/HAVER!B181)-1)</f>
        <v>3.829485167750124</v>
      </c>
      <c r="D68" s="1"/>
      <c r="G68" t="s">
        <v>356</v>
      </c>
      <c r="H68" s="5">
        <v>44348</v>
      </c>
      <c r="I68" s="9">
        <v>94570</v>
      </c>
      <c r="J68" s="9">
        <v>79187</v>
      </c>
      <c r="K68" s="1">
        <f t="shared" si="8"/>
        <v>-16.266257798456174</v>
      </c>
    </row>
    <row r="69" spans="1:12" x14ac:dyDescent="0.2">
      <c r="A69" s="5">
        <v>45870</v>
      </c>
      <c r="B69" s="1">
        <f>100*((HAVER!B194/HAVER!B182)-1)</f>
        <v>3.7882568506669934</v>
      </c>
      <c r="D69" s="1"/>
      <c r="G69" t="s">
        <v>357</v>
      </c>
      <c r="H69" s="5">
        <v>44378</v>
      </c>
      <c r="I69" s="9">
        <v>82136</v>
      </c>
      <c r="J69" s="9">
        <v>72395</v>
      </c>
      <c r="K69" s="1">
        <f t="shared" si="8"/>
        <v>-11.859598714327458</v>
      </c>
    </row>
    <row r="70" spans="1:12" x14ac:dyDescent="0.2">
      <c r="A70" s="5">
        <v>45901</v>
      </c>
      <c r="B70" s="1">
        <f>100*((HAVER!B195/HAVER!B183)-1)</f>
        <v>3.7827366538762508</v>
      </c>
      <c r="D70" s="1"/>
      <c r="G70" t="s">
        <v>358</v>
      </c>
      <c r="H70" s="5">
        <v>44409</v>
      </c>
      <c r="I70" s="9">
        <v>71417</v>
      </c>
      <c r="J70" s="9">
        <v>70954</v>
      </c>
      <c r="K70" s="1">
        <f t="shared" si="8"/>
        <v>-0.64830502541411983</v>
      </c>
    </row>
    <row r="71" spans="1:12" x14ac:dyDescent="0.2">
      <c r="A71" s="5">
        <v>45931</v>
      </c>
      <c r="B71" s="1">
        <f>100*((HAVER!B196/HAVER!B184)-1)</f>
        <v>3.5588638299448361</v>
      </c>
      <c r="D71" s="1"/>
      <c r="G71" t="s">
        <v>359</v>
      </c>
      <c r="H71" s="5">
        <v>44440</v>
      </c>
      <c r="I71" s="9">
        <v>73201</v>
      </c>
      <c r="J71" s="9">
        <v>70518</v>
      </c>
      <c r="K71" s="1">
        <f t="shared" si="8"/>
        <v>-3.6652504747202941</v>
      </c>
    </row>
    <row r="72" spans="1:12" x14ac:dyDescent="0.2">
      <c r="A72" s="5">
        <v>45962</v>
      </c>
      <c r="B72" s="1">
        <f>100*((HAVER!B197/HAVER!B185)-1)</f>
        <v>3.2477430812490882</v>
      </c>
      <c r="D72" s="1"/>
      <c r="G72" t="s">
        <v>360</v>
      </c>
      <c r="H72" s="5">
        <v>44470</v>
      </c>
      <c r="I72" s="9">
        <v>67724</v>
      </c>
      <c r="J72" s="9">
        <v>68226</v>
      </c>
      <c r="K72" s="1">
        <f t="shared" si="8"/>
        <v>0.74124387218710286</v>
      </c>
    </row>
    <row r="73" spans="1:12" x14ac:dyDescent="0.2">
      <c r="A73" s="5">
        <v>45992</v>
      </c>
      <c r="B73" s="1">
        <f>100*((HAVER!B198/HAVER!B186)-1)</f>
        <v>3.3736130783758256</v>
      </c>
      <c r="D73" s="1"/>
      <c r="G73" t="s">
        <v>361</v>
      </c>
      <c r="H73" s="5">
        <v>44501</v>
      </c>
      <c r="I73" s="9">
        <v>69175</v>
      </c>
      <c r="J73" s="9">
        <v>69263</v>
      </c>
      <c r="K73" s="1">
        <f t="shared" si="8"/>
        <v>0.12721358872425093</v>
      </c>
    </row>
    <row r="74" spans="1:12" x14ac:dyDescent="0.2">
      <c r="A74" s="5"/>
      <c r="G74" t="s">
        <v>362</v>
      </c>
      <c r="H74" s="5">
        <v>44531</v>
      </c>
      <c r="I74" s="9">
        <v>54797</v>
      </c>
      <c r="J74" s="9">
        <v>72550</v>
      </c>
      <c r="K74" s="1">
        <f t="shared" si="8"/>
        <v>32.397759001405177</v>
      </c>
      <c r="L74" s="1">
        <f t="shared" ref="L74" si="9">K74</f>
        <v>32.397759001405177</v>
      </c>
    </row>
    <row r="75" spans="1:12" x14ac:dyDescent="0.2">
      <c r="G75" t="s">
        <v>363</v>
      </c>
      <c r="H75" s="5">
        <v>44562</v>
      </c>
      <c r="I75" s="9">
        <v>52362</v>
      </c>
      <c r="J75" s="9">
        <v>73823</v>
      </c>
      <c r="K75" s="1">
        <f t="shared" si="8"/>
        <v>40.985829418280439</v>
      </c>
    </row>
    <row r="76" spans="1:12" x14ac:dyDescent="0.2">
      <c r="G76" t="s">
        <v>364</v>
      </c>
      <c r="H76" s="5">
        <v>44593</v>
      </c>
      <c r="I76" s="9">
        <v>63783</v>
      </c>
      <c r="J76" s="9">
        <v>68363</v>
      </c>
      <c r="K76" s="1">
        <f t="shared" si="8"/>
        <v>7.1805967107222868</v>
      </c>
    </row>
    <row r="77" spans="1:12" x14ac:dyDescent="0.2">
      <c r="G77" t="s">
        <v>365</v>
      </c>
      <c r="H77" s="5">
        <v>44621</v>
      </c>
      <c r="I77" s="9">
        <v>81514</v>
      </c>
      <c r="J77" s="9">
        <v>68954</v>
      </c>
      <c r="K77" s="1">
        <f t="shared" si="8"/>
        <v>-15.408396103736777</v>
      </c>
    </row>
    <row r="78" spans="1:12" x14ac:dyDescent="0.2">
      <c r="G78" t="s">
        <v>366</v>
      </c>
      <c r="H78" s="5">
        <v>44652</v>
      </c>
      <c r="I78" s="9">
        <v>65822</v>
      </c>
      <c r="J78" s="9">
        <v>66216</v>
      </c>
      <c r="K78" s="1">
        <f t="shared" si="8"/>
        <v>0.59858406004071885</v>
      </c>
    </row>
    <row r="79" spans="1:12" x14ac:dyDescent="0.2">
      <c r="G79" t="s">
        <v>367</v>
      </c>
      <c r="H79" s="5">
        <v>44682</v>
      </c>
      <c r="I79" s="9">
        <v>71769</v>
      </c>
      <c r="J79" s="9">
        <v>66552</v>
      </c>
      <c r="K79" s="1">
        <f t="shared" si="8"/>
        <v>-7.269155206286837</v>
      </c>
    </row>
    <row r="80" spans="1:12" x14ac:dyDescent="0.2">
      <c r="G80" t="s">
        <v>368</v>
      </c>
      <c r="H80" s="5">
        <v>44713</v>
      </c>
      <c r="I80" s="9">
        <v>74695</v>
      </c>
      <c r="J80" s="9">
        <v>62856</v>
      </c>
      <c r="K80" s="1">
        <f t="shared" si="8"/>
        <v>-15.849789142512883</v>
      </c>
    </row>
    <row r="81" spans="7:12" x14ac:dyDescent="0.2">
      <c r="G81" t="s">
        <v>369</v>
      </c>
      <c r="H81" s="5">
        <v>44743</v>
      </c>
      <c r="I81" s="9">
        <v>68384</v>
      </c>
      <c r="J81" s="9">
        <v>62611</v>
      </c>
      <c r="K81" s="1">
        <f t="shared" si="8"/>
        <v>-8.4420332241459946</v>
      </c>
    </row>
    <row r="82" spans="7:12" x14ac:dyDescent="0.2">
      <c r="G82" t="s">
        <v>370</v>
      </c>
      <c r="H82" s="5">
        <v>44774</v>
      </c>
      <c r="I82" s="9">
        <v>75824</v>
      </c>
      <c r="J82" s="9">
        <v>72022</v>
      </c>
      <c r="K82" s="1">
        <f t="shared" si="8"/>
        <v>-5.0142435112893065</v>
      </c>
    </row>
    <row r="83" spans="7:12" x14ac:dyDescent="0.2">
      <c r="G83" t="s">
        <v>371</v>
      </c>
      <c r="H83" s="5">
        <v>44805</v>
      </c>
      <c r="I83" s="9">
        <v>67781</v>
      </c>
      <c r="J83" s="9">
        <v>64670</v>
      </c>
      <c r="K83" s="1">
        <f t="shared" si="8"/>
        <v>-4.5897817972588184</v>
      </c>
    </row>
    <row r="84" spans="7:12" x14ac:dyDescent="0.2">
      <c r="G84" t="s">
        <v>372</v>
      </c>
      <c r="H84" s="5">
        <v>44835</v>
      </c>
      <c r="I84" s="9">
        <v>56456</v>
      </c>
      <c r="J84" s="9">
        <v>57741</v>
      </c>
      <c r="K84" s="1">
        <f t="shared" si="8"/>
        <v>2.2761088281139319</v>
      </c>
    </row>
    <row r="85" spans="7:12" x14ac:dyDescent="0.2">
      <c r="G85" t="s">
        <v>373</v>
      </c>
      <c r="H85" s="5">
        <v>44866</v>
      </c>
      <c r="I85" s="9">
        <v>46676</v>
      </c>
      <c r="J85" s="9">
        <v>46528</v>
      </c>
      <c r="K85" s="1">
        <f t="shared" si="8"/>
        <v>-0.31707944125460852</v>
      </c>
    </row>
    <row r="86" spans="7:12" x14ac:dyDescent="0.2">
      <c r="G86" t="s">
        <v>374</v>
      </c>
      <c r="H86" s="5">
        <v>44896</v>
      </c>
      <c r="I86" s="9">
        <v>29954</v>
      </c>
      <c r="J86" s="9">
        <v>41267</v>
      </c>
      <c r="K86" s="1">
        <f t="shared" si="8"/>
        <v>37.76791079655473</v>
      </c>
      <c r="L86" s="1">
        <f t="shared" ref="L86" si="10">K86</f>
        <v>37.76791079655473</v>
      </c>
    </row>
    <row r="87" spans="7:12" x14ac:dyDescent="0.2">
      <c r="G87" t="s">
        <v>375</v>
      </c>
      <c r="H87" s="5">
        <v>44927</v>
      </c>
      <c r="I87" s="9">
        <v>29342</v>
      </c>
      <c r="J87" s="9">
        <v>39718</v>
      </c>
      <c r="K87" s="1">
        <f t="shared" si="8"/>
        <v>35.362279326562593</v>
      </c>
    </row>
    <row r="88" spans="7:12" x14ac:dyDescent="0.2">
      <c r="G88" t="s">
        <v>376</v>
      </c>
      <c r="H88" s="5">
        <v>44958</v>
      </c>
      <c r="I88" s="9">
        <v>40272</v>
      </c>
      <c r="J88" s="9">
        <v>43036</v>
      </c>
      <c r="K88" s="1">
        <f t="shared" si="8"/>
        <v>6.8633293603496126</v>
      </c>
    </row>
    <row r="89" spans="7:12" x14ac:dyDescent="0.2">
      <c r="G89" t="s">
        <v>377</v>
      </c>
      <c r="H89" s="5">
        <v>44986</v>
      </c>
      <c r="I89" s="9">
        <v>60964</v>
      </c>
      <c r="J89" s="9">
        <v>51286</v>
      </c>
      <c r="K89" s="1">
        <f t="shared" si="8"/>
        <v>-15.874942589068963</v>
      </c>
    </row>
    <row r="90" spans="7:12" x14ac:dyDescent="0.2">
      <c r="G90" t="s">
        <v>378</v>
      </c>
      <c r="H90" s="5">
        <v>45017</v>
      </c>
      <c r="I90" s="9">
        <v>46495</v>
      </c>
      <c r="J90" s="9">
        <v>49200</v>
      </c>
      <c r="K90" s="1">
        <f t="shared" si="8"/>
        <v>5.817829874180025</v>
      </c>
    </row>
    <row r="91" spans="7:12" x14ac:dyDescent="0.2">
      <c r="G91" t="s">
        <v>379</v>
      </c>
      <c r="H91" s="5">
        <v>45047</v>
      </c>
      <c r="I91" s="9">
        <v>57240</v>
      </c>
      <c r="J91" s="9">
        <v>51190</v>
      </c>
      <c r="K91" s="1">
        <f t="shared" si="8"/>
        <v>-10.569531795946885</v>
      </c>
    </row>
    <row r="92" spans="7:12" x14ac:dyDescent="0.2">
      <c r="G92" t="s">
        <v>380</v>
      </c>
      <c r="H92" s="5">
        <v>45078</v>
      </c>
      <c r="I92" s="9">
        <v>64958</v>
      </c>
      <c r="J92" s="9">
        <v>54463</v>
      </c>
      <c r="K92" s="1">
        <f t="shared" si="8"/>
        <v>-16.156593491178917</v>
      </c>
    </row>
    <row r="93" spans="7:12" x14ac:dyDescent="0.2">
      <c r="G93" t="s">
        <v>381</v>
      </c>
      <c r="H93" s="5">
        <v>45108</v>
      </c>
      <c r="I93" s="9">
        <v>53023</v>
      </c>
      <c r="J93" s="9">
        <v>49095</v>
      </c>
      <c r="K93" s="1">
        <f t="shared" si="8"/>
        <v>-7.4081059163004781</v>
      </c>
    </row>
    <row r="94" spans="7:12" x14ac:dyDescent="0.2">
      <c r="G94" t="s">
        <v>382</v>
      </c>
      <c r="H94" s="5">
        <v>45139</v>
      </c>
      <c r="I94" s="9">
        <v>48063</v>
      </c>
      <c r="J94" s="9">
        <v>45101</v>
      </c>
      <c r="K94" s="1">
        <f t="shared" si="8"/>
        <v>-6.1627447308740591</v>
      </c>
    </row>
    <row r="95" spans="7:12" x14ac:dyDescent="0.2">
      <c r="G95" t="s">
        <v>383</v>
      </c>
      <c r="H95" s="5">
        <v>45170</v>
      </c>
      <c r="I95" s="9">
        <v>44293</v>
      </c>
      <c r="J95" s="9">
        <v>43772</v>
      </c>
      <c r="K95" s="1">
        <f t="shared" si="8"/>
        <v>-1.1762580994739591</v>
      </c>
    </row>
    <row r="96" spans="7:12" x14ac:dyDescent="0.2">
      <c r="G96" t="s">
        <v>384</v>
      </c>
      <c r="H96" s="5">
        <v>45200</v>
      </c>
      <c r="I96" s="9">
        <v>48927</v>
      </c>
      <c r="J96" s="9">
        <v>47996</v>
      </c>
      <c r="K96" s="1">
        <f t="shared" si="8"/>
        <v>-1.9028348355713653</v>
      </c>
    </row>
    <row r="97" spans="7:12" x14ac:dyDescent="0.2">
      <c r="G97" t="s">
        <v>385</v>
      </c>
      <c r="H97" s="5">
        <v>45231</v>
      </c>
      <c r="I97" s="9">
        <v>50096</v>
      </c>
      <c r="J97" s="9">
        <v>50014</v>
      </c>
      <c r="K97" s="1">
        <f t="shared" si="8"/>
        <v>-0.16368572341105558</v>
      </c>
    </row>
    <row r="98" spans="7:12" x14ac:dyDescent="0.2">
      <c r="G98" t="s">
        <v>386</v>
      </c>
      <c r="H98" s="5">
        <v>45261</v>
      </c>
      <c r="I98" s="9">
        <v>36231</v>
      </c>
      <c r="J98" s="9">
        <v>52180</v>
      </c>
      <c r="K98" s="1">
        <f t="shared" si="8"/>
        <v>44.020314095663934</v>
      </c>
      <c r="L98" s="1">
        <f t="shared" ref="L98" si="11">K98</f>
        <v>44.020314095663934</v>
      </c>
    </row>
    <row r="99" spans="7:12" x14ac:dyDescent="0.2">
      <c r="G99" t="s">
        <v>387</v>
      </c>
      <c r="H99" s="5">
        <v>45292</v>
      </c>
      <c r="I99" s="9">
        <v>43032</v>
      </c>
      <c r="J99" s="9">
        <v>55972</v>
      </c>
      <c r="K99" s="1">
        <f t="shared" si="8"/>
        <v>30.070645101319936</v>
      </c>
    </row>
    <row r="100" spans="7:12" x14ac:dyDescent="0.2">
      <c r="G100" t="s">
        <v>388</v>
      </c>
      <c r="H100" s="5">
        <v>45323</v>
      </c>
      <c r="I100" s="9">
        <v>58929</v>
      </c>
      <c r="J100" s="9">
        <v>60141</v>
      </c>
      <c r="K100" s="1">
        <f t="shared" si="8"/>
        <v>2.0567123148195199</v>
      </c>
    </row>
    <row r="101" spans="7:12" x14ac:dyDescent="0.2">
      <c r="G101" t="s">
        <v>389</v>
      </c>
      <c r="H101" s="5">
        <v>45352</v>
      </c>
      <c r="I101" s="9">
        <v>63394</v>
      </c>
      <c r="J101" s="9">
        <v>61841</v>
      </c>
      <c r="K101" s="1">
        <f t="shared" si="8"/>
        <v>-2.4497586522383874</v>
      </c>
    </row>
    <row r="102" spans="7:12" x14ac:dyDescent="0.2">
      <c r="G102" t="s">
        <v>390</v>
      </c>
      <c r="H102" s="5">
        <v>45383</v>
      </c>
      <c r="I102" s="9">
        <v>67528</v>
      </c>
      <c r="J102" s="9">
        <v>62071</v>
      </c>
      <c r="K102" s="1">
        <f t="shared" si="8"/>
        <v>-8.0810922876436422</v>
      </c>
    </row>
    <row r="103" spans="7:12" x14ac:dyDescent="0.2">
      <c r="G103" t="s">
        <v>391</v>
      </c>
      <c r="H103" s="5">
        <v>45413</v>
      </c>
      <c r="I103" s="9">
        <v>69014</v>
      </c>
      <c r="J103" s="9">
        <v>61324</v>
      </c>
      <c r="K103" s="1">
        <f t="shared" si="8"/>
        <v>-11.142666705306169</v>
      </c>
    </row>
    <row r="104" spans="7:12" x14ac:dyDescent="0.2">
      <c r="G104" t="s">
        <v>392</v>
      </c>
      <c r="H104" s="5">
        <v>45444</v>
      </c>
      <c r="I104" s="9">
        <v>66625</v>
      </c>
      <c r="J104" s="9">
        <v>60920</v>
      </c>
      <c r="K104" s="1">
        <f t="shared" si="8"/>
        <v>-8.5628517823639783</v>
      </c>
    </row>
    <row r="105" spans="7:12" x14ac:dyDescent="0.2">
      <c r="G105" t="s">
        <v>393</v>
      </c>
      <c r="H105" s="5">
        <v>45474</v>
      </c>
      <c r="I105" s="9">
        <v>73174</v>
      </c>
      <c r="J105" s="9">
        <v>62261</v>
      </c>
      <c r="K105" s="1">
        <f t="shared" si="8"/>
        <v>-14.91376718506573</v>
      </c>
    </row>
    <row r="106" spans="7:12" x14ac:dyDescent="0.2">
      <c r="G106" t="s">
        <v>394</v>
      </c>
      <c r="H106" s="5">
        <v>45505</v>
      </c>
      <c r="I106" s="9">
        <v>66939</v>
      </c>
      <c r="J106" s="9">
        <v>64818</v>
      </c>
      <c r="K106" s="1">
        <f t="shared" si="8"/>
        <v>-3.1685564469143501</v>
      </c>
    </row>
    <row r="107" spans="7:12" x14ac:dyDescent="0.2">
      <c r="G107" t="s">
        <v>395</v>
      </c>
      <c r="H107" s="5">
        <v>45536</v>
      </c>
      <c r="I107" s="9">
        <v>65048</v>
      </c>
      <c r="J107" s="9">
        <v>65155</v>
      </c>
      <c r="K107" s="1">
        <f t="shared" si="8"/>
        <v>0.16449391218791298</v>
      </c>
    </row>
    <row r="108" spans="7:12" x14ac:dyDescent="0.2">
      <c r="G108" t="s">
        <v>396</v>
      </c>
      <c r="H108" s="5">
        <v>45566</v>
      </c>
      <c r="I108" s="9">
        <v>72750</v>
      </c>
      <c r="J108" s="9">
        <v>67854</v>
      </c>
      <c r="K108" s="1">
        <f t="shared" si="8"/>
        <v>-6.7298969072164923</v>
      </c>
    </row>
    <row r="109" spans="7:12" x14ac:dyDescent="0.2">
      <c r="G109" t="s">
        <v>397</v>
      </c>
      <c r="H109" s="5">
        <v>45597</v>
      </c>
      <c r="I109" s="9">
        <v>63654</v>
      </c>
      <c r="J109" s="9">
        <v>65521</v>
      </c>
      <c r="K109" s="1">
        <f t="shared" si="8"/>
        <v>2.9330442705878701</v>
      </c>
    </row>
    <row r="110" spans="7:12" x14ac:dyDescent="0.2">
      <c r="G110" t="s">
        <v>398</v>
      </c>
      <c r="H110" s="5">
        <v>45627</v>
      </c>
      <c r="I110" s="9">
        <v>47416</v>
      </c>
      <c r="J110" s="9">
        <v>66634</v>
      </c>
      <c r="K110" s="1">
        <f t="shared" si="8"/>
        <v>40.530622574658338</v>
      </c>
      <c r="L110" s="1">
        <f t="shared" ref="L110" si="12">K110</f>
        <v>40.530622574658338</v>
      </c>
    </row>
    <row r="111" spans="7:12" x14ac:dyDescent="0.2">
      <c r="G111" t="s">
        <v>399</v>
      </c>
      <c r="H111" s="5">
        <v>45658</v>
      </c>
      <c r="I111" s="9">
        <v>51482</v>
      </c>
      <c r="J111" s="9">
        <v>66399</v>
      </c>
      <c r="K111" s="1">
        <f t="shared" si="8"/>
        <v>28.975175789596364</v>
      </c>
    </row>
    <row r="112" spans="7:12" x14ac:dyDescent="0.2">
      <c r="G112" t="s">
        <v>400</v>
      </c>
      <c r="H112" s="5">
        <v>45689</v>
      </c>
      <c r="I112" s="9">
        <v>61049</v>
      </c>
      <c r="J112" s="9">
        <v>65360</v>
      </c>
      <c r="K112" s="1">
        <f t="shared" si="8"/>
        <v>7.0615407295778754</v>
      </c>
    </row>
    <row r="113" spans="7:15" x14ac:dyDescent="0.2">
      <c r="G113" t="s">
        <v>401</v>
      </c>
      <c r="H113" s="5">
        <v>45717</v>
      </c>
      <c r="I113" s="9">
        <v>70056</v>
      </c>
      <c r="J113" s="9">
        <v>64525</v>
      </c>
      <c r="K113" s="1">
        <f t="shared" si="8"/>
        <v>-7.8951124814434115</v>
      </c>
    </row>
    <row r="114" spans="7:15" x14ac:dyDescent="0.2">
      <c r="G114" t="s">
        <v>402</v>
      </c>
      <c r="H114" s="5">
        <v>45748</v>
      </c>
      <c r="I114" s="9">
        <v>62262</v>
      </c>
      <c r="J114" s="9">
        <v>61137</v>
      </c>
      <c r="K114" s="1">
        <f t="shared" si="8"/>
        <v>-1.8068806013298633</v>
      </c>
    </row>
    <row r="115" spans="7:15" x14ac:dyDescent="0.2">
      <c r="G115" t="s">
        <v>403</v>
      </c>
      <c r="H115" s="5">
        <v>45778</v>
      </c>
      <c r="I115" s="9">
        <v>68578</v>
      </c>
      <c r="J115" s="9">
        <v>63432</v>
      </c>
      <c r="K115" s="1">
        <f t="shared" si="8"/>
        <v>-7.5038642130129229</v>
      </c>
    </row>
    <row r="116" spans="7:15" x14ac:dyDescent="0.2">
      <c r="G116" t="s">
        <v>404</v>
      </c>
      <c r="H116" s="5">
        <v>45809</v>
      </c>
      <c r="I116" s="9">
        <v>72588</v>
      </c>
      <c r="J116" s="9">
        <v>64344</v>
      </c>
      <c r="K116" s="1">
        <f t="shared" si="8"/>
        <v>-11.357249132087944</v>
      </c>
    </row>
    <row r="117" spans="7:15" x14ac:dyDescent="0.2">
      <c r="G117" t="s">
        <v>405</v>
      </c>
      <c r="H117" s="5">
        <v>45839</v>
      </c>
      <c r="I117" s="9">
        <v>77087</v>
      </c>
      <c r="J117" s="9">
        <v>65071</v>
      </c>
      <c r="K117" s="1">
        <f t="shared" si="8"/>
        <v>-15.587582860923376</v>
      </c>
    </row>
    <row r="118" spans="7:15" x14ac:dyDescent="0.2">
      <c r="G118" t="s">
        <v>406</v>
      </c>
      <c r="H118" s="5">
        <v>45870</v>
      </c>
      <c r="I118" s="9">
        <v>64076</v>
      </c>
      <c r="J118" s="9">
        <v>64566</v>
      </c>
      <c r="K118" s="1">
        <f t="shared" si="8"/>
        <v>0.76471689868280457</v>
      </c>
    </row>
    <row r="119" spans="7:15" x14ac:dyDescent="0.2">
      <c r="G119" t="s">
        <v>407</v>
      </c>
      <c r="H119" s="5">
        <v>45901</v>
      </c>
      <c r="I119" s="9">
        <v>68358</v>
      </c>
      <c r="J119" s="9">
        <v>65414</v>
      </c>
      <c r="K119" s="1">
        <f t="shared" si="8"/>
        <v>-4.3067380555311789</v>
      </c>
    </row>
    <row r="120" spans="7:15" x14ac:dyDescent="0.2">
      <c r="G120" t="s">
        <v>408</v>
      </c>
      <c r="H120" s="5">
        <v>45931</v>
      </c>
      <c r="I120" s="9">
        <v>69760</v>
      </c>
      <c r="J120" s="9">
        <v>64629</v>
      </c>
      <c r="K120" s="1">
        <f t="shared" si="8"/>
        <v>-7.3552178899082605</v>
      </c>
    </row>
    <row r="121" spans="7:15" x14ac:dyDescent="0.2">
      <c r="G121" t="s">
        <v>409</v>
      </c>
      <c r="H121" s="5">
        <v>45962</v>
      </c>
      <c r="I121" s="9">
        <v>59465</v>
      </c>
      <c r="J121" s="9">
        <v>64072</v>
      </c>
      <c r="K121" s="1">
        <f t="shared" si="8"/>
        <v>7.7474144454721339</v>
      </c>
    </row>
    <row r="122" spans="7:15" x14ac:dyDescent="0.2">
      <c r="G122" t="s">
        <v>410</v>
      </c>
      <c r="H122" s="5">
        <v>45992</v>
      </c>
      <c r="I122" s="9">
        <v>45146</v>
      </c>
      <c r="J122" s="9">
        <v>61013</v>
      </c>
      <c r="K122" s="1">
        <f>100*((J122/I122)-1)</f>
        <v>35.145970850130695</v>
      </c>
      <c r="L122" s="1">
        <f>K122</f>
        <v>35.145970850130695</v>
      </c>
      <c r="N122">
        <f>100*((I122/I110)-1)</f>
        <v>-4.7874135312974575</v>
      </c>
      <c r="O122">
        <f>100*((J122/J110)-1)</f>
        <v>-8.4356334603955965</v>
      </c>
    </row>
    <row r="124" spans="7:15" x14ac:dyDescent="0.2">
      <c r="L124" s="1">
        <f>MIN($F$4:$F$123)</f>
        <v>0</v>
      </c>
    </row>
    <row r="125" spans="7:15" x14ac:dyDescent="0.2">
      <c r="L125" s="1">
        <f>MAX(L3:L122)</f>
        <v>44.607953268928327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ABA60-DD5D-4485-8459-39737A8ED90D}">
  <dimension ref="A1:D73"/>
  <sheetViews>
    <sheetView workbookViewId="0">
      <selection activeCell="D12" sqref="D12"/>
    </sheetView>
  </sheetViews>
  <sheetFormatPr defaultRowHeight="12.75" x14ac:dyDescent="0.2"/>
  <sheetData>
    <row r="1" spans="1:4" x14ac:dyDescent="0.2">
      <c r="A1" t="s">
        <v>1</v>
      </c>
    </row>
    <row r="2" spans="1:4" x14ac:dyDescent="0.2">
      <c r="A2" t="s">
        <v>2</v>
      </c>
    </row>
    <row r="3" spans="1:4" x14ac:dyDescent="0.2">
      <c r="A3" t="s">
        <v>0</v>
      </c>
      <c r="B3" t="s">
        <v>0</v>
      </c>
    </row>
    <row r="4" spans="1:4" x14ac:dyDescent="0.2">
      <c r="A4" t="s">
        <v>3</v>
      </c>
      <c r="B4" t="s">
        <v>4</v>
      </c>
    </row>
    <row r="5" spans="1:4" x14ac:dyDescent="0.2">
      <c r="A5" t="s">
        <v>5</v>
      </c>
      <c r="B5" t="s">
        <v>6</v>
      </c>
    </row>
    <row r="6" spans="1:4" x14ac:dyDescent="0.2">
      <c r="A6" t="s">
        <v>0</v>
      </c>
      <c r="B6" t="s">
        <v>0</v>
      </c>
    </row>
    <row r="7" spans="1:4" x14ac:dyDescent="0.2">
      <c r="A7" t="s">
        <v>7</v>
      </c>
      <c r="B7" t="s">
        <v>8</v>
      </c>
      <c r="C7" t="s">
        <v>9</v>
      </c>
      <c r="D7" t="s">
        <v>10</v>
      </c>
    </row>
    <row r="8" spans="1:4" x14ac:dyDescent="0.2">
      <c r="A8" t="s">
        <v>11</v>
      </c>
      <c r="B8" t="s">
        <v>12</v>
      </c>
      <c r="C8" t="s">
        <v>12</v>
      </c>
      <c r="D8" t="s">
        <v>13</v>
      </c>
    </row>
    <row r="9" spans="1:4" x14ac:dyDescent="0.2">
      <c r="A9" t="s">
        <v>14</v>
      </c>
      <c r="B9" s="1">
        <v>1.6</v>
      </c>
      <c r="C9" s="1">
        <v>1.6</v>
      </c>
      <c r="D9" s="1">
        <v>0</v>
      </c>
    </row>
    <row r="10" spans="1:4" x14ac:dyDescent="0.2">
      <c r="A10" t="s">
        <v>15</v>
      </c>
      <c r="B10" s="1">
        <v>1.4</v>
      </c>
      <c r="C10" s="1">
        <v>1.4</v>
      </c>
      <c r="D10" s="1">
        <v>0</v>
      </c>
    </row>
    <row r="11" spans="1:4" x14ac:dyDescent="0.2">
      <c r="A11" t="s">
        <v>16</v>
      </c>
      <c r="B11" s="1">
        <v>0.8</v>
      </c>
      <c r="C11" s="1">
        <v>0.9</v>
      </c>
      <c r="D11" s="1">
        <v>0.1</v>
      </c>
    </row>
    <row r="12" spans="1:4" x14ac:dyDescent="0.2">
      <c r="A12" t="s">
        <v>17</v>
      </c>
      <c r="B12" s="1">
        <v>0.4</v>
      </c>
      <c r="C12" s="1">
        <v>0.5</v>
      </c>
      <c r="D12" s="1">
        <v>0.1</v>
      </c>
    </row>
    <row r="13" spans="1:4" x14ac:dyDescent="0.2">
      <c r="A13" t="s">
        <v>18</v>
      </c>
      <c r="B13" s="1">
        <v>0.4</v>
      </c>
      <c r="C13" s="1">
        <v>0.5</v>
      </c>
      <c r="D13" s="1">
        <v>0.1</v>
      </c>
    </row>
    <row r="14" spans="1:4" x14ac:dyDescent="0.2">
      <c r="A14" t="s">
        <v>19</v>
      </c>
      <c r="B14" s="1">
        <v>0.9</v>
      </c>
      <c r="C14" s="1">
        <v>1</v>
      </c>
      <c r="D14" s="1">
        <v>0.1</v>
      </c>
    </row>
    <row r="15" spans="1:4" x14ac:dyDescent="0.2">
      <c r="A15" t="s">
        <v>20</v>
      </c>
      <c r="B15" s="1">
        <v>-0.1</v>
      </c>
      <c r="C15" s="1">
        <v>-0.1</v>
      </c>
      <c r="D15" s="1">
        <v>0</v>
      </c>
    </row>
    <row r="16" spans="1:4" x14ac:dyDescent="0.2">
      <c r="A16" t="s">
        <v>21</v>
      </c>
      <c r="B16" s="1">
        <v>0.2</v>
      </c>
      <c r="C16" s="1">
        <v>0.2</v>
      </c>
      <c r="D16" s="1">
        <v>0</v>
      </c>
    </row>
    <row r="17" spans="1:4" x14ac:dyDescent="0.2">
      <c r="A17" t="s">
        <v>22</v>
      </c>
      <c r="B17" s="1">
        <v>0.4</v>
      </c>
      <c r="C17" s="1">
        <v>0.3</v>
      </c>
      <c r="D17" s="1">
        <v>-0.1</v>
      </c>
    </row>
    <row r="18" spans="1:4" x14ac:dyDescent="0.2">
      <c r="A18" t="s">
        <v>23</v>
      </c>
      <c r="B18" s="1">
        <v>-0.1</v>
      </c>
      <c r="C18" s="1">
        <v>-0.1</v>
      </c>
      <c r="D18" s="1">
        <v>0</v>
      </c>
    </row>
    <row r="19" spans="1:4" x14ac:dyDescent="0.2">
      <c r="A19" t="s">
        <v>24</v>
      </c>
      <c r="B19" s="1">
        <v>0.2</v>
      </c>
      <c r="C19" s="1">
        <v>0.3</v>
      </c>
      <c r="D19" s="1">
        <v>0.1</v>
      </c>
    </row>
    <row r="20" spans="1:4" x14ac:dyDescent="0.2">
      <c r="A20" t="s">
        <v>25</v>
      </c>
      <c r="B20" s="1">
        <v>0.3</v>
      </c>
      <c r="C20" s="1">
        <v>0.4</v>
      </c>
      <c r="D20" s="1">
        <v>0.1</v>
      </c>
    </row>
    <row r="21" spans="1:4" x14ac:dyDescent="0.2">
      <c r="A21" t="s">
        <v>26</v>
      </c>
      <c r="B21" s="1">
        <v>0</v>
      </c>
      <c r="C21" s="1">
        <v>0.1</v>
      </c>
      <c r="D21" s="1">
        <v>0.1</v>
      </c>
    </row>
    <row r="22" spans="1:4" x14ac:dyDescent="0.2">
      <c r="A22" t="s">
        <v>27</v>
      </c>
      <c r="B22" s="1">
        <v>0.3</v>
      </c>
      <c r="C22" s="1">
        <v>0.3</v>
      </c>
      <c r="D22" s="1">
        <v>0</v>
      </c>
    </row>
    <row r="23" spans="1:4" x14ac:dyDescent="0.2">
      <c r="A23" t="s">
        <v>28</v>
      </c>
      <c r="B23" s="1">
        <v>0.9</v>
      </c>
      <c r="C23" s="1">
        <v>0.8</v>
      </c>
      <c r="D23" s="1">
        <v>-0.1</v>
      </c>
    </row>
    <row r="24" spans="1:4" x14ac:dyDescent="0.2">
      <c r="A24" t="s">
        <v>29</v>
      </c>
      <c r="B24" s="1">
        <v>1.5</v>
      </c>
      <c r="C24" s="1">
        <v>1.5</v>
      </c>
      <c r="D24" s="1">
        <v>0</v>
      </c>
    </row>
    <row r="25" spans="1:4" x14ac:dyDescent="0.2">
      <c r="A25" t="s">
        <v>30</v>
      </c>
      <c r="B25" s="1">
        <v>1.9</v>
      </c>
      <c r="C25" s="1">
        <v>1.9</v>
      </c>
      <c r="D25" s="1">
        <v>0</v>
      </c>
    </row>
    <row r="26" spans="1:4" x14ac:dyDescent="0.2">
      <c r="A26" t="s">
        <v>31</v>
      </c>
      <c r="B26" s="1">
        <v>1.4</v>
      </c>
      <c r="C26" s="1">
        <v>1.4</v>
      </c>
      <c r="D26" s="1">
        <v>0</v>
      </c>
    </row>
    <row r="27" spans="1:4" x14ac:dyDescent="0.2">
      <c r="A27" t="s">
        <v>32</v>
      </c>
      <c r="B27" s="1">
        <v>2.7</v>
      </c>
      <c r="C27" s="1">
        <v>2.8</v>
      </c>
      <c r="D27" s="1">
        <v>0.1</v>
      </c>
    </row>
    <row r="28" spans="1:4" x14ac:dyDescent="0.2">
      <c r="A28" t="s">
        <v>33</v>
      </c>
      <c r="B28" s="1">
        <v>2.6</v>
      </c>
      <c r="C28" s="1">
        <v>2.7</v>
      </c>
      <c r="D28" s="1">
        <v>0.1</v>
      </c>
    </row>
    <row r="29" spans="1:4" x14ac:dyDescent="0.2">
      <c r="A29" t="s">
        <v>34</v>
      </c>
      <c r="B29" s="1">
        <v>3.7</v>
      </c>
      <c r="C29" s="1">
        <v>3.8</v>
      </c>
      <c r="D29" s="1">
        <v>0.1</v>
      </c>
    </row>
    <row r="30" spans="1:4" x14ac:dyDescent="0.2">
      <c r="A30" t="s">
        <v>35</v>
      </c>
      <c r="B30" s="1">
        <v>4.7</v>
      </c>
      <c r="C30" s="1">
        <v>4.8</v>
      </c>
      <c r="D30" s="1">
        <v>0.1</v>
      </c>
    </row>
    <row r="31" spans="1:4" x14ac:dyDescent="0.2">
      <c r="A31" t="s">
        <v>36</v>
      </c>
      <c r="B31" s="1">
        <v>4.9000000000000004</v>
      </c>
      <c r="C31" s="1">
        <v>4.8</v>
      </c>
      <c r="D31" s="1">
        <v>-0.1</v>
      </c>
    </row>
    <row r="32" spans="1:4" x14ac:dyDescent="0.2">
      <c r="A32" t="s">
        <v>37</v>
      </c>
      <c r="B32" s="1">
        <v>5</v>
      </c>
      <c r="C32" s="1">
        <v>5</v>
      </c>
      <c r="D32" s="1">
        <v>0</v>
      </c>
    </row>
    <row r="33" spans="1:4" x14ac:dyDescent="0.2">
      <c r="A33" t="s">
        <v>38</v>
      </c>
      <c r="B33" s="1">
        <v>5.7</v>
      </c>
      <c r="C33" s="1">
        <v>5.6</v>
      </c>
      <c r="D33" s="1">
        <v>-0.1</v>
      </c>
    </row>
    <row r="34" spans="1:4" x14ac:dyDescent="0.2">
      <c r="A34" t="s">
        <v>39</v>
      </c>
      <c r="B34" s="1">
        <v>6.6</v>
      </c>
      <c r="C34" s="1">
        <v>6.6</v>
      </c>
      <c r="D34" s="1">
        <v>0</v>
      </c>
    </row>
    <row r="35" spans="1:4" x14ac:dyDescent="0.2">
      <c r="A35" t="s">
        <v>40</v>
      </c>
      <c r="B35" s="1">
        <v>8.6</v>
      </c>
      <c r="C35" s="1">
        <v>8.5</v>
      </c>
      <c r="D35" s="1">
        <v>-0.1</v>
      </c>
    </row>
    <row r="36" spans="1:4" x14ac:dyDescent="0.2">
      <c r="A36" t="s">
        <v>41</v>
      </c>
      <c r="B36" s="1">
        <v>8.8000000000000007</v>
      </c>
      <c r="C36" s="1">
        <v>8.6999999999999993</v>
      </c>
      <c r="D36" s="1">
        <v>-0.1</v>
      </c>
    </row>
    <row r="37" spans="1:4" x14ac:dyDescent="0.2">
      <c r="A37" t="s">
        <v>42</v>
      </c>
      <c r="B37" s="1">
        <v>9.1999999999999993</v>
      </c>
      <c r="C37" s="1">
        <v>9.1</v>
      </c>
      <c r="D37" s="1">
        <v>-0.1</v>
      </c>
    </row>
    <row r="38" spans="1:4" x14ac:dyDescent="0.2">
      <c r="A38" t="s">
        <v>43</v>
      </c>
      <c r="B38" s="1">
        <v>9.9</v>
      </c>
      <c r="C38" s="1">
        <v>9.8000000000000007</v>
      </c>
      <c r="D38" s="1">
        <v>-0.1</v>
      </c>
    </row>
    <row r="39" spans="1:4" x14ac:dyDescent="0.2">
      <c r="A39" t="s">
        <v>44</v>
      </c>
      <c r="B39" s="1">
        <v>9.6</v>
      </c>
      <c r="C39" s="1">
        <v>9.6</v>
      </c>
      <c r="D39" s="1">
        <v>0</v>
      </c>
    </row>
    <row r="40" spans="1:4" x14ac:dyDescent="0.2">
      <c r="A40" t="s">
        <v>45</v>
      </c>
      <c r="B40" s="1">
        <v>9.9</v>
      </c>
      <c r="C40" s="1">
        <v>9.8000000000000007</v>
      </c>
      <c r="D40" s="1">
        <v>-0.1</v>
      </c>
    </row>
    <row r="41" spans="1:4" x14ac:dyDescent="0.2">
      <c r="A41" t="s">
        <v>46</v>
      </c>
      <c r="B41" s="1">
        <v>10.8</v>
      </c>
      <c r="C41" s="1">
        <v>10.7</v>
      </c>
      <c r="D41" s="1">
        <v>-0.1</v>
      </c>
    </row>
    <row r="42" spans="1:4" x14ac:dyDescent="0.2">
      <c r="A42" t="s">
        <v>47</v>
      </c>
      <c r="B42" s="1">
        <v>10.5</v>
      </c>
      <c r="C42" s="1">
        <v>10.4</v>
      </c>
      <c r="D42" s="1">
        <v>-0.1</v>
      </c>
    </row>
    <row r="43" spans="1:4" x14ac:dyDescent="0.2">
      <c r="A43" t="s">
        <v>48</v>
      </c>
      <c r="B43" s="1">
        <v>10.4</v>
      </c>
      <c r="C43" s="1">
        <v>10.3</v>
      </c>
      <c r="D43" s="1">
        <v>-0.1</v>
      </c>
    </row>
    <row r="44" spans="1:4" x14ac:dyDescent="0.2">
      <c r="A44" t="s">
        <v>49</v>
      </c>
      <c r="B44" s="1">
        <v>9.9</v>
      </c>
      <c r="C44" s="1">
        <v>9.9</v>
      </c>
      <c r="D44" s="1">
        <v>0</v>
      </c>
    </row>
    <row r="45" spans="1:4" x14ac:dyDescent="0.2">
      <c r="A45" t="s">
        <v>50</v>
      </c>
      <c r="B45" s="1">
        <v>10.3</v>
      </c>
      <c r="C45" s="1">
        <v>10.3</v>
      </c>
      <c r="D45" s="1">
        <v>0</v>
      </c>
    </row>
    <row r="46" spans="1:4" x14ac:dyDescent="0.2">
      <c r="A46" t="s">
        <v>51</v>
      </c>
      <c r="B46" s="1">
        <v>9.9</v>
      </c>
      <c r="C46" s="1">
        <v>9.9</v>
      </c>
      <c r="D46" s="1">
        <v>0</v>
      </c>
    </row>
    <row r="47" spans="1:4" x14ac:dyDescent="0.2">
      <c r="A47" t="s">
        <v>52</v>
      </c>
      <c r="B47" s="1">
        <v>8.6</v>
      </c>
      <c r="C47" s="1">
        <v>8.4</v>
      </c>
      <c r="D47" s="1">
        <v>-0.2</v>
      </c>
    </row>
    <row r="48" spans="1:4" x14ac:dyDescent="0.2">
      <c r="A48" t="s">
        <v>53</v>
      </c>
      <c r="B48" s="1">
        <v>8.5</v>
      </c>
      <c r="C48" s="1">
        <v>8.5</v>
      </c>
      <c r="D48" s="1">
        <v>0</v>
      </c>
    </row>
    <row r="49" spans="1:4" x14ac:dyDescent="0.2">
      <c r="A49" t="s">
        <v>54</v>
      </c>
      <c r="B49" s="1">
        <v>7.8</v>
      </c>
      <c r="C49" s="1">
        <v>7.7</v>
      </c>
      <c r="D49" s="1">
        <v>-0.1</v>
      </c>
    </row>
    <row r="50" spans="1:4" x14ac:dyDescent="0.2">
      <c r="A50" t="s">
        <v>55</v>
      </c>
      <c r="B50" s="1">
        <v>6.7</v>
      </c>
      <c r="C50" s="1">
        <v>6.6</v>
      </c>
      <c r="D50" s="1">
        <v>-0.1</v>
      </c>
    </row>
    <row r="51" spans="1:4" x14ac:dyDescent="0.2">
      <c r="A51" t="s">
        <v>56</v>
      </c>
      <c r="B51" s="1">
        <v>6.5</v>
      </c>
      <c r="C51" s="1">
        <v>6.4</v>
      </c>
      <c r="D51" s="1">
        <v>-0.1</v>
      </c>
    </row>
    <row r="52" spans="1:4" x14ac:dyDescent="0.2">
      <c r="A52" t="s">
        <v>57</v>
      </c>
      <c r="B52" s="1">
        <v>6.5</v>
      </c>
      <c r="C52" s="1">
        <v>6.4</v>
      </c>
      <c r="D52" s="1">
        <v>-0.1</v>
      </c>
    </row>
    <row r="53" spans="1:4" x14ac:dyDescent="0.2">
      <c r="A53" t="s">
        <v>58</v>
      </c>
      <c r="B53" s="1">
        <v>4.5</v>
      </c>
      <c r="C53" s="1">
        <v>4.4000000000000004</v>
      </c>
      <c r="D53" s="1">
        <v>-0.1</v>
      </c>
    </row>
    <row r="54" spans="1:4" x14ac:dyDescent="0.2">
      <c r="A54" t="s">
        <v>59</v>
      </c>
      <c r="B54" s="1">
        <v>3.8</v>
      </c>
      <c r="C54" s="1">
        <v>3.7</v>
      </c>
      <c r="D54" s="1">
        <v>-0.1</v>
      </c>
    </row>
    <row r="55" spans="1:4" x14ac:dyDescent="0.2">
      <c r="A55" t="s">
        <v>60</v>
      </c>
      <c r="B55" s="1">
        <v>3.8</v>
      </c>
      <c r="C55" s="1">
        <v>3.7</v>
      </c>
      <c r="D55" s="1">
        <v>-0.1</v>
      </c>
    </row>
    <row r="56" spans="1:4" x14ac:dyDescent="0.2">
      <c r="A56" t="s">
        <v>61</v>
      </c>
      <c r="B56" s="1">
        <v>3.8</v>
      </c>
      <c r="C56" s="1">
        <v>3.7</v>
      </c>
      <c r="D56" s="1">
        <v>-0.1</v>
      </c>
    </row>
    <row r="57" spans="1:4" x14ac:dyDescent="0.2">
      <c r="A57" t="s">
        <v>62</v>
      </c>
      <c r="B57" s="1">
        <v>3.2</v>
      </c>
      <c r="C57" s="1">
        <v>3.1</v>
      </c>
      <c r="D57" s="1">
        <v>-0.1</v>
      </c>
    </row>
    <row r="58" spans="1:4" x14ac:dyDescent="0.2">
      <c r="A58" t="s">
        <v>63</v>
      </c>
      <c r="B58" s="1">
        <v>3.1</v>
      </c>
      <c r="C58" s="1">
        <v>2.9</v>
      </c>
      <c r="D58" s="1">
        <v>-0.2</v>
      </c>
    </row>
    <row r="59" spans="1:4" x14ac:dyDescent="0.2">
      <c r="A59" t="s">
        <v>64</v>
      </c>
      <c r="B59" s="1">
        <v>2.2000000000000002</v>
      </c>
      <c r="C59" s="1">
        <v>2.1</v>
      </c>
      <c r="D59" s="1">
        <v>-0.1</v>
      </c>
    </row>
    <row r="60" spans="1:4" x14ac:dyDescent="0.2">
      <c r="A60" t="s">
        <v>65</v>
      </c>
      <c r="B60" s="1">
        <v>1.8</v>
      </c>
      <c r="C60" s="1">
        <v>1.8</v>
      </c>
      <c r="D60" s="1">
        <v>0</v>
      </c>
    </row>
    <row r="61" spans="1:4" x14ac:dyDescent="0.2">
      <c r="A61" t="s">
        <v>66</v>
      </c>
      <c r="B61" s="1">
        <v>1.9</v>
      </c>
      <c r="C61" s="1">
        <v>1.8</v>
      </c>
      <c r="D61" s="1">
        <v>-0.1</v>
      </c>
    </row>
    <row r="62" spans="1:4" x14ac:dyDescent="0.2">
      <c r="A62" t="s">
        <v>67</v>
      </c>
      <c r="B62" s="1">
        <v>2.1</v>
      </c>
      <c r="C62" s="1">
        <v>2.1</v>
      </c>
      <c r="D62" s="1">
        <v>0</v>
      </c>
    </row>
    <row r="63" spans="1:4" x14ac:dyDescent="0.2">
      <c r="A63" t="s">
        <v>68</v>
      </c>
      <c r="B63" s="1">
        <v>2.1</v>
      </c>
      <c r="C63" s="1">
        <v>2.1</v>
      </c>
      <c r="D63" s="1">
        <v>0</v>
      </c>
    </row>
    <row r="64" spans="1:4" x14ac:dyDescent="0.2">
      <c r="A64" t="s">
        <v>69</v>
      </c>
      <c r="B64" s="1">
        <v>1.6</v>
      </c>
      <c r="C64" s="1">
        <v>1.5</v>
      </c>
      <c r="D64" s="1">
        <v>-0.1</v>
      </c>
    </row>
    <row r="65" spans="1:4" x14ac:dyDescent="0.2">
      <c r="A65" t="s">
        <v>70</v>
      </c>
      <c r="B65" s="1">
        <v>2.1</v>
      </c>
      <c r="C65" s="1">
        <v>2.1</v>
      </c>
      <c r="D65" s="1">
        <v>0</v>
      </c>
    </row>
    <row r="66" spans="1:4" x14ac:dyDescent="0.2">
      <c r="A66" t="s">
        <v>71</v>
      </c>
      <c r="B66" s="1">
        <v>2.5</v>
      </c>
      <c r="C66" s="1">
        <v>2.5</v>
      </c>
      <c r="D66" s="1">
        <v>0</v>
      </c>
    </row>
    <row r="67" spans="1:4" x14ac:dyDescent="0.2">
      <c r="A67" t="s">
        <v>72</v>
      </c>
      <c r="B67" s="1">
        <v>2.5</v>
      </c>
      <c r="C67" s="1">
        <v>2.5</v>
      </c>
      <c r="D67" s="1">
        <v>0</v>
      </c>
    </row>
    <row r="68" spans="1:4" x14ac:dyDescent="0.2">
      <c r="A68" t="s">
        <v>73</v>
      </c>
      <c r="B68" s="1">
        <v>2.8</v>
      </c>
      <c r="C68" s="1">
        <v>2.9</v>
      </c>
      <c r="D68" s="1">
        <v>0.1</v>
      </c>
    </row>
    <row r="69" spans="1:4" x14ac:dyDescent="0.2">
      <c r="A69" t="s">
        <v>74</v>
      </c>
      <c r="B69" s="1">
        <v>2.7</v>
      </c>
      <c r="C69" s="1">
        <v>2.7</v>
      </c>
      <c r="D69" s="1">
        <v>0</v>
      </c>
    </row>
    <row r="70" spans="1:4" x14ac:dyDescent="0.2">
      <c r="A70" t="s">
        <v>75</v>
      </c>
      <c r="B70" s="1">
        <v>2.5</v>
      </c>
      <c r="C70" s="1">
        <v>2.5</v>
      </c>
      <c r="D70" s="1">
        <v>0</v>
      </c>
    </row>
    <row r="71" spans="1:4" x14ac:dyDescent="0.2">
      <c r="A71" t="s">
        <v>76</v>
      </c>
      <c r="B71" s="1">
        <v>3.4</v>
      </c>
      <c r="C71" s="1">
        <v>3.4</v>
      </c>
      <c r="D71" s="1">
        <v>0</v>
      </c>
    </row>
    <row r="72" spans="1:4" x14ac:dyDescent="0.2">
      <c r="A72" t="s">
        <v>77</v>
      </c>
      <c r="B72" s="1">
        <v>3.3</v>
      </c>
      <c r="C72" s="1">
        <v>3.3</v>
      </c>
      <c r="D72" s="1">
        <v>0</v>
      </c>
    </row>
    <row r="73" spans="1:4" x14ac:dyDescent="0.2">
      <c r="A73" t="s">
        <v>78</v>
      </c>
      <c r="B73" s="1">
        <v>3.4</v>
      </c>
      <c r="C73" s="1">
        <v>3.5</v>
      </c>
      <c r="D73" s="1">
        <v>0.1</v>
      </c>
    </row>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E0B2C-9BF5-40B9-9A39-1F2ADB244AFC}">
  <dimension ref="A1:B198"/>
  <sheetViews>
    <sheetView workbookViewId="0">
      <pane xSplit="1" ySplit="6" topLeftCell="B97" activePane="bottomRight" state="frozen"/>
      <selection pane="topRight" activeCell="B1" sqref="B1"/>
      <selection pane="bottomLeft" activeCell="A7" sqref="A7"/>
      <selection pane="bottomRight" activeCell="B97" sqref="B97"/>
    </sheetView>
  </sheetViews>
  <sheetFormatPr defaultRowHeight="12.75" x14ac:dyDescent="0.2"/>
  <sheetData>
    <row r="1" spans="1:2" x14ac:dyDescent="0.2">
      <c r="A1" s="4" t="s">
        <v>79</v>
      </c>
      <c r="B1" s="3" t="s">
        <v>282</v>
      </c>
    </row>
    <row r="2" spans="1:2" x14ac:dyDescent="0.2">
      <c r="A2" t="s">
        <v>85</v>
      </c>
      <c r="B2" t="s">
        <v>283</v>
      </c>
    </row>
    <row r="3" spans="1:2" x14ac:dyDescent="0.2">
      <c r="A3" t="s">
        <v>84</v>
      </c>
      <c r="B3" t="s">
        <v>89</v>
      </c>
    </row>
    <row r="4" spans="1:2" x14ac:dyDescent="0.2">
      <c r="A4" t="s">
        <v>83</v>
      </c>
      <c r="B4" t="s">
        <v>88</v>
      </c>
    </row>
    <row r="5" spans="1:2" x14ac:dyDescent="0.2">
      <c r="A5" t="s">
        <v>82</v>
      </c>
      <c r="B5" t="s">
        <v>87</v>
      </c>
    </row>
    <row r="6" spans="1:2" x14ac:dyDescent="0.2">
      <c r="A6" t="s">
        <v>81</v>
      </c>
      <c r="B6" t="s">
        <v>86</v>
      </c>
    </row>
    <row r="7" spans="1:2" x14ac:dyDescent="0.2">
      <c r="A7" t="s">
        <v>80</v>
      </c>
      <c r="B7" s="6">
        <v>87.828000000000003</v>
      </c>
    </row>
    <row r="8" spans="1:2" x14ac:dyDescent="0.2">
      <c r="A8" t="s">
        <v>90</v>
      </c>
      <c r="B8" s="6">
        <v>88.152000000000001</v>
      </c>
    </row>
    <row r="9" spans="1:2" x14ac:dyDescent="0.2">
      <c r="A9" t="s">
        <v>91</v>
      </c>
      <c r="B9" s="6">
        <v>88.661000000000001</v>
      </c>
    </row>
    <row r="10" spans="1:2" x14ac:dyDescent="0.2">
      <c r="A10" t="s">
        <v>92</v>
      </c>
      <c r="B10" s="6">
        <v>89.17</v>
      </c>
    </row>
    <row r="11" spans="1:2" x14ac:dyDescent="0.2">
      <c r="A11" t="s">
        <v>93</v>
      </c>
      <c r="B11" s="6">
        <v>89.373000000000005</v>
      </c>
    </row>
    <row r="12" spans="1:2" x14ac:dyDescent="0.2">
      <c r="A12" t="s">
        <v>94</v>
      </c>
      <c r="B12" s="6">
        <v>89.506</v>
      </c>
    </row>
    <row r="13" spans="1:2" x14ac:dyDescent="0.2">
      <c r="A13" t="s">
        <v>95</v>
      </c>
      <c r="B13" s="6">
        <v>89.305000000000007</v>
      </c>
    </row>
    <row r="14" spans="1:2" x14ac:dyDescent="0.2">
      <c r="A14" t="s">
        <v>96</v>
      </c>
      <c r="B14" s="6">
        <v>89.763999999999996</v>
      </c>
    </row>
    <row r="15" spans="1:2" x14ac:dyDescent="0.2">
      <c r="A15" t="s">
        <v>97</v>
      </c>
      <c r="B15" s="6">
        <v>89.765000000000001</v>
      </c>
    </row>
    <row r="16" spans="1:2" x14ac:dyDescent="0.2">
      <c r="A16" t="s">
        <v>98</v>
      </c>
      <c r="B16" s="6">
        <v>89.995000000000005</v>
      </c>
    </row>
    <row r="17" spans="1:2" x14ac:dyDescent="0.2">
      <c r="A17" t="s">
        <v>99</v>
      </c>
      <c r="B17" s="6">
        <v>90.331000000000003</v>
      </c>
    </row>
    <row r="18" spans="1:2" x14ac:dyDescent="0.2">
      <c r="A18" t="s">
        <v>100</v>
      </c>
      <c r="B18" s="6">
        <v>91.23</v>
      </c>
    </row>
    <row r="19" spans="1:2" x14ac:dyDescent="0.2">
      <c r="A19" t="s">
        <v>101</v>
      </c>
      <c r="B19" s="6">
        <v>91.311999999999998</v>
      </c>
    </row>
    <row r="20" spans="1:2" x14ac:dyDescent="0.2">
      <c r="A20" t="s">
        <v>102</v>
      </c>
      <c r="B20" s="6">
        <v>91.986999999999995</v>
      </c>
    </row>
    <row r="21" spans="1:2" x14ac:dyDescent="0.2">
      <c r="A21" t="s">
        <v>103</v>
      </c>
      <c r="B21" s="6">
        <v>92.241</v>
      </c>
    </row>
    <row r="22" spans="1:2" x14ac:dyDescent="0.2">
      <c r="A22" t="s">
        <v>104</v>
      </c>
      <c r="B22" s="6">
        <v>93.162999999999997</v>
      </c>
    </row>
    <row r="23" spans="1:2" x14ac:dyDescent="0.2">
      <c r="A23" t="s">
        <v>105</v>
      </c>
      <c r="B23" s="6">
        <v>93.352999999999994</v>
      </c>
    </row>
    <row r="24" spans="1:2" x14ac:dyDescent="0.2">
      <c r="A24" t="s">
        <v>106</v>
      </c>
      <c r="B24" s="6">
        <v>93.266000000000005</v>
      </c>
    </row>
    <row r="25" spans="1:2" x14ac:dyDescent="0.2">
      <c r="A25" t="s">
        <v>107</v>
      </c>
      <c r="B25" s="6">
        <v>93.262</v>
      </c>
    </row>
    <row r="26" spans="1:2" x14ac:dyDescent="0.2">
      <c r="A26" t="s">
        <v>108</v>
      </c>
      <c r="B26" s="6">
        <v>93.81</v>
      </c>
    </row>
    <row r="27" spans="1:2" x14ac:dyDescent="0.2">
      <c r="A27" t="s">
        <v>109</v>
      </c>
      <c r="B27" s="6">
        <v>94.412999999999997</v>
      </c>
    </row>
    <row r="28" spans="1:2" x14ac:dyDescent="0.2">
      <c r="A28" t="s">
        <v>110</v>
      </c>
      <c r="B28" s="6">
        <v>94.478999999999999</v>
      </c>
    </row>
    <row r="29" spans="1:2" x14ac:dyDescent="0.2">
      <c r="A29" t="s">
        <v>111</v>
      </c>
      <c r="B29" s="6">
        <v>94.634</v>
      </c>
    </row>
    <row r="30" spans="1:2" x14ac:dyDescent="0.2">
      <c r="A30" t="s">
        <v>112</v>
      </c>
      <c r="B30" s="6">
        <v>95.058999999999997</v>
      </c>
    </row>
    <row r="31" spans="1:2" x14ac:dyDescent="0.2">
      <c r="A31" t="s">
        <v>113</v>
      </c>
      <c r="B31" s="6">
        <v>94.576999999999998</v>
      </c>
    </row>
    <row r="32" spans="1:2" x14ac:dyDescent="0.2">
      <c r="A32" t="s">
        <v>114</v>
      </c>
      <c r="B32" s="6">
        <v>95.147000000000006</v>
      </c>
    </row>
    <row r="33" spans="1:2" x14ac:dyDescent="0.2">
      <c r="A33" t="s">
        <v>115</v>
      </c>
      <c r="B33" s="6">
        <v>95.433000000000007</v>
      </c>
    </row>
    <row r="34" spans="1:2" x14ac:dyDescent="0.2">
      <c r="A34" t="s">
        <v>116</v>
      </c>
      <c r="B34" s="6">
        <v>95.998999999999995</v>
      </c>
    </row>
    <row r="35" spans="1:2" x14ac:dyDescent="0.2">
      <c r="A35" t="s">
        <v>117</v>
      </c>
      <c r="B35" s="6">
        <v>95.941999999999993</v>
      </c>
    </row>
    <row r="36" spans="1:2" x14ac:dyDescent="0.2">
      <c r="A36" t="s">
        <v>118</v>
      </c>
      <c r="B36" s="6">
        <v>95.55</v>
      </c>
    </row>
    <row r="37" spans="1:2" x14ac:dyDescent="0.2">
      <c r="A37" t="s">
        <v>119</v>
      </c>
      <c r="B37" s="6">
        <v>95.65</v>
      </c>
    </row>
    <row r="38" spans="1:2" x14ac:dyDescent="0.2">
      <c r="A38" t="s">
        <v>120</v>
      </c>
      <c r="B38" s="6">
        <v>96.134</v>
      </c>
    </row>
    <row r="39" spans="1:2" x14ac:dyDescent="0.2">
      <c r="A39" t="s">
        <v>121</v>
      </c>
      <c r="B39" s="6">
        <v>96.492000000000004</v>
      </c>
    </row>
    <row r="40" spans="1:2" x14ac:dyDescent="0.2">
      <c r="A40" t="s">
        <v>122</v>
      </c>
      <c r="B40" s="6">
        <v>97.001000000000005</v>
      </c>
    </row>
    <row r="41" spans="1:2" x14ac:dyDescent="0.2">
      <c r="A41" t="s">
        <v>123</v>
      </c>
      <c r="B41" s="6">
        <v>97.153999999999996</v>
      </c>
    </row>
    <row r="42" spans="1:2" x14ac:dyDescent="0.2">
      <c r="A42" t="s">
        <v>124</v>
      </c>
      <c r="B42" s="6">
        <v>97.603999999999999</v>
      </c>
    </row>
    <row r="43" spans="1:2" x14ac:dyDescent="0.2">
      <c r="A43" t="s">
        <v>125</v>
      </c>
      <c r="B43" s="6">
        <v>97.144000000000005</v>
      </c>
    </row>
    <row r="44" spans="1:2" x14ac:dyDescent="0.2">
      <c r="A44" t="s">
        <v>126</v>
      </c>
      <c r="B44" s="6">
        <v>97.795000000000002</v>
      </c>
    </row>
    <row r="45" spans="1:2" x14ac:dyDescent="0.2">
      <c r="A45" t="s">
        <v>127</v>
      </c>
      <c r="B45" s="6">
        <v>98.135000000000005</v>
      </c>
    </row>
    <row r="46" spans="1:2" x14ac:dyDescent="0.2">
      <c r="A46" t="s">
        <v>128</v>
      </c>
      <c r="B46" s="6">
        <v>98.322999999999993</v>
      </c>
    </row>
    <row r="47" spans="1:2" x14ac:dyDescent="0.2">
      <c r="A47" t="s">
        <v>129</v>
      </c>
      <c r="B47" s="6">
        <v>98.531999999999996</v>
      </c>
    </row>
    <row r="48" spans="1:2" x14ac:dyDescent="0.2">
      <c r="A48" t="s">
        <v>130</v>
      </c>
      <c r="B48" s="6">
        <v>98.338999999999999</v>
      </c>
    </row>
    <row r="49" spans="1:2" x14ac:dyDescent="0.2">
      <c r="A49" t="s">
        <v>131</v>
      </c>
      <c r="B49" s="6">
        <v>98.295000000000002</v>
      </c>
    </row>
    <row r="50" spans="1:2" x14ac:dyDescent="0.2">
      <c r="A50" t="s">
        <v>132</v>
      </c>
      <c r="B50" s="6">
        <v>98.72</v>
      </c>
    </row>
    <row r="51" spans="1:2" x14ac:dyDescent="0.2">
      <c r="A51" t="s">
        <v>133</v>
      </c>
      <c r="B51" s="6">
        <v>99.07</v>
      </c>
    </row>
    <row r="52" spans="1:2" x14ac:dyDescent="0.2">
      <c r="A52" t="s">
        <v>134</v>
      </c>
      <c r="B52" s="6">
        <v>99.126000000000005</v>
      </c>
    </row>
    <row r="53" spans="1:2" x14ac:dyDescent="0.2">
      <c r="A53" t="s">
        <v>135</v>
      </c>
      <c r="B53" s="6">
        <v>99.179000000000002</v>
      </c>
    </row>
    <row r="54" spans="1:2" x14ac:dyDescent="0.2">
      <c r="A54" t="s">
        <v>136</v>
      </c>
      <c r="B54" s="6">
        <v>99.588999999999999</v>
      </c>
    </row>
    <row r="55" spans="1:2" x14ac:dyDescent="0.2">
      <c r="A55" t="s">
        <v>137</v>
      </c>
      <c r="B55" s="6">
        <v>98.978999999999999</v>
      </c>
    </row>
    <row r="56" spans="1:2" x14ac:dyDescent="0.2">
      <c r="A56" t="s">
        <v>138</v>
      </c>
      <c r="B56" s="6">
        <v>99.480999999999995</v>
      </c>
    </row>
    <row r="57" spans="1:2" x14ac:dyDescent="0.2">
      <c r="A57" t="s">
        <v>139</v>
      </c>
      <c r="B57" s="6">
        <v>99.710999999999999</v>
      </c>
    </row>
    <row r="58" spans="1:2" x14ac:dyDescent="0.2">
      <c r="A58" t="s">
        <v>140</v>
      </c>
      <c r="B58" s="6">
        <v>100.066</v>
      </c>
    </row>
    <row r="59" spans="1:2" x14ac:dyDescent="0.2">
      <c r="A59" t="s">
        <v>141</v>
      </c>
      <c r="B59" s="6">
        <v>100.004</v>
      </c>
    </row>
    <row r="60" spans="1:2" x14ac:dyDescent="0.2">
      <c r="A60" t="s">
        <v>142</v>
      </c>
      <c r="B60" s="6">
        <v>100.203</v>
      </c>
    </row>
    <row r="61" spans="1:2" x14ac:dyDescent="0.2">
      <c r="A61" t="s">
        <v>143</v>
      </c>
      <c r="B61" s="6">
        <v>99.861999999999995</v>
      </c>
    </row>
    <row r="62" spans="1:2" x14ac:dyDescent="0.2">
      <c r="A62" t="s">
        <v>144</v>
      </c>
      <c r="B62" s="6">
        <v>100.249</v>
      </c>
    </row>
    <row r="63" spans="1:2" x14ac:dyDescent="0.2">
      <c r="A63" t="s">
        <v>145</v>
      </c>
      <c r="B63" s="6">
        <v>100.285</v>
      </c>
    </row>
    <row r="64" spans="1:2" x14ac:dyDescent="0.2">
      <c r="A64" t="s">
        <v>146</v>
      </c>
      <c r="B64" s="6">
        <v>100.404</v>
      </c>
    </row>
    <row r="65" spans="1:2" x14ac:dyDescent="0.2">
      <c r="A65" t="s">
        <v>147</v>
      </c>
      <c r="B65" s="6">
        <v>100.142</v>
      </c>
    </row>
    <row r="66" spans="1:2" x14ac:dyDescent="0.2">
      <c r="A66" t="s">
        <v>148</v>
      </c>
      <c r="B66" s="6">
        <v>100.134</v>
      </c>
    </row>
    <row r="67" spans="1:2" x14ac:dyDescent="0.2">
      <c r="A67" t="s">
        <v>149</v>
      </c>
      <c r="B67" s="6">
        <v>99.257999999999996</v>
      </c>
    </row>
    <row r="68" spans="1:2" x14ac:dyDescent="0.2">
      <c r="A68" t="s">
        <v>150</v>
      </c>
      <c r="B68" s="6">
        <v>99.512</v>
      </c>
    </row>
    <row r="69" spans="1:2" x14ac:dyDescent="0.2">
      <c r="A69" t="s">
        <v>151</v>
      </c>
      <c r="B69" s="6">
        <v>99.700999999999993</v>
      </c>
    </row>
    <row r="70" spans="1:2" x14ac:dyDescent="0.2">
      <c r="A70" t="s">
        <v>152</v>
      </c>
      <c r="B70" s="6">
        <v>99.944999999999993</v>
      </c>
    </row>
    <row r="71" spans="1:2" x14ac:dyDescent="0.2">
      <c r="A71" t="s">
        <v>153</v>
      </c>
      <c r="B71" s="6">
        <v>100.11499999999999</v>
      </c>
    </row>
    <row r="72" spans="1:2" x14ac:dyDescent="0.2">
      <c r="A72" t="s">
        <v>154</v>
      </c>
      <c r="B72" s="6">
        <v>100.163</v>
      </c>
    </row>
    <row r="73" spans="1:2" x14ac:dyDescent="0.2">
      <c r="A73" t="s">
        <v>155</v>
      </c>
      <c r="B73" s="6">
        <v>100.008</v>
      </c>
    </row>
    <row r="74" spans="1:2" x14ac:dyDescent="0.2">
      <c r="A74" t="s">
        <v>156</v>
      </c>
      <c r="B74" s="6">
        <v>100.25700000000001</v>
      </c>
    </row>
    <row r="75" spans="1:2" x14ac:dyDescent="0.2">
      <c r="A75" t="s">
        <v>157</v>
      </c>
      <c r="B75" s="6">
        <v>100.16</v>
      </c>
    </row>
    <row r="76" spans="1:2" x14ac:dyDescent="0.2">
      <c r="A76" t="s">
        <v>158</v>
      </c>
      <c r="B76" s="6">
        <v>100.29300000000001</v>
      </c>
    </row>
    <row r="77" spans="1:2" x14ac:dyDescent="0.2">
      <c r="A77" t="s">
        <v>159</v>
      </c>
      <c r="B77" s="6">
        <v>100.253</v>
      </c>
    </row>
    <row r="78" spans="1:2" x14ac:dyDescent="0.2">
      <c r="A78" t="s">
        <v>160</v>
      </c>
      <c r="B78" s="6">
        <v>100.336</v>
      </c>
    </row>
    <row r="79" spans="1:2" x14ac:dyDescent="0.2">
      <c r="A79" t="s">
        <v>161</v>
      </c>
      <c r="B79" s="6">
        <v>99.549000000000007</v>
      </c>
    </row>
    <row r="80" spans="1:2" x14ac:dyDescent="0.2">
      <c r="A80" t="s">
        <v>162</v>
      </c>
      <c r="B80" s="6">
        <v>99.795000000000002</v>
      </c>
    </row>
    <row r="81" spans="1:2" x14ac:dyDescent="0.2">
      <c r="A81" t="s">
        <v>163</v>
      </c>
      <c r="B81" s="6">
        <v>100.16200000000001</v>
      </c>
    </row>
    <row r="82" spans="1:2" x14ac:dyDescent="0.2">
      <c r="A82" t="s">
        <v>164</v>
      </c>
      <c r="B82" s="6">
        <v>100.232</v>
      </c>
    </row>
    <row r="83" spans="1:2" x14ac:dyDescent="0.2">
      <c r="A83" t="s">
        <v>165</v>
      </c>
      <c r="B83" s="6">
        <v>100.422</v>
      </c>
    </row>
    <row r="84" spans="1:2" x14ac:dyDescent="0.2">
      <c r="A84" t="s">
        <v>166</v>
      </c>
      <c r="B84" s="6">
        <v>100.624</v>
      </c>
    </row>
    <row r="85" spans="1:2" x14ac:dyDescent="0.2">
      <c r="A85" t="s">
        <v>167</v>
      </c>
      <c r="B85" s="6">
        <v>100.571</v>
      </c>
    </row>
    <row r="86" spans="1:2" x14ac:dyDescent="0.2">
      <c r="A86" t="s">
        <v>168</v>
      </c>
      <c r="B86" s="6">
        <v>100.898</v>
      </c>
    </row>
    <row r="87" spans="1:2" x14ac:dyDescent="0.2">
      <c r="A87" t="s">
        <v>169</v>
      </c>
      <c r="B87" s="6">
        <v>101.13800000000001</v>
      </c>
    </row>
    <row r="88" spans="1:2" x14ac:dyDescent="0.2">
      <c r="A88" t="s">
        <v>170</v>
      </c>
      <c r="B88" s="6">
        <v>101.205</v>
      </c>
    </row>
    <row r="89" spans="1:2" x14ac:dyDescent="0.2">
      <c r="A89" t="s">
        <v>171</v>
      </c>
      <c r="B89" s="6">
        <v>101.42100000000001</v>
      </c>
    </row>
    <row r="90" spans="1:2" x14ac:dyDescent="0.2">
      <c r="A90" t="s">
        <v>172</v>
      </c>
      <c r="B90" s="6">
        <v>101.9</v>
      </c>
    </row>
    <row r="91" spans="1:2" x14ac:dyDescent="0.2">
      <c r="A91" t="s">
        <v>173</v>
      </c>
      <c r="B91" s="6">
        <v>101.35599999999999</v>
      </c>
    </row>
    <row r="92" spans="1:2" x14ac:dyDescent="0.2">
      <c r="A92" t="s">
        <v>174</v>
      </c>
      <c r="B92" s="6">
        <v>102.08799999999999</v>
      </c>
    </row>
    <row r="93" spans="1:2" x14ac:dyDescent="0.2">
      <c r="A93" t="s">
        <v>175</v>
      </c>
      <c r="B93" s="6">
        <v>102.482</v>
      </c>
    </row>
    <row r="94" spans="1:2" x14ac:dyDescent="0.2">
      <c r="A94" t="s">
        <v>176</v>
      </c>
      <c r="B94" s="6">
        <v>102.949</v>
      </c>
    </row>
    <row r="95" spans="1:2" x14ac:dyDescent="0.2">
      <c r="A95" t="s">
        <v>177</v>
      </c>
      <c r="B95" s="6">
        <v>103.309</v>
      </c>
    </row>
    <row r="96" spans="1:2" x14ac:dyDescent="0.2">
      <c r="A96" t="s">
        <v>178</v>
      </c>
      <c r="B96" s="6">
        <v>103.28400000000001</v>
      </c>
    </row>
    <row r="97" spans="1:2" x14ac:dyDescent="0.2">
      <c r="A97" t="s">
        <v>179</v>
      </c>
      <c r="B97" s="6">
        <v>103.215</v>
      </c>
    </row>
    <row r="98" spans="1:2" x14ac:dyDescent="0.2">
      <c r="A98" t="s">
        <v>180</v>
      </c>
      <c r="B98" s="6">
        <v>103.785</v>
      </c>
    </row>
    <row r="99" spans="1:2" x14ac:dyDescent="0.2">
      <c r="A99" t="s">
        <v>181</v>
      </c>
      <c r="B99" s="6">
        <v>104.131</v>
      </c>
    </row>
    <row r="100" spans="1:2" x14ac:dyDescent="0.2">
      <c r="A100" t="s">
        <v>182</v>
      </c>
      <c r="B100" s="6">
        <v>104.242</v>
      </c>
    </row>
    <row r="101" spans="1:2" x14ac:dyDescent="0.2">
      <c r="A101" t="s">
        <v>183</v>
      </c>
      <c r="B101" s="6">
        <v>104.557</v>
      </c>
    </row>
    <row r="102" spans="1:2" x14ac:dyDescent="0.2">
      <c r="A102" t="s">
        <v>184</v>
      </c>
      <c r="B102" s="6">
        <v>104.929</v>
      </c>
    </row>
    <row r="103" spans="1:2" x14ac:dyDescent="0.2">
      <c r="A103" t="s">
        <v>185</v>
      </c>
      <c r="B103" s="6">
        <v>104.386</v>
      </c>
    </row>
    <row r="104" spans="1:2" x14ac:dyDescent="0.2">
      <c r="A104" t="s">
        <v>186</v>
      </c>
      <c r="B104" s="6">
        <v>104.85299999999999</v>
      </c>
    </row>
    <row r="105" spans="1:2" x14ac:dyDescent="0.2">
      <c r="A105" t="s">
        <v>187</v>
      </c>
      <c r="B105" s="6">
        <v>105.001</v>
      </c>
    </row>
    <row r="106" spans="1:2" x14ac:dyDescent="0.2">
      <c r="A106" t="s">
        <v>188</v>
      </c>
      <c r="B106" s="6">
        <v>105.401</v>
      </c>
    </row>
    <row r="107" spans="1:2" x14ac:dyDescent="0.2">
      <c r="A107" t="s">
        <v>189</v>
      </c>
      <c r="B107" s="6">
        <v>105.81</v>
      </c>
    </row>
    <row r="108" spans="1:2" x14ac:dyDescent="0.2">
      <c r="A108" t="s">
        <v>190</v>
      </c>
      <c r="B108" s="6">
        <v>105.81100000000001</v>
      </c>
    </row>
    <row r="109" spans="1:2" x14ac:dyDescent="0.2">
      <c r="A109" t="s">
        <v>191</v>
      </c>
      <c r="B109" s="6">
        <v>105.76900000000001</v>
      </c>
    </row>
    <row r="110" spans="1:2" x14ac:dyDescent="0.2">
      <c r="A110" t="s">
        <v>192</v>
      </c>
      <c r="B110" s="6">
        <v>106.538</v>
      </c>
    </row>
    <row r="111" spans="1:2" x14ac:dyDescent="0.2">
      <c r="A111" t="s">
        <v>193</v>
      </c>
      <c r="B111" s="6">
        <v>106.65</v>
      </c>
    </row>
    <row r="112" spans="1:2" x14ac:dyDescent="0.2">
      <c r="A112" t="s">
        <v>194</v>
      </c>
      <c r="B112" s="6">
        <v>106.735</v>
      </c>
    </row>
    <row r="113" spans="1:2" x14ac:dyDescent="0.2">
      <c r="A113" t="s">
        <v>195</v>
      </c>
      <c r="B113" s="6">
        <v>106.97199999999999</v>
      </c>
    </row>
    <row r="114" spans="1:2" x14ac:dyDescent="0.2">
      <c r="A114" t="s">
        <v>196</v>
      </c>
      <c r="B114" s="6">
        <v>107.137</v>
      </c>
    </row>
    <row r="115" spans="1:2" x14ac:dyDescent="0.2">
      <c r="A115" t="s">
        <v>197</v>
      </c>
      <c r="B115" s="6">
        <v>106.315</v>
      </c>
    </row>
    <row r="116" spans="1:2" x14ac:dyDescent="0.2">
      <c r="A116" t="s">
        <v>198</v>
      </c>
      <c r="B116" s="6">
        <v>106.813</v>
      </c>
    </row>
    <row r="117" spans="1:2" x14ac:dyDescent="0.2">
      <c r="A117" t="s">
        <v>199</v>
      </c>
      <c r="B117" s="6">
        <v>107.004</v>
      </c>
    </row>
    <row r="118" spans="1:2" x14ac:dyDescent="0.2">
      <c r="A118" t="s">
        <v>200</v>
      </c>
      <c r="B118" s="6">
        <v>107.633</v>
      </c>
    </row>
    <row r="119" spans="1:2" x14ac:dyDescent="0.2">
      <c r="A119" t="s">
        <v>201</v>
      </c>
      <c r="B119" s="6">
        <v>107.94799999999999</v>
      </c>
    </row>
    <row r="120" spans="1:2" x14ac:dyDescent="0.2">
      <c r="A120" t="s">
        <v>202</v>
      </c>
      <c r="B120" s="6">
        <v>107.93300000000001</v>
      </c>
    </row>
    <row r="121" spans="1:2" x14ac:dyDescent="0.2">
      <c r="A121" t="s">
        <v>203</v>
      </c>
      <c r="B121" s="6">
        <v>107.949</v>
      </c>
    </row>
    <row r="122" spans="1:2" x14ac:dyDescent="0.2">
      <c r="A122" t="s">
        <v>204</v>
      </c>
      <c r="B122" s="6">
        <v>108.375</v>
      </c>
    </row>
    <row r="123" spans="1:2" x14ac:dyDescent="0.2">
      <c r="A123" t="s">
        <v>205</v>
      </c>
      <c r="B123" s="6">
        <v>108.479</v>
      </c>
    </row>
    <row r="124" spans="1:2" x14ac:dyDescent="0.2">
      <c r="A124" t="s">
        <v>206</v>
      </c>
      <c r="B124" s="6">
        <v>108.298</v>
      </c>
    </row>
    <row r="125" spans="1:2" x14ac:dyDescent="0.2">
      <c r="A125" t="s">
        <v>207</v>
      </c>
      <c r="B125" s="6">
        <v>108.54900000000001</v>
      </c>
    </row>
    <row r="126" spans="1:2" x14ac:dyDescent="0.2">
      <c r="A126" t="s">
        <v>208</v>
      </c>
      <c r="B126" s="6">
        <v>108.532</v>
      </c>
    </row>
    <row r="127" spans="1:2" x14ac:dyDescent="0.2">
      <c r="A127" t="s">
        <v>209</v>
      </c>
      <c r="B127" s="6">
        <v>108.196</v>
      </c>
    </row>
    <row r="128" spans="1:2" x14ac:dyDescent="0.2">
      <c r="A128" t="s">
        <v>210</v>
      </c>
      <c r="B128" s="6">
        <v>108.639</v>
      </c>
    </row>
    <row r="129" spans="1:2" x14ac:dyDescent="0.2">
      <c r="A129" t="s">
        <v>211</v>
      </c>
      <c r="B129" s="6">
        <v>108.634</v>
      </c>
    </row>
    <row r="130" spans="1:2" x14ac:dyDescent="0.2">
      <c r="A130" t="s">
        <v>212</v>
      </c>
      <c r="B130" s="6">
        <v>108.459</v>
      </c>
    </row>
    <row r="131" spans="1:2" x14ac:dyDescent="0.2">
      <c r="A131" t="s">
        <v>213</v>
      </c>
      <c r="B131" s="6">
        <v>108.46599999999999</v>
      </c>
    </row>
    <row r="132" spans="1:2" x14ac:dyDescent="0.2">
      <c r="A132" t="s">
        <v>214</v>
      </c>
      <c r="B132" s="6">
        <v>108.584</v>
      </c>
    </row>
    <row r="133" spans="1:2" x14ac:dyDescent="0.2">
      <c r="A133" t="s">
        <v>215</v>
      </c>
      <c r="B133" s="6">
        <v>109.072</v>
      </c>
    </row>
    <row r="134" spans="1:2" x14ac:dyDescent="0.2">
      <c r="A134" t="s">
        <v>216</v>
      </c>
      <c r="B134" s="6">
        <v>108.613</v>
      </c>
    </row>
    <row r="135" spans="1:2" x14ac:dyDescent="0.2">
      <c r="A135" t="s">
        <v>217</v>
      </c>
      <c r="B135" s="6">
        <v>109.056</v>
      </c>
    </row>
    <row r="136" spans="1:2" x14ac:dyDescent="0.2">
      <c r="A136" t="s">
        <v>218</v>
      </c>
      <c r="B136" s="6">
        <v>109.053</v>
      </c>
    </row>
    <row r="137" spans="1:2" x14ac:dyDescent="0.2">
      <c r="A137" t="s">
        <v>219</v>
      </c>
      <c r="B137" s="6">
        <v>108.89100000000001</v>
      </c>
    </row>
    <row r="138" spans="1:2" x14ac:dyDescent="0.2">
      <c r="A138" t="s">
        <v>220</v>
      </c>
      <c r="B138" s="6">
        <v>109.17100000000001</v>
      </c>
    </row>
    <row r="139" spans="1:2" x14ac:dyDescent="0.2">
      <c r="A139" t="s">
        <v>221</v>
      </c>
      <c r="B139" s="6">
        <v>108.95399999999999</v>
      </c>
    </row>
    <row r="140" spans="1:2" x14ac:dyDescent="0.2">
      <c r="A140" t="s">
        <v>222</v>
      </c>
      <c r="B140" s="6">
        <v>109.089</v>
      </c>
    </row>
    <row r="141" spans="1:2" x14ac:dyDescent="0.2">
      <c r="A141" t="s">
        <v>223</v>
      </c>
      <c r="B141" s="6">
        <v>109.41</v>
      </c>
    </row>
    <row r="142" spans="1:2" x14ac:dyDescent="0.2">
      <c r="A142" t="s">
        <v>224</v>
      </c>
      <c r="B142" s="6">
        <v>110.114</v>
      </c>
    </row>
    <row r="143" spans="1:2" x14ac:dyDescent="0.2">
      <c r="A143" t="s">
        <v>225</v>
      </c>
      <c r="B143" s="6">
        <v>110.76</v>
      </c>
    </row>
    <row r="144" spans="1:2" x14ac:dyDescent="0.2">
      <c r="A144" t="s">
        <v>226</v>
      </c>
      <c r="B144" s="6">
        <v>111.31399999999999</v>
      </c>
    </row>
    <row r="145" spans="1:2" x14ac:dyDescent="0.2">
      <c r="A145" t="s">
        <v>227</v>
      </c>
      <c r="B145" s="6">
        <v>111.297</v>
      </c>
    </row>
    <row r="146" spans="1:2" x14ac:dyDescent="0.2">
      <c r="A146" t="s">
        <v>228</v>
      </c>
      <c r="B146" s="6">
        <v>112.08499999999999</v>
      </c>
    </row>
    <row r="147" spans="1:2" x14ac:dyDescent="0.2">
      <c r="A147" t="s">
        <v>229</v>
      </c>
      <c r="B147" s="6">
        <v>112.41500000000001</v>
      </c>
    </row>
    <row r="148" spans="1:2" x14ac:dyDescent="0.2">
      <c r="A148" t="s">
        <v>230</v>
      </c>
      <c r="B148" s="6">
        <v>113.64</v>
      </c>
    </row>
    <row r="149" spans="1:2" x14ac:dyDescent="0.2">
      <c r="A149" t="s">
        <v>231</v>
      </c>
      <c r="B149" s="6">
        <v>114.477</v>
      </c>
    </row>
    <row r="150" spans="1:2" x14ac:dyDescent="0.2">
      <c r="A150" t="s">
        <v>232</v>
      </c>
      <c r="B150" s="6">
        <v>115.051</v>
      </c>
    </row>
    <row r="151" spans="1:2" x14ac:dyDescent="0.2">
      <c r="A151" t="s">
        <v>233</v>
      </c>
      <c r="B151" s="6">
        <v>114.898</v>
      </c>
    </row>
    <row r="152" spans="1:2" x14ac:dyDescent="0.2">
      <c r="A152" t="s">
        <v>234</v>
      </c>
      <c r="B152" s="6">
        <v>115.827</v>
      </c>
    </row>
    <row r="153" spans="1:2" x14ac:dyDescent="0.2">
      <c r="A153" t="s">
        <v>235</v>
      </c>
      <c r="B153" s="6">
        <v>117.09399999999999</v>
      </c>
    </row>
    <row r="154" spans="1:2" x14ac:dyDescent="0.2">
      <c r="A154" t="s">
        <v>236</v>
      </c>
      <c r="B154" s="6">
        <v>120.036</v>
      </c>
    </row>
    <row r="155" spans="1:2" x14ac:dyDescent="0.2">
      <c r="A155" t="s">
        <v>237</v>
      </c>
      <c r="B155" s="6">
        <v>120.82</v>
      </c>
    </row>
    <row r="156" spans="1:2" x14ac:dyDescent="0.2">
      <c r="A156" t="s">
        <v>238</v>
      </c>
      <c r="B156" s="6">
        <v>121.791</v>
      </c>
    </row>
    <row r="157" spans="1:2" x14ac:dyDescent="0.2">
      <c r="A157" t="s">
        <v>239</v>
      </c>
      <c r="B157" s="6">
        <v>122.539</v>
      </c>
    </row>
    <row r="158" spans="1:2" x14ac:dyDescent="0.2">
      <c r="A158" t="s">
        <v>240</v>
      </c>
      <c r="B158" s="6">
        <v>123.148</v>
      </c>
    </row>
    <row r="159" spans="1:2" x14ac:dyDescent="0.2">
      <c r="A159" t="s">
        <v>241</v>
      </c>
      <c r="B159" s="6">
        <v>123.764</v>
      </c>
    </row>
    <row r="160" spans="1:2" x14ac:dyDescent="0.2">
      <c r="A160" t="s">
        <v>242</v>
      </c>
      <c r="B160" s="6">
        <v>126.199</v>
      </c>
    </row>
    <row r="161" spans="1:2" x14ac:dyDescent="0.2">
      <c r="A161" t="s">
        <v>243</v>
      </c>
      <c r="B161" s="6">
        <v>126.694</v>
      </c>
    </row>
    <row r="162" spans="1:2" x14ac:dyDescent="0.2">
      <c r="A162" t="s">
        <v>244</v>
      </c>
      <c r="B162" s="6">
        <v>127.164</v>
      </c>
    </row>
    <row r="163" spans="1:2" x14ac:dyDescent="0.2">
      <c r="A163" t="s">
        <v>245</v>
      </c>
      <c r="B163" s="6">
        <v>126.447</v>
      </c>
    </row>
    <row r="164" spans="1:2" x14ac:dyDescent="0.2">
      <c r="A164" t="s">
        <v>246</v>
      </c>
      <c r="B164" s="6">
        <v>127.892</v>
      </c>
    </row>
    <row r="165" spans="1:2" x14ac:dyDescent="0.2">
      <c r="A165" t="s">
        <v>247</v>
      </c>
      <c r="B165" s="6">
        <v>128.87</v>
      </c>
    </row>
    <row r="166" spans="1:2" x14ac:dyDescent="0.2">
      <c r="A166" t="s">
        <v>248</v>
      </c>
      <c r="B166" s="6">
        <v>130.429</v>
      </c>
    </row>
    <row r="167" spans="1:2" x14ac:dyDescent="0.2">
      <c r="A167" t="s">
        <v>249</v>
      </c>
      <c r="B167" s="6">
        <v>131.30799999999999</v>
      </c>
    </row>
    <row r="168" spans="1:2" x14ac:dyDescent="0.2">
      <c r="A168" t="s">
        <v>250</v>
      </c>
      <c r="B168" s="6">
        <v>131.47300000000001</v>
      </c>
    </row>
    <row r="169" spans="1:2" x14ac:dyDescent="0.2">
      <c r="A169" t="s">
        <v>251</v>
      </c>
      <c r="B169" s="6">
        <v>130.905</v>
      </c>
    </row>
    <row r="170" spans="1:2" x14ac:dyDescent="0.2">
      <c r="A170" t="s">
        <v>252</v>
      </c>
      <c r="B170" s="6">
        <v>131.346</v>
      </c>
    </row>
    <row r="171" spans="1:2" x14ac:dyDescent="0.2">
      <c r="A171" t="s">
        <v>253</v>
      </c>
      <c r="B171" s="6">
        <v>131.99700000000001</v>
      </c>
    </row>
    <row r="172" spans="1:2" x14ac:dyDescent="0.2">
      <c r="A172" t="s">
        <v>254</v>
      </c>
      <c r="B172" s="6">
        <v>132.00399999999999</v>
      </c>
    </row>
    <row r="173" spans="1:2" x14ac:dyDescent="0.2">
      <c r="A173" t="s">
        <v>255</v>
      </c>
      <c r="B173" s="6">
        <v>131.68700000000001</v>
      </c>
    </row>
    <row r="174" spans="1:2" x14ac:dyDescent="0.2">
      <c r="A174" t="s">
        <v>256</v>
      </c>
      <c r="B174" s="6">
        <v>132.24199999999999</v>
      </c>
    </row>
    <row r="175" spans="1:2" x14ac:dyDescent="0.2">
      <c r="A175" t="s">
        <v>257</v>
      </c>
      <c r="B175" s="6">
        <v>131.48099999999999</v>
      </c>
    </row>
    <row r="176" spans="1:2" x14ac:dyDescent="0.2">
      <c r="A176" t="s">
        <v>258</v>
      </c>
      <c r="B176" s="6">
        <v>132.255</v>
      </c>
    </row>
    <row r="177" spans="1:2" x14ac:dyDescent="0.2">
      <c r="A177" t="s">
        <v>259</v>
      </c>
      <c r="B177" s="6">
        <v>133.03</v>
      </c>
    </row>
    <row r="178" spans="1:2" x14ac:dyDescent="0.2">
      <c r="A178" t="s">
        <v>260</v>
      </c>
      <c r="B178" s="6">
        <v>133.47200000000001</v>
      </c>
    </row>
    <row r="179" spans="1:2" x14ac:dyDescent="0.2">
      <c r="A179" t="s">
        <v>261</v>
      </c>
      <c r="B179" s="6">
        <v>133.92099999999999</v>
      </c>
    </row>
    <row r="180" spans="1:2" x14ac:dyDescent="0.2">
      <c r="A180" t="s">
        <v>262</v>
      </c>
      <c r="B180" s="6">
        <v>134.07</v>
      </c>
    </row>
    <row r="181" spans="1:2" x14ac:dyDescent="0.2">
      <c r="A181" t="s">
        <v>263</v>
      </c>
      <c r="B181" s="6">
        <v>133.83000000000001</v>
      </c>
    </row>
    <row r="182" spans="1:2" x14ac:dyDescent="0.2">
      <c r="A182" t="s">
        <v>264</v>
      </c>
      <c r="B182" s="6">
        <v>134.25700000000001</v>
      </c>
    </row>
    <row r="183" spans="1:2" x14ac:dyDescent="0.2">
      <c r="A183" t="s">
        <v>265</v>
      </c>
      <c r="B183" s="6">
        <v>134.215</v>
      </c>
    </row>
    <row r="184" spans="1:2" x14ac:dyDescent="0.2">
      <c r="A184" t="s">
        <v>266</v>
      </c>
      <c r="B184" s="6">
        <v>135.01499999999999</v>
      </c>
    </row>
    <row r="185" spans="1:2" x14ac:dyDescent="0.2">
      <c r="A185" t="s">
        <v>267</v>
      </c>
      <c r="B185" s="6">
        <v>135.13999999999999</v>
      </c>
    </row>
    <row r="186" spans="1:2" x14ac:dyDescent="0.2">
      <c r="A186" t="s">
        <v>268</v>
      </c>
      <c r="B186" s="6">
        <v>135.55199999999999</v>
      </c>
    </row>
    <row r="187" spans="1:2" x14ac:dyDescent="0.2">
      <c r="A187" t="s">
        <v>269</v>
      </c>
      <c r="B187" s="6">
        <v>135.40299999999999</v>
      </c>
    </row>
    <row r="188" spans="1:2" x14ac:dyDescent="0.2">
      <c r="A188" t="s">
        <v>270</v>
      </c>
      <c r="B188" s="6">
        <v>136.006</v>
      </c>
    </row>
    <row r="189" spans="1:2" x14ac:dyDescent="0.2">
      <c r="A189" t="s">
        <v>271</v>
      </c>
      <c r="B189" s="6">
        <v>136.48099999999999</v>
      </c>
    </row>
    <row r="190" spans="1:2" x14ac:dyDescent="0.2">
      <c r="A190" t="s">
        <v>272</v>
      </c>
      <c r="B190" s="6">
        <v>138.18</v>
      </c>
    </row>
    <row r="191" spans="1:2" x14ac:dyDescent="0.2">
      <c r="A191" t="s">
        <v>273</v>
      </c>
      <c r="B191" s="6">
        <v>138.41800000000001</v>
      </c>
    </row>
    <row r="192" spans="1:2" x14ac:dyDescent="0.2">
      <c r="A192" t="s">
        <v>274</v>
      </c>
      <c r="B192" s="6">
        <v>138.86500000000001</v>
      </c>
    </row>
    <row r="193" spans="1:2" x14ac:dyDescent="0.2">
      <c r="A193" t="s">
        <v>275</v>
      </c>
      <c r="B193" s="6">
        <v>138.95500000000001</v>
      </c>
    </row>
    <row r="194" spans="1:2" x14ac:dyDescent="0.2">
      <c r="A194" t="s">
        <v>276</v>
      </c>
      <c r="B194" s="6">
        <v>139.34299999999999</v>
      </c>
    </row>
    <row r="195" spans="1:2" x14ac:dyDescent="0.2">
      <c r="A195" t="s">
        <v>277</v>
      </c>
      <c r="B195" s="6">
        <v>139.292</v>
      </c>
    </row>
    <row r="196" spans="1:2" x14ac:dyDescent="0.2">
      <c r="A196" t="s">
        <v>278</v>
      </c>
      <c r="B196" s="6">
        <v>139.82</v>
      </c>
    </row>
    <row r="197" spans="1:2" x14ac:dyDescent="0.2">
      <c r="A197" t="s">
        <v>279</v>
      </c>
      <c r="B197" s="6">
        <v>139.529</v>
      </c>
    </row>
    <row r="198" spans="1:2" x14ac:dyDescent="0.2">
      <c r="A198" t="s">
        <v>280</v>
      </c>
      <c r="B198" s="6">
        <v>140.125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2</vt:i4>
      </vt:variant>
      <vt:variant>
        <vt:lpstr>Named Ranges</vt:lpstr>
      </vt:variant>
      <vt:variant>
        <vt:i4>1</vt:i4>
      </vt:variant>
    </vt:vector>
  </HeadingPairs>
  <TitlesOfParts>
    <vt:vector size="6" baseType="lpstr">
      <vt:lpstr>Chart Data</vt:lpstr>
      <vt:lpstr>data</vt:lpstr>
      <vt:lpstr>HAVER</vt:lpstr>
      <vt:lpstr>Chart1</vt:lpstr>
      <vt:lpstr>Chart2</vt:lpstr>
      <vt:lpstr>_DLX1.INC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2026-01-29T10:24:12Z</dcterms:created>
  <dcterms:modified xsi:type="dcterms:W3CDTF">2026-01-30T11:33:11Z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2026-01-29T10:24:12Z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f49f3f64-5a0a-45dc-ac15-185280a33703</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