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E8FAE4FF-BFD8-4688-8329-298441885868}" xr6:coauthVersionLast="47" xr6:coauthVersionMax="47" xr10:uidLastSave="{00000000-0000-0000-0000-000000000000}"/>
  <bookViews>
    <workbookView xWindow="-120" yWindow="-120" windowWidth="29040" windowHeight="15840" xr2:uid="{B2117F0F-54BA-4A3C-9C69-C61FFDD48057}"/>
  </bookViews>
  <sheets>
    <sheet name="Chart1" sheetId="7" r:id="rId1"/>
    <sheet name="Chart2" sheetId="10" r:id="rId2"/>
    <sheet name="Election result" sheetId="2" r:id="rId3"/>
    <sheet name="Election chart calculations" sheetId="1" r:id="rId4"/>
    <sheet name="DMP Chart Data" sheetId="11" r:id="rId5"/>
    <sheet name="HAVER" sheetId="8" r:id="rId6"/>
  </sheets>
  <definedNames>
    <definedName name="_DLX1.INC">HAVER!$B$2:$I$7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08:52:32"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" l="1"/>
  <c r="AW4" i="1"/>
  <c r="AW5" i="1"/>
  <c r="AW2" i="1"/>
  <c r="D90" i="11"/>
  <c r="E90" i="11"/>
  <c r="D91" i="11"/>
  <c r="E91" i="11"/>
  <c r="D92" i="11"/>
  <c r="E92" i="11"/>
  <c r="D70" i="11"/>
  <c r="E70" i="11"/>
  <c r="D71" i="11"/>
  <c r="E71" i="11"/>
  <c r="D72" i="11"/>
  <c r="E72" i="11"/>
  <c r="D73" i="11"/>
  <c r="E73" i="11"/>
  <c r="D74" i="11"/>
  <c r="E74" i="11"/>
  <c r="D75" i="11"/>
  <c r="E75" i="11"/>
  <c r="D76" i="11"/>
  <c r="E76" i="11"/>
  <c r="D77" i="11"/>
  <c r="E77" i="11"/>
  <c r="D78" i="11"/>
  <c r="E78" i="11"/>
  <c r="D79" i="11"/>
  <c r="E79" i="11"/>
  <c r="D80" i="11"/>
  <c r="E80" i="11"/>
  <c r="D81" i="11"/>
  <c r="E81" i="11"/>
  <c r="D82" i="11"/>
  <c r="E82" i="11"/>
  <c r="D83" i="11"/>
  <c r="E83" i="11"/>
  <c r="D84" i="11"/>
  <c r="E84" i="11"/>
  <c r="D85" i="11"/>
  <c r="E85" i="11"/>
  <c r="D86" i="11"/>
  <c r="E86" i="11"/>
  <c r="D87" i="11"/>
  <c r="E87" i="11"/>
  <c r="D88" i="11"/>
  <c r="E88" i="11"/>
  <c r="D89" i="11"/>
  <c r="E89" i="11"/>
  <c r="D69" i="11"/>
  <c r="E69" i="11"/>
  <c r="B90" i="11"/>
  <c r="C90" i="11"/>
  <c r="B91" i="11"/>
  <c r="C91" i="11"/>
  <c r="B92" i="11"/>
  <c r="C92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71" i="11"/>
  <c r="C71" i="11"/>
  <c r="B72" i="11"/>
  <c r="C72" i="11"/>
  <c r="B73" i="11"/>
  <c r="C73" i="11"/>
  <c r="B74" i="11"/>
  <c r="C74" i="11"/>
  <c r="B75" i="11"/>
  <c r="C75" i="11"/>
  <c r="B76" i="11"/>
  <c r="C76" i="11"/>
  <c r="B77" i="11"/>
  <c r="C77" i="11"/>
  <c r="B78" i="11"/>
  <c r="C78" i="11"/>
  <c r="B79" i="11"/>
  <c r="C79" i="11"/>
  <c r="B80" i="11"/>
  <c r="C80" i="11"/>
  <c r="B81" i="11"/>
  <c r="C81" i="11"/>
  <c r="B82" i="11"/>
  <c r="C82" i="11"/>
  <c r="B83" i="11"/>
  <c r="C83" i="11"/>
  <c r="B84" i="11"/>
  <c r="C84" i="11"/>
  <c r="B85" i="11"/>
  <c r="C85" i="11"/>
  <c r="B86" i="11"/>
  <c r="C86" i="11"/>
  <c r="B87" i="11"/>
  <c r="C87" i="11"/>
  <c r="B88" i="11"/>
  <c r="C88" i="11"/>
  <c r="B89" i="11"/>
  <c r="C89" i="11"/>
  <c r="C3" i="11"/>
  <c r="B3" i="11"/>
  <c r="AU26" i="1" l="1"/>
  <c r="AV28" i="1"/>
  <c r="AU22" i="1"/>
  <c r="AV24" i="1"/>
  <c r="AU18" i="1"/>
  <c r="AV20" i="1"/>
  <c r="AU14" i="1"/>
  <c r="AV16" i="1"/>
  <c r="AU10" i="1"/>
  <c r="AP5" i="1" l="1"/>
  <c r="AP6" i="1"/>
  <c r="AP7" i="1"/>
  <c r="AI3" i="1"/>
  <c r="AP4" i="1" s="1"/>
  <c r="AI4" i="1"/>
  <c r="AI5" i="1"/>
  <c r="AI6" i="1"/>
  <c r="AI7" i="1"/>
  <c r="AI8" i="1"/>
  <c r="AI9" i="1"/>
  <c r="AI10" i="1"/>
  <c r="AI11" i="1"/>
  <c r="AI12" i="1"/>
  <c r="AI13" i="1"/>
  <c r="AP29" i="1" l="1"/>
  <c r="AR9" i="1"/>
  <c r="AR14" i="1" s="1"/>
  <c r="AR19" i="1" s="1"/>
  <c r="AR24" i="1" s="1"/>
  <c r="AR29" i="1" s="1"/>
  <c r="AR34" i="1" s="1"/>
  <c r="AR39" i="1" s="1"/>
  <c r="AR44" i="1" s="1"/>
  <c r="AR49" i="1" s="1"/>
  <c r="AR54" i="1" s="1"/>
  <c r="AR10" i="1"/>
  <c r="AR15" i="1" s="1"/>
  <c r="AR20" i="1" s="1"/>
  <c r="AR25" i="1" s="1"/>
  <c r="AR30" i="1" s="1"/>
  <c r="AR35" i="1" s="1"/>
  <c r="AR40" i="1" s="1"/>
  <c r="AR45" i="1" s="1"/>
  <c r="AR50" i="1" s="1"/>
  <c r="AR55" i="1" s="1"/>
  <c r="AR11" i="1"/>
  <c r="AR16" i="1" s="1"/>
  <c r="AR21" i="1" s="1"/>
  <c r="AR26" i="1" s="1"/>
  <c r="AR31" i="1" s="1"/>
  <c r="AR36" i="1" s="1"/>
  <c r="AR41" i="1" s="1"/>
  <c r="AR46" i="1" s="1"/>
  <c r="AR51" i="1" s="1"/>
  <c r="AR56" i="1" s="1"/>
  <c r="AR12" i="1"/>
  <c r="AR17" i="1" s="1"/>
  <c r="AR22" i="1" s="1"/>
  <c r="AR27" i="1" s="1"/>
  <c r="AR32" i="1" s="1"/>
  <c r="AR37" i="1" s="1"/>
  <c r="AR42" i="1" s="1"/>
  <c r="AR47" i="1" s="1"/>
  <c r="AR52" i="1" s="1"/>
  <c r="AR57" i="1" s="1"/>
  <c r="AR13" i="1"/>
  <c r="AR18" i="1" s="1"/>
  <c r="AR23" i="1" s="1"/>
  <c r="AR28" i="1" s="1"/>
  <c r="AR33" i="1" s="1"/>
  <c r="AR38" i="1" s="1"/>
  <c r="AR43" i="1" s="1"/>
  <c r="AR48" i="1" s="1"/>
  <c r="AR53" i="1" s="1"/>
  <c r="AR58" i="1" s="1"/>
  <c r="AO9" i="1"/>
  <c r="AO14" i="1" s="1"/>
  <c r="AO19" i="1" s="1"/>
  <c r="AO24" i="1" s="1"/>
  <c r="AO29" i="1" s="1"/>
  <c r="AO34" i="1" s="1"/>
  <c r="AO39" i="1" s="1"/>
  <c r="AO44" i="1" s="1"/>
  <c r="AO49" i="1" s="1"/>
  <c r="AO54" i="1" s="1"/>
  <c r="AP54" i="1" s="1"/>
  <c r="AO10" i="1"/>
  <c r="AO11" i="1"/>
  <c r="AP11" i="1" s="1"/>
  <c r="AO12" i="1"/>
  <c r="AP12" i="1" s="1"/>
  <c r="AO13" i="1"/>
  <c r="AN22" i="1"/>
  <c r="AN21" i="1"/>
  <c r="AK15" i="1"/>
  <c r="AK14" i="1"/>
  <c r="AL14" i="1"/>
  <c r="AJ15" i="1"/>
  <c r="AI15" i="1"/>
  <c r="AH15" i="1"/>
  <c r="AN20" i="1"/>
  <c r="AN25" i="1" s="1"/>
  <c r="AN30" i="1" s="1"/>
  <c r="AN35" i="1" s="1"/>
  <c r="AN40" i="1" s="1"/>
  <c r="AN45" i="1" s="1"/>
  <c r="AN50" i="1" s="1"/>
  <c r="AN55" i="1" s="1"/>
  <c r="AJ14" i="1"/>
  <c r="A14" i="1"/>
  <c r="AN19" i="1"/>
  <c r="AN24" i="1" s="1"/>
  <c r="AN29" i="1" s="1"/>
  <c r="AN34" i="1" s="1"/>
  <c r="AN39" i="1" s="1"/>
  <c r="AN44" i="1" s="1"/>
  <c r="AN49" i="1" s="1"/>
  <c r="AN54" i="1" s="1"/>
  <c r="AC13" i="1"/>
  <c r="X13" i="1"/>
  <c r="AN18" i="1"/>
  <c r="AN23" i="1" s="1"/>
  <c r="AN28" i="1" s="1"/>
  <c r="AN33" i="1" s="1"/>
  <c r="AN38" i="1" s="1"/>
  <c r="AN43" i="1" s="1"/>
  <c r="AN48" i="1" s="1"/>
  <c r="AN53" i="1" s="1"/>
  <c r="AV12" i="1"/>
  <c r="X10" i="1"/>
  <c r="AC9" i="1"/>
  <c r="X9" i="1"/>
  <c r="AC8" i="1"/>
  <c r="X8" i="1"/>
  <c r="AR8" i="1"/>
  <c r="AO8" i="1"/>
  <c r="AP8" i="1" s="1"/>
  <c r="AC4" i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X4" i="1"/>
  <c r="AC3" i="1"/>
  <c r="Z3" i="1"/>
  <c r="X3" i="1"/>
  <c r="AP3" i="1" s="1"/>
  <c r="G3" i="1"/>
  <c r="AP34" i="1" l="1"/>
  <c r="AP44" i="1"/>
  <c r="AO15" i="1"/>
  <c r="AP15" i="1" s="1"/>
  <c r="AP10" i="1"/>
  <c r="AP49" i="1"/>
  <c r="AP19" i="1"/>
  <c r="AO18" i="1"/>
  <c r="AP13" i="1"/>
  <c r="AP24" i="1"/>
  <c r="AO17" i="1"/>
  <c r="AP14" i="1"/>
  <c r="AP39" i="1"/>
  <c r="AO16" i="1"/>
  <c r="AP9" i="1"/>
  <c r="AO20" i="1"/>
  <c r="AN27" i="1"/>
  <c r="AN32" i="1" s="1"/>
  <c r="AN37" i="1" s="1"/>
  <c r="AN42" i="1" s="1"/>
  <c r="AN47" i="1" s="1"/>
  <c r="AN52" i="1" s="1"/>
  <c r="AN57" i="1" s="1"/>
  <c r="AN26" i="1"/>
  <c r="AN31" i="1" s="1"/>
  <c r="AN36" i="1" s="1"/>
  <c r="AN41" i="1" s="1"/>
  <c r="AN46" i="1" s="1"/>
  <c r="AN51" i="1" s="1"/>
  <c r="AN56" i="1" s="1"/>
  <c r="AJ16" i="1"/>
  <c r="AK16" i="1"/>
  <c r="X5" i="1"/>
  <c r="Z4" i="1"/>
  <c r="AC10" i="1"/>
  <c r="X11" i="1"/>
  <c r="AC11" i="1"/>
  <c r="Y3" i="1"/>
  <c r="A15" i="1"/>
  <c r="AC5" i="1"/>
  <c r="AO25" i="1" l="1"/>
  <c r="AP20" i="1"/>
  <c r="AO23" i="1"/>
  <c r="AP18" i="1"/>
  <c r="AO21" i="1"/>
  <c r="AP16" i="1"/>
  <c r="AP17" i="1"/>
  <c r="AO22" i="1"/>
  <c r="Y4" i="1"/>
  <c r="Z5" i="1"/>
  <c r="AQ4" i="1"/>
  <c r="AQ5" i="1" s="1"/>
  <c r="AQ6" i="1" s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C12" i="1"/>
  <c r="X12" i="1"/>
  <c r="AC6" i="1"/>
  <c r="X6" i="1"/>
  <c r="A16" i="1"/>
  <c r="AO26" i="1" l="1"/>
  <c r="AP21" i="1"/>
  <c r="AO28" i="1"/>
  <c r="AP23" i="1"/>
  <c r="AO27" i="1"/>
  <c r="AP22" i="1"/>
  <c r="AQ17" i="1"/>
  <c r="AQ18" i="1" s="1"/>
  <c r="AQ19" i="1" s="1"/>
  <c r="AQ20" i="1" s="1"/>
  <c r="AQ21" i="1" s="1"/>
  <c r="AO30" i="1"/>
  <c r="AP25" i="1"/>
  <c r="Y5" i="1"/>
  <c r="Y6" i="1" s="1"/>
  <c r="Z6" i="1"/>
  <c r="A17" i="1"/>
  <c r="X7" i="1"/>
  <c r="AC7" i="1"/>
  <c r="W14" i="1"/>
  <c r="AQ22" i="1" l="1"/>
  <c r="AQ23" i="1" s="1"/>
  <c r="AQ24" i="1" s="1"/>
  <c r="AQ25" i="1" s="1"/>
  <c r="AQ26" i="1" s="1"/>
  <c r="AP27" i="1"/>
  <c r="AO32" i="1"/>
  <c r="AO33" i="1"/>
  <c r="AP28" i="1"/>
  <c r="AO35" i="1"/>
  <c r="AP30" i="1"/>
  <c r="AP26" i="1"/>
  <c r="AO31" i="1"/>
  <c r="Y7" i="1"/>
  <c r="X14" i="1"/>
  <c r="AH14" i="1"/>
  <c r="Z7" i="1"/>
  <c r="A18" i="1"/>
  <c r="AQ27" i="1" l="1"/>
  <c r="AQ28" i="1" s="1"/>
  <c r="AQ29" i="1" s="1"/>
  <c r="AQ30" i="1" s="1"/>
  <c r="AQ31" i="1" s="1"/>
  <c r="AO38" i="1"/>
  <c r="AP33" i="1"/>
  <c r="AO40" i="1"/>
  <c r="AP35" i="1"/>
  <c r="AP32" i="1"/>
  <c r="AO37" i="1"/>
  <c r="AP31" i="1"/>
  <c r="AO36" i="1"/>
  <c r="AH16" i="1"/>
  <c r="AI14" i="1"/>
  <c r="B10" i="1"/>
  <c r="B11" i="1"/>
  <c r="B12" i="1"/>
  <c r="B9" i="1"/>
  <c r="B7" i="1"/>
  <c r="B8" i="1"/>
  <c r="B3" i="1"/>
  <c r="B13" i="1"/>
  <c r="Y8" i="1"/>
  <c r="B4" i="1"/>
  <c r="B5" i="1"/>
  <c r="B6" i="1"/>
  <c r="B14" i="1"/>
  <c r="B15" i="1"/>
  <c r="B16" i="1"/>
  <c r="A19" i="1"/>
  <c r="B18" i="1"/>
  <c r="B17" i="1"/>
  <c r="Z8" i="1"/>
  <c r="AQ32" i="1" l="1"/>
  <c r="AQ33" i="1" s="1"/>
  <c r="AQ34" i="1" s="1"/>
  <c r="AQ35" i="1" s="1"/>
  <c r="AQ36" i="1" s="1"/>
  <c r="AP37" i="1"/>
  <c r="AO42" i="1"/>
  <c r="AO45" i="1"/>
  <c r="AP40" i="1"/>
  <c r="AO43" i="1"/>
  <c r="AP38" i="1"/>
  <c r="AP36" i="1"/>
  <c r="AO41" i="1"/>
  <c r="AI16" i="1"/>
  <c r="AH17" i="1"/>
  <c r="C8" i="1"/>
  <c r="D8" i="1"/>
  <c r="C17" i="1"/>
  <c r="D17" i="1"/>
  <c r="D7" i="1"/>
  <c r="C7" i="1"/>
  <c r="C16" i="1"/>
  <c r="D16" i="1"/>
  <c r="C6" i="1"/>
  <c r="D6" i="1"/>
  <c r="C9" i="1"/>
  <c r="D9" i="1"/>
  <c r="D15" i="1"/>
  <c r="C15" i="1"/>
  <c r="A20" i="1"/>
  <c r="B19" i="1"/>
  <c r="D5" i="1"/>
  <c r="C5" i="1"/>
  <c r="C12" i="1"/>
  <c r="D12" i="1"/>
  <c r="D13" i="1"/>
  <c r="C13" i="1"/>
  <c r="C18" i="1"/>
  <c r="D18" i="1"/>
  <c r="D4" i="1"/>
  <c r="C4" i="1"/>
  <c r="D11" i="1"/>
  <c r="C11" i="1"/>
  <c r="Z9" i="1"/>
  <c r="C3" i="1"/>
  <c r="D3" i="1"/>
  <c r="D14" i="1"/>
  <c r="C14" i="1"/>
  <c r="Y9" i="1"/>
  <c r="D10" i="1"/>
  <c r="C10" i="1"/>
  <c r="AQ37" i="1" l="1"/>
  <c r="AQ38" i="1" s="1"/>
  <c r="AQ39" i="1" s="1"/>
  <c r="AQ40" i="1" s="1"/>
  <c r="AQ41" i="1" s="1"/>
  <c r="AO50" i="1"/>
  <c r="AP45" i="1"/>
  <c r="AP42" i="1"/>
  <c r="AO47" i="1"/>
  <c r="AO48" i="1"/>
  <c r="AP43" i="1"/>
  <c r="AP41" i="1"/>
  <c r="AO46" i="1"/>
  <c r="Z10" i="1"/>
  <c r="D19" i="1"/>
  <c r="C19" i="1"/>
  <c r="B20" i="1"/>
  <c r="A21" i="1"/>
  <c r="Y10" i="1"/>
  <c r="H3" i="1"/>
  <c r="I3" i="1"/>
  <c r="AQ42" i="1" l="1"/>
  <c r="AQ43" i="1" s="1"/>
  <c r="AQ44" i="1" s="1"/>
  <c r="AQ45" i="1" s="1"/>
  <c r="AQ46" i="1" s="1"/>
  <c r="AP47" i="1"/>
  <c r="AO52" i="1"/>
  <c r="AO55" i="1"/>
  <c r="AP55" i="1" s="1"/>
  <c r="AP50" i="1"/>
  <c r="AO53" i="1"/>
  <c r="AP53" i="1" s="1"/>
  <c r="AP48" i="1"/>
  <c r="AP46" i="1"/>
  <c r="AO51" i="1"/>
  <c r="Y11" i="1"/>
  <c r="B21" i="1"/>
  <c r="A22" i="1"/>
  <c r="D20" i="1"/>
  <c r="C20" i="1"/>
  <c r="Z11" i="1"/>
  <c r="AQ47" i="1" l="1"/>
  <c r="AQ48" i="1" s="1"/>
  <c r="AQ49" i="1" s="1"/>
  <c r="AQ50" i="1" s="1"/>
  <c r="AQ51" i="1" s="1"/>
  <c r="AP52" i="1"/>
  <c r="AO57" i="1"/>
  <c r="AP57" i="1" s="1"/>
  <c r="AP51" i="1"/>
  <c r="AO56" i="1"/>
  <c r="AP56" i="1" s="1"/>
  <c r="C21" i="1"/>
  <c r="D21" i="1"/>
  <c r="Z12" i="1"/>
  <c r="Y12" i="1"/>
  <c r="B22" i="1"/>
  <c r="A23" i="1"/>
  <c r="AQ52" i="1" l="1"/>
  <c r="AQ53" i="1" s="1"/>
  <c r="AQ54" i="1" s="1"/>
  <c r="AQ55" i="1" s="1"/>
  <c r="AQ56" i="1" s="1"/>
  <c r="AQ57" i="1" s="1"/>
  <c r="AQ58" i="1" s="1"/>
  <c r="E12" i="1"/>
  <c r="E22" i="1"/>
  <c r="Z13" i="1"/>
  <c r="D22" i="1"/>
  <c r="C22" i="1"/>
  <c r="Y13" i="1"/>
  <c r="E8" i="1"/>
  <c r="E20" i="1"/>
  <c r="E19" i="1"/>
  <c r="E5" i="1"/>
  <c r="E9" i="1"/>
  <c r="E14" i="1"/>
  <c r="E16" i="1"/>
  <c r="E15" i="1"/>
  <c r="E18" i="1"/>
  <c r="E17" i="1"/>
  <c r="E13" i="1"/>
  <c r="E21" i="1"/>
  <c r="E6" i="1"/>
  <c r="E4" i="1"/>
  <c r="F4" i="1" s="1"/>
  <c r="G4" i="1" s="1"/>
  <c r="E11" i="1"/>
  <c r="E10" i="1"/>
  <c r="E7" i="1"/>
  <c r="E23" i="1"/>
  <c r="A24" i="1"/>
  <c r="B23" i="1"/>
  <c r="I4" i="1" l="1"/>
  <c r="H4" i="1"/>
  <c r="F5" i="1"/>
  <c r="G5" i="1" s="1"/>
  <c r="C23" i="1"/>
  <c r="D23" i="1"/>
  <c r="A25" i="1"/>
  <c r="B24" i="1"/>
  <c r="E24" i="1"/>
  <c r="F6" i="1" l="1"/>
  <c r="G6" i="1" s="1"/>
  <c r="H6" i="1" s="1"/>
  <c r="D24" i="1"/>
  <c r="C24" i="1"/>
  <c r="A26" i="1"/>
  <c r="E25" i="1"/>
  <c r="B25" i="1"/>
  <c r="I5" i="1"/>
  <c r="H5" i="1"/>
  <c r="I6" i="1" l="1"/>
  <c r="F7" i="1"/>
  <c r="G7" i="1" s="1"/>
  <c r="C25" i="1"/>
  <c r="D25" i="1"/>
  <c r="A27" i="1"/>
  <c r="B26" i="1"/>
  <c r="E26" i="1"/>
  <c r="J23" i="1" l="1"/>
  <c r="F8" i="1"/>
  <c r="F9" i="1" s="1"/>
  <c r="E27" i="1"/>
  <c r="B27" i="1"/>
  <c r="A28" i="1"/>
  <c r="J27" i="1"/>
  <c r="H7" i="1"/>
  <c r="I7" i="1"/>
  <c r="D26" i="1"/>
  <c r="C26" i="1"/>
  <c r="S27" i="1" l="1"/>
  <c r="T27" i="1"/>
  <c r="T23" i="1"/>
  <c r="S23" i="1"/>
  <c r="J9" i="1"/>
  <c r="Q23" i="1"/>
  <c r="R23" i="1"/>
  <c r="O23" i="1"/>
  <c r="P23" i="1"/>
  <c r="J3" i="1"/>
  <c r="J24" i="1"/>
  <c r="J15" i="1"/>
  <c r="J26" i="1"/>
  <c r="J21" i="1"/>
  <c r="J4" i="1"/>
  <c r="J12" i="1"/>
  <c r="J18" i="1"/>
  <c r="J6" i="1"/>
  <c r="J14" i="1"/>
  <c r="J11" i="1"/>
  <c r="J17" i="1"/>
  <c r="J22" i="1"/>
  <c r="J13" i="1"/>
  <c r="J25" i="1"/>
  <c r="J5" i="1"/>
  <c r="J7" i="1"/>
  <c r="J20" i="1"/>
  <c r="J16" i="1"/>
  <c r="J8" i="1"/>
  <c r="J19" i="1"/>
  <c r="J10" i="1"/>
  <c r="G8" i="1"/>
  <c r="H8" i="1" s="1"/>
  <c r="Q27" i="1"/>
  <c r="R27" i="1"/>
  <c r="O27" i="1"/>
  <c r="P27" i="1"/>
  <c r="J28" i="1"/>
  <c r="B28" i="1"/>
  <c r="A29" i="1"/>
  <c r="E28" i="1"/>
  <c r="D27" i="1"/>
  <c r="C27" i="1"/>
  <c r="G9" i="1"/>
  <c r="F10" i="1"/>
  <c r="S10" i="1" l="1"/>
  <c r="T10" i="1"/>
  <c r="T13" i="1"/>
  <c r="S13" i="1"/>
  <c r="T4" i="1"/>
  <c r="S4" i="1"/>
  <c r="S19" i="1"/>
  <c r="T19" i="1"/>
  <c r="T17" i="1"/>
  <c r="S17" i="1"/>
  <c r="T9" i="1"/>
  <c r="S9" i="1"/>
  <c r="T22" i="1"/>
  <c r="S22" i="1"/>
  <c r="S26" i="1"/>
  <c r="T26" i="1"/>
  <c r="T16" i="1"/>
  <c r="S16" i="1"/>
  <c r="S11" i="1"/>
  <c r="T11" i="1"/>
  <c r="T15" i="1"/>
  <c r="S15" i="1"/>
  <c r="T25" i="1"/>
  <c r="S25" i="1"/>
  <c r="T21" i="1"/>
  <c r="S21" i="1"/>
  <c r="T20" i="1"/>
  <c r="S20" i="1"/>
  <c r="T24" i="1"/>
  <c r="S24" i="1"/>
  <c r="T12" i="1"/>
  <c r="S12" i="1"/>
  <c r="T28" i="1"/>
  <c r="S28" i="1"/>
  <c r="L7" i="1"/>
  <c r="T7" i="1"/>
  <c r="S7" i="1"/>
  <c r="T6" i="1"/>
  <c r="S6" i="1"/>
  <c r="T3" i="1"/>
  <c r="S3" i="1"/>
  <c r="T8" i="1"/>
  <c r="S8" i="1"/>
  <c r="T14" i="1"/>
  <c r="S14" i="1"/>
  <c r="T5" i="1"/>
  <c r="S5" i="1"/>
  <c r="S18" i="1"/>
  <c r="T18" i="1"/>
  <c r="O9" i="1"/>
  <c r="N9" i="1"/>
  <c r="P9" i="1"/>
  <c r="M9" i="1"/>
  <c r="Q9" i="1"/>
  <c r="R9" i="1"/>
  <c r="I8" i="1"/>
  <c r="L8" i="1" s="1"/>
  <c r="P8" i="1"/>
  <c r="N8" i="1"/>
  <c r="R8" i="1"/>
  <c r="O8" i="1"/>
  <c r="Q8" i="1"/>
  <c r="M8" i="1"/>
  <c r="O20" i="1"/>
  <c r="P20" i="1"/>
  <c r="Q20" i="1"/>
  <c r="R20" i="1"/>
  <c r="P14" i="1"/>
  <c r="Q14" i="1"/>
  <c r="R14" i="1"/>
  <c r="N14" i="1"/>
  <c r="O14" i="1"/>
  <c r="M14" i="1"/>
  <c r="Q24" i="1"/>
  <c r="O24" i="1"/>
  <c r="R24" i="1"/>
  <c r="P24" i="1"/>
  <c r="R17" i="1"/>
  <c r="Q17" i="1"/>
  <c r="O17" i="1"/>
  <c r="P17" i="1"/>
  <c r="P6" i="1"/>
  <c r="M6" i="1"/>
  <c r="O6" i="1"/>
  <c r="N6" i="1"/>
  <c r="K6" i="1"/>
  <c r="R6" i="1"/>
  <c r="Q6" i="1"/>
  <c r="L6" i="1"/>
  <c r="O3" i="1"/>
  <c r="P3" i="1"/>
  <c r="K3" i="1"/>
  <c r="N3" i="1"/>
  <c r="R3" i="1"/>
  <c r="M3" i="1"/>
  <c r="Q3" i="1"/>
  <c r="L3" i="1"/>
  <c r="R11" i="1"/>
  <c r="O11" i="1"/>
  <c r="M11" i="1"/>
  <c r="N11" i="1"/>
  <c r="Q11" i="1"/>
  <c r="P11" i="1"/>
  <c r="N5" i="1"/>
  <c r="M5" i="1"/>
  <c r="P5" i="1"/>
  <c r="L5" i="1"/>
  <c r="K5" i="1"/>
  <c r="O5" i="1"/>
  <c r="Q5" i="1"/>
  <c r="R5" i="1"/>
  <c r="O18" i="1"/>
  <c r="P18" i="1"/>
  <c r="R18" i="1"/>
  <c r="Q18" i="1"/>
  <c r="Q15" i="1"/>
  <c r="O15" i="1"/>
  <c r="M15" i="1"/>
  <c r="R15" i="1"/>
  <c r="N15" i="1"/>
  <c r="P15" i="1"/>
  <c r="K7" i="1"/>
  <c r="O25" i="1"/>
  <c r="Q25" i="1"/>
  <c r="P25" i="1"/>
  <c r="R25" i="1"/>
  <c r="Q12" i="1"/>
  <c r="M12" i="1"/>
  <c r="P12" i="1"/>
  <c r="R12" i="1"/>
  <c r="O12" i="1"/>
  <c r="N12" i="1"/>
  <c r="P26" i="1"/>
  <c r="Q26" i="1"/>
  <c r="R26" i="1"/>
  <c r="O26" i="1"/>
  <c r="Q10" i="1"/>
  <c r="R10" i="1"/>
  <c r="O10" i="1"/>
  <c r="N10" i="1"/>
  <c r="P10" i="1"/>
  <c r="M10" i="1"/>
  <c r="P13" i="1"/>
  <c r="R13" i="1"/>
  <c r="M13" i="1"/>
  <c r="Q13" i="1"/>
  <c r="N13" i="1"/>
  <c r="O13" i="1"/>
  <c r="R4" i="1"/>
  <c r="P4" i="1"/>
  <c r="M4" i="1"/>
  <c r="O4" i="1"/>
  <c r="K4" i="1"/>
  <c r="L4" i="1"/>
  <c r="Q4" i="1"/>
  <c r="N4" i="1"/>
  <c r="R16" i="1"/>
  <c r="Q16" i="1"/>
  <c r="O16" i="1"/>
  <c r="P16" i="1"/>
  <c r="N7" i="1"/>
  <c r="R7" i="1"/>
  <c r="O7" i="1"/>
  <c r="M7" i="1"/>
  <c r="Q7" i="1"/>
  <c r="P7" i="1"/>
  <c r="R19" i="1"/>
  <c r="O19" i="1"/>
  <c r="Q19" i="1"/>
  <c r="P19" i="1"/>
  <c r="R22" i="1"/>
  <c r="Q22" i="1"/>
  <c r="P22" i="1"/>
  <c r="O22" i="1"/>
  <c r="R21" i="1"/>
  <c r="Q21" i="1"/>
  <c r="P21" i="1"/>
  <c r="O21" i="1"/>
  <c r="K8" i="1"/>
  <c r="Q28" i="1"/>
  <c r="R28" i="1"/>
  <c r="P28" i="1"/>
  <c r="O28" i="1"/>
  <c r="I9" i="1"/>
  <c r="L9" i="1" s="1"/>
  <c r="H9" i="1"/>
  <c r="E29" i="1"/>
  <c r="J29" i="1"/>
  <c r="B29" i="1"/>
  <c r="A30" i="1"/>
  <c r="G10" i="1"/>
  <c r="F11" i="1"/>
  <c r="D28" i="1"/>
  <c r="C28" i="1"/>
  <c r="T29" i="1" l="1"/>
  <c r="S29" i="1"/>
  <c r="K9" i="1"/>
  <c r="R29" i="1"/>
  <c r="Q29" i="1"/>
  <c r="P29" i="1"/>
  <c r="O29" i="1"/>
  <c r="G11" i="1"/>
  <c r="F12" i="1"/>
  <c r="C29" i="1"/>
  <c r="D29" i="1"/>
  <c r="H10" i="1"/>
  <c r="I10" i="1"/>
  <c r="L10" i="1" s="1"/>
  <c r="J30" i="1"/>
  <c r="B30" i="1"/>
  <c r="A31" i="1"/>
  <c r="E30" i="1"/>
  <c r="T30" i="1" l="1"/>
  <c r="S30" i="1"/>
  <c r="K10" i="1"/>
  <c r="R30" i="1"/>
  <c r="Q30" i="1"/>
  <c r="G12" i="1"/>
  <c r="F13" i="1"/>
  <c r="D30" i="1"/>
  <c r="C30" i="1"/>
  <c r="E31" i="1"/>
  <c r="A32" i="1"/>
  <c r="B31" i="1"/>
  <c r="J31" i="1"/>
  <c r="H11" i="1"/>
  <c r="I11" i="1"/>
  <c r="L11" i="1" s="1"/>
  <c r="T31" i="1" l="1"/>
  <c r="S31" i="1"/>
  <c r="K11" i="1"/>
  <c r="R31" i="1"/>
  <c r="Q31" i="1"/>
  <c r="A33" i="1"/>
  <c r="J32" i="1"/>
  <c r="B32" i="1"/>
  <c r="E32" i="1"/>
  <c r="G13" i="1"/>
  <c r="F14" i="1"/>
  <c r="I12" i="1"/>
  <c r="L12" i="1" s="1"/>
  <c r="H12" i="1"/>
  <c r="C31" i="1"/>
  <c r="D31" i="1"/>
  <c r="T32" i="1" l="1"/>
  <c r="S32" i="1"/>
  <c r="K12" i="1"/>
  <c r="R32" i="1"/>
  <c r="Q32" i="1"/>
  <c r="G14" i="1"/>
  <c r="F15" i="1"/>
  <c r="H13" i="1"/>
  <c r="I13" i="1"/>
  <c r="L13" i="1" s="1"/>
  <c r="D32" i="1"/>
  <c r="C32" i="1"/>
  <c r="A34" i="1"/>
  <c r="E33" i="1"/>
  <c r="B33" i="1"/>
  <c r="J33" i="1"/>
  <c r="T33" i="1" l="1"/>
  <c r="S33" i="1"/>
  <c r="K13" i="1"/>
  <c r="R33" i="1"/>
  <c r="Q33" i="1"/>
  <c r="K33" i="1"/>
  <c r="L33" i="1"/>
  <c r="A35" i="1"/>
  <c r="J34" i="1"/>
  <c r="B34" i="1"/>
  <c r="E34" i="1"/>
  <c r="C33" i="1"/>
  <c r="D33" i="1"/>
  <c r="G15" i="1"/>
  <c r="F16" i="1"/>
  <c r="H14" i="1"/>
  <c r="I14" i="1"/>
  <c r="L14" i="1" s="1"/>
  <c r="T34" i="1" l="1"/>
  <c r="S34" i="1"/>
  <c r="K14" i="1"/>
  <c r="R34" i="1"/>
  <c r="Q34" i="1"/>
  <c r="L34" i="1"/>
  <c r="K34" i="1"/>
  <c r="E35" i="1"/>
  <c r="B35" i="1"/>
  <c r="A36" i="1"/>
  <c r="J35" i="1"/>
  <c r="G16" i="1"/>
  <c r="F17" i="1"/>
  <c r="D34" i="1"/>
  <c r="C34" i="1"/>
  <c r="I15" i="1"/>
  <c r="L15" i="1" s="1"/>
  <c r="H15" i="1"/>
  <c r="S35" i="1" l="1"/>
  <c r="T35" i="1"/>
  <c r="K15" i="1"/>
  <c r="Q35" i="1"/>
  <c r="R35" i="1"/>
  <c r="I16" i="1"/>
  <c r="H16" i="1"/>
  <c r="G17" i="1"/>
  <c r="F18" i="1"/>
  <c r="J36" i="1"/>
  <c r="B36" i="1"/>
  <c r="E36" i="1"/>
  <c r="A37" i="1"/>
  <c r="D35" i="1"/>
  <c r="C35" i="1"/>
  <c r="T36" i="1" l="1"/>
  <c r="S36" i="1"/>
  <c r="Q36" i="1"/>
  <c r="R36" i="1"/>
  <c r="K16" i="1"/>
  <c r="M16" i="1"/>
  <c r="L16" i="1"/>
  <c r="N16" i="1"/>
  <c r="D36" i="1"/>
  <c r="C36" i="1"/>
  <c r="G18" i="1"/>
  <c r="F19" i="1"/>
  <c r="J37" i="1"/>
  <c r="B37" i="1"/>
  <c r="E37" i="1"/>
  <c r="A38" i="1"/>
  <c r="H17" i="1"/>
  <c r="I17" i="1"/>
  <c r="T37" i="1" l="1"/>
  <c r="S37" i="1"/>
  <c r="R37" i="1"/>
  <c r="Q37" i="1"/>
  <c r="L17" i="1"/>
  <c r="N17" i="1"/>
  <c r="K17" i="1"/>
  <c r="M17" i="1"/>
  <c r="J38" i="1"/>
  <c r="B38" i="1"/>
  <c r="E38" i="1"/>
  <c r="A39" i="1"/>
  <c r="D37" i="1"/>
  <c r="C37" i="1"/>
  <c r="G19" i="1"/>
  <c r="F20" i="1"/>
  <c r="I18" i="1"/>
  <c r="H18" i="1"/>
  <c r="T38" i="1" l="1"/>
  <c r="S38" i="1"/>
  <c r="K18" i="1"/>
  <c r="M18" i="1"/>
  <c r="L18" i="1"/>
  <c r="N18" i="1"/>
  <c r="G20" i="1"/>
  <c r="F21" i="1"/>
  <c r="I19" i="1"/>
  <c r="H19" i="1"/>
  <c r="J39" i="1"/>
  <c r="B39" i="1"/>
  <c r="E39" i="1"/>
  <c r="A40" i="1"/>
  <c r="D38" i="1"/>
  <c r="C38" i="1"/>
  <c r="R39" i="1" l="1"/>
  <c r="Q39" i="1"/>
  <c r="L19" i="1"/>
  <c r="N19" i="1"/>
  <c r="K19" i="1"/>
  <c r="M19" i="1"/>
  <c r="O39" i="1"/>
  <c r="P39" i="1"/>
  <c r="G21" i="1"/>
  <c r="F22" i="1"/>
  <c r="H20" i="1"/>
  <c r="I20" i="1"/>
  <c r="J40" i="1"/>
  <c r="B40" i="1"/>
  <c r="E40" i="1"/>
  <c r="A41" i="1"/>
  <c r="D39" i="1"/>
  <c r="C39" i="1"/>
  <c r="T40" i="1" l="1"/>
  <c r="S40" i="1"/>
  <c r="R40" i="1"/>
  <c r="Q40" i="1"/>
  <c r="N20" i="1"/>
  <c r="L20" i="1"/>
  <c r="M20" i="1"/>
  <c r="K20" i="1"/>
  <c r="P40" i="1"/>
  <c r="O40" i="1"/>
  <c r="J41" i="1"/>
  <c r="B41" i="1"/>
  <c r="E41" i="1"/>
  <c r="A42" i="1"/>
  <c r="G22" i="1"/>
  <c r="F23" i="1"/>
  <c r="I21" i="1"/>
  <c r="H21" i="1"/>
  <c r="D40" i="1"/>
  <c r="C40" i="1"/>
  <c r="T41" i="1" l="1"/>
  <c r="S41" i="1"/>
  <c r="R41" i="1"/>
  <c r="Q41" i="1"/>
  <c r="M21" i="1"/>
  <c r="K21" i="1"/>
  <c r="N21" i="1"/>
  <c r="L21" i="1"/>
  <c r="P41" i="1"/>
  <c r="O41" i="1"/>
  <c r="G23" i="1"/>
  <c r="F24" i="1"/>
  <c r="H22" i="1"/>
  <c r="I22" i="1"/>
  <c r="J42" i="1"/>
  <c r="B42" i="1"/>
  <c r="E42" i="1"/>
  <c r="A43" i="1"/>
  <c r="D41" i="1"/>
  <c r="C41" i="1"/>
  <c r="T42" i="1" l="1"/>
  <c r="S42" i="1"/>
  <c r="M22" i="1"/>
  <c r="K22" i="1"/>
  <c r="N22" i="1"/>
  <c r="L22" i="1"/>
  <c r="R42" i="1"/>
  <c r="Q42" i="1"/>
  <c r="O42" i="1"/>
  <c r="P42" i="1"/>
  <c r="D42" i="1"/>
  <c r="C42" i="1"/>
  <c r="G24" i="1"/>
  <c r="F25" i="1"/>
  <c r="H23" i="1"/>
  <c r="I23" i="1"/>
  <c r="J43" i="1"/>
  <c r="B43" i="1"/>
  <c r="E43" i="1"/>
  <c r="A44" i="1"/>
  <c r="T43" i="1" l="1"/>
  <c r="S43" i="1"/>
  <c r="N23" i="1"/>
  <c r="L23" i="1"/>
  <c r="M23" i="1"/>
  <c r="K23" i="1"/>
  <c r="Q43" i="1"/>
  <c r="R43" i="1"/>
  <c r="O43" i="1"/>
  <c r="P43" i="1"/>
  <c r="D43" i="1"/>
  <c r="C43" i="1"/>
  <c r="J44" i="1"/>
  <c r="B44" i="1"/>
  <c r="E44" i="1"/>
  <c r="A45" i="1"/>
  <c r="G25" i="1"/>
  <c r="F26" i="1"/>
  <c r="I24" i="1"/>
  <c r="H24" i="1"/>
  <c r="T44" i="1" l="1"/>
  <c r="S44" i="1"/>
  <c r="M24" i="1"/>
  <c r="K24" i="1"/>
  <c r="N24" i="1"/>
  <c r="L24" i="1"/>
  <c r="Q44" i="1"/>
  <c r="R44" i="1"/>
  <c r="P44" i="1"/>
  <c r="O44" i="1"/>
  <c r="G26" i="1"/>
  <c r="F27" i="1"/>
  <c r="D44" i="1"/>
  <c r="C44" i="1"/>
  <c r="I25" i="1"/>
  <c r="H25" i="1"/>
  <c r="J45" i="1"/>
  <c r="B45" i="1"/>
  <c r="E45" i="1"/>
  <c r="A46" i="1"/>
  <c r="T45" i="1" l="1"/>
  <c r="S45" i="1"/>
  <c r="M25" i="1"/>
  <c r="K25" i="1"/>
  <c r="N25" i="1"/>
  <c r="L25" i="1"/>
  <c r="R45" i="1"/>
  <c r="Q45" i="1"/>
  <c r="P45" i="1"/>
  <c r="O45" i="1"/>
  <c r="G27" i="1"/>
  <c r="H27" i="1" s="1"/>
  <c r="F28" i="1"/>
  <c r="J46" i="1"/>
  <c r="B46" i="1"/>
  <c r="E46" i="1"/>
  <c r="A47" i="1"/>
  <c r="D45" i="1"/>
  <c r="C45" i="1"/>
  <c r="H26" i="1"/>
  <c r="I26" i="1"/>
  <c r="T46" i="1" l="1"/>
  <c r="S46" i="1"/>
  <c r="N26" i="1"/>
  <c r="L26" i="1"/>
  <c r="M27" i="1"/>
  <c r="K27" i="1"/>
  <c r="M26" i="1"/>
  <c r="K26" i="1"/>
  <c r="R46" i="1"/>
  <c r="Q46" i="1"/>
  <c r="I27" i="1"/>
  <c r="O46" i="1"/>
  <c r="P46" i="1"/>
  <c r="G28" i="1"/>
  <c r="F29" i="1"/>
  <c r="J47" i="1"/>
  <c r="B47" i="1"/>
  <c r="E47" i="1"/>
  <c r="A48" i="1"/>
  <c r="D46" i="1"/>
  <c r="C46" i="1"/>
  <c r="T47" i="1" l="1"/>
  <c r="S47" i="1"/>
  <c r="N27" i="1"/>
  <c r="L27" i="1"/>
  <c r="R47" i="1"/>
  <c r="Q47" i="1"/>
  <c r="O47" i="1"/>
  <c r="P47" i="1"/>
  <c r="G29" i="1"/>
  <c r="F30" i="1"/>
  <c r="H28" i="1"/>
  <c r="I28" i="1"/>
  <c r="J48" i="1"/>
  <c r="B48" i="1"/>
  <c r="E48" i="1"/>
  <c r="A49" i="1"/>
  <c r="D47" i="1"/>
  <c r="C47" i="1"/>
  <c r="T48" i="1" l="1"/>
  <c r="S48" i="1"/>
  <c r="N28" i="1"/>
  <c r="L28" i="1"/>
  <c r="M28" i="1"/>
  <c r="K28" i="1"/>
  <c r="R48" i="1"/>
  <c r="Q48" i="1"/>
  <c r="P48" i="1"/>
  <c r="O48" i="1"/>
  <c r="I29" i="1"/>
  <c r="H29" i="1"/>
  <c r="G30" i="1"/>
  <c r="F31" i="1"/>
  <c r="J49" i="1"/>
  <c r="B49" i="1"/>
  <c r="E49" i="1"/>
  <c r="A50" i="1"/>
  <c r="D48" i="1"/>
  <c r="C48" i="1"/>
  <c r="T49" i="1" l="1"/>
  <c r="S49" i="1"/>
  <c r="M29" i="1"/>
  <c r="K29" i="1"/>
  <c r="N29" i="1"/>
  <c r="L29" i="1"/>
  <c r="R49" i="1"/>
  <c r="Q49" i="1"/>
  <c r="P49" i="1"/>
  <c r="O49" i="1"/>
  <c r="G31" i="1"/>
  <c r="F32" i="1"/>
  <c r="H30" i="1"/>
  <c r="I30" i="1"/>
  <c r="L30" i="1" s="1"/>
  <c r="J50" i="1"/>
  <c r="B50" i="1"/>
  <c r="E50" i="1"/>
  <c r="A51" i="1"/>
  <c r="D49" i="1"/>
  <c r="C49" i="1"/>
  <c r="T50" i="1" l="1"/>
  <c r="S50" i="1"/>
  <c r="K30" i="1"/>
  <c r="R50" i="1"/>
  <c r="Q50" i="1"/>
  <c r="M30" i="1"/>
  <c r="O30" i="1"/>
  <c r="N30" i="1"/>
  <c r="P30" i="1"/>
  <c r="O50" i="1"/>
  <c r="P50" i="1"/>
  <c r="G32" i="1"/>
  <c r="F33" i="1"/>
  <c r="H31" i="1"/>
  <c r="I31" i="1"/>
  <c r="L31" i="1" s="1"/>
  <c r="D50" i="1"/>
  <c r="C50" i="1"/>
  <c r="J51" i="1"/>
  <c r="B51" i="1"/>
  <c r="E51" i="1"/>
  <c r="A52" i="1"/>
  <c r="S51" i="1" l="1"/>
  <c r="T51" i="1"/>
  <c r="K31" i="1"/>
  <c r="Q51" i="1"/>
  <c r="R51" i="1"/>
  <c r="M31" i="1"/>
  <c r="O31" i="1"/>
  <c r="N31" i="1"/>
  <c r="P31" i="1"/>
  <c r="O51" i="1"/>
  <c r="P51" i="1"/>
  <c r="I32" i="1"/>
  <c r="L32" i="1" s="1"/>
  <c r="H32" i="1"/>
  <c r="G33" i="1"/>
  <c r="F34" i="1"/>
  <c r="J52" i="1"/>
  <c r="B52" i="1"/>
  <c r="E52" i="1"/>
  <c r="A53" i="1"/>
  <c r="D51" i="1"/>
  <c r="C51" i="1"/>
  <c r="T52" i="1" l="1"/>
  <c r="S52" i="1"/>
  <c r="K32" i="1"/>
  <c r="Q52" i="1"/>
  <c r="R52" i="1"/>
  <c r="M32" i="1"/>
  <c r="O32" i="1"/>
  <c r="N32" i="1"/>
  <c r="P32" i="1"/>
  <c r="P52" i="1"/>
  <c r="O52" i="1"/>
  <c r="G34" i="1"/>
  <c r="F35" i="1"/>
  <c r="I33" i="1"/>
  <c r="H33" i="1"/>
  <c r="J53" i="1"/>
  <c r="B53" i="1"/>
  <c r="E53" i="1"/>
  <c r="A54" i="1"/>
  <c r="D52" i="1"/>
  <c r="C52" i="1"/>
  <c r="T53" i="1" l="1"/>
  <c r="S53" i="1"/>
  <c r="R53" i="1"/>
  <c r="Q53" i="1"/>
  <c r="N33" i="1"/>
  <c r="P33" i="1"/>
  <c r="M33" i="1"/>
  <c r="O33" i="1"/>
  <c r="P53" i="1"/>
  <c r="O53" i="1"/>
  <c r="G35" i="1"/>
  <c r="F36" i="1"/>
  <c r="I34" i="1"/>
  <c r="H34" i="1"/>
  <c r="J54" i="1"/>
  <c r="B54" i="1"/>
  <c r="A55" i="1"/>
  <c r="E54" i="1"/>
  <c r="D53" i="1"/>
  <c r="C53" i="1"/>
  <c r="T54" i="1" l="1"/>
  <c r="S54" i="1"/>
  <c r="R54" i="1"/>
  <c r="Q54" i="1"/>
  <c r="M34" i="1"/>
  <c r="O34" i="1"/>
  <c r="N34" i="1"/>
  <c r="P34" i="1"/>
  <c r="O54" i="1"/>
  <c r="P54" i="1"/>
  <c r="G36" i="1"/>
  <c r="F37" i="1"/>
  <c r="I35" i="1"/>
  <c r="P35" i="1" s="1"/>
  <c r="H35" i="1"/>
  <c r="J55" i="1"/>
  <c r="B55" i="1"/>
  <c r="A56" i="1"/>
  <c r="E55" i="1"/>
  <c r="D54" i="1"/>
  <c r="C54" i="1"/>
  <c r="T55" i="1" l="1"/>
  <c r="S55" i="1"/>
  <c r="O35" i="1"/>
  <c r="R55" i="1"/>
  <c r="Q55" i="1"/>
  <c r="N35" i="1"/>
  <c r="L35" i="1"/>
  <c r="M35" i="1"/>
  <c r="K35" i="1"/>
  <c r="O55" i="1"/>
  <c r="P55" i="1"/>
  <c r="G37" i="1"/>
  <c r="F38" i="1"/>
  <c r="I36" i="1"/>
  <c r="P36" i="1" s="1"/>
  <c r="H36" i="1"/>
  <c r="J56" i="1"/>
  <c r="B56" i="1"/>
  <c r="A57" i="1"/>
  <c r="E56" i="1"/>
  <c r="D55" i="1"/>
  <c r="C55" i="1"/>
  <c r="T56" i="1" l="1"/>
  <c r="S56" i="1"/>
  <c r="O36" i="1"/>
  <c r="R56" i="1"/>
  <c r="Q56" i="1"/>
  <c r="M36" i="1"/>
  <c r="K36" i="1"/>
  <c r="N36" i="1"/>
  <c r="L36" i="1"/>
  <c r="P56" i="1"/>
  <c r="O56" i="1"/>
  <c r="G38" i="1"/>
  <c r="F39" i="1"/>
  <c r="H37" i="1"/>
  <c r="I37" i="1"/>
  <c r="P37" i="1" s="1"/>
  <c r="D56" i="1"/>
  <c r="C56" i="1"/>
  <c r="J57" i="1"/>
  <c r="B57" i="1"/>
  <c r="A58" i="1"/>
  <c r="E57" i="1"/>
  <c r="T57" i="1" l="1"/>
  <c r="S57" i="1"/>
  <c r="O37" i="1"/>
  <c r="R57" i="1"/>
  <c r="Q57" i="1"/>
  <c r="N37" i="1"/>
  <c r="L37" i="1"/>
  <c r="M37" i="1"/>
  <c r="K37" i="1"/>
  <c r="P57" i="1"/>
  <c r="O57" i="1"/>
  <c r="G39" i="1"/>
  <c r="F40" i="1"/>
  <c r="I38" i="1"/>
  <c r="H38" i="1"/>
  <c r="Q38" i="1" s="1"/>
  <c r="J58" i="1"/>
  <c r="B58" i="1"/>
  <c r="A59" i="1"/>
  <c r="E58" i="1"/>
  <c r="D57" i="1"/>
  <c r="C57" i="1"/>
  <c r="T58" i="1" l="1"/>
  <c r="S58" i="1"/>
  <c r="N38" i="1"/>
  <c r="R38" i="1"/>
  <c r="M38" i="1"/>
  <c r="R58" i="1"/>
  <c r="Q58" i="1"/>
  <c r="O38" i="1"/>
  <c r="K38" i="1"/>
  <c r="P38" i="1"/>
  <c r="L38" i="1"/>
  <c r="O58" i="1"/>
  <c r="P58" i="1"/>
  <c r="G40" i="1"/>
  <c r="F41" i="1"/>
  <c r="H39" i="1"/>
  <c r="S39" i="1" s="1"/>
  <c r="I39" i="1"/>
  <c r="T39" i="1" s="1"/>
  <c r="D58" i="1"/>
  <c r="C58" i="1"/>
  <c r="J59" i="1"/>
  <c r="B59" i="1"/>
  <c r="A60" i="1"/>
  <c r="E59" i="1"/>
  <c r="S59" i="1" l="1"/>
  <c r="T59" i="1"/>
  <c r="Q59" i="1"/>
  <c r="R59" i="1"/>
  <c r="K39" i="1"/>
  <c r="M39" i="1"/>
  <c r="L39" i="1"/>
  <c r="N39" i="1"/>
  <c r="O59" i="1"/>
  <c r="P59" i="1"/>
  <c r="G41" i="1"/>
  <c r="F42" i="1"/>
  <c r="I40" i="1"/>
  <c r="H40" i="1"/>
  <c r="J60" i="1"/>
  <c r="B60" i="1"/>
  <c r="A61" i="1"/>
  <c r="E60" i="1"/>
  <c r="D59" i="1"/>
  <c r="C59" i="1"/>
  <c r="T60" i="1" l="1"/>
  <c r="S60" i="1"/>
  <c r="Q60" i="1"/>
  <c r="R60" i="1"/>
  <c r="K40" i="1"/>
  <c r="M40" i="1"/>
  <c r="L40" i="1"/>
  <c r="N40" i="1"/>
  <c r="P60" i="1"/>
  <c r="O60" i="1"/>
  <c r="G42" i="1"/>
  <c r="F43" i="1"/>
  <c r="I41" i="1"/>
  <c r="H41" i="1"/>
  <c r="J61" i="1"/>
  <c r="B61" i="1"/>
  <c r="A62" i="1"/>
  <c r="E61" i="1"/>
  <c r="D60" i="1"/>
  <c r="C60" i="1"/>
  <c r="T61" i="1" l="1"/>
  <c r="S61" i="1"/>
  <c r="R61" i="1"/>
  <c r="Q61" i="1"/>
  <c r="L41" i="1"/>
  <c r="N41" i="1"/>
  <c r="K41" i="1"/>
  <c r="M41" i="1"/>
  <c r="P61" i="1"/>
  <c r="O61" i="1"/>
  <c r="G43" i="1"/>
  <c r="I43" i="1" s="1"/>
  <c r="F44" i="1"/>
  <c r="H42" i="1"/>
  <c r="I42" i="1"/>
  <c r="J62" i="1"/>
  <c r="B62" i="1"/>
  <c r="A63" i="1"/>
  <c r="E62" i="1"/>
  <c r="D61" i="1"/>
  <c r="C61" i="1"/>
  <c r="T62" i="1" l="1"/>
  <c r="S62" i="1"/>
  <c r="H43" i="1"/>
  <c r="R62" i="1"/>
  <c r="Q62" i="1"/>
  <c r="L43" i="1"/>
  <c r="N43" i="1"/>
  <c r="L42" i="1"/>
  <c r="N42" i="1"/>
  <c r="K42" i="1"/>
  <c r="M42" i="1"/>
  <c r="K43" i="1"/>
  <c r="O62" i="1"/>
  <c r="P62" i="1"/>
  <c r="G44" i="1"/>
  <c r="F45" i="1"/>
  <c r="J63" i="1"/>
  <c r="B63" i="1"/>
  <c r="A64" i="1"/>
  <c r="E63" i="1"/>
  <c r="D62" i="1"/>
  <c r="C62" i="1"/>
  <c r="T63" i="1" l="1"/>
  <c r="S63" i="1"/>
  <c r="M43" i="1"/>
  <c r="R63" i="1"/>
  <c r="Q63" i="1"/>
  <c r="G45" i="1"/>
  <c r="F46" i="1"/>
  <c r="H44" i="1"/>
  <c r="I44" i="1"/>
  <c r="J64" i="1"/>
  <c r="B64" i="1"/>
  <c r="A65" i="1"/>
  <c r="E64" i="1"/>
  <c r="D63" i="1"/>
  <c r="C63" i="1"/>
  <c r="T64" i="1" l="1"/>
  <c r="S64" i="1"/>
  <c r="R64" i="1"/>
  <c r="Q64" i="1"/>
  <c r="L44" i="1"/>
  <c r="N44" i="1"/>
  <c r="K44" i="1"/>
  <c r="M44" i="1"/>
  <c r="G46" i="1"/>
  <c r="F47" i="1"/>
  <c r="I45" i="1"/>
  <c r="H45" i="1"/>
  <c r="J65" i="1"/>
  <c r="B65" i="1"/>
  <c r="A66" i="1"/>
  <c r="E65" i="1"/>
  <c r="D64" i="1"/>
  <c r="C64" i="1"/>
  <c r="T65" i="1" l="1"/>
  <c r="S65" i="1"/>
  <c r="R65" i="1"/>
  <c r="Q65" i="1"/>
  <c r="K45" i="1"/>
  <c r="M45" i="1"/>
  <c r="L45" i="1"/>
  <c r="N45" i="1"/>
  <c r="G47" i="1"/>
  <c r="F48" i="1"/>
  <c r="H46" i="1"/>
  <c r="I46" i="1"/>
  <c r="D65" i="1"/>
  <c r="C65" i="1"/>
  <c r="J66" i="1"/>
  <c r="B66" i="1"/>
  <c r="A67" i="1"/>
  <c r="E66" i="1"/>
  <c r="T66" i="1" l="1"/>
  <c r="S66" i="1"/>
  <c r="R66" i="1"/>
  <c r="Q66" i="1"/>
  <c r="L46" i="1"/>
  <c r="N46" i="1"/>
  <c r="K46" i="1"/>
  <c r="M46" i="1"/>
  <c r="G48" i="1"/>
  <c r="F49" i="1"/>
  <c r="H47" i="1"/>
  <c r="I47" i="1"/>
  <c r="J67" i="1"/>
  <c r="B67" i="1"/>
  <c r="A68" i="1"/>
  <c r="E67" i="1"/>
  <c r="D66" i="1"/>
  <c r="C66" i="1"/>
  <c r="S67" i="1" l="1"/>
  <c r="T67" i="1"/>
  <c r="Q67" i="1"/>
  <c r="R67" i="1"/>
  <c r="L47" i="1"/>
  <c r="N47" i="1"/>
  <c r="K47" i="1"/>
  <c r="M47" i="1"/>
  <c r="G49" i="1"/>
  <c r="F50" i="1"/>
  <c r="I48" i="1"/>
  <c r="H48" i="1"/>
  <c r="J68" i="1"/>
  <c r="B68" i="1"/>
  <c r="A69" i="1"/>
  <c r="E68" i="1"/>
  <c r="D67" i="1"/>
  <c r="C67" i="1"/>
  <c r="T68" i="1" l="1"/>
  <c r="S68" i="1"/>
  <c r="Q68" i="1"/>
  <c r="R68" i="1"/>
  <c r="K48" i="1"/>
  <c r="M48" i="1"/>
  <c r="L48" i="1"/>
  <c r="N48" i="1"/>
  <c r="P68" i="1"/>
  <c r="O68" i="1"/>
  <c r="G50" i="1"/>
  <c r="F51" i="1"/>
  <c r="H49" i="1"/>
  <c r="I49" i="1"/>
  <c r="D68" i="1"/>
  <c r="C68" i="1"/>
  <c r="B69" i="1"/>
  <c r="J69" i="1"/>
  <c r="A70" i="1"/>
  <c r="E69" i="1"/>
  <c r="T69" i="1" l="1"/>
  <c r="S69" i="1"/>
  <c r="R69" i="1"/>
  <c r="Q69" i="1"/>
  <c r="L49" i="1"/>
  <c r="N49" i="1"/>
  <c r="K49" i="1"/>
  <c r="M49" i="1"/>
  <c r="P69" i="1"/>
  <c r="O69" i="1"/>
  <c r="G51" i="1"/>
  <c r="F52" i="1"/>
  <c r="I50" i="1"/>
  <c r="H50" i="1"/>
  <c r="A71" i="1"/>
  <c r="E70" i="1"/>
  <c r="B70" i="1"/>
  <c r="J70" i="1"/>
  <c r="D69" i="1"/>
  <c r="C69" i="1"/>
  <c r="T70" i="1" l="1"/>
  <c r="S70" i="1"/>
  <c r="R70" i="1"/>
  <c r="Q70" i="1"/>
  <c r="K50" i="1"/>
  <c r="M50" i="1"/>
  <c r="L50" i="1"/>
  <c r="N50" i="1"/>
  <c r="O70" i="1"/>
  <c r="P70" i="1"/>
  <c r="G52" i="1"/>
  <c r="F53" i="1"/>
  <c r="H51" i="1"/>
  <c r="I51" i="1"/>
  <c r="D70" i="1"/>
  <c r="C70" i="1"/>
  <c r="B71" i="1"/>
  <c r="J71" i="1"/>
  <c r="A72" i="1"/>
  <c r="E71" i="1"/>
  <c r="T71" i="1" l="1"/>
  <c r="S71" i="1"/>
  <c r="R71" i="1"/>
  <c r="Q71" i="1"/>
  <c r="K51" i="1"/>
  <c r="M51" i="1"/>
  <c r="L51" i="1"/>
  <c r="N51" i="1"/>
  <c r="O71" i="1"/>
  <c r="P71" i="1"/>
  <c r="G53" i="1"/>
  <c r="F54" i="1"/>
  <c r="I52" i="1"/>
  <c r="H52" i="1"/>
  <c r="A73" i="1"/>
  <c r="E72" i="1"/>
  <c r="B72" i="1"/>
  <c r="J72" i="1"/>
  <c r="D71" i="1"/>
  <c r="C71" i="1"/>
  <c r="T72" i="1" l="1"/>
  <c r="S72" i="1"/>
  <c r="R72" i="1"/>
  <c r="Q72" i="1"/>
  <c r="K52" i="1"/>
  <c r="M52" i="1"/>
  <c r="L52" i="1"/>
  <c r="N52" i="1"/>
  <c r="P72" i="1"/>
  <c r="O72" i="1"/>
  <c r="G54" i="1"/>
  <c r="H54" i="1" s="1"/>
  <c r="F55" i="1"/>
  <c r="H53" i="1"/>
  <c r="I53" i="1"/>
  <c r="D72" i="1"/>
  <c r="C72" i="1"/>
  <c r="B73" i="1"/>
  <c r="J73" i="1"/>
  <c r="A74" i="1"/>
  <c r="E73" i="1"/>
  <c r="T73" i="1" l="1"/>
  <c r="S73" i="1"/>
  <c r="R73" i="1"/>
  <c r="Q73" i="1"/>
  <c r="I54" i="1"/>
  <c r="N54" i="1" s="1"/>
  <c r="L53" i="1"/>
  <c r="N53" i="1"/>
  <c r="K53" i="1"/>
  <c r="M53" i="1"/>
  <c r="K54" i="1"/>
  <c r="M54" i="1"/>
  <c r="P73" i="1"/>
  <c r="O73" i="1"/>
  <c r="G55" i="1"/>
  <c r="F56" i="1"/>
  <c r="A75" i="1"/>
  <c r="E74" i="1"/>
  <c r="B74" i="1"/>
  <c r="J74" i="1"/>
  <c r="D73" i="1"/>
  <c r="C73" i="1"/>
  <c r="T74" i="1" l="1"/>
  <c r="S74" i="1"/>
  <c r="L54" i="1"/>
  <c r="R74" i="1"/>
  <c r="Q74" i="1"/>
  <c r="G56" i="1"/>
  <c r="F57" i="1"/>
  <c r="H55" i="1"/>
  <c r="I55" i="1"/>
  <c r="D74" i="1"/>
  <c r="C74" i="1"/>
  <c r="B75" i="1"/>
  <c r="J75" i="1"/>
  <c r="A76" i="1"/>
  <c r="E75" i="1"/>
  <c r="T75" i="1" l="1"/>
  <c r="S75" i="1"/>
  <c r="Q75" i="1"/>
  <c r="R75" i="1"/>
  <c r="K55" i="1"/>
  <c r="M55" i="1"/>
  <c r="L55" i="1"/>
  <c r="N55" i="1"/>
  <c r="G57" i="1"/>
  <c r="F58" i="1"/>
  <c r="H56" i="1"/>
  <c r="I56" i="1"/>
  <c r="A77" i="1"/>
  <c r="E76" i="1"/>
  <c r="B76" i="1"/>
  <c r="J76" i="1"/>
  <c r="D75" i="1"/>
  <c r="C75" i="1"/>
  <c r="T76" i="1" l="1"/>
  <c r="S76" i="1"/>
  <c r="Q76" i="1"/>
  <c r="R76" i="1"/>
  <c r="L56" i="1"/>
  <c r="N56" i="1"/>
  <c r="K56" i="1"/>
  <c r="M56" i="1"/>
  <c r="G58" i="1"/>
  <c r="F59" i="1"/>
  <c r="H57" i="1"/>
  <c r="I57" i="1"/>
  <c r="B77" i="1"/>
  <c r="J77" i="1"/>
  <c r="A78" i="1"/>
  <c r="E77" i="1"/>
  <c r="D76" i="1"/>
  <c r="C76" i="1"/>
  <c r="T77" i="1" l="1"/>
  <c r="S77" i="1"/>
  <c r="R77" i="1"/>
  <c r="Q77" i="1"/>
  <c r="K57" i="1"/>
  <c r="M57" i="1"/>
  <c r="L57" i="1"/>
  <c r="N57" i="1"/>
  <c r="G59" i="1"/>
  <c r="F60" i="1"/>
  <c r="I58" i="1"/>
  <c r="H58" i="1"/>
  <c r="K58" i="1" s="1"/>
  <c r="D77" i="1"/>
  <c r="C77" i="1"/>
  <c r="A79" i="1"/>
  <c r="E78" i="1"/>
  <c r="B78" i="1"/>
  <c r="J78" i="1"/>
  <c r="T78" i="1" l="1"/>
  <c r="S78" i="1"/>
  <c r="N58" i="1"/>
  <c r="L58" i="1"/>
  <c r="M58" i="1"/>
  <c r="R78" i="1"/>
  <c r="Q78" i="1"/>
  <c r="G60" i="1"/>
  <c r="F61" i="1"/>
  <c r="H59" i="1"/>
  <c r="K59" i="1" s="1"/>
  <c r="I59" i="1"/>
  <c r="B79" i="1"/>
  <c r="J79" i="1"/>
  <c r="A80" i="1"/>
  <c r="E79" i="1"/>
  <c r="D78" i="1"/>
  <c r="C78" i="1"/>
  <c r="T79" i="1" l="1"/>
  <c r="S79" i="1"/>
  <c r="N59" i="1"/>
  <c r="L59" i="1"/>
  <c r="M59" i="1"/>
  <c r="O79" i="1"/>
  <c r="P79" i="1"/>
  <c r="G61" i="1"/>
  <c r="F62" i="1"/>
  <c r="H60" i="1"/>
  <c r="K60" i="1" s="1"/>
  <c r="I60" i="1"/>
  <c r="A81" i="1"/>
  <c r="E80" i="1"/>
  <c r="B80" i="1"/>
  <c r="J80" i="1"/>
  <c r="D79" i="1"/>
  <c r="C79" i="1"/>
  <c r="N60" i="1" l="1"/>
  <c r="L60" i="1"/>
  <c r="M60" i="1"/>
  <c r="R80" i="1"/>
  <c r="Q80" i="1"/>
  <c r="P80" i="1"/>
  <c r="O80" i="1"/>
  <c r="G62" i="1"/>
  <c r="F63" i="1"/>
  <c r="I61" i="1"/>
  <c r="H61" i="1"/>
  <c r="K61" i="1" s="1"/>
  <c r="D80" i="1"/>
  <c r="C80" i="1"/>
  <c r="B81" i="1"/>
  <c r="J81" i="1"/>
  <c r="A82" i="1"/>
  <c r="E81" i="1"/>
  <c r="T81" i="1" l="1"/>
  <c r="S81" i="1"/>
  <c r="N61" i="1"/>
  <c r="L61" i="1"/>
  <c r="M61" i="1"/>
  <c r="R81" i="1"/>
  <c r="Q81" i="1"/>
  <c r="P81" i="1"/>
  <c r="O81" i="1"/>
  <c r="G63" i="1"/>
  <c r="F64" i="1"/>
  <c r="I62" i="1"/>
  <c r="H62" i="1"/>
  <c r="K62" i="1" s="1"/>
  <c r="A83" i="1"/>
  <c r="E82" i="1"/>
  <c r="B82" i="1"/>
  <c r="J82" i="1"/>
  <c r="D81" i="1"/>
  <c r="F81" i="1" s="1"/>
  <c r="G81" i="1" s="1"/>
  <c r="C81" i="1"/>
  <c r="T82" i="1" l="1"/>
  <c r="S82" i="1"/>
  <c r="N62" i="1"/>
  <c r="L62" i="1"/>
  <c r="M62" i="1"/>
  <c r="R82" i="1"/>
  <c r="Q82" i="1"/>
  <c r="O82" i="1"/>
  <c r="P82" i="1"/>
  <c r="G64" i="1"/>
  <c r="F65" i="1"/>
  <c r="H63" i="1"/>
  <c r="I63" i="1"/>
  <c r="L63" i="1" s="1"/>
  <c r="B83" i="1"/>
  <c r="J83" i="1"/>
  <c r="A84" i="1"/>
  <c r="E83" i="1"/>
  <c r="H81" i="1"/>
  <c r="I81" i="1"/>
  <c r="D82" i="1"/>
  <c r="F82" i="1" s="1"/>
  <c r="G82" i="1" s="1"/>
  <c r="C82" i="1"/>
  <c r="T83" i="1" l="1"/>
  <c r="S83" i="1"/>
  <c r="K63" i="1"/>
  <c r="Q83" i="1"/>
  <c r="R83" i="1"/>
  <c r="L81" i="1"/>
  <c r="N81" i="1"/>
  <c r="K81" i="1"/>
  <c r="M81" i="1"/>
  <c r="M63" i="1"/>
  <c r="O63" i="1"/>
  <c r="N63" i="1"/>
  <c r="P63" i="1"/>
  <c r="O83" i="1"/>
  <c r="P83" i="1"/>
  <c r="G65" i="1"/>
  <c r="F66" i="1"/>
  <c r="I64" i="1"/>
  <c r="L64" i="1" s="1"/>
  <c r="H64" i="1"/>
  <c r="D83" i="1"/>
  <c r="F83" i="1" s="1"/>
  <c r="G83" i="1" s="1"/>
  <c r="C83" i="1"/>
  <c r="A85" i="1"/>
  <c r="E84" i="1"/>
  <c r="B84" i="1"/>
  <c r="J84" i="1"/>
  <c r="H82" i="1"/>
  <c r="I82" i="1"/>
  <c r="T84" i="1" l="1"/>
  <c r="S84" i="1"/>
  <c r="K64" i="1"/>
  <c r="Q84" i="1"/>
  <c r="R84" i="1"/>
  <c r="K82" i="1"/>
  <c r="M82" i="1"/>
  <c r="L82" i="1"/>
  <c r="N82" i="1"/>
  <c r="M64" i="1"/>
  <c r="O64" i="1"/>
  <c r="N64" i="1"/>
  <c r="P64" i="1"/>
  <c r="P84" i="1"/>
  <c r="O84" i="1"/>
  <c r="G66" i="1"/>
  <c r="F67" i="1"/>
  <c r="H65" i="1"/>
  <c r="I65" i="1"/>
  <c r="L65" i="1" s="1"/>
  <c r="B85" i="1"/>
  <c r="J85" i="1"/>
  <c r="A86" i="1"/>
  <c r="E85" i="1"/>
  <c r="D84" i="1"/>
  <c r="F84" i="1" s="1"/>
  <c r="G84" i="1" s="1"/>
  <c r="C84" i="1"/>
  <c r="H83" i="1"/>
  <c r="I83" i="1"/>
  <c r="T85" i="1" l="1"/>
  <c r="S85" i="1"/>
  <c r="K65" i="1"/>
  <c r="R85" i="1"/>
  <c r="Q85" i="1"/>
  <c r="L83" i="1"/>
  <c r="N83" i="1"/>
  <c r="K83" i="1"/>
  <c r="M83" i="1"/>
  <c r="N65" i="1"/>
  <c r="P65" i="1"/>
  <c r="M65" i="1"/>
  <c r="O65" i="1"/>
  <c r="P85" i="1"/>
  <c r="O85" i="1"/>
  <c r="G67" i="1"/>
  <c r="F68" i="1"/>
  <c r="H66" i="1"/>
  <c r="I66" i="1"/>
  <c r="L66" i="1" s="1"/>
  <c r="H84" i="1"/>
  <c r="I84" i="1"/>
  <c r="D85" i="1"/>
  <c r="F85" i="1" s="1"/>
  <c r="G85" i="1" s="1"/>
  <c r="C85" i="1"/>
  <c r="A87" i="1"/>
  <c r="E86" i="1"/>
  <c r="B86" i="1"/>
  <c r="J86" i="1"/>
  <c r="T86" i="1" l="1"/>
  <c r="S86" i="1"/>
  <c r="K66" i="1"/>
  <c r="R86" i="1"/>
  <c r="Q86" i="1"/>
  <c r="K84" i="1"/>
  <c r="M84" i="1"/>
  <c r="L84" i="1"/>
  <c r="N84" i="1"/>
  <c r="N66" i="1"/>
  <c r="P66" i="1"/>
  <c r="M66" i="1"/>
  <c r="O66" i="1"/>
  <c r="O86" i="1"/>
  <c r="P86" i="1"/>
  <c r="G68" i="1"/>
  <c r="F69" i="1"/>
  <c r="H67" i="1"/>
  <c r="I67" i="1"/>
  <c r="L67" i="1" s="1"/>
  <c r="H85" i="1"/>
  <c r="I85" i="1"/>
  <c r="B87" i="1"/>
  <c r="J87" i="1"/>
  <c r="A88" i="1"/>
  <c r="E87" i="1"/>
  <c r="D86" i="1"/>
  <c r="F86" i="1" s="1"/>
  <c r="G86" i="1" s="1"/>
  <c r="C86" i="1"/>
  <c r="T87" i="1" l="1"/>
  <c r="S87" i="1"/>
  <c r="K67" i="1"/>
  <c r="R87" i="1"/>
  <c r="Q87" i="1"/>
  <c r="M67" i="1"/>
  <c r="O67" i="1"/>
  <c r="N67" i="1"/>
  <c r="P67" i="1"/>
  <c r="L85" i="1"/>
  <c r="N85" i="1"/>
  <c r="K85" i="1"/>
  <c r="M85" i="1"/>
  <c r="O87" i="1"/>
  <c r="P87" i="1"/>
  <c r="G69" i="1"/>
  <c r="F70" i="1"/>
  <c r="H68" i="1"/>
  <c r="I68" i="1"/>
  <c r="H86" i="1"/>
  <c r="I86" i="1"/>
  <c r="A89" i="1"/>
  <c r="E88" i="1"/>
  <c r="B88" i="1"/>
  <c r="J88" i="1"/>
  <c r="D87" i="1"/>
  <c r="F87" i="1" s="1"/>
  <c r="G87" i="1" s="1"/>
  <c r="C87" i="1"/>
  <c r="T88" i="1" l="1"/>
  <c r="S88" i="1"/>
  <c r="R88" i="1"/>
  <c r="Q88" i="1"/>
  <c r="M68" i="1"/>
  <c r="K68" i="1"/>
  <c r="N68" i="1"/>
  <c r="L68" i="1"/>
  <c r="L86" i="1"/>
  <c r="N86" i="1"/>
  <c r="K86" i="1"/>
  <c r="M86" i="1"/>
  <c r="P88" i="1"/>
  <c r="O88" i="1"/>
  <c r="G70" i="1"/>
  <c r="F71" i="1"/>
  <c r="H69" i="1"/>
  <c r="I69" i="1"/>
  <c r="D88" i="1"/>
  <c r="F88" i="1" s="1"/>
  <c r="G88" i="1" s="1"/>
  <c r="C88" i="1"/>
  <c r="H87" i="1"/>
  <c r="I87" i="1"/>
  <c r="B89" i="1"/>
  <c r="J89" i="1"/>
  <c r="A90" i="1"/>
  <c r="E89" i="1"/>
  <c r="T89" i="1" l="1"/>
  <c r="S89" i="1"/>
  <c r="R89" i="1"/>
  <c r="Q89" i="1"/>
  <c r="N69" i="1"/>
  <c r="L69" i="1"/>
  <c r="M69" i="1"/>
  <c r="K69" i="1"/>
  <c r="K87" i="1"/>
  <c r="M87" i="1"/>
  <c r="L87" i="1"/>
  <c r="N87" i="1"/>
  <c r="P89" i="1"/>
  <c r="O89" i="1"/>
  <c r="G71" i="1"/>
  <c r="F72" i="1"/>
  <c r="I70" i="1"/>
  <c r="H70" i="1"/>
  <c r="H88" i="1"/>
  <c r="I88" i="1"/>
  <c r="A91" i="1"/>
  <c r="E90" i="1"/>
  <c r="B90" i="1"/>
  <c r="J90" i="1"/>
  <c r="D89" i="1"/>
  <c r="F89" i="1" s="1"/>
  <c r="G89" i="1" s="1"/>
  <c r="C89" i="1"/>
  <c r="T90" i="1" l="1"/>
  <c r="S90" i="1"/>
  <c r="R90" i="1"/>
  <c r="Q90" i="1"/>
  <c r="M70" i="1"/>
  <c r="K70" i="1"/>
  <c r="N70" i="1"/>
  <c r="L70" i="1"/>
  <c r="L88" i="1"/>
  <c r="N88" i="1"/>
  <c r="K88" i="1"/>
  <c r="M88" i="1"/>
  <c r="O90" i="1"/>
  <c r="P90" i="1"/>
  <c r="G72" i="1"/>
  <c r="F73" i="1"/>
  <c r="H71" i="1"/>
  <c r="I71" i="1"/>
  <c r="H89" i="1"/>
  <c r="I89" i="1"/>
  <c r="D90" i="1"/>
  <c r="F90" i="1" s="1"/>
  <c r="G90" i="1" s="1"/>
  <c r="C90" i="1"/>
  <c r="B91" i="1"/>
  <c r="J91" i="1"/>
  <c r="A92" i="1"/>
  <c r="E91" i="1"/>
  <c r="S91" i="1" l="1"/>
  <c r="T91" i="1"/>
  <c r="Q91" i="1"/>
  <c r="R91" i="1"/>
  <c r="M71" i="1"/>
  <c r="K71" i="1"/>
  <c r="N71" i="1"/>
  <c r="L71" i="1"/>
  <c r="L89" i="1"/>
  <c r="N89" i="1"/>
  <c r="K89" i="1"/>
  <c r="M89" i="1"/>
  <c r="O91" i="1"/>
  <c r="P91" i="1"/>
  <c r="G73" i="1"/>
  <c r="F74" i="1"/>
  <c r="H72" i="1"/>
  <c r="I72" i="1"/>
  <c r="A93" i="1"/>
  <c r="E92" i="1"/>
  <c r="B92" i="1"/>
  <c r="J92" i="1"/>
  <c r="H90" i="1"/>
  <c r="I90" i="1"/>
  <c r="D91" i="1"/>
  <c r="F91" i="1" s="1"/>
  <c r="G91" i="1" s="1"/>
  <c r="C91" i="1"/>
  <c r="T92" i="1" l="1"/>
  <c r="S92" i="1"/>
  <c r="Q92" i="1"/>
  <c r="R92" i="1"/>
  <c r="M72" i="1"/>
  <c r="K72" i="1"/>
  <c r="K90" i="1"/>
  <c r="M90" i="1"/>
  <c r="N72" i="1"/>
  <c r="L72" i="1"/>
  <c r="L90" i="1"/>
  <c r="N90" i="1"/>
  <c r="P92" i="1"/>
  <c r="O92" i="1"/>
  <c r="G74" i="1"/>
  <c r="F75" i="1"/>
  <c r="H73" i="1"/>
  <c r="I73" i="1"/>
  <c r="H91" i="1"/>
  <c r="I91" i="1"/>
  <c r="D92" i="1"/>
  <c r="F92" i="1" s="1"/>
  <c r="G92" i="1" s="1"/>
  <c r="C92" i="1"/>
  <c r="B93" i="1"/>
  <c r="J93" i="1"/>
  <c r="A94" i="1"/>
  <c r="E93" i="1"/>
  <c r="T93" i="1" l="1"/>
  <c r="S93" i="1"/>
  <c r="R93" i="1"/>
  <c r="Q93" i="1"/>
  <c r="M73" i="1"/>
  <c r="K73" i="1"/>
  <c r="N73" i="1"/>
  <c r="L73" i="1"/>
  <c r="L91" i="1"/>
  <c r="N91" i="1"/>
  <c r="K91" i="1"/>
  <c r="M91" i="1"/>
  <c r="P93" i="1"/>
  <c r="O93" i="1"/>
  <c r="G75" i="1"/>
  <c r="F76" i="1"/>
  <c r="H74" i="1"/>
  <c r="I74" i="1"/>
  <c r="P74" i="1" s="1"/>
  <c r="D93" i="1"/>
  <c r="F93" i="1" s="1"/>
  <c r="G93" i="1" s="1"/>
  <c r="C93" i="1"/>
  <c r="H92" i="1"/>
  <c r="I92" i="1"/>
  <c r="A95" i="1"/>
  <c r="E94" i="1"/>
  <c r="B94" i="1"/>
  <c r="J94" i="1"/>
  <c r="T94" i="1" l="1"/>
  <c r="S94" i="1"/>
  <c r="O74" i="1"/>
  <c r="R94" i="1"/>
  <c r="Q94" i="1"/>
  <c r="M74" i="1"/>
  <c r="K74" i="1"/>
  <c r="L92" i="1"/>
  <c r="N92" i="1"/>
  <c r="N74" i="1"/>
  <c r="L74" i="1"/>
  <c r="K92" i="1"/>
  <c r="M92" i="1"/>
  <c r="O94" i="1"/>
  <c r="P94" i="1"/>
  <c r="G76" i="1"/>
  <c r="F77" i="1"/>
  <c r="I75" i="1"/>
  <c r="P75" i="1" s="1"/>
  <c r="H75" i="1"/>
  <c r="D94" i="1"/>
  <c r="F94" i="1" s="1"/>
  <c r="G94" i="1" s="1"/>
  <c r="C94" i="1"/>
  <c r="B95" i="1"/>
  <c r="J95" i="1"/>
  <c r="A96" i="1"/>
  <c r="E95" i="1"/>
  <c r="H93" i="1"/>
  <c r="I93" i="1"/>
  <c r="T95" i="1" l="1"/>
  <c r="S95" i="1"/>
  <c r="O75" i="1"/>
  <c r="R95" i="1"/>
  <c r="Q95" i="1"/>
  <c r="M75" i="1"/>
  <c r="K75" i="1"/>
  <c r="K93" i="1"/>
  <c r="M93" i="1"/>
  <c r="L93" i="1"/>
  <c r="N93" i="1"/>
  <c r="N75" i="1"/>
  <c r="L75" i="1"/>
  <c r="O95" i="1"/>
  <c r="P95" i="1"/>
  <c r="G77" i="1"/>
  <c r="F78" i="1"/>
  <c r="I76" i="1"/>
  <c r="P76" i="1" s="1"/>
  <c r="H76" i="1"/>
  <c r="H94" i="1"/>
  <c r="I94" i="1"/>
  <c r="A97" i="1"/>
  <c r="E96" i="1"/>
  <c r="B96" i="1"/>
  <c r="J96" i="1"/>
  <c r="D95" i="1"/>
  <c r="F95" i="1" s="1"/>
  <c r="G95" i="1" s="1"/>
  <c r="C95" i="1"/>
  <c r="T96" i="1" l="1"/>
  <c r="S96" i="1"/>
  <c r="O76" i="1"/>
  <c r="R96" i="1"/>
  <c r="Q96" i="1"/>
  <c r="N76" i="1"/>
  <c r="L76" i="1"/>
  <c r="M76" i="1"/>
  <c r="K76" i="1"/>
  <c r="L94" i="1"/>
  <c r="N94" i="1"/>
  <c r="K94" i="1"/>
  <c r="M94" i="1"/>
  <c r="P96" i="1"/>
  <c r="O96" i="1"/>
  <c r="G78" i="1"/>
  <c r="F79" i="1"/>
  <c r="H77" i="1"/>
  <c r="I77" i="1"/>
  <c r="P77" i="1" s="1"/>
  <c r="H95" i="1"/>
  <c r="I95" i="1"/>
  <c r="D96" i="1"/>
  <c r="F96" i="1" s="1"/>
  <c r="G96" i="1" s="1"/>
  <c r="C96" i="1"/>
  <c r="B97" i="1"/>
  <c r="J97" i="1"/>
  <c r="A98" i="1"/>
  <c r="E97" i="1"/>
  <c r="T97" i="1" l="1"/>
  <c r="S97" i="1"/>
  <c r="O77" i="1"/>
  <c r="R97" i="1"/>
  <c r="Q97" i="1"/>
  <c r="L77" i="1"/>
  <c r="N77" i="1"/>
  <c r="K77" i="1"/>
  <c r="M77" i="1"/>
  <c r="L95" i="1"/>
  <c r="N95" i="1"/>
  <c r="K95" i="1"/>
  <c r="M95" i="1"/>
  <c r="P97" i="1"/>
  <c r="O97" i="1"/>
  <c r="G79" i="1"/>
  <c r="F80" i="1"/>
  <c r="G80" i="1" s="1"/>
  <c r="H78" i="1"/>
  <c r="I78" i="1"/>
  <c r="P78" i="1" s="1"/>
  <c r="A99" i="1"/>
  <c r="E98" i="1"/>
  <c r="B98" i="1"/>
  <c r="J98" i="1"/>
  <c r="H96" i="1"/>
  <c r="I96" i="1"/>
  <c r="D97" i="1"/>
  <c r="F97" i="1" s="1"/>
  <c r="G97" i="1" s="1"/>
  <c r="C97" i="1"/>
  <c r="T98" i="1" l="1"/>
  <c r="S98" i="1"/>
  <c r="O78" i="1"/>
  <c r="R98" i="1"/>
  <c r="Q98" i="1"/>
  <c r="L78" i="1"/>
  <c r="N78" i="1"/>
  <c r="K78" i="1"/>
  <c r="M78" i="1"/>
  <c r="L96" i="1"/>
  <c r="N96" i="1"/>
  <c r="K96" i="1"/>
  <c r="M96" i="1"/>
  <c r="O98" i="1"/>
  <c r="P98" i="1"/>
  <c r="I80" i="1"/>
  <c r="T80" i="1" s="1"/>
  <c r="H80" i="1"/>
  <c r="S80" i="1" s="1"/>
  <c r="I79" i="1"/>
  <c r="H79" i="1"/>
  <c r="H97" i="1"/>
  <c r="I97" i="1"/>
  <c r="J99" i="1"/>
  <c r="B99" i="1"/>
  <c r="A100" i="1"/>
  <c r="E99" i="1"/>
  <c r="D98" i="1"/>
  <c r="F98" i="1" s="1"/>
  <c r="G98" i="1" s="1"/>
  <c r="C98" i="1"/>
  <c r="T99" i="1" l="1"/>
  <c r="S99" i="1"/>
  <c r="Q79" i="1"/>
  <c r="R79" i="1"/>
  <c r="Q99" i="1"/>
  <c r="R99" i="1"/>
  <c r="K79" i="1"/>
  <c r="M79" i="1"/>
  <c r="L79" i="1"/>
  <c r="N79" i="1"/>
  <c r="K80" i="1"/>
  <c r="M80" i="1"/>
  <c r="L80" i="1"/>
  <c r="N80" i="1"/>
  <c r="L97" i="1"/>
  <c r="N97" i="1"/>
  <c r="K97" i="1"/>
  <c r="M97" i="1"/>
  <c r="O99" i="1"/>
  <c r="P99" i="1"/>
  <c r="H98" i="1"/>
  <c r="K98" i="1" s="1"/>
  <c r="I98" i="1"/>
  <c r="J100" i="1"/>
  <c r="B100" i="1"/>
  <c r="E100" i="1"/>
  <c r="A101" i="1"/>
  <c r="C99" i="1"/>
  <c r="D99" i="1"/>
  <c r="F99" i="1" s="1"/>
  <c r="G99" i="1" s="1"/>
  <c r="T100" i="1" l="1"/>
  <c r="S100" i="1"/>
  <c r="N98" i="1"/>
  <c r="L98" i="1"/>
  <c r="M98" i="1"/>
  <c r="Q100" i="1"/>
  <c r="R100" i="1"/>
  <c r="H99" i="1"/>
  <c r="K99" i="1" s="1"/>
  <c r="I99" i="1"/>
  <c r="J101" i="1"/>
  <c r="B101" i="1"/>
  <c r="E101" i="1"/>
  <c r="A102" i="1"/>
  <c r="D100" i="1"/>
  <c r="F100" i="1" s="1"/>
  <c r="G100" i="1" s="1"/>
  <c r="C100" i="1"/>
  <c r="T101" i="1" l="1"/>
  <c r="S101" i="1"/>
  <c r="N99" i="1"/>
  <c r="L99" i="1"/>
  <c r="M99" i="1"/>
  <c r="R101" i="1"/>
  <c r="Q101" i="1"/>
  <c r="J102" i="1"/>
  <c r="B102" i="1"/>
  <c r="A103" i="1"/>
  <c r="E102" i="1"/>
  <c r="H100" i="1"/>
  <c r="I100" i="1"/>
  <c r="L100" i="1" s="1"/>
  <c r="D101" i="1"/>
  <c r="F101" i="1" s="1"/>
  <c r="G101" i="1" s="1"/>
  <c r="C101" i="1"/>
  <c r="T102" i="1" l="1"/>
  <c r="S102" i="1"/>
  <c r="K100" i="1"/>
  <c r="R102" i="1"/>
  <c r="Q102" i="1"/>
  <c r="N100" i="1"/>
  <c r="P100" i="1"/>
  <c r="M100" i="1"/>
  <c r="O100" i="1"/>
  <c r="J103" i="1"/>
  <c r="B103" i="1"/>
  <c r="A104" i="1"/>
  <c r="E103" i="1"/>
  <c r="D102" i="1"/>
  <c r="F102" i="1" s="1"/>
  <c r="G102" i="1" s="1"/>
  <c r="C102" i="1"/>
  <c r="H101" i="1"/>
  <c r="I101" i="1"/>
  <c r="L101" i="1" s="1"/>
  <c r="T103" i="1" l="1"/>
  <c r="S103" i="1"/>
  <c r="K101" i="1"/>
  <c r="R103" i="1"/>
  <c r="Q103" i="1"/>
  <c r="N101" i="1"/>
  <c r="P101" i="1"/>
  <c r="M101" i="1"/>
  <c r="O101" i="1"/>
  <c r="J104" i="1"/>
  <c r="B104" i="1"/>
  <c r="E104" i="1"/>
  <c r="A105" i="1"/>
  <c r="D103" i="1"/>
  <c r="F103" i="1" s="1"/>
  <c r="G103" i="1" s="1"/>
  <c r="C103" i="1"/>
  <c r="H102" i="1"/>
  <c r="I102" i="1"/>
  <c r="L102" i="1" s="1"/>
  <c r="T104" i="1" l="1"/>
  <c r="S104" i="1"/>
  <c r="K102" i="1"/>
  <c r="R104" i="1"/>
  <c r="Q104" i="1"/>
  <c r="N102" i="1"/>
  <c r="P102" i="1"/>
  <c r="M102" i="1"/>
  <c r="O102" i="1"/>
  <c r="H103" i="1"/>
  <c r="I103" i="1"/>
  <c r="L103" i="1" s="1"/>
  <c r="D104" i="1"/>
  <c r="F104" i="1" s="1"/>
  <c r="G104" i="1" s="1"/>
  <c r="C104" i="1"/>
  <c r="J105" i="1"/>
  <c r="B105" i="1"/>
  <c r="E105" i="1"/>
  <c r="A106" i="1"/>
  <c r="T105" i="1" l="1"/>
  <c r="S105" i="1"/>
  <c r="K103" i="1"/>
  <c r="R105" i="1"/>
  <c r="Q105" i="1"/>
  <c r="N103" i="1"/>
  <c r="P103" i="1"/>
  <c r="M103" i="1"/>
  <c r="O103" i="1"/>
  <c r="P105" i="1"/>
  <c r="O105" i="1"/>
  <c r="D105" i="1"/>
  <c r="F105" i="1" s="1"/>
  <c r="G105" i="1" s="1"/>
  <c r="C105" i="1"/>
  <c r="J106" i="1"/>
  <c r="B106" i="1"/>
  <c r="A107" i="1"/>
  <c r="E106" i="1"/>
  <c r="H104" i="1"/>
  <c r="I104" i="1"/>
  <c r="L104" i="1" s="1"/>
  <c r="T106" i="1" l="1"/>
  <c r="S106" i="1"/>
  <c r="K104" i="1"/>
  <c r="R106" i="1"/>
  <c r="Q106" i="1"/>
  <c r="N104" i="1"/>
  <c r="P104" i="1"/>
  <c r="M104" i="1"/>
  <c r="O104" i="1"/>
  <c r="O106" i="1"/>
  <c r="P106" i="1"/>
  <c r="D106" i="1"/>
  <c r="F106" i="1" s="1"/>
  <c r="G106" i="1" s="1"/>
  <c r="C106" i="1"/>
  <c r="H105" i="1"/>
  <c r="I105" i="1"/>
  <c r="J107" i="1"/>
  <c r="B107" i="1"/>
  <c r="A108" i="1"/>
  <c r="E107" i="1"/>
  <c r="S107" i="1" l="1"/>
  <c r="T107" i="1"/>
  <c r="Q107" i="1"/>
  <c r="R107" i="1"/>
  <c r="M105" i="1"/>
  <c r="K105" i="1"/>
  <c r="N105" i="1"/>
  <c r="L105" i="1"/>
  <c r="O107" i="1"/>
  <c r="P107" i="1"/>
  <c r="J108" i="1"/>
  <c r="B108" i="1"/>
  <c r="E108" i="1"/>
  <c r="A109" i="1"/>
  <c r="H106" i="1"/>
  <c r="I106" i="1"/>
  <c r="D107" i="1"/>
  <c r="F107" i="1" s="1"/>
  <c r="G107" i="1" s="1"/>
  <c r="C107" i="1"/>
  <c r="T108" i="1" l="1"/>
  <c r="S108" i="1"/>
  <c r="Q108" i="1"/>
  <c r="R108" i="1"/>
  <c r="N106" i="1"/>
  <c r="L106" i="1"/>
  <c r="M106" i="1"/>
  <c r="K106" i="1"/>
  <c r="P108" i="1"/>
  <c r="O108" i="1"/>
  <c r="H107" i="1"/>
  <c r="I107" i="1"/>
  <c r="D108" i="1"/>
  <c r="F108" i="1" s="1"/>
  <c r="G108" i="1" s="1"/>
  <c r="C108" i="1"/>
  <c r="J109" i="1"/>
  <c r="B109" i="1"/>
  <c r="E109" i="1"/>
  <c r="A110" i="1"/>
  <c r="T109" i="1" l="1"/>
  <c r="S109" i="1"/>
  <c r="R109" i="1"/>
  <c r="Q109" i="1"/>
  <c r="N107" i="1"/>
  <c r="L107" i="1"/>
  <c r="M107" i="1"/>
  <c r="K107" i="1"/>
  <c r="P109" i="1"/>
  <c r="O109" i="1"/>
  <c r="J110" i="1"/>
  <c r="B110" i="1"/>
  <c r="A111" i="1"/>
  <c r="E110" i="1"/>
  <c r="D109" i="1"/>
  <c r="F109" i="1" s="1"/>
  <c r="G109" i="1" s="1"/>
  <c r="C109" i="1"/>
  <c r="H108" i="1"/>
  <c r="I108" i="1"/>
  <c r="T110" i="1" l="1"/>
  <c r="S110" i="1"/>
  <c r="R110" i="1"/>
  <c r="Q110" i="1"/>
  <c r="N108" i="1"/>
  <c r="L108" i="1"/>
  <c r="M108" i="1"/>
  <c r="K108" i="1"/>
  <c r="O110" i="1"/>
  <c r="P110" i="1"/>
  <c r="J111" i="1"/>
  <c r="B111" i="1"/>
  <c r="A112" i="1"/>
  <c r="E111" i="1"/>
  <c r="H109" i="1"/>
  <c r="I109" i="1"/>
  <c r="D110" i="1"/>
  <c r="F110" i="1" s="1"/>
  <c r="G110" i="1" s="1"/>
  <c r="C110" i="1"/>
  <c r="T111" i="1" l="1"/>
  <c r="S111" i="1"/>
  <c r="R111" i="1"/>
  <c r="Q111" i="1"/>
  <c r="N109" i="1"/>
  <c r="L109" i="1"/>
  <c r="M109" i="1"/>
  <c r="K109" i="1"/>
  <c r="O111" i="1"/>
  <c r="P111" i="1"/>
  <c r="J112" i="1"/>
  <c r="B112" i="1"/>
  <c r="E112" i="1"/>
  <c r="A113" i="1"/>
  <c r="H110" i="1"/>
  <c r="I110" i="1"/>
  <c r="D111" i="1"/>
  <c r="F111" i="1" s="1"/>
  <c r="G111" i="1" s="1"/>
  <c r="C111" i="1"/>
  <c r="T112" i="1" l="1"/>
  <c r="S112" i="1"/>
  <c r="R112" i="1"/>
  <c r="Q112" i="1"/>
  <c r="M110" i="1"/>
  <c r="K110" i="1"/>
  <c r="N110" i="1"/>
  <c r="L110" i="1"/>
  <c r="P112" i="1"/>
  <c r="O112" i="1"/>
  <c r="D112" i="1"/>
  <c r="F112" i="1" s="1"/>
  <c r="G112" i="1" s="1"/>
  <c r="C112" i="1"/>
  <c r="J113" i="1"/>
  <c r="B113" i="1"/>
  <c r="E113" i="1"/>
  <c r="A114" i="1"/>
  <c r="H111" i="1"/>
  <c r="I111" i="1"/>
  <c r="T113" i="1" l="1"/>
  <c r="S113" i="1"/>
  <c r="R113" i="1"/>
  <c r="Q113" i="1"/>
  <c r="N111" i="1"/>
  <c r="L111" i="1"/>
  <c r="M111" i="1"/>
  <c r="K111" i="1"/>
  <c r="P113" i="1"/>
  <c r="O113" i="1"/>
  <c r="J114" i="1"/>
  <c r="B114" i="1"/>
  <c r="A115" i="1"/>
  <c r="E114" i="1"/>
  <c r="D113" i="1"/>
  <c r="F113" i="1" s="1"/>
  <c r="G113" i="1" s="1"/>
  <c r="C113" i="1"/>
  <c r="H112" i="1"/>
  <c r="I112" i="1"/>
  <c r="T114" i="1" l="1"/>
  <c r="S114" i="1"/>
  <c r="R114" i="1"/>
  <c r="Q114" i="1"/>
  <c r="N112" i="1"/>
  <c r="L112" i="1"/>
  <c r="M112" i="1"/>
  <c r="K112" i="1"/>
  <c r="O114" i="1"/>
  <c r="P114" i="1"/>
  <c r="H113" i="1"/>
  <c r="I113" i="1"/>
  <c r="J115" i="1"/>
  <c r="B115" i="1"/>
  <c r="A116" i="1"/>
  <c r="E115" i="1"/>
  <c r="D114" i="1"/>
  <c r="F114" i="1" s="1"/>
  <c r="G114" i="1" s="1"/>
  <c r="C114" i="1"/>
  <c r="T115" i="1" l="1"/>
  <c r="S115" i="1"/>
  <c r="Q115" i="1"/>
  <c r="R115" i="1"/>
  <c r="N113" i="1"/>
  <c r="L113" i="1"/>
  <c r="M113" i="1"/>
  <c r="K113" i="1"/>
  <c r="O115" i="1"/>
  <c r="P115" i="1"/>
  <c r="D115" i="1"/>
  <c r="F115" i="1" s="1"/>
  <c r="G115" i="1" s="1"/>
  <c r="C115" i="1"/>
  <c r="J116" i="1"/>
  <c r="B116" i="1"/>
  <c r="E116" i="1"/>
  <c r="A117" i="1"/>
  <c r="H114" i="1"/>
  <c r="I114" i="1"/>
  <c r="T116" i="1" l="1"/>
  <c r="S116" i="1"/>
  <c r="Q116" i="1"/>
  <c r="R116" i="1"/>
  <c r="N114" i="1"/>
  <c r="L114" i="1"/>
  <c r="M114" i="1"/>
  <c r="K114" i="1"/>
  <c r="P116" i="1"/>
  <c r="O116" i="1"/>
  <c r="D116" i="1"/>
  <c r="F116" i="1" s="1"/>
  <c r="G116" i="1" s="1"/>
  <c r="C116" i="1"/>
  <c r="J117" i="1"/>
  <c r="B117" i="1"/>
  <c r="E117" i="1"/>
  <c r="A118" i="1"/>
  <c r="H115" i="1"/>
  <c r="I115" i="1"/>
  <c r="T117" i="1" l="1"/>
  <c r="S117" i="1"/>
  <c r="R117" i="1"/>
  <c r="Q117" i="1"/>
  <c r="M115" i="1"/>
  <c r="K115" i="1"/>
  <c r="N115" i="1"/>
  <c r="L115" i="1"/>
  <c r="P117" i="1"/>
  <c r="O117" i="1"/>
  <c r="D117" i="1"/>
  <c r="F117" i="1" s="1"/>
  <c r="G117" i="1" s="1"/>
  <c r="C117" i="1"/>
  <c r="J118" i="1"/>
  <c r="B118" i="1"/>
  <c r="A119" i="1"/>
  <c r="E118" i="1"/>
  <c r="H116" i="1"/>
  <c r="I116" i="1"/>
  <c r="T118" i="1" l="1"/>
  <c r="S118" i="1"/>
  <c r="R118" i="1"/>
  <c r="Q118" i="1"/>
  <c r="N116" i="1"/>
  <c r="L116" i="1"/>
  <c r="M116" i="1"/>
  <c r="K116" i="1"/>
  <c r="O118" i="1"/>
  <c r="P118" i="1"/>
  <c r="J119" i="1"/>
  <c r="B119" i="1"/>
  <c r="A120" i="1"/>
  <c r="E119" i="1"/>
  <c r="D118" i="1"/>
  <c r="F118" i="1" s="1"/>
  <c r="G118" i="1" s="1"/>
  <c r="C118" i="1"/>
  <c r="H117" i="1"/>
  <c r="I117" i="1"/>
  <c r="T119" i="1" l="1"/>
  <c r="S119" i="1"/>
  <c r="R119" i="1"/>
  <c r="Q119" i="1"/>
  <c r="N117" i="1"/>
  <c r="L117" i="1"/>
  <c r="M117" i="1"/>
  <c r="K117" i="1"/>
  <c r="J120" i="1"/>
  <c r="B120" i="1"/>
  <c r="E120" i="1"/>
  <c r="A121" i="1"/>
  <c r="D119" i="1"/>
  <c r="F119" i="1" s="1"/>
  <c r="G119" i="1" s="1"/>
  <c r="C119" i="1"/>
  <c r="H118" i="1"/>
  <c r="I118" i="1"/>
  <c r="T120" i="1" l="1"/>
  <c r="S120" i="1"/>
  <c r="R120" i="1"/>
  <c r="Q120" i="1"/>
  <c r="M118" i="1"/>
  <c r="K118" i="1"/>
  <c r="N118" i="1"/>
  <c r="L118" i="1"/>
  <c r="D120" i="1"/>
  <c r="F120" i="1" s="1"/>
  <c r="G120" i="1" s="1"/>
  <c r="C120" i="1"/>
  <c r="H119" i="1"/>
  <c r="I119" i="1"/>
  <c r="P119" i="1" s="1"/>
  <c r="J121" i="1"/>
  <c r="B121" i="1"/>
  <c r="E121" i="1"/>
  <c r="A122" i="1"/>
  <c r="T121" i="1" l="1"/>
  <c r="S121" i="1"/>
  <c r="O119" i="1"/>
  <c r="R121" i="1"/>
  <c r="Q121" i="1"/>
  <c r="L119" i="1"/>
  <c r="N119" i="1"/>
  <c r="K119" i="1"/>
  <c r="M119" i="1"/>
  <c r="H120" i="1"/>
  <c r="I120" i="1"/>
  <c r="P120" i="1" s="1"/>
  <c r="J122" i="1"/>
  <c r="B122" i="1"/>
  <c r="A123" i="1"/>
  <c r="E122" i="1"/>
  <c r="D121" i="1"/>
  <c r="F121" i="1" s="1"/>
  <c r="G121" i="1" s="1"/>
  <c r="C121" i="1"/>
  <c r="T122" i="1" l="1"/>
  <c r="S122" i="1"/>
  <c r="O120" i="1"/>
  <c r="R122" i="1"/>
  <c r="Q122" i="1"/>
  <c r="L120" i="1"/>
  <c r="N120" i="1"/>
  <c r="K120" i="1"/>
  <c r="M120" i="1"/>
  <c r="H121" i="1"/>
  <c r="I121" i="1"/>
  <c r="P121" i="1" s="1"/>
  <c r="J123" i="1"/>
  <c r="B123" i="1"/>
  <c r="A124" i="1"/>
  <c r="E123" i="1"/>
  <c r="D122" i="1"/>
  <c r="F122" i="1" s="1"/>
  <c r="G122" i="1" s="1"/>
  <c r="C122" i="1"/>
  <c r="T123" i="1" l="1"/>
  <c r="S123" i="1"/>
  <c r="O121" i="1"/>
  <c r="Q123" i="1"/>
  <c r="R123" i="1"/>
  <c r="L121" i="1"/>
  <c r="N121" i="1"/>
  <c r="K121" i="1"/>
  <c r="M121" i="1"/>
  <c r="D123" i="1"/>
  <c r="F123" i="1" s="1"/>
  <c r="G123" i="1" s="1"/>
  <c r="C123" i="1"/>
  <c r="J124" i="1"/>
  <c r="B124" i="1"/>
  <c r="E124" i="1"/>
  <c r="A125" i="1"/>
  <c r="H122" i="1"/>
  <c r="I122" i="1"/>
  <c r="P122" i="1" s="1"/>
  <c r="T124" i="1" l="1"/>
  <c r="S124" i="1"/>
  <c r="O122" i="1"/>
  <c r="K122" i="1"/>
  <c r="M122" i="1"/>
  <c r="L122" i="1"/>
  <c r="N122" i="1"/>
  <c r="O124" i="1"/>
  <c r="P124" i="1"/>
  <c r="J125" i="1"/>
  <c r="B125" i="1"/>
  <c r="E125" i="1"/>
  <c r="A126" i="1"/>
  <c r="D124" i="1"/>
  <c r="F124" i="1" s="1"/>
  <c r="G124" i="1" s="1"/>
  <c r="C124" i="1"/>
  <c r="H123" i="1"/>
  <c r="I123" i="1"/>
  <c r="P123" i="1" s="1"/>
  <c r="O123" i="1" l="1"/>
  <c r="R125" i="1"/>
  <c r="Q125" i="1"/>
  <c r="L123" i="1"/>
  <c r="N123" i="1"/>
  <c r="K123" i="1"/>
  <c r="M123" i="1"/>
  <c r="O125" i="1"/>
  <c r="P125" i="1"/>
  <c r="H124" i="1"/>
  <c r="I124" i="1"/>
  <c r="J126" i="1"/>
  <c r="B126" i="1"/>
  <c r="A127" i="1"/>
  <c r="E126" i="1"/>
  <c r="D125" i="1"/>
  <c r="F125" i="1" s="1"/>
  <c r="G125" i="1" s="1"/>
  <c r="C125" i="1"/>
  <c r="T126" i="1" l="1"/>
  <c r="S126" i="1"/>
  <c r="R124" i="1"/>
  <c r="Q124" i="1"/>
  <c r="R126" i="1"/>
  <c r="Q126" i="1"/>
  <c r="K124" i="1"/>
  <c r="M124" i="1"/>
  <c r="L124" i="1"/>
  <c r="N124" i="1"/>
  <c r="O126" i="1"/>
  <c r="P126" i="1"/>
  <c r="J127" i="1"/>
  <c r="B127" i="1"/>
  <c r="A128" i="1"/>
  <c r="E127" i="1"/>
  <c r="D126" i="1"/>
  <c r="F126" i="1" s="1"/>
  <c r="G126" i="1" s="1"/>
  <c r="C126" i="1"/>
  <c r="H125" i="1"/>
  <c r="S125" i="1" s="1"/>
  <c r="I125" i="1"/>
  <c r="T125" i="1" s="1"/>
  <c r="T127" i="1" l="1"/>
  <c r="S127" i="1"/>
  <c r="R127" i="1"/>
  <c r="Q127" i="1"/>
  <c r="L125" i="1"/>
  <c r="N125" i="1"/>
  <c r="K125" i="1"/>
  <c r="M125" i="1"/>
  <c r="O127" i="1"/>
  <c r="P127" i="1"/>
  <c r="J128" i="1"/>
  <c r="B128" i="1"/>
  <c r="E128" i="1"/>
  <c r="A129" i="1"/>
  <c r="H126" i="1"/>
  <c r="I126" i="1"/>
  <c r="D127" i="1"/>
  <c r="F127" i="1" s="1"/>
  <c r="G127" i="1" s="1"/>
  <c r="C127" i="1"/>
  <c r="T128" i="1" l="1"/>
  <c r="S128" i="1"/>
  <c r="R128" i="1"/>
  <c r="Q128" i="1"/>
  <c r="L126" i="1"/>
  <c r="N126" i="1"/>
  <c r="K126" i="1"/>
  <c r="M126" i="1"/>
  <c r="O128" i="1"/>
  <c r="P128" i="1"/>
  <c r="D128" i="1"/>
  <c r="F128" i="1" s="1"/>
  <c r="G128" i="1" s="1"/>
  <c r="C128" i="1"/>
  <c r="J129" i="1"/>
  <c r="B129" i="1"/>
  <c r="E129" i="1"/>
  <c r="A130" i="1"/>
  <c r="H127" i="1"/>
  <c r="I127" i="1"/>
  <c r="T129" i="1" l="1"/>
  <c r="S129" i="1"/>
  <c r="R129" i="1"/>
  <c r="Q129" i="1"/>
  <c r="L127" i="1"/>
  <c r="N127" i="1"/>
  <c r="K127" i="1"/>
  <c r="M127" i="1"/>
  <c r="O129" i="1"/>
  <c r="P129" i="1"/>
  <c r="H128" i="1"/>
  <c r="I128" i="1"/>
  <c r="J130" i="1"/>
  <c r="B130" i="1"/>
  <c r="A131" i="1"/>
  <c r="E130" i="1"/>
  <c r="D129" i="1"/>
  <c r="F129" i="1" s="1"/>
  <c r="G129" i="1" s="1"/>
  <c r="C129" i="1"/>
  <c r="T130" i="1" l="1"/>
  <c r="S130" i="1"/>
  <c r="R130" i="1"/>
  <c r="Q130" i="1"/>
  <c r="L128" i="1"/>
  <c r="N128" i="1"/>
  <c r="K128" i="1"/>
  <c r="M128" i="1"/>
  <c r="O130" i="1"/>
  <c r="P130" i="1"/>
  <c r="H129" i="1"/>
  <c r="I129" i="1"/>
  <c r="J131" i="1"/>
  <c r="B131" i="1"/>
  <c r="A132" i="1"/>
  <c r="E131" i="1"/>
  <c r="D130" i="1"/>
  <c r="F130" i="1" s="1"/>
  <c r="G130" i="1" s="1"/>
  <c r="C130" i="1"/>
  <c r="T131" i="1" l="1"/>
  <c r="S131" i="1"/>
  <c r="Q131" i="1"/>
  <c r="R131" i="1"/>
  <c r="L129" i="1"/>
  <c r="N129" i="1"/>
  <c r="K129" i="1"/>
  <c r="M129" i="1"/>
  <c r="O131" i="1"/>
  <c r="P131" i="1"/>
  <c r="J132" i="1"/>
  <c r="B132" i="1"/>
  <c r="E132" i="1"/>
  <c r="A133" i="1"/>
  <c r="D131" i="1"/>
  <c r="F131" i="1" s="1"/>
  <c r="G131" i="1" s="1"/>
  <c r="C131" i="1"/>
  <c r="H130" i="1"/>
  <c r="I130" i="1"/>
  <c r="T132" i="1" l="1"/>
  <c r="S132" i="1"/>
  <c r="Q132" i="1"/>
  <c r="R132" i="1"/>
  <c r="L130" i="1"/>
  <c r="N130" i="1"/>
  <c r="K130" i="1"/>
  <c r="M130" i="1"/>
  <c r="O132" i="1"/>
  <c r="P132" i="1"/>
  <c r="H131" i="1"/>
  <c r="I131" i="1"/>
  <c r="J133" i="1"/>
  <c r="B133" i="1"/>
  <c r="E133" i="1"/>
  <c r="A134" i="1"/>
  <c r="D132" i="1"/>
  <c r="F132" i="1" s="1"/>
  <c r="G132" i="1" s="1"/>
  <c r="C132" i="1"/>
  <c r="T133" i="1" l="1"/>
  <c r="S133" i="1"/>
  <c r="R133" i="1"/>
  <c r="Q133" i="1"/>
  <c r="L131" i="1"/>
  <c r="N131" i="1"/>
  <c r="K131" i="1"/>
  <c r="M131" i="1"/>
  <c r="O133" i="1"/>
  <c r="P133" i="1"/>
  <c r="H132" i="1"/>
  <c r="I132" i="1"/>
  <c r="J134" i="1"/>
  <c r="B134" i="1"/>
  <c r="A135" i="1"/>
  <c r="E134" i="1"/>
  <c r="D133" i="1"/>
  <c r="F133" i="1" s="1"/>
  <c r="G133" i="1" s="1"/>
  <c r="C133" i="1"/>
  <c r="T134" i="1" l="1"/>
  <c r="S134" i="1"/>
  <c r="R134" i="1"/>
  <c r="Q134" i="1"/>
  <c r="L132" i="1"/>
  <c r="N132" i="1"/>
  <c r="K132" i="1"/>
  <c r="M132" i="1"/>
  <c r="O134" i="1"/>
  <c r="P134" i="1"/>
  <c r="J135" i="1"/>
  <c r="B135" i="1"/>
  <c r="A136" i="1"/>
  <c r="E135" i="1"/>
  <c r="D134" i="1"/>
  <c r="F134" i="1" s="1"/>
  <c r="G134" i="1" s="1"/>
  <c r="C134" i="1"/>
  <c r="H133" i="1"/>
  <c r="I133" i="1"/>
  <c r="T135" i="1" l="1"/>
  <c r="S135" i="1"/>
  <c r="R135" i="1"/>
  <c r="Q135" i="1"/>
  <c r="L133" i="1"/>
  <c r="N133" i="1"/>
  <c r="K133" i="1"/>
  <c r="M133" i="1"/>
  <c r="O135" i="1"/>
  <c r="P135" i="1"/>
  <c r="H134" i="1"/>
  <c r="I134" i="1"/>
  <c r="J136" i="1"/>
  <c r="B136" i="1"/>
  <c r="E136" i="1"/>
  <c r="A137" i="1"/>
  <c r="D135" i="1"/>
  <c r="F135" i="1" s="1"/>
  <c r="G135" i="1" s="1"/>
  <c r="C135" i="1"/>
  <c r="T136" i="1" l="1"/>
  <c r="S136" i="1"/>
  <c r="R136" i="1"/>
  <c r="Q136" i="1"/>
  <c r="L134" i="1"/>
  <c r="N134" i="1"/>
  <c r="K134" i="1"/>
  <c r="M134" i="1"/>
  <c r="P136" i="1"/>
  <c r="O136" i="1"/>
  <c r="J137" i="1"/>
  <c r="B137" i="1"/>
  <c r="E137" i="1"/>
  <c r="A138" i="1"/>
  <c r="H135" i="1"/>
  <c r="I135" i="1"/>
  <c r="D136" i="1"/>
  <c r="F136" i="1" s="1"/>
  <c r="G136" i="1" s="1"/>
  <c r="C136" i="1"/>
  <c r="T137" i="1" l="1"/>
  <c r="S137" i="1"/>
  <c r="R137" i="1"/>
  <c r="Q137" i="1"/>
  <c r="K135" i="1"/>
  <c r="M135" i="1"/>
  <c r="L135" i="1"/>
  <c r="N135" i="1"/>
  <c r="O137" i="1"/>
  <c r="P137" i="1"/>
  <c r="H136" i="1"/>
  <c r="I136" i="1"/>
  <c r="J138" i="1"/>
  <c r="B138" i="1"/>
  <c r="A139" i="1"/>
  <c r="E138" i="1"/>
  <c r="D137" i="1"/>
  <c r="F137" i="1" s="1"/>
  <c r="G137" i="1" s="1"/>
  <c r="C137" i="1"/>
  <c r="T138" i="1" l="1"/>
  <c r="S138" i="1"/>
  <c r="R138" i="1"/>
  <c r="Q138" i="1"/>
  <c r="L136" i="1"/>
  <c r="N136" i="1"/>
  <c r="K136" i="1"/>
  <c r="M136" i="1"/>
  <c r="P138" i="1"/>
  <c r="O138" i="1"/>
  <c r="J139" i="1"/>
  <c r="B139" i="1"/>
  <c r="A140" i="1"/>
  <c r="E139" i="1"/>
  <c r="D138" i="1"/>
  <c r="F138" i="1" s="1"/>
  <c r="G138" i="1" s="1"/>
  <c r="C138" i="1"/>
  <c r="H137" i="1"/>
  <c r="I137" i="1"/>
  <c r="T139" i="1" l="1"/>
  <c r="S139" i="1"/>
  <c r="Q139" i="1"/>
  <c r="R139" i="1"/>
  <c r="K137" i="1"/>
  <c r="M137" i="1"/>
  <c r="L137" i="1"/>
  <c r="N137" i="1"/>
  <c r="O139" i="1"/>
  <c r="P139" i="1"/>
  <c r="J140" i="1"/>
  <c r="B140" i="1"/>
  <c r="E140" i="1"/>
  <c r="A141" i="1"/>
  <c r="D139" i="1"/>
  <c r="F139" i="1" s="1"/>
  <c r="G139" i="1" s="1"/>
  <c r="C139" i="1"/>
  <c r="H138" i="1"/>
  <c r="I138" i="1"/>
  <c r="T140" i="1" l="1"/>
  <c r="S140" i="1"/>
  <c r="Q140" i="1"/>
  <c r="R140" i="1"/>
  <c r="L138" i="1"/>
  <c r="N138" i="1"/>
  <c r="K138" i="1"/>
  <c r="M138" i="1"/>
  <c r="P140" i="1"/>
  <c r="O140" i="1"/>
  <c r="H139" i="1"/>
  <c r="I139" i="1"/>
  <c r="D140" i="1"/>
  <c r="F140" i="1" s="1"/>
  <c r="G140" i="1" s="1"/>
  <c r="C140" i="1"/>
  <c r="J141" i="1"/>
  <c r="B141" i="1"/>
  <c r="E141" i="1"/>
  <c r="A142" i="1"/>
  <c r="T141" i="1" l="1"/>
  <c r="S141" i="1"/>
  <c r="R141" i="1"/>
  <c r="Q141" i="1"/>
  <c r="L139" i="1"/>
  <c r="N139" i="1"/>
  <c r="K139" i="1"/>
  <c r="M139" i="1"/>
  <c r="O141" i="1"/>
  <c r="P141" i="1"/>
  <c r="D141" i="1"/>
  <c r="F141" i="1" s="1"/>
  <c r="G141" i="1" s="1"/>
  <c r="C141" i="1"/>
  <c r="H140" i="1"/>
  <c r="I140" i="1"/>
  <c r="J142" i="1"/>
  <c r="B142" i="1"/>
  <c r="A143" i="1"/>
  <c r="E142" i="1"/>
  <c r="T142" i="1" l="1"/>
  <c r="S142" i="1"/>
  <c r="R142" i="1"/>
  <c r="Q142" i="1"/>
  <c r="L140" i="1"/>
  <c r="N140" i="1"/>
  <c r="K140" i="1"/>
  <c r="M140" i="1"/>
  <c r="P142" i="1"/>
  <c r="O142" i="1"/>
  <c r="D142" i="1"/>
  <c r="F142" i="1" s="1"/>
  <c r="G142" i="1" s="1"/>
  <c r="C142" i="1"/>
  <c r="H141" i="1"/>
  <c r="I141" i="1"/>
  <c r="J143" i="1"/>
  <c r="B143" i="1"/>
  <c r="A144" i="1"/>
  <c r="E143" i="1"/>
  <c r="T143" i="1" l="1"/>
  <c r="S143" i="1"/>
  <c r="R143" i="1"/>
  <c r="Q143" i="1"/>
  <c r="K141" i="1"/>
  <c r="M141" i="1"/>
  <c r="L141" i="1"/>
  <c r="N141" i="1"/>
  <c r="H142" i="1"/>
  <c r="K142" i="1" s="1"/>
  <c r="I142" i="1"/>
  <c r="D143" i="1"/>
  <c r="F143" i="1" s="1"/>
  <c r="G143" i="1" s="1"/>
  <c r="C143" i="1"/>
  <c r="J144" i="1"/>
  <c r="B144" i="1"/>
  <c r="E144" i="1"/>
  <c r="A145" i="1"/>
  <c r="T144" i="1" l="1"/>
  <c r="S144" i="1"/>
  <c r="N142" i="1"/>
  <c r="L142" i="1"/>
  <c r="M142" i="1"/>
  <c r="R144" i="1"/>
  <c r="Q144" i="1"/>
  <c r="J145" i="1"/>
  <c r="B145" i="1"/>
  <c r="E145" i="1"/>
  <c r="A146" i="1"/>
  <c r="H143" i="1"/>
  <c r="I143" i="1"/>
  <c r="L143" i="1" s="1"/>
  <c r="D144" i="1"/>
  <c r="F144" i="1" s="1"/>
  <c r="G144" i="1" s="1"/>
  <c r="C144" i="1"/>
  <c r="T145" i="1" l="1"/>
  <c r="S145" i="1"/>
  <c r="K143" i="1"/>
  <c r="R145" i="1"/>
  <c r="Q145" i="1"/>
  <c r="N143" i="1"/>
  <c r="P143" i="1"/>
  <c r="M143" i="1"/>
  <c r="O143" i="1"/>
  <c r="J146" i="1"/>
  <c r="B146" i="1"/>
  <c r="A147" i="1"/>
  <c r="E146" i="1"/>
  <c r="H144" i="1"/>
  <c r="I144" i="1"/>
  <c r="L144" i="1" s="1"/>
  <c r="D145" i="1"/>
  <c r="F145" i="1" s="1"/>
  <c r="G145" i="1" s="1"/>
  <c r="C145" i="1"/>
  <c r="T146" i="1" l="1"/>
  <c r="S146" i="1"/>
  <c r="K144" i="1"/>
  <c r="R146" i="1"/>
  <c r="Q146" i="1"/>
  <c r="N144" i="1"/>
  <c r="P144" i="1"/>
  <c r="M144" i="1"/>
  <c r="O144" i="1"/>
  <c r="J147" i="1"/>
  <c r="B147" i="1"/>
  <c r="A148" i="1"/>
  <c r="E147" i="1"/>
  <c r="D146" i="1"/>
  <c r="F146" i="1" s="1"/>
  <c r="G146" i="1" s="1"/>
  <c r="C146" i="1"/>
  <c r="H145" i="1"/>
  <c r="I145" i="1"/>
  <c r="L145" i="1" s="1"/>
  <c r="T147" i="1" l="1"/>
  <c r="S147" i="1"/>
  <c r="K145" i="1"/>
  <c r="Q147" i="1"/>
  <c r="R147" i="1"/>
  <c r="M145" i="1"/>
  <c r="O145" i="1"/>
  <c r="N145" i="1"/>
  <c r="P145" i="1"/>
  <c r="J148" i="1"/>
  <c r="B148" i="1"/>
  <c r="E148" i="1"/>
  <c r="A149" i="1"/>
  <c r="D147" i="1"/>
  <c r="F147" i="1" s="1"/>
  <c r="G147" i="1" s="1"/>
  <c r="C147" i="1"/>
  <c r="H146" i="1"/>
  <c r="I146" i="1"/>
  <c r="L146" i="1" s="1"/>
  <c r="T148" i="1" l="1"/>
  <c r="S148" i="1"/>
  <c r="K146" i="1"/>
  <c r="Q148" i="1"/>
  <c r="R148" i="1"/>
  <c r="M146" i="1"/>
  <c r="O146" i="1"/>
  <c r="N146" i="1"/>
  <c r="P146" i="1"/>
  <c r="O148" i="1"/>
  <c r="P148" i="1"/>
  <c r="J149" i="1"/>
  <c r="B149" i="1"/>
  <c r="E149" i="1"/>
  <c r="A150" i="1"/>
  <c r="D148" i="1"/>
  <c r="F148" i="1" s="1"/>
  <c r="G148" i="1" s="1"/>
  <c r="C148" i="1"/>
  <c r="H147" i="1"/>
  <c r="I147" i="1"/>
  <c r="L147" i="1" s="1"/>
  <c r="T149" i="1" l="1"/>
  <c r="S149" i="1"/>
  <c r="K147" i="1"/>
  <c r="R149" i="1"/>
  <c r="Q149" i="1"/>
  <c r="N147" i="1"/>
  <c r="P147" i="1"/>
  <c r="M147" i="1"/>
  <c r="O147" i="1"/>
  <c r="O149" i="1"/>
  <c r="P149" i="1"/>
  <c r="J150" i="1"/>
  <c r="B150" i="1"/>
  <c r="A151" i="1"/>
  <c r="E150" i="1"/>
  <c r="D149" i="1"/>
  <c r="F149" i="1" s="1"/>
  <c r="G149" i="1" s="1"/>
  <c r="C149" i="1"/>
  <c r="H148" i="1"/>
  <c r="I148" i="1"/>
  <c r="T150" i="1" l="1"/>
  <c r="S150" i="1"/>
  <c r="R150" i="1"/>
  <c r="Q150" i="1"/>
  <c r="M148" i="1"/>
  <c r="K148" i="1"/>
  <c r="N148" i="1"/>
  <c r="L148" i="1"/>
  <c r="O150" i="1"/>
  <c r="P150" i="1"/>
  <c r="H149" i="1"/>
  <c r="I149" i="1"/>
  <c r="J151" i="1"/>
  <c r="B151" i="1"/>
  <c r="A152" i="1"/>
  <c r="E151" i="1"/>
  <c r="D150" i="1"/>
  <c r="F150" i="1" s="1"/>
  <c r="G150" i="1" s="1"/>
  <c r="C150" i="1"/>
  <c r="T151" i="1" l="1"/>
  <c r="S151" i="1"/>
  <c r="R151" i="1"/>
  <c r="Q151" i="1"/>
  <c r="N149" i="1"/>
  <c r="L149" i="1"/>
  <c r="M149" i="1"/>
  <c r="K149" i="1"/>
  <c r="O151" i="1"/>
  <c r="P151" i="1"/>
  <c r="D151" i="1"/>
  <c r="F151" i="1" s="1"/>
  <c r="G151" i="1" s="1"/>
  <c r="C151" i="1"/>
  <c r="J152" i="1"/>
  <c r="B152" i="1"/>
  <c r="E152" i="1"/>
  <c r="A153" i="1"/>
  <c r="H150" i="1"/>
  <c r="I150" i="1"/>
  <c r="T152" i="1" l="1"/>
  <c r="S152" i="1"/>
  <c r="R152" i="1"/>
  <c r="Q152" i="1"/>
  <c r="M150" i="1"/>
  <c r="K150" i="1"/>
  <c r="N150" i="1"/>
  <c r="L150" i="1"/>
  <c r="P152" i="1"/>
  <c r="O152" i="1"/>
  <c r="J153" i="1"/>
  <c r="B153" i="1"/>
  <c r="E153" i="1"/>
  <c r="A154" i="1"/>
  <c r="H151" i="1"/>
  <c r="I151" i="1"/>
  <c r="D152" i="1"/>
  <c r="F152" i="1" s="1"/>
  <c r="G152" i="1" s="1"/>
  <c r="C152" i="1"/>
  <c r="T153" i="1" l="1"/>
  <c r="S153" i="1"/>
  <c r="R153" i="1"/>
  <c r="Q153" i="1"/>
  <c r="N151" i="1"/>
  <c r="L151" i="1"/>
  <c r="M151" i="1"/>
  <c r="K151" i="1"/>
  <c r="O153" i="1"/>
  <c r="P153" i="1"/>
  <c r="D153" i="1"/>
  <c r="F153" i="1" s="1"/>
  <c r="G153" i="1" s="1"/>
  <c r="C153" i="1"/>
  <c r="H152" i="1"/>
  <c r="I152" i="1"/>
  <c r="J154" i="1"/>
  <c r="B154" i="1"/>
  <c r="A155" i="1"/>
  <c r="E154" i="1"/>
  <c r="T154" i="1" l="1"/>
  <c r="S154" i="1"/>
  <c r="R154" i="1"/>
  <c r="Q154" i="1"/>
  <c r="M152" i="1"/>
  <c r="K152" i="1"/>
  <c r="N152" i="1"/>
  <c r="L152" i="1"/>
  <c r="P154" i="1"/>
  <c r="O154" i="1"/>
  <c r="J155" i="1"/>
  <c r="B155" i="1"/>
  <c r="A156" i="1"/>
  <c r="E155" i="1"/>
  <c r="H153" i="1"/>
  <c r="I153" i="1"/>
  <c r="D154" i="1"/>
  <c r="F154" i="1" s="1"/>
  <c r="G154" i="1" s="1"/>
  <c r="C154" i="1"/>
  <c r="S155" i="1" l="1"/>
  <c r="T155" i="1"/>
  <c r="Q155" i="1"/>
  <c r="R155" i="1"/>
  <c r="M153" i="1"/>
  <c r="K153" i="1"/>
  <c r="N153" i="1"/>
  <c r="L153" i="1"/>
  <c r="O155" i="1"/>
  <c r="P155" i="1"/>
  <c r="J156" i="1"/>
  <c r="B156" i="1"/>
  <c r="E156" i="1"/>
  <c r="A157" i="1"/>
  <c r="H154" i="1"/>
  <c r="I154" i="1"/>
  <c r="D155" i="1"/>
  <c r="F155" i="1" s="1"/>
  <c r="G155" i="1" s="1"/>
  <c r="C155" i="1"/>
  <c r="T156" i="1" l="1"/>
  <c r="S156" i="1"/>
  <c r="Q156" i="1"/>
  <c r="R156" i="1"/>
  <c r="N154" i="1"/>
  <c r="L154" i="1"/>
  <c r="M154" i="1"/>
  <c r="K154" i="1"/>
  <c r="P156" i="1"/>
  <c r="O156" i="1"/>
  <c r="J157" i="1"/>
  <c r="B157" i="1"/>
  <c r="E157" i="1"/>
  <c r="A158" i="1"/>
  <c r="H155" i="1"/>
  <c r="I155" i="1"/>
  <c r="D156" i="1"/>
  <c r="F156" i="1" s="1"/>
  <c r="G156" i="1" s="1"/>
  <c r="C156" i="1"/>
  <c r="T157" i="1" l="1"/>
  <c r="S157" i="1"/>
  <c r="R157" i="1"/>
  <c r="Q157" i="1"/>
  <c r="M155" i="1"/>
  <c r="K155" i="1"/>
  <c r="N155" i="1"/>
  <c r="L155" i="1"/>
  <c r="O157" i="1"/>
  <c r="P157" i="1"/>
  <c r="J158" i="1"/>
  <c r="B158" i="1"/>
  <c r="A159" i="1"/>
  <c r="E158" i="1"/>
  <c r="D157" i="1"/>
  <c r="F157" i="1" s="1"/>
  <c r="G157" i="1" s="1"/>
  <c r="C157" i="1"/>
  <c r="H156" i="1"/>
  <c r="I156" i="1"/>
  <c r="T158" i="1" l="1"/>
  <c r="S158" i="1"/>
  <c r="R158" i="1"/>
  <c r="Q158" i="1"/>
  <c r="N156" i="1"/>
  <c r="L156" i="1"/>
  <c r="M156" i="1"/>
  <c r="K156" i="1"/>
  <c r="O158" i="1"/>
  <c r="P158" i="1"/>
  <c r="H157" i="1"/>
  <c r="I157" i="1"/>
  <c r="J159" i="1"/>
  <c r="B159" i="1"/>
  <c r="A160" i="1"/>
  <c r="E159" i="1"/>
  <c r="D158" i="1"/>
  <c r="F158" i="1" s="1"/>
  <c r="G158" i="1" s="1"/>
  <c r="C158" i="1"/>
  <c r="T159" i="1" l="1"/>
  <c r="S159" i="1"/>
  <c r="R159" i="1"/>
  <c r="Q159" i="1"/>
  <c r="N157" i="1"/>
  <c r="L157" i="1"/>
  <c r="M157" i="1"/>
  <c r="K157" i="1"/>
  <c r="O159" i="1"/>
  <c r="P159" i="1"/>
  <c r="D159" i="1"/>
  <c r="F159" i="1" s="1"/>
  <c r="G159" i="1" s="1"/>
  <c r="C159" i="1"/>
  <c r="J160" i="1"/>
  <c r="B160" i="1"/>
  <c r="E160" i="1"/>
  <c r="A161" i="1"/>
  <c r="H158" i="1"/>
  <c r="I158" i="1"/>
  <c r="T160" i="1" l="1"/>
  <c r="S160" i="1"/>
  <c r="R160" i="1"/>
  <c r="Q160" i="1"/>
  <c r="N158" i="1"/>
  <c r="L158" i="1"/>
  <c r="M158" i="1"/>
  <c r="K158" i="1"/>
  <c r="O160" i="1"/>
  <c r="P160" i="1"/>
  <c r="D160" i="1"/>
  <c r="F160" i="1" s="1"/>
  <c r="G160" i="1" s="1"/>
  <c r="C160" i="1"/>
  <c r="J161" i="1"/>
  <c r="B161" i="1"/>
  <c r="E161" i="1"/>
  <c r="A162" i="1"/>
  <c r="H159" i="1"/>
  <c r="I159" i="1"/>
  <c r="T161" i="1" l="1"/>
  <c r="S161" i="1"/>
  <c r="R161" i="1"/>
  <c r="Q161" i="1"/>
  <c r="M159" i="1"/>
  <c r="K159" i="1"/>
  <c r="N159" i="1"/>
  <c r="L159" i="1"/>
  <c r="O161" i="1"/>
  <c r="P161" i="1"/>
  <c r="J162" i="1"/>
  <c r="B162" i="1"/>
  <c r="A163" i="1"/>
  <c r="E162" i="1"/>
  <c r="H160" i="1"/>
  <c r="I160" i="1"/>
  <c r="D161" i="1"/>
  <c r="F161" i="1" s="1"/>
  <c r="G161" i="1" s="1"/>
  <c r="C161" i="1"/>
  <c r="T162" i="1" l="1"/>
  <c r="S162" i="1"/>
  <c r="R162" i="1"/>
  <c r="Q162" i="1"/>
  <c r="N160" i="1"/>
  <c r="L160" i="1"/>
  <c r="M160" i="1"/>
  <c r="K160" i="1"/>
  <c r="O162" i="1"/>
  <c r="P162" i="1"/>
  <c r="D162" i="1"/>
  <c r="F162" i="1" s="1"/>
  <c r="G162" i="1" s="1"/>
  <c r="C162" i="1"/>
  <c r="J163" i="1"/>
  <c r="B163" i="1"/>
  <c r="A164" i="1"/>
  <c r="E163" i="1"/>
  <c r="H161" i="1"/>
  <c r="I161" i="1"/>
  <c r="S163" i="1" l="1"/>
  <c r="T163" i="1"/>
  <c r="Q163" i="1"/>
  <c r="R163" i="1"/>
  <c r="N161" i="1"/>
  <c r="L161" i="1"/>
  <c r="M161" i="1"/>
  <c r="K161" i="1"/>
  <c r="O163" i="1"/>
  <c r="P163" i="1"/>
  <c r="H162" i="1"/>
  <c r="I162" i="1"/>
  <c r="J164" i="1"/>
  <c r="B164" i="1"/>
  <c r="E164" i="1"/>
  <c r="A165" i="1"/>
  <c r="D163" i="1"/>
  <c r="F163" i="1" s="1"/>
  <c r="G163" i="1" s="1"/>
  <c r="C163" i="1"/>
  <c r="T164" i="1" l="1"/>
  <c r="S164" i="1"/>
  <c r="Q164" i="1"/>
  <c r="R164" i="1"/>
  <c r="N162" i="1"/>
  <c r="L162" i="1"/>
  <c r="M162" i="1"/>
  <c r="K162" i="1"/>
  <c r="O164" i="1"/>
  <c r="P164" i="1"/>
  <c r="H163" i="1"/>
  <c r="I163" i="1"/>
  <c r="J165" i="1"/>
  <c r="B165" i="1"/>
  <c r="E165" i="1"/>
  <c r="A166" i="1"/>
  <c r="D164" i="1"/>
  <c r="F164" i="1" s="1"/>
  <c r="G164" i="1" s="1"/>
  <c r="C164" i="1"/>
  <c r="T165" i="1" l="1"/>
  <c r="S165" i="1"/>
  <c r="R165" i="1"/>
  <c r="Q165" i="1"/>
  <c r="N163" i="1"/>
  <c r="L163" i="1"/>
  <c r="M163" i="1"/>
  <c r="K163" i="1"/>
  <c r="D165" i="1"/>
  <c r="F165" i="1" s="1"/>
  <c r="G165" i="1" s="1"/>
  <c r="C165" i="1"/>
  <c r="H164" i="1"/>
  <c r="I164" i="1"/>
  <c r="J166" i="1"/>
  <c r="B166" i="1"/>
  <c r="A167" i="1"/>
  <c r="E166" i="1"/>
  <c r="T166" i="1" l="1"/>
  <c r="S166" i="1"/>
  <c r="R166" i="1"/>
  <c r="Q166" i="1"/>
  <c r="N164" i="1"/>
  <c r="L164" i="1"/>
  <c r="M164" i="1"/>
  <c r="K164" i="1"/>
  <c r="O166" i="1"/>
  <c r="P166" i="1"/>
  <c r="J167" i="1"/>
  <c r="B167" i="1"/>
  <c r="A168" i="1"/>
  <c r="E167" i="1"/>
  <c r="D166" i="1"/>
  <c r="F166" i="1" s="1"/>
  <c r="G166" i="1" s="1"/>
  <c r="C166" i="1"/>
  <c r="H165" i="1"/>
  <c r="I165" i="1"/>
  <c r="N165" i="1" s="1"/>
  <c r="T167" i="1" l="1"/>
  <c r="S167" i="1"/>
  <c r="M165" i="1"/>
  <c r="R167" i="1"/>
  <c r="Q167" i="1"/>
  <c r="P165" i="1"/>
  <c r="L165" i="1"/>
  <c r="O165" i="1"/>
  <c r="K165" i="1"/>
  <c r="O167" i="1"/>
  <c r="P167" i="1"/>
  <c r="J168" i="1"/>
  <c r="B168" i="1"/>
  <c r="E168" i="1"/>
  <c r="A169" i="1"/>
  <c r="D167" i="1"/>
  <c r="F167" i="1" s="1"/>
  <c r="G167" i="1" s="1"/>
  <c r="C167" i="1"/>
  <c r="H166" i="1"/>
  <c r="I166" i="1"/>
  <c r="T168" i="1" l="1"/>
  <c r="S168" i="1"/>
  <c r="R168" i="1"/>
  <c r="Q168" i="1"/>
  <c r="L166" i="1"/>
  <c r="N166" i="1"/>
  <c r="K166" i="1"/>
  <c r="M166" i="1"/>
  <c r="D168" i="1"/>
  <c r="F168" i="1" s="1"/>
  <c r="G168" i="1" s="1"/>
  <c r="C168" i="1"/>
  <c r="H167" i="1"/>
  <c r="I167" i="1"/>
  <c r="J169" i="1"/>
  <c r="B169" i="1"/>
  <c r="E169" i="1"/>
  <c r="A170" i="1"/>
  <c r="T169" i="1" l="1"/>
  <c r="S169" i="1"/>
  <c r="R169" i="1"/>
  <c r="Q169" i="1"/>
  <c r="K167" i="1"/>
  <c r="M167" i="1"/>
  <c r="L167" i="1"/>
  <c r="N167" i="1"/>
  <c r="J170" i="1"/>
  <c r="B170" i="1"/>
  <c r="A171" i="1"/>
  <c r="E170" i="1"/>
  <c r="D169" i="1"/>
  <c r="F169" i="1" s="1"/>
  <c r="G169" i="1" s="1"/>
  <c r="C169" i="1"/>
  <c r="H168" i="1"/>
  <c r="I168" i="1"/>
  <c r="P168" i="1" s="1"/>
  <c r="T170" i="1" l="1"/>
  <c r="S170" i="1"/>
  <c r="O168" i="1"/>
  <c r="R170" i="1"/>
  <c r="Q170" i="1"/>
  <c r="L168" i="1"/>
  <c r="N168" i="1"/>
  <c r="K168" i="1"/>
  <c r="M168" i="1"/>
  <c r="H169" i="1"/>
  <c r="I169" i="1"/>
  <c r="P169" i="1" s="1"/>
  <c r="J171" i="1"/>
  <c r="B171" i="1"/>
  <c r="A172" i="1"/>
  <c r="E171" i="1"/>
  <c r="D170" i="1"/>
  <c r="F170" i="1" s="1"/>
  <c r="G170" i="1" s="1"/>
  <c r="C170" i="1"/>
  <c r="T171" i="1" l="1"/>
  <c r="S171" i="1"/>
  <c r="O169" i="1"/>
  <c r="Q171" i="1"/>
  <c r="R171" i="1"/>
  <c r="K169" i="1"/>
  <c r="M169" i="1"/>
  <c r="L169" i="1"/>
  <c r="N169" i="1"/>
  <c r="J172" i="1"/>
  <c r="B172" i="1"/>
  <c r="E172" i="1"/>
  <c r="A173" i="1"/>
  <c r="D171" i="1"/>
  <c r="F171" i="1" s="1"/>
  <c r="G171" i="1" s="1"/>
  <c r="C171" i="1"/>
  <c r="H170" i="1"/>
  <c r="I170" i="1"/>
  <c r="P170" i="1" s="1"/>
  <c r="T172" i="1" l="1"/>
  <c r="S172" i="1"/>
  <c r="O170" i="1"/>
  <c r="Q172" i="1"/>
  <c r="R172" i="1"/>
  <c r="K170" i="1"/>
  <c r="M170" i="1"/>
  <c r="L170" i="1"/>
  <c r="N170" i="1"/>
  <c r="H171" i="1"/>
  <c r="I171" i="1"/>
  <c r="P171" i="1" s="1"/>
  <c r="J173" i="1"/>
  <c r="B173" i="1"/>
  <c r="E173" i="1"/>
  <c r="A174" i="1"/>
  <c r="D172" i="1"/>
  <c r="F172" i="1" s="1"/>
  <c r="G172" i="1" s="1"/>
  <c r="C172" i="1"/>
  <c r="T173" i="1" l="1"/>
  <c r="S173" i="1"/>
  <c r="O171" i="1"/>
  <c r="L171" i="1"/>
  <c r="N171" i="1"/>
  <c r="K171" i="1"/>
  <c r="M171" i="1"/>
  <c r="O173" i="1"/>
  <c r="P173" i="1"/>
  <c r="H172" i="1"/>
  <c r="I172" i="1"/>
  <c r="P172" i="1" s="1"/>
  <c r="J174" i="1"/>
  <c r="B174" i="1"/>
  <c r="A175" i="1"/>
  <c r="E174" i="1"/>
  <c r="D173" i="1"/>
  <c r="F173" i="1" s="1"/>
  <c r="G173" i="1" s="1"/>
  <c r="C173" i="1"/>
  <c r="T174" i="1" l="1"/>
  <c r="S174" i="1"/>
  <c r="O172" i="1"/>
  <c r="L172" i="1"/>
  <c r="N172" i="1"/>
  <c r="K172" i="1"/>
  <c r="M172" i="1"/>
  <c r="O174" i="1"/>
  <c r="P174" i="1"/>
  <c r="J175" i="1"/>
  <c r="B175" i="1"/>
  <c r="A176" i="1"/>
  <c r="E175" i="1"/>
  <c r="H173" i="1"/>
  <c r="I173" i="1"/>
  <c r="D174" i="1"/>
  <c r="F174" i="1" s="1"/>
  <c r="G174" i="1" s="1"/>
  <c r="C174" i="1"/>
  <c r="Q173" i="1" l="1"/>
  <c r="R173" i="1"/>
  <c r="R175" i="1"/>
  <c r="Q175" i="1"/>
  <c r="L173" i="1"/>
  <c r="N173" i="1"/>
  <c r="K173" i="1"/>
  <c r="M173" i="1"/>
  <c r="O175" i="1"/>
  <c r="P175" i="1"/>
  <c r="J176" i="1"/>
  <c r="B176" i="1"/>
  <c r="E176" i="1"/>
  <c r="A177" i="1"/>
  <c r="D175" i="1"/>
  <c r="F175" i="1" s="1"/>
  <c r="G175" i="1" s="1"/>
  <c r="C175" i="1"/>
  <c r="H174" i="1"/>
  <c r="I174" i="1"/>
  <c r="T176" i="1" l="1"/>
  <c r="S176" i="1"/>
  <c r="R174" i="1"/>
  <c r="Q174" i="1"/>
  <c r="R176" i="1"/>
  <c r="Q176" i="1"/>
  <c r="L174" i="1"/>
  <c r="N174" i="1"/>
  <c r="K174" i="1"/>
  <c r="M174" i="1"/>
  <c r="P176" i="1"/>
  <c r="O176" i="1"/>
  <c r="D176" i="1"/>
  <c r="F176" i="1" s="1"/>
  <c r="G176" i="1" s="1"/>
  <c r="C176" i="1"/>
  <c r="H175" i="1"/>
  <c r="S175" i="1" s="1"/>
  <c r="I175" i="1"/>
  <c r="T175" i="1" s="1"/>
  <c r="J177" i="1"/>
  <c r="B177" i="1"/>
  <c r="E177" i="1"/>
  <c r="A178" i="1"/>
  <c r="T177" i="1" l="1"/>
  <c r="S177" i="1"/>
  <c r="R177" i="1"/>
  <c r="Q177" i="1"/>
  <c r="L175" i="1"/>
  <c r="N175" i="1"/>
  <c r="K175" i="1"/>
  <c r="M175" i="1"/>
  <c r="O177" i="1"/>
  <c r="P177" i="1"/>
  <c r="J178" i="1"/>
  <c r="B178" i="1"/>
  <c r="A179" i="1"/>
  <c r="E178" i="1"/>
  <c r="H176" i="1"/>
  <c r="I176" i="1"/>
  <c r="D177" i="1"/>
  <c r="F177" i="1" s="1"/>
  <c r="G177" i="1" s="1"/>
  <c r="C177" i="1"/>
  <c r="T178" i="1" l="1"/>
  <c r="S178" i="1"/>
  <c r="R178" i="1"/>
  <c r="Q178" i="1"/>
  <c r="K176" i="1"/>
  <c r="M176" i="1"/>
  <c r="L176" i="1"/>
  <c r="N176" i="1"/>
  <c r="P178" i="1"/>
  <c r="O178" i="1"/>
  <c r="J179" i="1"/>
  <c r="B179" i="1"/>
  <c r="A180" i="1"/>
  <c r="E179" i="1"/>
  <c r="D178" i="1"/>
  <c r="F178" i="1" s="1"/>
  <c r="G178" i="1" s="1"/>
  <c r="C178" i="1"/>
  <c r="H177" i="1"/>
  <c r="I177" i="1"/>
  <c r="S179" i="1" l="1"/>
  <c r="T179" i="1"/>
  <c r="Q179" i="1"/>
  <c r="R179" i="1"/>
  <c r="K177" i="1"/>
  <c r="M177" i="1"/>
  <c r="L177" i="1"/>
  <c r="N177" i="1"/>
  <c r="O179" i="1"/>
  <c r="P179" i="1"/>
  <c r="H178" i="1"/>
  <c r="I178" i="1"/>
  <c r="J180" i="1"/>
  <c r="B180" i="1"/>
  <c r="E180" i="1"/>
  <c r="A181" i="1"/>
  <c r="D179" i="1"/>
  <c r="F179" i="1" s="1"/>
  <c r="G179" i="1" s="1"/>
  <c r="C179" i="1"/>
  <c r="T180" i="1" l="1"/>
  <c r="S180" i="1"/>
  <c r="Q180" i="1"/>
  <c r="R180" i="1"/>
  <c r="L178" i="1"/>
  <c r="N178" i="1"/>
  <c r="K178" i="1"/>
  <c r="M178" i="1"/>
  <c r="O180" i="1"/>
  <c r="P180" i="1"/>
  <c r="J181" i="1"/>
  <c r="B181" i="1"/>
  <c r="E181" i="1"/>
  <c r="A182" i="1"/>
  <c r="D180" i="1"/>
  <c r="F180" i="1" s="1"/>
  <c r="G180" i="1" s="1"/>
  <c r="C180" i="1"/>
  <c r="H179" i="1"/>
  <c r="I179" i="1"/>
  <c r="T181" i="1" l="1"/>
  <c r="S181" i="1"/>
  <c r="R181" i="1"/>
  <c r="Q181" i="1"/>
  <c r="L179" i="1"/>
  <c r="N179" i="1"/>
  <c r="K179" i="1"/>
  <c r="M179" i="1"/>
  <c r="O181" i="1"/>
  <c r="P181" i="1"/>
  <c r="H180" i="1"/>
  <c r="I180" i="1"/>
  <c r="J182" i="1"/>
  <c r="B182" i="1"/>
  <c r="A183" i="1"/>
  <c r="E182" i="1"/>
  <c r="D181" i="1"/>
  <c r="F181" i="1" s="1"/>
  <c r="G181" i="1" s="1"/>
  <c r="C181" i="1"/>
  <c r="T182" i="1" l="1"/>
  <c r="S182" i="1"/>
  <c r="R182" i="1"/>
  <c r="Q182" i="1"/>
  <c r="L180" i="1"/>
  <c r="N180" i="1"/>
  <c r="K180" i="1"/>
  <c r="M180" i="1"/>
  <c r="O182" i="1"/>
  <c r="P182" i="1"/>
  <c r="H181" i="1"/>
  <c r="I181" i="1"/>
  <c r="J183" i="1"/>
  <c r="B183" i="1"/>
  <c r="A184" i="1"/>
  <c r="E183" i="1"/>
  <c r="D182" i="1"/>
  <c r="F182" i="1" s="1"/>
  <c r="G182" i="1" s="1"/>
  <c r="C182" i="1"/>
  <c r="T183" i="1" l="1"/>
  <c r="S183" i="1"/>
  <c r="R183" i="1"/>
  <c r="Q183" i="1"/>
  <c r="L181" i="1"/>
  <c r="N181" i="1"/>
  <c r="K181" i="1"/>
  <c r="M181" i="1"/>
  <c r="O183" i="1"/>
  <c r="P183" i="1"/>
  <c r="D183" i="1"/>
  <c r="F183" i="1" s="1"/>
  <c r="G183" i="1" s="1"/>
  <c r="C183" i="1"/>
  <c r="J184" i="1"/>
  <c r="B184" i="1"/>
  <c r="E184" i="1"/>
  <c r="A185" i="1"/>
  <c r="H182" i="1"/>
  <c r="I182" i="1"/>
  <c r="T184" i="1" l="1"/>
  <c r="S184" i="1"/>
  <c r="R184" i="1"/>
  <c r="Q184" i="1"/>
  <c r="L182" i="1"/>
  <c r="N182" i="1"/>
  <c r="K182" i="1"/>
  <c r="M182" i="1"/>
  <c r="P184" i="1"/>
  <c r="O184" i="1"/>
  <c r="J185" i="1"/>
  <c r="B185" i="1"/>
  <c r="E185" i="1"/>
  <c r="A186" i="1"/>
  <c r="D184" i="1"/>
  <c r="F184" i="1" s="1"/>
  <c r="G184" i="1" s="1"/>
  <c r="C184" i="1"/>
  <c r="H183" i="1"/>
  <c r="I183" i="1"/>
  <c r="T185" i="1" l="1"/>
  <c r="S185" i="1"/>
  <c r="R185" i="1"/>
  <c r="Q185" i="1"/>
  <c r="L183" i="1"/>
  <c r="N183" i="1"/>
  <c r="K183" i="1"/>
  <c r="M183" i="1"/>
  <c r="O185" i="1"/>
  <c r="P185" i="1"/>
  <c r="D185" i="1"/>
  <c r="F185" i="1" s="1"/>
  <c r="G185" i="1" s="1"/>
  <c r="C185" i="1"/>
  <c r="H184" i="1"/>
  <c r="I184" i="1"/>
  <c r="J186" i="1"/>
  <c r="B186" i="1"/>
  <c r="A187" i="1"/>
  <c r="E186" i="1"/>
  <c r="T186" i="1" l="1"/>
  <c r="S186" i="1"/>
  <c r="R186" i="1"/>
  <c r="Q186" i="1"/>
  <c r="K184" i="1"/>
  <c r="M184" i="1"/>
  <c r="L184" i="1"/>
  <c r="N184" i="1"/>
  <c r="P186" i="1"/>
  <c r="O186" i="1"/>
  <c r="J187" i="1"/>
  <c r="B187" i="1"/>
  <c r="A188" i="1"/>
  <c r="E187" i="1"/>
  <c r="H185" i="1"/>
  <c r="I185" i="1"/>
  <c r="D186" i="1"/>
  <c r="F186" i="1" s="1"/>
  <c r="G186" i="1" s="1"/>
  <c r="C186" i="1"/>
  <c r="S187" i="1" l="1"/>
  <c r="T187" i="1"/>
  <c r="Q187" i="1"/>
  <c r="R187" i="1"/>
  <c r="K185" i="1"/>
  <c r="M185" i="1"/>
  <c r="L185" i="1"/>
  <c r="N185" i="1"/>
  <c r="O187" i="1"/>
  <c r="P187" i="1"/>
  <c r="H186" i="1"/>
  <c r="I186" i="1"/>
  <c r="J188" i="1"/>
  <c r="B188" i="1"/>
  <c r="E188" i="1"/>
  <c r="A189" i="1"/>
  <c r="D187" i="1"/>
  <c r="F187" i="1" s="1"/>
  <c r="G187" i="1" s="1"/>
  <c r="C187" i="1"/>
  <c r="T188" i="1" l="1"/>
  <c r="S188" i="1"/>
  <c r="Q188" i="1"/>
  <c r="R188" i="1"/>
  <c r="L186" i="1"/>
  <c r="N186" i="1"/>
  <c r="K186" i="1"/>
  <c r="M186" i="1"/>
  <c r="P188" i="1"/>
  <c r="O188" i="1"/>
  <c r="D188" i="1"/>
  <c r="F188" i="1" s="1"/>
  <c r="G188" i="1" s="1"/>
  <c r="C188" i="1"/>
  <c r="J189" i="1"/>
  <c r="B189" i="1"/>
  <c r="E189" i="1"/>
  <c r="A190" i="1"/>
  <c r="H187" i="1"/>
  <c r="I187" i="1"/>
  <c r="T189" i="1" l="1"/>
  <c r="S189" i="1"/>
  <c r="R189" i="1"/>
  <c r="Q189" i="1"/>
  <c r="L187" i="1"/>
  <c r="N187" i="1"/>
  <c r="K187" i="1"/>
  <c r="M187" i="1"/>
  <c r="O189" i="1"/>
  <c r="P189" i="1"/>
  <c r="J190" i="1"/>
  <c r="B190" i="1"/>
  <c r="A191" i="1"/>
  <c r="E190" i="1"/>
  <c r="D189" i="1"/>
  <c r="F189" i="1" s="1"/>
  <c r="G189" i="1" s="1"/>
  <c r="C189" i="1"/>
  <c r="H188" i="1"/>
  <c r="I188" i="1"/>
  <c r="T190" i="1" l="1"/>
  <c r="S190" i="1"/>
  <c r="R190" i="1"/>
  <c r="Q190" i="1"/>
  <c r="K188" i="1"/>
  <c r="M188" i="1"/>
  <c r="L188" i="1"/>
  <c r="N188" i="1"/>
  <c r="H189" i="1"/>
  <c r="I189" i="1"/>
  <c r="J191" i="1"/>
  <c r="B191" i="1"/>
  <c r="A192" i="1"/>
  <c r="E191" i="1"/>
  <c r="D190" i="1"/>
  <c r="F190" i="1" s="1"/>
  <c r="G190" i="1" s="1"/>
  <c r="C190" i="1"/>
  <c r="T191" i="1" l="1"/>
  <c r="S191" i="1"/>
  <c r="R191" i="1"/>
  <c r="Q191" i="1"/>
  <c r="L189" i="1"/>
  <c r="N189" i="1"/>
  <c r="K189" i="1"/>
  <c r="M189" i="1"/>
  <c r="A193" i="1"/>
  <c r="J192" i="1"/>
  <c r="B192" i="1"/>
  <c r="E192" i="1"/>
  <c r="D191" i="1"/>
  <c r="F191" i="1" s="1"/>
  <c r="G191" i="1" s="1"/>
  <c r="C191" i="1"/>
  <c r="H190" i="1"/>
  <c r="I190" i="1"/>
  <c r="N190" i="1" s="1"/>
  <c r="T192" i="1" l="1"/>
  <c r="S192" i="1"/>
  <c r="M190" i="1"/>
  <c r="R192" i="1"/>
  <c r="Q192" i="1"/>
  <c r="K190" i="1"/>
  <c r="O190" i="1"/>
  <c r="L190" i="1"/>
  <c r="P190" i="1"/>
  <c r="D192" i="1"/>
  <c r="F192" i="1" s="1"/>
  <c r="G192" i="1" s="1"/>
  <c r="C192" i="1"/>
  <c r="H191" i="1"/>
  <c r="I191" i="1"/>
  <c r="N191" i="1" s="1"/>
  <c r="J193" i="1"/>
  <c r="B193" i="1"/>
  <c r="A194" i="1"/>
  <c r="E193" i="1"/>
  <c r="T193" i="1" l="1"/>
  <c r="S193" i="1"/>
  <c r="M191" i="1"/>
  <c r="R193" i="1"/>
  <c r="Q193" i="1"/>
  <c r="L191" i="1"/>
  <c r="P191" i="1"/>
  <c r="K191" i="1"/>
  <c r="O191" i="1"/>
  <c r="J194" i="1"/>
  <c r="B194" i="1"/>
  <c r="A195" i="1"/>
  <c r="E194" i="1"/>
  <c r="H192" i="1"/>
  <c r="I192" i="1"/>
  <c r="L192" i="1" s="1"/>
  <c r="D193" i="1"/>
  <c r="F193" i="1" s="1"/>
  <c r="G193" i="1" s="1"/>
  <c r="C193" i="1"/>
  <c r="T194" i="1" l="1"/>
  <c r="S194" i="1"/>
  <c r="K192" i="1"/>
  <c r="R194" i="1"/>
  <c r="Q194" i="1"/>
  <c r="N192" i="1"/>
  <c r="P192" i="1"/>
  <c r="M192" i="1"/>
  <c r="O192" i="1"/>
  <c r="I193" i="1"/>
  <c r="L193" i="1" s="1"/>
  <c r="H193" i="1"/>
  <c r="J195" i="1"/>
  <c r="B195" i="1"/>
  <c r="A196" i="1"/>
  <c r="E195" i="1"/>
  <c r="C194" i="1"/>
  <c r="D194" i="1"/>
  <c r="F194" i="1" s="1"/>
  <c r="G194" i="1" s="1"/>
  <c r="T195" i="1" l="1"/>
  <c r="S195" i="1"/>
  <c r="K193" i="1"/>
  <c r="Q195" i="1"/>
  <c r="R195" i="1"/>
  <c r="M193" i="1"/>
  <c r="O193" i="1"/>
  <c r="N193" i="1"/>
  <c r="P193" i="1"/>
  <c r="O195" i="1"/>
  <c r="P195" i="1"/>
  <c r="I194" i="1"/>
  <c r="L194" i="1" s="1"/>
  <c r="H194" i="1"/>
  <c r="C195" i="1"/>
  <c r="D195" i="1"/>
  <c r="F195" i="1" s="1"/>
  <c r="G195" i="1" s="1"/>
  <c r="J196" i="1"/>
  <c r="B196" i="1"/>
  <c r="A197" i="1"/>
  <c r="E196" i="1"/>
  <c r="T196" i="1" l="1"/>
  <c r="S196" i="1"/>
  <c r="K194" i="1"/>
  <c r="Q196" i="1"/>
  <c r="R196" i="1"/>
  <c r="M194" i="1"/>
  <c r="O194" i="1"/>
  <c r="N194" i="1"/>
  <c r="P194" i="1"/>
  <c r="O196" i="1"/>
  <c r="P196" i="1"/>
  <c r="C196" i="1"/>
  <c r="D196" i="1"/>
  <c r="F196" i="1" s="1"/>
  <c r="G196" i="1" s="1"/>
  <c r="I195" i="1"/>
  <c r="H195" i="1"/>
  <c r="J197" i="1"/>
  <c r="B197" i="1"/>
  <c r="A198" i="1"/>
  <c r="E197" i="1"/>
  <c r="T197" i="1" l="1"/>
  <c r="S197" i="1"/>
  <c r="R197" i="1"/>
  <c r="Q197" i="1"/>
  <c r="M195" i="1"/>
  <c r="K195" i="1"/>
  <c r="N195" i="1"/>
  <c r="L195" i="1"/>
  <c r="O197" i="1"/>
  <c r="P197" i="1"/>
  <c r="C197" i="1"/>
  <c r="D197" i="1"/>
  <c r="F197" i="1" s="1"/>
  <c r="G197" i="1" s="1"/>
  <c r="I196" i="1"/>
  <c r="H196" i="1"/>
  <c r="J198" i="1"/>
  <c r="B198" i="1"/>
  <c r="A199" i="1"/>
  <c r="E198" i="1"/>
  <c r="T198" i="1" l="1"/>
  <c r="S198" i="1"/>
  <c r="R198" i="1"/>
  <c r="Q198" i="1"/>
  <c r="M196" i="1"/>
  <c r="K196" i="1"/>
  <c r="N196" i="1"/>
  <c r="L196" i="1"/>
  <c r="O198" i="1"/>
  <c r="P198" i="1"/>
  <c r="C198" i="1"/>
  <c r="D198" i="1"/>
  <c r="F198" i="1" s="1"/>
  <c r="G198" i="1" s="1"/>
  <c r="J199" i="1"/>
  <c r="B199" i="1"/>
  <c r="A200" i="1"/>
  <c r="E199" i="1"/>
  <c r="I197" i="1"/>
  <c r="H197" i="1"/>
  <c r="T199" i="1" l="1"/>
  <c r="S199" i="1"/>
  <c r="R199" i="1"/>
  <c r="Q199" i="1"/>
  <c r="M197" i="1"/>
  <c r="K197" i="1"/>
  <c r="N197" i="1"/>
  <c r="L197" i="1"/>
  <c r="O199" i="1"/>
  <c r="P199" i="1"/>
  <c r="J200" i="1"/>
  <c r="B200" i="1"/>
  <c r="A201" i="1"/>
  <c r="E200" i="1"/>
  <c r="I198" i="1"/>
  <c r="H198" i="1"/>
  <c r="C199" i="1"/>
  <c r="D199" i="1"/>
  <c r="F199" i="1" s="1"/>
  <c r="G199" i="1" s="1"/>
  <c r="T200" i="1" l="1"/>
  <c r="S200" i="1"/>
  <c r="R200" i="1"/>
  <c r="Q200" i="1"/>
  <c r="M198" i="1"/>
  <c r="K198" i="1"/>
  <c r="N198" i="1"/>
  <c r="L198" i="1"/>
  <c r="P200" i="1"/>
  <c r="O200" i="1"/>
  <c r="I199" i="1"/>
  <c r="H199" i="1"/>
  <c r="J201" i="1"/>
  <c r="B201" i="1"/>
  <c r="A202" i="1"/>
  <c r="E201" i="1"/>
  <c r="C200" i="1"/>
  <c r="D200" i="1"/>
  <c r="F200" i="1" s="1"/>
  <c r="G200" i="1" s="1"/>
  <c r="T201" i="1" l="1"/>
  <c r="S201" i="1"/>
  <c r="R201" i="1"/>
  <c r="Q201" i="1"/>
  <c r="M199" i="1"/>
  <c r="K199" i="1"/>
  <c r="N199" i="1"/>
  <c r="L199" i="1"/>
  <c r="O201" i="1"/>
  <c r="P201" i="1"/>
  <c r="J202" i="1"/>
  <c r="B202" i="1"/>
  <c r="A203" i="1"/>
  <c r="E202" i="1"/>
  <c r="I200" i="1"/>
  <c r="H200" i="1"/>
  <c r="C201" i="1"/>
  <c r="D201" i="1"/>
  <c r="F201" i="1" s="1"/>
  <c r="G201" i="1" s="1"/>
  <c r="T202" i="1" l="1"/>
  <c r="S202" i="1"/>
  <c r="R202" i="1"/>
  <c r="Q202" i="1"/>
  <c r="M200" i="1"/>
  <c r="K200" i="1"/>
  <c r="N200" i="1"/>
  <c r="L200" i="1"/>
  <c r="O202" i="1"/>
  <c r="P202" i="1"/>
  <c r="I201" i="1"/>
  <c r="H201" i="1"/>
  <c r="J203" i="1"/>
  <c r="B203" i="1"/>
  <c r="A204" i="1"/>
  <c r="E203" i="1"/>
  <c r="C202" i="1"/>
  <c r="D202" i="1"/>
  <c r="F202" i="1" s="1"/>
  <c r="G202" i="1" s="1"/>
  <c r="T203" i="1" l="1"/>
  <c r="S203" i="1"/>
  <c r="Q203" i="1"/>
  <c r="R203" i="1"/>
  <c r="M201" i="1"/>
  <c r="K201" i="1"/>
  <c r="N201" i="1"/>
  <c r="L201" i="1"/>
  <c r="O203" i="1"/>
  <c r="P203" i="1"/>
  <c r="I202" i="1"/>
  <c r="H202" i="1"/>
  <c r="J204" i="1"/>
  <c r="B204" i="1"/>
  <c r="A205" i="1"/>
  <c r="E204" i="1"/>
  <c r="C203" i="1"/>
  <c r="D203" i="1"/>
  <c r="F203" i="1" s="1"/>
  <c r="G203" i="1" s="1"/>
  <c r="T204" i="1" l="1"/>
  <c r="S204" i="1"/>
  <c r="Q204" i="1"/>
  <c r="R204" i="1"/>
  <c r="M202" i="1"/>
  <c r="K202" i="1"/>
  <c r="N202" i="1"/>
  <c r="L202" i="1"/>
  <c r="P204" i="1"/>
  <c r="O204" i="1"/>
  <c r="I203" i="1"/>
  <c r="H203" i="1"/>
  <c r="C204" i="1"/>
  <c r="D204" i="1"/>
  <c r="F204" i="1" s="1"/>
  <c r="G204" i="1" s="1"/>
  <c r="J205" i="1"/>
  <c r="B205" i="1"/>
  <c r="A206" i="1"/>
  <c r="E205" i="1"/>
  <c r="T205" i="1" l="1"/>
  <c r="S205" i="1"/>
  <c r="R205" i="1"/>
  <c r="Q205" i="1"/>
  <c r="M203" i="1"/>
  <c r="K203" i="1"/>
  <c r="N203" i="1"/>
  <c r="L203" i="1"/>
  <c r="O205" i="1"/>
  <c r="P205" i="1"/>
  <c r="J206" i="1"/>
  <c r="B206" i="1"/>
  <c r="A207" i="1"/>
  <c r="E206" i="1"/>
  <c r="I204" i="1"/>
  <c r="H204" i="1"/>
  <c r="C205" i="1"/>
  <c r="D205" i="1"/>
  <c r="F205" i="1" s="1"/>
  <c r="G205" i="1" s="1"/>
  <c r="T206" i="1" l="1"/>
  <c r="S206" i="1"/>
  <c r="R206" i="1"/>
  <c r="Q206" i="1"/>
  <c r="M204" i="1"/>
  <c r="K204" i="1"/>
  <c r="N204" i="1"/>
  <c r="L204" i="1"/>
  <c r="P206" i="1"/>
  <c r="O206" i="1"/>
  <c r="I205" i="1"/>
  <c r="H205" i="1"/>
  <c r="J207" i="1"/>
  <c r="B207" i="1"/>
  <c r="A208" i="1"/>
  <c r="E207" i="1"/>
  <c r="C206" i="1"/>
  <c r="D206" i="1"/>
  <c r="F206" i="1" s="1"/>
  <c r="G206" i="1" s="1"/>
  <c r="T207" i="1" l="1"/>
  <c r="S207" i="1"/>
  <c r="R207" i="1"/>
  <c r="Q207" i="1"/>
  <c r="M205" i="1"/>
  <c r="K205" i="1"/>
  <c r="N205" i="1"/>
  <c r="L205" i="1"/>
  <c r="O207" i="1"/>
  <c r="P207" i="1"/>
  <c r="I206" i="1"/>
  <c r="H206" i="1"/>
  <c r="C207" i="1"/>
  <c r="D207" i="1"/>
  <c r="F207" i="1" s="1"/>
  <c r="G207" i="1" s="1"/>
  <c r="J208" i="1"/>
  <c r="B208" i="1"/>
  <c r="A209" i="1"/>
  <c r="E208" i="1"/>
  <c r="T208" i="1" l="1"/>
  <c r="S208" i="1"/>
  <c r="R208" i="1"/>
  <c r="Q208" i="1"/>
  <c r="M206" i="1"/>
  <c r="K206" i="1"/>
  <c r="N206" i="1"/>
  <c r="L206" i="1"/>
  <c r="P208" i="1"/>
  <c r="O208" i="1"/>
  <c r="J209" i="1"/>
  <c r="B209" i="1"/>
  <c r="A210" i="1"/>
  <c r="E209" i="1"/>
  <c r="C208" i="1"/>
  <c r="D208" i="1"/>
  <c r="F208" i="1" s="1"/>
  <c r="G208" i="1" s="1"/>
  <c r="I207" i="1"/>
  <c r="H207" i="1"/>
  <c r="T209" i="1" l="1"/>
  <c r="S209" i="1"/>
  <c r="R209" i="1"/>
  <c r="Q209" i="1"/>
  <c r="M207" i="1"/>
  <c r="K207" i="1"/>
  <c r="N207" i="1"/>
  <c r="L207" i="1"/>
  <c r="O209" i="1"/>
  <c r="P209" i="1"/>
  <c r="J210" i="1"/>
  <c r="B210" i="1"/>
  <c r="A211" i="1"/>
  <c r="E210" i="1"/>
  <c r="C209" i="1"/>
  <c r="D209" i="1"/>
  <c r="F209" i="1" s="1"/>
  <c r="G209" i="1" s="1"/>
  <c r="I208" i="1"/>
  <c r="H208" i="1"/>
  <c r="T210" i="1" l="1"/>
  <c r="S210" i="1"/>
  <c r="R210" i="1"/>
  <c r="Q210" i="1"/>
  <c r="M208" i="1"/>
  <c r="K208" i="1"/>
  <c r="N208" i="1"/>
  <c r="L208" i="1"/>
  <c r="O210" i="1"/>
  <c r="P210" i="1"/>
  <c r="J211" i="1"/>
  <c r="B211" i="1"/>
  <c r="A212" i="1"/>
  <c r="E211" i="1"/>
  <c r="C210" i="1"/>
  <c r="D210" i="1"/>
  <c r="F210" i="1" s="1"/>
  <c r="G210" i="1" s="1"/>
  <c r="I209" i="1"/>
  <c r="H209" i="1"/>
  <c r="S211" i="1" l="1"/>
  <c r="T211" i="1"/>
  <c r="Q211" i="1"/>
  <c r="R211" i="1"/>
  <c r="M209" i="1"/>
  <c r="K209" i="1"/>
  <c r="N209" i="1"/>
  <c r="L209" i="1"/>
  <c r="O211" i="1"/>
  <c r="P211" i="1"/>
  <c r="J212" i="1"/>
  <c r="B212" i="1"/>
  <c r="A213" i="1"/>
  <c r="E212" i="1"/>
  <c r="C211" i="1"/>
  <c r="D211" i="1"/>
  <c r="F211" i="1" s="1"/>
  <c r="G211" i="1" s="1"/>
  <c r="I210" i="1"/>
  <c r="H210" i="1"/>
  <c r="T212" i="1" l="1"/>
  <c r="S212" i="1"/>
  <c r="Q212" i="1"/>
  <c r="R212" i="1"/>
  <c r="M210" i="1"/>
  <c r="K210" i="1"/>
  <c r="N210" i="1"/>
  <c r="L210" i="1"/>
  <c r="O212" i="1"/>
  <c r="P212" i="1"/>
  <c r="J213" i="1"/>
  <c r="B213" i="1"/>
  <c r="A214" i="1"/>
  <c r="E213" i="1"/>
  <c r="C212" i="1"/>
  <c r="D212" i="1"/>
  <c r="F212" i="1" s="1"/>
  <c r="G212" i="1" s="1"/>
  <c r="I211" i="1"/>
  <c r="H211" i="1"/>
  <c r="T213" i="1" l="1"/>
  <c r="S213" i="1"/>
  <c r="R213" i="1"/>
  <c r="Q213" i="1"/>
  <c r="N211" i="1"/>
  <c r="L211" i="1"/>
  <c r="M211" i="1"/>
  <c r="K211" i="1"/>
  <c r="O213" i="1"/>
  <c r="P213" i="1"/>
  <c r="J214" i="1"/>
  <c r="B214" i="1"/>
  <c r="A215" i="1"/>
  <c r="E214" i="1"/>
  <c r="C213" i="1"/>
  <c r="D213" i="1"/>
  <c r="F213" i="1" s="1"/>
  <c r="G213" i="1" s="1"/>
  <c r="I212" i="1"/>
  <c r="H212" i="1"/>
  <c r="T214" i="1" l="1"/>
  <c r="S214" i="1"/>
  <c r="R214" i="1"/>
  <c r="Q214" i="1"/>
  <c r="M212" i="1"/>
  <c r="K212" i="1"/>
  <c r="N212" i="1"/>
  <c r="L212" i="1"/>
  <c r="O214" i="1"/>
  <c r="P214" i="1"/>
  <c r="I213" i="1"/>
  <c r="H213" i="1"/>
  <c r="J215" i="1"/>
  <c r="B215" i="1"/>
  <c r="A216" i="1"/>
  <c r="E215" i="1"/>
  <c r="C214" i="1"/>
  <c r="D214" i="1"/>
  <c r="F214" i="1" s="1"/>
  <c r="G214" i="1" s="1"/>
  <c r="T215" i="1" l="1"/>
  <c r="S215" i="1"/>
  <c r="R215" i="1"/>
  <c r="Q215" i="1"/>
  <c r="M213" i="1"/>
  <c r="K213" i="1"/>
  <c r="N213" i="1"/>
  <c r="L213" i="1"/>
  <c r="O215" i="1"/>
  <c r="P215" i="1"/>
  <c r="J216" i="1"/>
  <c r="B216" i="1"/>
  <c r="A217" i="1"/>
  <c r="E216" i="1"/>
  <c r="I214" i="1"/>
  <c r="H214" i="1"/>
  <c r="C215" i="1"/>
  <c r="D215" i="1"/>
  <c r="F215" i="1" s="1"/>
  <c r="G215" i="1" s="1"/>
  <c r="T216" i="1" l="1"/>
  <c r="S216" i="1"/>
  <c r="R216" i="1"/>
  <c r="Q216" i="1"/>
  <c r="M214" i="1"/>
  <c r="K214" i="1"/>
  <c r="N214" i="1"/>
  <c r="L214" i="1"/>
  <c r="P216" i="1"/>
  <c r="O216" i="1"/>
  <c r="I215" i="1"/>
  <c r="H215" i="1"/>
  <c r="J217" i="1"/>
  <c r="B217" i="1"/>
  <c r="A218" i="1"/>
  <c r="E217" i="1"/>
  <c r="C216" i="1"/>
  <c r="D216" i="1"/>
  <c r="F216" i="1" s="1"/>
  <c r="G216" i="1" s="1"/>
  <c r="T217" i="1" l="1"/>
  <c r="S217" i="1"/>
  <c r="R217" i="1"/>
  <c r="Q217" i="1"/>
  <c r="M215" i="1"/>
  <c r="K215" i="1"/>
  <c r="N215" i="1"/>
  <c r="L215" i="1"/>
  <c r="O217" i="1"/>
  <c r="P217" i="1"/>
  <c r="J218" i="1"/>
  <c r="B218" i="1"/>
  <c r="A219" i="1"/>
  <c r="E218" i="1"/>
  <c r="I216" i="1"/>
  <c r="H216" i="1"/>
  <c r="C217" i="1"/>
  <c r="D217" i="1"/>
  <c r="F217" i="1" s="1"/>
  <c r="G217" i="1" s="1"/>
  <c r="T218" i="1" l="1"/>
  <c r="S218" i="1"/>
  <c r="R218" i="1"/>
  <c r="Q218" i="1"/>
  <c r="M216" i="1"/>
  <c r="K216" i="1"/>
  <c r="N216" i="1"/>
  <c r="L216" i="1"/>
  <c r="P218" i="1"/>
  <c r="O218" i="1"/>
  <c r="I217" i="1"/>
  <c r="H217" i="1"/>
  <c r="J219" i="1"/>
  <c r="B219" i="1"/>
  <c r="A220" i="1"/>
  <c r="E219" i="1"/>
  <c r="C218" i="1"/>
  <c r="D218" i="1"/>
  <c r="F218" i="1" s="1"/>
  <c r="G218" i="1" s="1"/>
  <c r="T219" i="1" l="1"/>
  <c r="S219" i="1"/>
  <c r="Q219" i="1"/>
  <c r="R219" i="1"/>
  <c r="M217" i="1"/>
  <c r="K217" i="1"/>
  <c r="N217" i="1"/>
  <c r="L217" i="1"/>
  <c r="O219" i="1"/>
  <c r="P219" i="1"/>
  <c r="I218" i="1"/>
  <c r="H218" i="1"/>
  <c r="J220" i="1"/>
  <c r="B220" i="1"/>
  <c r="A221" i="1"/>
  <c r="E220" i="1"/>
  <c r="C219" i="1"/>
  <c r="D219" i="1"/>
  <c r="F219" i="1" s="1"/>
  <c r="G219" i="1" s="1"/>
  <c r="T220" i="1" l="1"/>
  <c r="S220" i="1"/>
  <c r="Q220" i="1"/>
  <c r="R220" i="1"/>
  <c r="L218" i="1"/>
  <c r="N218" i="1"/>
  <c r="K218" i="1"/>
  <c r="M218" i="1"/>
  <c r="P220" i="1"/>
  <c r="O220" i="1"/>
  <c r="I219" i="1"/>
  <c r="H219" i="1"/>
  <c r="J221" i="1"/>
  <c r="B221" i="1"/>
  <c r="A222" i="1"/>
  <c r="E221" i="1"/>
  <c r="C220" i="1"/>
  <c r="D220" i="1"/>
  <c r="F220" i="1" s="1"/>
  <c r="G220" i="1" s="1"/>
  <c r="T221" i="1" l="1"/>
  <c r="S221" i="1"/>
  <c r="R221" i="1"/>
  <c r="Q221" i="1"/>
  <c r="L219" i="1"/>
  <c r="N219" i="1"/>
  <c r="K219" i="1"/>
  <c r="M219" i="1"/>
  <c r="O221" i="1"/>
  <c r="P221" i="1"/>
  <c r="I220" i="1"/>
  <c r="H220" i="1"/>
  <c r="C221" i="1"/>
  <c r="D221" i="1"/>
  <c r="F221" i="1" s="1"/>
  <c r="G221" i="1" s="1"/>
  <c r="J222" i="1"/>
  <c r="B222" i="1"/>
  <c r="A223" i="1"/>
  <c r="E222" i="1"/>
  <c r="T222" i="1" l="1"/>
  <c r="S222" i="1"/>
  <c r="R222" i="1"/>
  <c r="Q222" i="1"/>
  <c r="K220" i="1"/>
  <c r="M220" i="1"/>
  <c r="L220" i="1"/>
  <c r="N220" i="1"/>
  <c r="O222" i="1"/>
  <c r="P222" i="1"/>
  <c r="J223" i="1"/>
  <c r="B223" i="1"/>
  <c r="A224" i="1"/>
  <c r="E223" i="1"/>
  <c r="C222" i="1"/>
  <c r="D222" i="1"/>
  <c r="F222" i="1" s="1"/>
  <c r="G222" i="1" s="1"/>
  <c r="I221" i="1"/>
  <c r="H221" i="1"/>
  <c r="T223" i="1" l="1"/>
  <c r="S223" i="1"/>
  <c r="R223" i="1"/>
  <c r="Q223" i="1"/>
  <c r="K221" i="1"/>
  <c r="M221" i="1"/>
  <c r="L221" i="1"/>
  <c r="N221" i="1"/>
  <c r="J224" i="1"/>
  <c r="B224" i="1"/>
  <c r="A225" i="1"/>
  <c r="E224" i="1"/>
  <c r="C223" i="1"/>
  <c r="D223" i="1"/>
  <c r="F223" i="1" s="1"/>
  <c r="G223" i="1" s="1"/>
  <c r="I222" i="1"/>
  <c r="H222" i="1"/>
  <c r="T224" i="1" l="1"/>
  <c r="S224" i="1"/>
  <c r="R224" i="1"/>
  <c r="Q224" i="1"/>
  <c r="K222" i="1"/>
  <c r="M222" i="1"/>
  <c r="L222" i="1"/>
  <c r="N222" i="1"/>
  <c r="J225" i="1"/>
  <c r="B225" i="1"/>
  <c r="A226" i="1"/>
  <c r="E225" i="1"/>
  <c r="C224" i="1"/>
  <c r="D224" i="1"/>
  <c r="F224" i="1" s="1"/>
  <c r="G224" i="1" s="1"/>
  <c r="I223" i="1"/>
  <c r="P223" i="1" s="1"/>
  <c r="H223" i="1"/>
  <c r="T225" i="1" l="1"/>
  <c r="S225" i="1"/>
  <c r="O223" i="1"/>
  <c r="R225" i="1"/>
  <c r="Q225" i="1"/>
  <c r="K223" i="1"/>
  <c r="M223" i="1"/>
  <c r="L223" i="1"/>
  <c r="N223" i="1"/>
  <c r="E226" i="1"/>
  <c r="J226" i="1"/>
  <c r="B226" i="1"/>
  <c r="A227" i="1"/>
  <c r="C225" i="1"/>
  <c r="D225" i="1"/>
  <c r="F225" i="1" s="1"/>
  <c r="G225" i="1" s="1"/>
  <c r="I224" i="1"/>
  <c r="P224" i="1" s="1"/>
  <c r="H224" i="1"/>
  <c r="T226" i="1" l="1"/>
  <c r="S226" i="1"/>
  <c r="O224" i="1"/>
  <c r="R226" i="1"/>
  <c r="Q226" i="1"/>
  <c r="L224" i="1"/>
  <c r="N224" i="1"/>
  <c r="K224" i="1"/>
  <c r="M224" i="1"/>
  <c r="C226" i="1"/>
  <c r="D226" i="1"/>
  <c r="F226" i="1" s="1"/>
  <c r="G226" i="1" s="1"/>
  <c r="I225" i="1"/>
  <c r="P225" i="1" s="1"/>
  <c r="H225" i="1"/>
  <c r="E227" i="1"/>
  <c r="J227" i="1"/>
  <c r="B227" i="1"/>
  <c r="A228" i="1"/>
  <c r="S227" i="1" l="1"/>
  <c r="T227" i="1"/>
  <c r="O225" i="1"/>
  <c r="Q227" i="1"/>
  <c r="R227" i="1"/>
  <c r="K225" i="1"/>
  <c r="M225" i="1"/>
  <c r="L225" i="1"/>
  <c r="N225" i="1"/>
  <c r="C227" i="1"/>
  <c r="D227" i="1"/>
  <c r="F227" i="1" s="1"/>
  <c r="G227" i="1" s="1"/>
  <c r="E228" i="1"/>
  <c r="J228" i="1"/>
  <c r="B228" i="1"/>
  <c r="A229" i="1"/>
  <c r="I226" i="1"/>
  <c r="P226" i="1" s="1"/>
  <c r="H226" i="1"/>
  <c r="T228" i="1" l="1"/>
  <c r="S228" i="1"/>
  <c r="O226" i="1"/>
  <c r="L226" i="1"/>
  <c r="N226" i="1"/>
  <c r="K226" i="1"/>
  <c r="M226" i="1"/>
  <c r="O228" i="1"/>
  <c r="P228" i="1"/>
  <c r="E229" i="1"/>
  <c r="J229" i="1"/>
  <c r="B229" i="1"/>
  <c r="A230" i="1"/>
  <c r="C228" i="1"/>
  <c r="D228" i="1"/>
  <c r="F228" i="1" s="1"/>
  <c r="G228" i="1" s="1"/>
  <c r="I227" i="1"/>
  <c r="P227" i="1" s="1"/>
  <c r="H227" i="1"/>
  <c r="T229" i="1" l="1"/>
  <c r="S229" i="1"/>
  <c r="O227" i="1"/>
  <c r="L227" i="1"/>
  <c r="N227" i="1"/>
  <c r="K227" i="1"/>
  <c r="M227" i="1"/>
  <c r="O229" i="1"/>
  <c r="P229" i="1"/>
  <c r="I228" i="1"/>
  <c r="H228" i="1"/>
  <c r="E230" i="1"/>
  <c r="J230" i="1"/>
  <c r="B230" i="1"/>
  <c r="A231" i="1"/>
  <c r="C229" i="1"/>
  <c r="D229" i="1"/>
  <c r="F229" i="1" s="1"/>
  <c r="G229" i="1" s="1"/>
  <c r="Q228" i="1" l="1"/>
  <c r="R228" i="1"/>
  <c r="R230" i="1"/>
  <c r="Q230" i="1"/>
  <c r="K228" i="1"/>
  <c r="M228" i="1"/>
  <c r="L228" i="1"/>
  <c r="N228" i="1"/>
  <c r="O230" i="1"/>
  <c r="P230" i="1"/>
  <c r="I229" i="1"/>
  <c r="H229" i="1"/>
  <c r="E231" i="1"/>
  <c r="J231" i="1"/>
  <c r="B231" i="1"/>
  <c r="A232" i="1"/>
  <c r="C230" i="1"/>
  <c r="D230" i="1"/>
  <c r="F230" i="1" s="1"/>
  <c r="G230" i="1" s="1"/>
  <c r="T231" i="1" l="1"/>
  <c r="S231" i="1"/>
  <c r="Q229" i="1"/>
  <c r="R229" i="1"/>
  <c r="R231" i="1"/>
  <c r="Q231" i="1"/>
  <c r="K229" i="1"/>
  <c r="M229" i="1"/>
  <c r="L229" i="1"/>
  <c r="N229" i="1"/>
  <c r="O231" i="1"/>
  <c r="P231" i="1"/>
  <c r="I230" i="1"/>
  <c r="T230" i="1" s="1"/>
  <c r="H230" i="1"/>
  <c r="S230" i="1" s="1"/>
  <c r="E232" i="1"/>
  <c r="J232" i="1"/>
  <c r="B232" i="1"/>
  <c r="A233" i="1"/>
  <c r="C231" i="1"/>
  <c r="D231" i="1"/>
  <c r="F231" i="1" s="1"/>
  <c r="G231" i="1" s="1"/>
  <c r="T232" i="1" l="1"/>
  <c r="S232" i="1"/>
  <c r="R232" i="1"/>
  <c r="Q232" i="1"/>
  <c r="K230" i="1"/>
  <c r="M230" i="1"/>
  <c r="L230" i="1"/>
  <c r="N230" i="1"/>
  <c r="P232" i="1"/>
  <c r="O232" i="1"/>
  <c r="E233" i="1"/>
  <c r="J233" i="1"/>
  <c r="B233" i="1"/>
  <c r="A234" i="1"/>
  <c r="I231" i="1"/>
  <c r="H231" i="1"/>
  <c r="C232" i="1"/>
  <c r="D232" i="1"/>
  <c r="F232" i="1" s="1"/>
  <c r="G232" i="1" s="1"/>
  <c r="T233" i="1" l="1"/>
  <c r="S233" i="1"/>
  <c r="R233" i="1"/>
  <c r="Q233" i="1"/>
  <c r="L231" i="1"/>
  <c r="N231" i="1"/>
  <c r="K231" i="1"/>
  <c r="M231" i="1"/>
  <c r="O233" i="1"/>
  <c r="P233" i="1"/>
  <c r="I232" i="1"/>
  <c r="H232" i="1"/>
  <c r="E234" i="1"/>
  <c r="J234" i="1"/>
  <c r="B234" i="1"/>
  <c r="A235" i="1"/>
  <c r="C233" i="1"/>
  <c r="D233" i="1"/>
  <c r="F233" i="1" s="1"/>
  <c r="G233" i="1" s="1"/>
  <c r="T234" i="1" l="1"/>
  <c r="S234" i="1"/>
  <c r="R234" i="1"/>
  <c r="Q234" i="1"/>
  <c r="K232" i="1"/>
  <c r="M232" i="1"/>
  <c r="L232" i="1"/>
  <c r="N232" i="1"/>
  <c r="P234" i="1"/>
  <c r="O234" i="1"/>
  <c r="I233" i="1"/>
  <c r="H233" i="1"/>
  <c r="E235" i="1"/>
  <c r="J235" i="1"/>
  <c r="B235" i="1"/>
  <c r="A236" i="1"/>
  <c r="C234" i="1"/>
  <c r="D234" i="1"/>
  <c r="F234" i="1" s="1"/>
  <c r="G234" i="1" s="1"/>
  <c r="S235" i="1" l="1"/>
  <c r="T235" i="1"/>
  <c r="Q235" i="1"/>
  <c r="R235" i="1"/>
  <c r="K233" i="1"/>
  <c r="M233" i="1"/>
  <c r="L233" i="1"/>
  <c r="N233" i="1"/>
  <c r="O235" i="1"/>
  <c r="P235" i="1"/>
  <c r="I234" i="1"/>
  <c r="H234" i="1"/>
  <c r="E236" i="1"/>
  <c r="J236" i="1"/>
  <c r="B236" i="1"/>
  <c r="A237" i="1"/>
  <c r="C235" i="1"/>
  <c r="D235" i="1"/>
  <c r="F235" i="1" s="1"/>
  <c r="G235" i="1" s="1"/>
  <c r="T236" i="1" l="1"/>
  <c r="S236" i="1"/>
  <c r="Q236" i="1"/>
  <c r="R236" i="1"/>
  <c r="K234" i="1"/>
  <c r="M234" i="1"/>
  <c r="L234" i="1"/>
  <c r="N234" i="1"/>
  <c r="O236" i="1"/>
  <c r="P236" i="1"/>
  <c r="I235" i="1"/>
  <c r="H235" i="1"/>
  <c r="E237" i="1"/>
  <c r="B237" i="1"/>
  <c r="A238" i="1"/>
  <c r="J237" i="1"/>
  <c r="C236" i="1"/>
  <c r="D236" i="1"/>
  <c r="F236" i="1" s="1"/>
  <c r="G236" i="1" s="1"/>
  <c r="T237" i="1" l="1"/>
  <c r="S237" i="1"/>
  <c r="R237" i="1"/>
  <c r="Q237" i="1"/>
  <c r="K235" i="1"/>
  <c r="M235" i="1"/>
  <c r="L235" i="1"/>
  <c r="N235" i="1"/>
  <c r="O237" i="1"/>
  <c r="P237" i="1"/>
  <c r="I236" i="1"/>
  <c r="H236" i="1"/>
  <c r="D237" i="1"/>
  <c r="F237" i="1" s="1"/>
  <c r="G237" i="1" s="1"/>
  <c r="C237" i="1"/>
  <c r="A239" i="1"/>
  <c r="E238" i="1"/>
  <c r="J238" i="1"/>
  <c r="B238" i="1"/>
  <c r="T238" i="1" l="1"/>
  <c r="S238" i="1"/>
  <c r="R238" i="1"/>
  <c r="Q238" i="1"/>
  <c r="K236" i="1"/>
  <c r="M236" i="1"/>
  <c r="L236" i="1"/>
  <c r="N236" i="1"/>
  <c r="O238" i="1"/>
  <c r="P238" i="1"/>
  <c r="D238" i="1"/>
  <c r="F238" i="1" s="1"/>
  <c r="G238" i="1" s="1"/>
  <c r="C238" i="1"/>
  <c r="H237" i="1"/>
  <c r="I237" i="1"/>
  <c r="E239" i="1"/>
  <c r="B239" i="1"/>
  <c r="A240" i="1"/>
  <c r="J239" i="1"/>
  <c r="T239" i="1" l="1"/>
  <c r="S239" i="1"/>
  <c r="R239" i="1"/>
  <c r="Q239" i="1"/>
  <c r="L237" i="1"/>
  <c r="N237" i="1"/>
  <c r="K237" i="1"/>
  <c r="M237" i="1"/>
  <c r="O239" i="1"/>
  <c r="P239" i="1"/>
  <c r="B240" i="1"/>
  <c r="J240" i="1"/>
  <c r="A241" i="1"/>
  <c r="E240" i="1"/>
  <c r="D239" i="1"/>
  <c r="F239" i="1" s="1"/>
  <c r="G239" i="1" s="1"/>
  <c r="C239" i="1"/>
  <c r="I238" i="1"/>
  <c r="H238" i="1"/>
  <c r="T240" i="1" l="1"/>
  <c r="S240" i="1"/>
  <c r="R240" i="1"/>
  <c r="Q240" i="1"/>
  <c r="L238" i="1"/>
  <c r="N238" i="1"/>
  <c r="K238" i="1"/>
  <c r="M238" i="1"/>
  <c r="O240" i="1"/>
  <c r="P240" i="1"/>
  <c r="H239" i="1"/>
  <c r="I239" i="1"/>
  <c r="D240" i="1"/>
  <c r="F240" i="1" s="1"/>
  <c r="G240" i="1" s="1"/>
  <c r="C240" i="1"/>
  <c r="E241" i="1"/>
  <c r="A242" i="1"/>
  <c r="J241" i="1"/>
  <c r="B241" i="1"/>
  <c r="T241" i="1" l="1"/>
  <c r="S241" i="1"/>
  <c r="R241" i="1"/>
  <c r="Q241" i="1"/>
  <c r="L239" i="1"/>
  <c r="N239" i="1"/>
  <c r="K239" i="1"/>
  <c r="M239" i="1"/>
  <c r="O241" i="1"/>
  <c r="P241" i="1"/>
  <c r="D241" i="1"/>
  <c r="F241" i="1" s="1"/>
  <c r="G241" i="1" s="1"/>
  <c r="C241" i="1"/>
  <c r="E242" i="1"/>
  <c r="A243" i="1"/>
  <c r="B242" i="1"/>
  <c r="J242" i="1"/>
  <c r="H240" i="1"/>
  <c r="I240" i="1"/>
  <c r="T242" i="1" l="1"/>
  <c r="S242" i="1"/>
  <c r="R242" i="1"/>
  <c r="Q242" i="1"/>
  <c r="L240" i="1"/>
  <c r="N240" i="1"/>
  <c r="K240" i="1"/>
  <c r="M240" i="1"/>
  <c r="P242" i="1"/>
  <c r="O242" i="1"/>
  <c r="D242" i="1"/>
  <c r="F242" i="1" s="1"/>
  <c r="G242" i="1" s="1"/>
  <c r="C242" i="1"/>
  <c r="E243" i="1"/>
  <c r="B243" i="1"/>
  <c r="A244" i="1"/>
  <c r="J243" i="1"/>
  <c r="H241" i="1"/>
  <c r="I241" i="1"/>
  <c r="S243" i="1" l="1"/>
  <c r="T243" i="1"/>
  <c r="Q243" i="1"/>
  <c r="R243" i="1"/>
  <c r="K241" i="1"/>
  <c r="M241" i="1"/>
  <c r="L241" i="1"/>
  <c r="N241" i="1"/>
  <c r="B244" i="1"/>
  <c r="J244" i="1"/>
  <c r="A245" i="1"/>
  <c r="E244" i="1"/>
  <c r="D243" i="1"/>
  <c r="F243" i="1" s="1"/>
  <c r="G243" i="1" s="1"/>
  <c r="C243" i="1"/>
  <c r="H242" i="1"/>
  <c r="I242" i="1"/>
  <c r="T244" i="1" l="1"/>
  <c r="S244" i="1"/>
  <c r="Q244" i="1"/>
  <c r="R244" i="1"/>
  <c r="K242" i="1"/>
  <c r="M242" i="1"/>
  <c r="L242" i="1"/>
  <c r="N242" i="1"/>
  <c r="H243" i="1"/>
  <c r="I243" i="1"/>
  <c r="N243" i="1" s="1"/>
  <c r="D244" i="1"/>
  <c r="F244" i="1" s="1"/>
  <c r="G244" i="1" s="1"/>
  <c r="C244" i="1"/>
  <c r="E245" i="1"/>
  <c r="J245" i="1"/>
  <c r="B245" i="1"/>
  <c r="A246" i="1"/>
  <c r="T245" i="1" l="1"/>
  <c r="S245" i="1"/>
  <c r="M243" i="1"/>
  <c r="R245" i="1"/>
  <c r="Q245" i="1"/>
  <c r="L243" i="1"/>
  <c r="P243" i="1"/>
  <c r="K243" i="1"/>
  <c r="O243" i="1"/>
  <c r="A247" i="1"/>
  <c r="E246" i="1"/>
  <c r="B246" i="1"/>
  <c r="J246" i="1"/>
  <c r="D245" i="1"/>
  <c r="F245" i="1" s="1"/>
  <c r="G245" i="1" s="1"/>
  <c r="C245" i="1"/>
  <c r="H244" i="1"/>
  <c r="I244" i="1"/>
  <c r="N244" i="1" s="1"/>
  <c r="T246" i="1" l="1"/>
  <c r="S246" i="1"/>
  <c r="M244" i="1"/>
  <c r="R246" i="1"/>
  <c r="Q246" i="1"/>
  <c r="K244" i="1"/>
  <c r="O244" i="1"/>
  <c r="L244" i="1"/>
  <c r="P244" i="1"/>
  <c r="H245" i="1"/>
  <c r="I245" i="1"/>
  <c r="N245" i="1" s="1"/>
  <c r="D246" i="1"/>
  <c r="F246" i="1" s="1"/>
  <c r="G246" i="1" s="1"/>
  <c r="C246" i="1"/>
  <c r="A248" i="1"/>
  <c r="B247" i="1"/>
  <c r="J247" i="1"/>
  <c r="E247" i="1"/>
  <c r="T247" i="1" l="1"/>
  <c r="S247" i="1"/>
  <c r="M245" i="1"/>
  <c r="R247" i="1"/>
  <c r="Q247" i="1"/>
  <c r="L245" i="1"/>
  <c r="P245" i="1"/>
  <c r="K245" i="1"/>
  <c r="O245" i="1"/>
  <c r="H246" i="1"/>
  <c r="I246" i="1"/>
  <c r="N246" i="1" s="1"/>
  <c r="D247" i="1"/>
  <c r="F247" i="1" s="1"/>
  <c r="G247" i="1" s="1"/>
  <c r="C247" i="1"/>
  <c r="A249" i="1"/>
  <c r="B248" i="1"/>
  <c r="J248" i="1"/>
  <c r="E248" i="1"/>
  <c r="T248" i="1" l="1"/>
  <c r="S248" i="1"/>
  <c r="M246" i="1"/>
  <c r="R248" i="1"/>
  <c r="Q248" i="1"/>
  <c r="L246" i="1"/>
  <c r="P246" i="1"/>
  <c r="K246" i="1"/>
  <c r="O246" i="1"/>
  <c r="P248" i="1"/>
  <c r="O248" i="1"/>
  <c r="D248" i="1"/>
  <c r="F248" i="1" s="1"/>
  <c r="G248" i="1" s="1"/>
  <c r="C248" i="1"/>
  <c r="A250" i="1"/>
  <c r="B249" i="1"/>
  <c r="J249" i="1"/>
  <c r="E249" i="1"/>
  <c r="I247" i="1"/>
  <c r="L247" i="1" s="1"/>
  <c r="H247" i="1"/>
  <c r="T249" i="1" l="1"/>
  <c r="S249" i="1"/>
  <c r="K247" i="1"/>
  <c r="R249" i="1"/>
  <c r="Q249" i="1"/>
  <c r="M247" i="1"/>
  <c r="O247" i="1"/>
  <c r="N247" i="1"/>
  <c r="P247" i="1"/>
  <c r="O249" i="1"/>
  <c r="P249" i="1"/>
  <c r="I248" i="1"/>
  <c r="H248" i="1"/>
  <c r="D249" i="1"/>
  <c r="F249" i="1" s="1"/>
  <c r="G249" i="1" s="1"/>
  <c r="C249" i="1"/>
  <c r="A251" i="1"/>
  <c r="B250" i="1"/>
  <c r="J250" i="1"/>
  <c r="E250" i="1"/>
  <c r="T250" i="1" l="1"/>
  <c r="S250" i="1"/>
  <c r="R250" i="1"/>
  <c r="Q250" i="1"/>
  <c r="M248" i="1"/>
  <c r="K248" i="1"/>
  <c r="N248" i="1"/>
  <c r="L248" i="1"/>
  <c r="P250" i="1"/>
  <c r="O250" i="1"/>
  <c r="D250" i="1"/>
  <c r="F250" i="1" s="1"/>
  <c r="G250" i="1" s="1"/>
  <c r="C250" i="1"/>
  <c r="A252" i="1"/>
  <c r="B251" i="1"/>
  <c r="J251" i="1"/>
  <c r="E251" i="1"/>
  <c r="I249" i="1"/>
  <c r="H249" i="1"/>
  <c r="T251" i="1" l="1"/>
  <c r="S251" i="1"/>
  <c r="Q251" i="1"/>
  <c r="R251" i="1"/>
  <c r="M249" i="1"/>
  <c r="K249" i="1"/>
  <c r="N249" i="1"/>
  <c r="L249" i="1"/>
  <c r="O251" i="1"/>
  <c r="P251" i="1"/>
  <c r="I250" i="1"/>
  <c r="H250" i="1"/>
  <c r="D251" i="1"/>
  <c r="F251" i="1" s="1"/>
  <c r="G251" i="1" s="1"/>
  <c r="C251" i="1"/>
  <c r="A253" i="1"/>
  <c r="B252" i="1"/>
  <c r="J252" i="1"/>
  <c r="E252" i="1"/>
  <c r="T252" i="1" l="1"/>
  <c r="S252" i="1"/>
  <c r="Q252" i="1"/>
  <c r="R252" i="1"/>
  <c r="M250" i="1"/>
  <c r="K250" i="1"/>
  <c r="N250" i="1"/>
  <c r="L250" i="1"/>
  <c r="O252" i="1"/>
  <c r="P252" i="1"/>
  <c r="A254" i="1"/>
  <c r="B253" i="1"/>
  <c r="J253" i="1"/>
  <c r="E253" i="1"/>
  <c r="D252" i="1"/>
  <c r="F252" i="1" s="1"/>
  <c r="G252" i="1" s="1"/>
  <c r="C252" i="1"/>
  <c r="I251" i="1"/>
  <c r="H251" i="1"/>
  <c r="T253" i="1" l="1"/>
  <c r="S253" i="1"/>
  <c r="R253" i="1"/>
  <c r="Q253" i="1"/>
  <c r="N251" i="1"/>
  <c r="L251" i="1"/>
  <c r="M251" i="1"/>
  <c r="K251" i="1"/>
  <c r="O253" i="1"/>
  <c r="P253" i="1"/>
  <c r="D253" i="1"/>
  <c r="F253" i="1" s="1"/>
  <c r="G253" i="1" s="1"/>
  <c r="C253" i="1"/>
  <c r="I252" i="1"/>
  <c r="H252" i="1"/>
  <c r="A255" i="1"/>
  <c r="B254" i="1"/>
  <c r="J254" i="1"/>
  <c r="E254" i="1"/>
  <c r="T254" i="1" l="1"/>
  <c r="S254" i="1"/>
  <c r="R254" i="1"/>
  <c r="Q254" i="1"/>
  <c r="N252" i="1"/>
  <c r="L252" i="1"/>
  <c r="M252" i="1"/>
  <c r="K252" i="1"/>
  <c r="O254" i="1"/>
  <c r="P254" i="1"/>
  <c r="A256" i="1"/>
  <c r="B255" i="1"/>
  <c r="J255" i="1"/>
  <c r="E255" i="1"/>
  <c r="D254" i="1"/>
  <c r="F254" i="1" s="1"/>
  <c r="G254" i="1" s="1"/>
  <c r="C254" i="1"/>
  <c r="I253" i="1"/>
  <c r="H253" i="1"/>
  <c r="T255" i="1" l="1"/>
  <c r="S255" i="1"/>
  <c r="R255" i="1"/>
  <c r="Q255" i="1"/>
  <c r="N253" i="1"/>
  <c r="L253" i="1"/>
  <c r="M253" i="1"/>
  <c r="K253" i="1"/>
  <c r="O255" i="1"/>
  <c r="P255" i="1"/>
  <c r="I254" i="1"/>
  <c r="H254" i="1"/>
  <c r="D255" i="1"/>
  <c r="F255" i="1" s="1"/>
  <c r="G255" i="1" s="1"/>
  <c r="C255" i="1"/>
  <c r="A257" i="1"/>
  <c r="B256" i="1"/>
  <c r="J256" i="1"/>
  <c r="E256" i="1"/>
  <c r="T256" i="1" l="1"/>
  <c r="S256" i="1"/>
  <c r="R256" i="1"/>
  <c r="Q256" i="1"/>
  <c r="M254" i="1"/>
  <c r="K254" i="1"/>
  <c r="N254" i="1"/>
  <c r="L254" i="1"/>
  <c r="P256" i="1"/>
  <c r="O256" i="1"/>
  <c r="A258" i="1"/>
  <c r="B257" i="1"/>
  <c r="J257" i="1"/>
  <c r="E257" i="1"/>
  <c r="D256" i="1"/>
  <c r="F256" i="1" s="1"/>
  <c r="G256" i="1" s="1"/>
  <c r="C256" i="1"/>
  <c r="I255" i="1"/>
  <c r="H255" i="1"/>
  <c r="T257" i="1" l="1"/>
  <c r="S257" i="1"/>
  <c r="R257" i="1"/>
  <c r="Q257" i="1"/>
  <c r="M255" i="1"/>
  <c r="K255" i="1"/>
  <c r="N255" i="1"/>
  <c r="L255" i="1"/>
  <c r="O257" i="1"/>
  <c r="P257" i="1"/>
  <c r="I256" i="1"/>
  <c r="H256" i="1"/>
  <c r="A259" i="1"/>
  <c r="B258" i="1"/>
  <c r="J258" i="1"/>
  <c r="E258" i="1"/>
  <c r="D257" i="1"/>
  <c r="F257" i="1" s="1"/>
  <c r="G257" i="1" s="1"/>
  <c r="C257" i="1"/>
  <c r="T258" i="1" l="1"/>
  <c r="S258" i="1"/>
  <c r="R258" i="1"/>
  <c r="Q258" i="1"/>
  <c r="M256" i="1"/>
  <c r="K256" i="1"/>
  <c r="N256" i="1"/>
  <c r="L256" i="1"/>
  <c r="P258" i="1"/>
  <c r="O258" i="1"/>
  <c r="I257" i="1"/>
  <c r="H257" i="1"/>
  <c r="D258" i="1"/>
  <c r="F258" i="1" s="1"/>
  <c r="G258" i="1" s="1"/>
  <c r="C258" i="1"/>
  <c r="A260" i="1"/>
  <c r="B259" i="1"/>
  <c r="J259" i="1"/>
  <c r="E259" i="1"/>
  <c r="S259" i="1" l="1"/>
  <c r="T259" i="1"/>
  <c r="Q259" i="1"/>
  <c r="R259" i="1"/>
  <c r="M257" i="1"/>
  <c r="K257" i="1"/>
  <c r="N257" i="1"/>
  <c r="L257" i="1"/>
  <c r="O259" i="1"/>
  <c r="P259" i="1"/>
  <c r="I258" i="1"/>
  <c r="H258" i="1"/>
  <c r="D259" i="1"/>
  <c r="F259" i="1" s="1"/>
  <c r="G259" i="1" s="1"/>
  <c r="C259" i="1"/>
  <c r="A261" i="1"/>
  <c r="B260" i="1"/>
  <c r="J260" i="1"/>
  <c r="E260" i="1"/>
  <c r="T260" i="1" l="1"/>
  <c r="S260" i="1"/>
  <c r="Q260" i="1"/>
  <c r="R260" i="1"/>
  <c r="M258" i="1"/>
  <c r="K258" i="1"/>
  <c r="N258" i="1"/>
  <c r="L258" i="1"/>
  <c r="O260" i="1"/>
  <c r="P260" i="1"/>
  <c r="I259" i="1"/>
  <c r="H259" i="1"/>
  <c r="D260" i="1"/>
  <c r="F260" i="1" s="1"/>
  <c r="G260" i="1" s="1"/>
  <c r="C260" i="1"/>
  <c r="A262" i="1"/>
  <c r="B261" i="1"/>
  <c r="J261" i="1"/>
  <c r="E261" i="1"/>
  <c r="T261" i="1" l="1"/>
  <c r="S261" i="1"/>
  <c r="R261" i="1"/>
  <c r="Q261" i="1"/>
  <c r="M259" i="1"/>
  <c r="K259" i="1"/>
  <c r="N259" i="1"/>
  <c r="L259" i="1"/>
  <c r="O261" i="1"/>
  <c r="P261" i="1"/>
  <c r="A263" i="1"/>
  <c r="B262" i="1"/>
  <c r="J262" i="1"/>
  <c r="E262" i="1"/>
  <c r="D261" i="1"/>
  <c r="F261" i="1" s="1"/>
  <c r="G261" i="1" s="1"/>
  <c r="C261" i="1"/>
  <c r="I260" i="1"/>
  <c r="H260" i="1"/>
  <c r="T262" i="1" l="1"/>
  <c r="S262" i="1"/>
  <c r="R262" i="1"/>
  <c r="Q262" i="1"/>
  <c r="N260" i="1"/>
  <c r="L260" i="1"/>
  <c r="M260" i="1"/>
  <c r="K260" i="1"/>
  <c r="P262" i="1"/>
  <c r="O262" i="1"/>
  <c r="A264" i="1"/>
  <c r="B263" i="1"/>
  <c r="J263" i="1"/>
  <c r="E263" i="1"/>
  <c r="I261" i="1"/>
  <c r="H261" i="1"/>
  <c r="D262" i="1"/>
  <c r="F262" i="1" s="1"/>
  <c r="G262" i="1" s="1"/>
  <c r="C262" i="1"/>
  <c r="T263" i="1" l="1"/>
  <c r="S263" i="1"/>
  <c r="R263" i="1"/>
  <c r="Q263" i="1"/>
  <c r="N261" i="1"/>
  <c r="L261" i="1"/>
  <c r="M261" i="1"/>
  <c r="K261" i="1"/>
  <c r="O263" i="1"/>
  <c r="P263" i="1"/>
  <c r="D263" i="1"/>
  <c r="F263" i="1" s="1"/>
  <c r="G263" i="1" s="1"/>
  <c r="C263" i="1"/>
  <c r="I262" i="1"/>
  <c r="H262" i="1"/>
  <c r="A265" i="1"/>
  <c r="B264" i="1"/>
  <c r="J264" i="1"/>
  <c r="E264" i="1"/>
  <c r="T264" i="1" l="1"/>
  <c r="S264" i="1"/>
  <c r="R264" i="1"/>
  <c r="Q264" i="1"/>
  <c r="N262" i="1"/>
  <c r="L262" i="1"/>
  <c r="M262" i="1"/>
  <c r="K262" i="1"/>
  <c r="O264" i="1"/>
  <c r="P264" i="1"/>
  <c r="D264" i="1"/>
  <c r="F264" i="1" s="1"/>
  <c r="G264" i="1" s="1"/>
  <c r="C264" i="1"/>
  <c r="A266" i="1"/>
  <c r="B265" i="1"/>
  <c r="J265" i="1"/>
  <c r="E265" i="1"/>
  <c r="I263" i="1"/>
  <c r="H263" i="1"/>
  <c r="T265" i="1" l="1"/>
  <c r="S265" i="1"/>
  <c r="R265" i="1"/>
  <c r="Q265" i="1"/>
  <c r="M263" i="1"/>
  <c r="K263" i="1"/>
  <c r="N263" i="1"/>
  <c r="L263" i="1"/>
  <c r="O265" i="1"/>
  <c r="P265" i="1"/>
  <c r="I264" i="1"/>
  <c r="H264" i="1"/>
  <c r="D265" i="1"/>
  <c r="F265" i="1" s="1"/>
  <c r="G265" i="1" s="1"/>
  <c r="C265" i="1"/>
  <c r="A267" i="1"/>
  <c r="B266" i="1"/>
  <c r="J266" i="1"/>
  <c r="E266" i="1"/>
  <c r="T266" i="1" l="1"/>
  <c r="S266" i="1"/>
  <c r="R266" i="1"/>
  <c r="Q266" i="1"/>
  <c r="M264" i="1"/>
  <c r="K264" i="1"/>
  <c r="N264" i="1"/>
  <c r="L264" i="1"/>
  <c r="O266" i="1"/>
  <c r="P266" i="1"/>
  <c r="D266" i="1"/>
  <c r="F266" i="1" s="1"/>
  <c r="G266" i="1" s="1"/>
  <c r="C266" i="1"/>
  <c r="A268" i="1"/>
  <c r="B267" i="1"/>
  <c r="J267" i="1"/>
  <c r="E267" i="1"/>
  <c r="I265" i="1"/>
  <c r="H265" i="1"/>
  <c r="T267" i="1" l="1"/>
  <c r="S267" i="1"/>
  <c r="Q267" i="1"/>
  <c r="R267" i="1"/>
  <c r="M265" i="1"/>
  <c r="K265" i="1"/>
  <c r="N265" i="1"/>
  <c r="L265" i="1"/>
  <c r="O267" i="1"/>
  <c r="P267" i="1"/>
  <c r="D267" i="1"/>
  <c r="F267" i="1" s="1"/>
  <c r="G267" i="1" s="1"/>
  <c r="C267" i="1"/>
  <c r="A269" i="1"/>
  <c r="B268" i="1"/>
  <c r="J268" i="1"/>
  <c r="E268" i="1"/>
  <c r="I266" i="1"/>
  <c r="H266" i="1"/>
  <c r="T268" i="1" l="1"/>
  <c r="S268" i="1"/>
  <c r="Q268" i="1"/>
  <c r="R268" i="1"/>
  <c r="M266" i="1"/>
  <c r="K266" i="1"/>
  <c r="N266" i="1"/>
  <c r="L266" i="1"/>
  <c r="P268" i="1"/>
  <c r="O268" i="1"/>
  <c r="A270" i="1"/>
  <c r="B269" i="1"/>
  <c r="J269" i="1"/>
  <c r="E269" i="1"/>
  <c r="I267" i="1"/>
  <c r="H267" i="1"/>
  <c r="D268" i="1"/>
  <c r="F268" i="1" s="1"/>
  <c r="G268" i="1" s="1"/>
  <c r="C268" i="1"/>
  <c r="T269" i="1" l="1"/>
  <c r="S269" i="1"/>
  <c r="R269" i="1"/>
  <c r="Q269" i="1"/>
  <c r="N267" i="1"/>
  <c r="L267" i="1"/>
  <c r="M267" i="1"/>
  <c r="K267" i="1"/>
  <c r="O269" i="1"/>
  <c r="P269" i="1"/>
  <c r="I268" i="1"/>
  <c r="H268" i="1"/>
  <c r="D269" i="1"/>
  <c r="F269" i="1" s="1"/>
  <c r="G269" i="1" s="1"/>
  <c r="C269" i="1"/>
  <c r="A271" i="1"/>
  <c r="B270" i="1"/>
  <c r="J270" i="1"/>
  <c r="E270" i="1"/>
  <c r="T270" i="1" l="1"/>
  <c r="S270" i="1"/>
  <c r="R270" i="1"/>
  <c r="Q270" i="1"/>
  <c r="M268" i="1"/>
  <c r="K268" i="1"/>
  <c r="N268" i="1"/>
  <c r="L268" i="1"/>
  <c r="P270" i="1"/>
  <c r="O270" i="1"/>
  <c r="I269" i="1"/>
  <c r="H269" i="1"/>
  <c r="A272" i="1"/>
  <c r="B271" i="1"/>
  <c r="J271" i="1"/>
  <c r="E271" i="1"/>
  <c r="D270" i="1"/>
  <c r="F270" i="1" s="1"/>
  <c r="G270" i="1" s="1"/>
  <c r="C270" i="1"/>
  <c r="T271" i="1" l="1"/>
  <c r="S271" i="1"/>
  <c r="R271" i="1"/>
  <c r="Q271" i="1"/>
  <c r="M269" i="1"/>
  <c r="K269" i="1"/>
  <c r="N269" i="1"/>
  <c r="L269" i="1"/>
  <c r="O271" i="1"/>
  <c r="P271" i="1"/>
  <c r="D271" i="1"/>
  <c r="F271" i="1" s="1"/>
  <c r="G271" i="1" s="1"/>
  <c r="C271" i="1"/>
  <c r="I270" i="1"/>
  <c r="H270" i="1"/>
  <c r="A273" i="1"/>
  <c r="B272" i="1"/>
  <c r="J272" i="1"/>
  <c r="E272" i="1"/>
  <c r="T272" i="1" l="1"/>
  <c r="S272" i="1"/>
  <c r="R272" i="1"/>
  <c r="Q272" i="1"/>
  <c r="M270" i="1"/>
  <c r="K270" i="1"/>
  <c r="N270" i="1"/>
  <c r="L270" i="1"/>
  <c r="O272" i="1"/>
  <c r="P272" i="1"/>
  <c r="A274" i="1"/>
  <c r="B273" i="1"/>
  <c r="J273" i="1"/>
  <c r="E273" i="1"/>
  <c r="D272" i="1"/>
  <c r="F272" i="1" s="1"/>
  <c r="G272" i="1" s="1"/>
  <c r="C272" i="1"/>
  <c r="I271" i="1"/>
  <c r="H271" i="1"/>
  <c r="T273" i="1" l="1"/>
  <c r="S273" i="1"/>
  <c r="R273" i="1"/>
  <c r="Q273" i="1"/>
  <c r="N271" i="1"/>
  <c r="L271" i="1"/>
  <c r="M271" i="1"/>
  <c r="K271" i="1"/>
  <c r="O273" i="1"/>
  <c r="P273" i="1"/>
  <c r="A275" i="1"/>
  <c r="B274" i="1"/>
  <c r="J274" i="1"/>
  <c r="E274" i="1"/>
  <c r="I272" i="1"/>
  <c r="H272" i="1"/>
  <c r="D273" i="1"/>
  <c r="F273" i="1" s="1"/>
  <c r="G273" i="1" s="1"/>
  <c r="C273" i="1"/>
  <c r="T274" i="1" l="1"/>
  <c r="S274" i="1"/>
  <c r="R274" i="1"/>
  <c r="Q274" i="1"/>
  <c r="M272" i="1"/>
  <c r="K272" i="1"/>
  <c r="N272" i="1"/>
  <c r="L272" i="1"/>
  <c r="K274" i="1"/>
  <c r="L274" i="1"/>
  <c r="O274" i="1"/>
  <c r="P274" i="1"/>
  <c r="D274" i="1"/>
  <c r="F274" i="1" s="1"/>
  <c r="G274" i="1" s="1"/>
  <c r="C274" i="1"/>
  <c r="I273" i="1"/>
  <c r="H273" i="1"/>
  <c r="K273" i="1" s="1"/>
  <c r="A276" i="1"/>
  <c r="B275" i="1"/>
  <c r="J275" i="1"/>
  <c r="E275" i="1"/>
  <c r="N273" i="1" l="1"/>
  <c r="L273" i="1"/>
  <c r="T275" i="1"/>
  <c r="S275" i="1"/>
  <c r="M273" i="1"/>
  <c r="Q275" i="1"/>
  <c r="R275" i="1"/>
  <c r="K275" i="1"/>
  <c r="L275" i="1"/>
  <c r="O275" i="1"/>
  <c r="P275" i="1"/>
  <c r="A277" i="1"/>
  <c r="B276" i="1"/>
  <c r="J276" i="1"/>
  <c r="E276" i="1"/>
  <c r="D275" i="1"/>
  <c r="F275" i="1" s="1"/>
  <c r="G275" i="1" s="1"/>
  <c r="C275" i="1"/>
  <c r="I274" i="1"/>
  <c r="N274" i="1" s="1"/>
  <c r="H274" i="1"/>
  <c r="T276" i="1" l="1"/>
  <c r="S276" i="1"/>
  <c r="M274" i="1"/>
  <c r="Q276" i="1"/>
  <c r="R276" i="1"/>
  <c r="P276" i="1"/>
  <c r="O276" i="1"/>
  <c r="D276" i="1"/>
  <c r="F276" i="1" s="1"/>
  <c r="G276" i="1" s="1"/>
  <c r="C276" i="1"/>
  <c r="A278" i="1"/>
  <c r="B277" i="1"/>
  <c r="J277" i="1"/>
  <c r="E277" i="1"/>
  <c r="I275" i="1"/>
  <c r="N275" i="1" s="1"/>
  <c r="H275" i="1"/>
  <c r="T277" i="1" l="1"/>
  <c r="S277" i="1"/>
  <c r="M275" i="1"/>
  <c r="R277" i="1"/>
  <c r="Q277" i="1"/>
  <c r="O277" i="1"/>
  <c r="P277" i="1"/>
  <c r="A279" i="1"/>
  <c r="B278" i="1"/>
  <c r="J278" i="1"/>
  <c r="E278" i="1"/>
  <c r="I276" i="1"/>
  <c r="H276" i="1"/>
  <c r="D277" i="1"/>
  <c r="F277" i="1" s="1"/>
  <c r="G277" i="1" s="1"/>
  <c r="C277" i="1"/>
  <c r="T278" i="1" l="1"/>
  <c r="S278" i="1"/>
  <c r="R278" i="1"/>
  <c r="Q278" i="1"/>
  <c r="K276" i="1"/>
  <c r="M276" i="1"/>
  <c r="L276" i="1"/>
  <c r="N276" i="1"/>
  <c r="P278" i="1"/>
  <c r="O278" i="1"/>
  <c r="I277" i="1"/>
  <c r="H277" i="1"/>
  <c r="D278" i="1"/>
  <c r="F278" i="1" s="1"/>
  <c r="G278" i="1" s="1"/>
  <c r="C278" i="1"/>
  <c r="A280" i="1"/>
  <c r="B279" i="1"/>
  <c r="J279" i="1"/>
  <c r="E279" i="1"/>
  <c r="T279" i="1" l="1"/>
  <c r="S279" i="1"/>
  <c r="R279" i="1"/>
  <c r="Q279" i="1"/>
  <c r="K277" i="1"/>
  <c r="M277" i="1"/>
  <c r="L277" i="1"/>
  <c r="N277" i="1"/>
  <c r="O279" i="1"/>
  <c r="P279" i="1"/>
  <c r="D279" i="1"/>
  <c r="F279" i="1" s="1"/>
  <c r="G279" i="1" s="1"/>
  <c r="C279" i="1"/>
  <c r="I278" i="1"/>
  <c r="H278" i="1"/>
  <c r="A281" i="1"/>
  <c r="B280" i="1"/>
  <c r="J280" i="1"/>
  <c r="E280" i="1"/>
  <c r="T280" i="1" l="1"/>
  <c r="S280" i="1"/>
  <c r="R280" i="1"/>
  <c r="Q280" i="1"/>
  <c r="K278" i="1"/>
  <c r="M278" i="1"/>
  <c r="L278" i="1"/>
  <c r="N278" i="1"/>
  <c r="O280" i="1"/>
  <c r="P280" i="1"/>
  <c r="I279" i="1"/>
  <c r="H279" i="1"/>
  <c r="D280" i="1"/>
  <c r="F280" i="1" s="1"/>
  <c r="G280" i="1" s="1"/>
  <c r="C280" i="1"/>
  <c r="A282" i="1"/>
  <c r="B281" i="1"/>
  <c r="J281" i="1"/>
  <c r="E281" i="1"/>
  <c r="T281" i="1" l="1"/>
  <c r="S281" i="1"/>
  <c r="R281" i="1"/>
  <c r="Q281" i="1"/>
  <c r="K279" i="1"/>
  <c r="M279" i="1"/>
  <c r="L279" i="1"/>
  <c r="N279" i="1"/>
  <c r="O281" i="1"/>
  <c r="P281" i="1"/>
  <c r="A283" i="1"/>
  <c r="B282" i="1"/>
  <c r="J282" i="1"/>
  <c r="E282" i="1"/>
  <c r="D281" i="1"/>
  <c r="F281" i="1" s="1"/>
  <c r="G281" i="1" s="1"/>
  <c r="C281" i="1"/>
  <c r="I280" i="1"/>
  <c r="H280" i="1"/>
  <c r="T282" i="1" l="1"/>
  <c r="S282" i="1"/>
  <c r="R282" i="1"/>
  <c r="Q282" i="1"/>
  <c r="K280" i="1"/>
  <c r="M280" i="1"/>
  <c r="L280" i="1"/>
  <c r="N280" i="1"/>
  <c r="O282" i="1"/>
  <c r="P282" i="1"/>
  <c r="I281" i="1"/>
  <c r="H281" i="1"/>
  <c r="D282" i="1"/>
  <c r="F282" i="1" s="1"/>
  <c r="G282" i="1" s="1"/>
  <c r="C282" i="1"/>
  <c r="A284" i="1"/>
  <c r="B283" i="1"/>
  <c r="J283" i="1"/>
  <c r="E283" i="1"/>
  <c r="T283" i="1" l="1"/>
  <c r="S283" i="1"/>
  <c r="Q283" i="1"/>
  <c r="R283" i="1"/>
  <c r="K281" i="1"/>
  <c r="M281" i="1"/>
  <c r="L281" i="1"/>
  <c r="N281" i="1"/>
  <c r="A285" i="1"/>
  <c r="B284" i="1"/>
  <c r="J284" i="1"/>
  <c r="E284" i="1"/>
  <c r="I282" i="1"/>
  <c r="H282" i="1"/>
  <c r="D283" i="1"/>
  <c r="F283" i="1" s="1"/>
  <c r="G283" i="1" s="1"/>
  <c r="C283" i="1"/>
  <c r="T284" i="1" l="1"/>
  <c r="S284" i="1"/>
  <c r="Q284" i="1"/>
  <c r="R284" i="1"/>
  <c r="K282" i="1"/>
  <c r="M282" i="1"/>
  <c r="L282" i="1"/>
  <c r="N282" i="1"/>
  <c r="I283" i="1"/>
  <c r="P283" i="1" s="1"/>
  <c r="H283" i="1"/>
  <c r="D284" i="1"/>
  <c r="F284" i="1" s="1"/>
  <c r="G284" i="1" s="1"/>
  <c r="C284" i="1"/>
  <c r="A286" i="1"/>
  <c r="B285" i="1"/>
  <c r="J285" i="1"/>
  <c r="E285" i="1"/>
  <c r="T285" i="1" l="1"/>
  <c r="S285" i="1"/>
  <c r="O283" i="1"/>
  <c r="R285" i="1"/>
  <c r="Q285" i="1"/>
  <c r="K283" i="1"/>
  <c r="M283" i="1"/>
  <c r="L283" i="1"/>
  <c r="N283" i="1"/>
  <c r="D285" i="1"/>
  <c r="F285" i="1" s="1"/>
  <c r="G285" i="1" s="1"/>
  <c r="C285" i="1"/>
  <c r="E286" i="1"/>
  <c r="J286" i="1"/>
  <c r="B286" i="1"/>
  <c r="A287" i="1"/>
  <c r="I284" i="1"/>
  <c r="P284" i="1" s="1"/>
  <c r="H284" i="1"/>
  <c r="T286" i="1" l="1"/>
  <c r="S286" i="1"/>
  <c r="O284" i="1"/>
  <c r="R286" i="1"/>
  <c r="Q286" i="1"/>
  <c r="K284" i="1"/>
  <c r="M284" i="1"/>
  <c r="L284" i="1"/>
  <c r="N284" i="1"/>
  <c r="C286" i="1"/>
  <c r="D286" i="1"/>
  <c r="F286" i="1" s="1"/>
  <c r="G286" i="1" s="1"/>
  <c r="I285" i="1"/>
  <c r="P285" i="1" s="1"/>
  <c r="H285" i="1"/>
  <c r="E287" i="1"/>
  <c r="J287" i="1"/>
  <c r="A288" i="1"/>
  <c r="B287" i="1"/>
  <c r="T287" i="1" l="1"/>
  <c r="S287" i="1"/>
  <c r="O285" i="1"/>
  <c r="R287" i="1"/>
  <c r="Q287" i="1"/>
  <c r="K285" i="1"/>
  <c r="M285" i="1"/>
  <c r="L285" i="1"/>
  <c r="N285" i="1"/>
  <c r="E288" i="1"/>
  <c r="J288" i="1"/>
  <c r="B288" i="1"/>
  <c r="A289" i="1"/>
  <c r="H286" i="1"/>
  <c r="I286" i="1"/>
  <c r="P286" i="1" s="1"/>
  <c r="C287" i="1"/>
  <c r="D287" i="1"/>
  <c r="F287" i="1" s="1"/>
  <c r="G287" i="1" s="1"/>
  <c r="T288" i="1" l="1"/>
  <c r="S288" i="1"/>
  <c r="O286" i="1"/>
  <c r="K286" i="1"/>
  <c r="M286" i="1"/>
  <c r="L286" i="1"/>
  <c r="N286" i="1"/>
  <c r="O288" i="1"/>
  <c r="P288" i="1"/>
  <c r="I287" i="1"/>
  <c r="P287" i="1" s="1"/>
  <c r="H287" i="1"/>
  <c r="E289" i="1"/>
  <c r="J289" i="1"/>
  <c r="A290" i="1"/>
  <c r="B289" i="1"/>
  <c r="C288" i="1"/>
  <c r="D288" i="1"/>
  <c r="F288" i="1" s="1"/>
  <c r="G288" i="1" s="1"/>
  <c r="T289" i="1" l="1"/>
  <c r="S289" i="1"/>
  <c r="O287" i="1"/>
  <c r="K287" i="1"/>
  <c r="M287" i="1"/>
  <c r="L287" i="1"/>
  <c r="N287" i="1"/>
  <c r="O289" i="1"/>
  <c r="P289" i="1"/>
  <c r="H288" i="1"/>
  <c r="I288" i="1"/>
  <c r="C289" i="1"/>
  <c r="D289" i="1"/>
  <c r="F289" i="1" s="1"/>
  <c r="G289" i="1" s="1"/>
  <c r="E290" i="1"/>
  <c r="J290" i="1"/>
  <c r="B290" i="1"/>
  <c r="A291" i="1"/>
  <c r="R288" i="1" l="1"/>
  <c r="Q288" i="1"/>
  <c r="R290" i="1"/>
  <c r="Q290" i="1"/>
  <c r="L288" i="1"/>
  <c r="N288" i="1"/>
  <c r="K288" i="1"/>
  <c r="M288" i="1"/>
  <c r="O290" i="1"/>
  <c r="P290" i="1"/>
  <c r="E291" i="1"/>
  <c r="J291" i="1"/>
  <c r="A292" i="1"/>
  <c r="B291" i="1"/>
  <c r="I289" i="1"/>
  <c r="H289" i="1"/>
  <c r="C290" i="1"/>
  <c r="D290" i="1"/>
  <c r="F290" i="1" s="1"/>
  <c r="G290" i="1" s="1"/>
  <c r="T291" i="1" l="1"/>
  <c r="S291" i="1"/>
  <c r="Q289" i="1"/>
  <c r="R289" i="1"/>
  <c r="Q291" i="1"/>
  <c r="R291" i="1"/>
  <c r="L289" i="1"/>
  <c r="N289" i="1"/>
  <c r="K289" i="1"/>
  <c r="M289" i="1"/>
  <c r="O291" i="1"/>
  <c r="P291" i="1"/>
  <c r="C291" i="1"/>
  <c r="D291" i="1"/>
  <c r="F291" i="1" s="1"/>
  <c r="G291" i="1" s="1"/>
  <c r="E292" i="1"/>
  <c r="J292" i="1"/>
  <c r="A293" i="1"/>
  <c r="B292" i="1"/>
  <c r="H290" i="1"/>
  <c r="S290" i="1" s="1"/>
  <c r="I290" i="1"/>
  <c r="T290" i="1" s="1"/>
  <c r="T292" i="1" l="1"/>
  <c r="S292" i="1"/>
  <c r="Q292" i="1"/>
  <c r="R292" i="1"/>
  <c r="K290" i="1"/>
  <c r="M290" i="1"/>
  <c r="L290" i="1"/>
  <c r="N290" i="1"/>
  <c r="P292" i="1"/>
  <c r="O292" i="1"/>
  <c r="I291" i="1"/>
  <c r="H291" i="1"/>
  <c r="C292" i="1"/>
  <c r="D292" i="1"/>
  <c r="F292" i="1" s="1"/>
  <c r="G292" i="1" s="1"/>
  <c r="E293" i="1"/>
  <c r="J293" i="1"/>
  <c r="A294" i="1"/>
  <c r="B293" i="1"/>
  <c r="T293" i="1" l="1"/>
  <c r="S293" i="1"/>
  <c r="R293" i="1"/>
  <c r="Q293" i="1"/>
  <c r="K291" i="1"/>
  <c r="M291" i="1"/>
  <c r="L291" i="1"/>
  <c r="N291" i="1"/>
  <c r="O293" i="1"/>
  <c r="P293" i="1"/>
  <c r="C293" i="1"/>
  <c r="D293" i="1"/>
  <c r="F293" i="1" s="1"/>
  <c r="G293" i="1" s="1"/>
  <c r="E294" i="1"/>
  <c r="J294" i="1"/>
  <c r="A295" i="1"/>
  <c r="B294" i="1"/>
  <c r="H292" i="1"/>
  <c r="I292" i="1"/>
  <c r="T294" i="1" l="1"/>
  <c r="S294" i="1"/>
  <c r="R294" i="1"/>
  <c r="Q294" i="1"/>
  <c r="L292" i="1"/>
  <c r="N292" i="1"/>
  <c r="K292" i="1"/>
  <c r="M292" i="1"/>
  <c r="P294" i="1"/>
  <c r="O294" i="1"/>
  <c r="E295" i="1"/>
  <c r="J295" i="1"/>
  <c r="A296" i="1"/>
  <c r="B295" i="1"/>
  <c r="C294" i="1"/>
  <c r="D294" i="1"/>
  <c r="F294" i="1" s="1"/>
  <c r="G294" i="1" s="1"/>
  <c r="H293" i="1"/>
  <c r="I293" i="1"/>
  <c r="T295" i="1" l="1"/>
  <c r="S295" i="1"/>
  <c r="R295" i="1"/>
  <c r="Q295" i="1"/>
  <c r="L293" i="1"/>
  <c r="N293" i="1"/>
  <c r="K293" i="1"/>
  <c r="M293" i="1"/>
  <c r="O295" i="1"/>
  <c r="P295" i="1"/>
  <c r="C295" i="1"/>
  <c r="D295" i="1"/>
  <c r="F295" i="1" s="1"/>
  <c r="G295" i="1" s="1"/>
  <c r="E296" i="1"/>
  <c r="J296" i="1"/>
  <c r="B296" i="1"/>
  <c r="A297" i="1"/>
  <c r="I294" i="1"/>
  <c r="H294" i="1"/>
  <c r="T296" i="1" l="1"/>
  <c r="S296" i="1"/>
  <c r="R296" i="1"/>
  <c r="Q296" i="1"/>
  <c r="L294" i="1"/>
  <c r="N294" i="1"/>
  <c r="K294" i="1"/>
  <c r="M294" i="1"/>
  <c r="O296" i="1"/>
  <c r="P296" i="1"/>
  <c r="E297" i="1"/>
  <c r="J297" i="1"/>
  <c r="A298" i="1"/>
  <c r="B297" i="1"/>
  <c r="C296" i="1"/>
  <c r="D296" i="1"/>
  <c r="F296" i="1" s="1"/>
  <c r="G296" i="1" s="1"/>
  <c r="I295" i="1"/>
  <c r="H295" i="1"/>
  <c r="T297" i="1" l="1"/>
  <c r="S297" i="1"/>
  <c r="R297" i="1"/>
  <c r="Q297" i="1"/>
  <c r="K295" i="1"/>
  <c r="M295" i="1"/>
  <c r="L295" i="1"/>
  <c r="N295" i="1"/>
  <c r="O297" i="1"/>
  <c r="P297" i="1"/>
  <c r="I296" i="1"/>
  <c r="H296" i="1"/>
  <c r="C297" i="1"/>
  <c r="D297" i="1"/>
  <c r="F297" i="1" s="1"/>
  <c r="G297" i="1" s="1"/>
  <c r="E298" i="1"/>
  <c r="J298" i="1"/>
  <c r="B298" i="1"/>
  <c r="A299" i="1"/>
  <c r="T298" i="1" l="1"/>
  <c r="S298" i="1"/>
  <c r="R298" i="1"/>
  <c r="Q298" i="1"/>
  <c r="K296" i="1"/>
  <c r="M296" i="1"/>
  <c r="L296" i="1"/>
  <c r="N296" i="1"/>
  <c r="I297" i="1"/>
  <c r="H297" i="1"/>
  <c r="C298" i="1"/>
  <c r="D298" i="1"/>
  <c r="F298" i="1" s="1"/>
  <c r="G298" i="1" s="1"/>
  <c r="E299" i="1"/>
  <c r="J299" i="1"/>
  <c r="A300" i="1"/>
  <c r="B299" i="1"/>
  <c r="T299" i="1" l="1"/>
  <c r="S299" i="1"/>
  <c r="Q299" i="1"/>
  <c r="R299" i="1"/>
  <c r="K297" i="1"/>
  <c r="M297" i="1"/>
  <c r="L297" i="1"/>
  <c r="N297" i="1"/>
  <c r="C299" i="1"/>
  <c r="D299" i="1"/>
  <c r="F299" i="1" s="1"/>
  <c r="G299" i="1" s="1"/>
  <c r="E300" i="1"/>
  <c r="J300" i="1"/>
  <c r="B300" i="1"/>
  <c r="A301" i="1"/>
  <c r="I298" i="1"/>
  <c r="N298" i="1" s="1"/>
  <c r="H298" i="1"/>
  <c r="T300" i="1" l="1"/>
  <c r="S300" i="1"/>
  <c r="M298" i="1"/>
  <c r="Q300" i="1"/>
  <c r="R300" i="1"/>
  <c r="L298" i="1"/>
  <c r="P298" i="1"/>
  <c r="K298" i="1"/>
  <c r="O298" i="1"/>
  <c r="C300" i="1"/>
  <c r="D300" i="1"/>
  <c r="F300" i="1" s="1"/>
  <c r="G300" i="1" s="1"/>
  <c r="I299" i="1"/>
  <c r="N299" i="1" s="1"/>
  <c r="H299" i="1"/>
  <c r="E301" i="1"/>
  <c r="A302" i="1"/>
  <c r="B301" i="1"/>
  <c r="J301" i="1"/>
  <c r="T301" i="1" l="1"/>
  <c r="S301" i="1"/>
  <c r="M299" i="1"/>
  <c r="R301" i="1"/>
  <c r="Q301" i="1"/>
  <c r="K299" i="1"/>
  <c r="O299" i="1"/>
  <c r="L299" i="1"/>
  <c r="P299" i="1"/>
  <c r="C301" i="1"/>
  <c r="D301" i="1"/>
  <c r="F301" i="1" s="1"/>
  <c r="G301" i="1" s="1"/>
  <c r="E302" i="1"/>
  <c r="A303" i="1"/>
  <c r="B302" i="1"/>
  <c r="J302" i="1"/>
  <c r="I300" i="1"/>
  <c r="N300" i="1" s="1"/>
  <c r="H300" i="1"/>
  <c r="T302" i="1" l="1"/>
  <c r="S302" i="1"/>
  <c r="M300" i="1"/>
  <c r="R302" i="1"/>
  <c r="Q302" i="1"/>
  <c r="L300" i="1"/>
  <c r="P300" i="1"/>
  <c r="K300" i="1"/>
  <c r="O300" i="1"/>
  <c r="I301" i="1"/>
  <c r="N301" i="1" s="1"/>
  <c r="H301" i="1"/>
  <c r="C302" i="1"/>
  <c r="D302" i="1"/>
  <c r="F302" i="1" s="1"/>
  <c r="G302" i="1" s="1"/>
  <c r="E303" i="1"/>
  <c r="A304" i="1"/>
  <c r="J303" i="1"/>
  <c r="B303" i="1"/>
  <c r="T303" i="1" l="1"/>
  <c r="S303" i="1"/>
  <c r="M301" i="1"/>
  <c r="R303" i="1"/>
  <c r="Q303" i="1"/>
  <c r="K301" i="1"/>
  <c r="O301" i="1"/>
  <c r="L301" i="1"/>
  <c r="P301" i="1"/>
  <c r="O303" i="1"/>
  <c r="P303" i="1"/>
  <c r="C303" i="1"/>
  <c r="D303" i="1"/>
  <c r="F303" i="1" s="1"/>
  <c r="G303" i="1" s="1"/>
  <c r="E304" i="1"/>
  <c r="A305" i="1"/>
  <c r="B304" i="1"/>
  <c r="J304" i="1"/>
  <c r="I302" i="1"/>
  <c r="N302" i="1" s="1"/>
  <c r="H302" i="1"/>
  <c r="T304" i="1" l="1"/>
  <c r="S304" i="1"/>
  <c r="M302" i="1"/>
  <c r="R304" i="1"/>
  <c r="Q304" i="1"/>
  <c r="L302" i="1"/>
  <c r="P302" i="1"/>
  <c r="K302" i="1"/>
  <c r="O302" i="1"/>
  <c r="O304" i="1"/>
  <c r="P304" i="1"/>
  <c r="C304" i="1"/>
  <c r="D304" i="1"/>
  <c r="F304" i="1" s="1"/>
  <c r="G304" i="1" s="1"/>
  <c r="E305" i="1"/>
  <c r="A306" i="1"/>
  <c r="B305" i="1"/>
  <c r="J305" i="1"/>
  <c r="I303" i="1"/>
  <c r="H303" i="1"/>
  <c r="T305" i="1" l="1"/>
  <c r="S305" i="1"/>
  <c r="R305" i="1"/>
  <c r="Q305" i="1"/>
  <c r="K303" i="1"/>
  <c r="M303" i="1"/>
  <c r="L303" i="1"/>
  <c r="N303" i="1"/>
  <c r="O305" i="1"/>
  <c r="P305" i="1"/>
  <c r="I304" i="1"/>
  <c r="H304" i="1"/>
  <c r="C305" i="1"/>
  <c r="D305" i="1"/>
  <c r="F305" i="1" s="1"/>
  <c r="G305" i="1" s="1"/>
  <c r="E306" i="1"/>
  <c r="A307" i="1"/>
  <c r="B306" i="1"/>
  <c r="J306" i="1"/>
  <c r="T306" i="1" l="1"/>
  <c r="S306" i="1"/>
  <c r="R306" i="1"/>
  <c r="Q306" i="1"/>
  <c r="K304" i="1"/>
  <c r="M304" i="1"/>
  <c r="L304" i="1"/>
  <c r="N304" i="1"/>
  <c r="O306" i="1"/>
  <c r="P306" i="1"/>
  <c r="C306" i="1"/>
  <c r="D306" i="1"/>
  <c r="F306" i="1" s="1"/>
  <c r="G306" i="1" s="1"/>
  <c r="I305" i="1"/>
  <c r="H305" i="1"/>
  <c r="E307" i="1"/>
  <c r="A308" i="1"/>
  <c r="J307" i="1"/>
  <c r="B307" i="1"/>
  <c r="S307" i="1" l="1"/>
  <c r="T307" i="1"/>
  <c r="Q307" i="1"/>
  <c r="R307" i="1"/>
  <c r="K305" i="1"/>
  <c r="M305" i="1"/>
  <c r="L305" i="1"/>
  <c r="N305" i="1"/>
  <c r="O307" i="1"/>
  <c r="P307" i="1"/>
  <c r="C307" i="1"/>
  <c r="D307" i="1"/>
  <c r="F307" i="1" s="1"/>
  <c r="G307" i="1" s="1"/>
  <c r="I306" i="1"/>
  <c r="H306" i="1"/>
  <c r="E308" i="1"/>
  <c r="A309" i="1"/>
  <c r="B308" i="1"/>
  <c r="J308" i="1"/>
  <c r="T308" i="1" l="1"/>
  <c r="S308" i="1"/>
  <c r="Q308" i="1"/>
  <c r="R308" i="1"/>
  <c r="M306" i="1"/>
  <c r="K306" i="1"/>
  <c r="N306" i="1"/>
  <c r="L306" i="1"/>
  <c r="P308" i="1"/>
  <c r="O308" i="1"/>
  <c r="C308" i="1"/>
  <c r="D308" i="1"/>
  <c r="F308" i="1" s="1"/>
  <c r="G308" i="1" s="1"/>
  <c r="E309" i="1"/>
  <c r="A310" i="1"/>
  <c r="J309" i="1"/>
  <c r="B309" i="1"/>
  <c r="I307" i="1"/>
  <c r="H307" i="1"/>
  <c r="T309" i="1" l="1"/>
  <c r="S309" i="1"/>
  <c r="R309" i="1"/>
  <c r="Q309" i="1"/>
  <c r="M307" i="1"/>
  <c r="K307" i="1"/>
  <c r="N307" i="1"/>
  <c r="L307" i="1"/>
  <c r="O309" i="1"/>
  <c r="P309" i="1"/>
  <c r="I308" i="1"/>
  <c r="H308" i="1"/>
  <c r="C309" i="1"/>
  <c r="D309" i="1"/>
  <c r="F309" i="1" s="1"/>
  <c r="G309" i="1" s="1"/>
  <c r="E310" i="1"/>
  <c r="A311" i="1"/>
  <c r="B310" i="1"/>
  <c r="J310" i="1"/>
  <c r="T310" i="1" l="1"/>
  <c r="S310" i="1"/>
  <c r="R310" i="1"/>
  <c r="Q310" i="1"/>
  <c r="M308" i="1"/>
  <c r="K308" i="1"/>
  <c r="N308" i="1"/>
  <c r="L308" i="1"/>
  <c r="P310" i="1"/>
  <c r="O310" i="1"/>
  <c r="C310" i="1"/>
  <c r="D310" i="1"/>
  <c r="F310" i="1" s="1"/>
  <c r="G310" i="1" s="1"/>
  <c r="E311" i="1"/>
  <c r="A312" i="1"/>
  <c r="J311" i="1"/>
  <c r="B311" i="1"/>
  <c r="I309" i="1"/>
  <c r="H309" i="1"/>
  <c r="T311" i="1" l="1"/>
  <c r="S311" i="1"/>
  <c r="R311" i="1"/>
  <c r="Q311" i="1"/>
  <c r="N309" i="1"/>
  <c r="L309" i="1"/>
  <c r="M309" i="1"/>
  <c r="K309" i="1"/>
  <c r="O311" i="1"/>
  <c r="P311" i="1"/>
  <c r="C311" i="1"/>
  <c r="D311" i="1"/>
  <c r="F311" i="1" s="1"/>
  <c r="G311" i="1" s="1"/>
  <c r="E312" i="1"/>
  <c r="A313" i="1"/>
  <c r="B312" i="1"/>
  <c r="J312" i="1"/>
  <c r="I310" i="1"/>
  <c r="H310" i="1"/>
  <c r="T312" i="1" l="1"/>
  <c r="S312" i="1"/>
  <c r="R312" i="1"/>
  <c r="Q312" i="1"/>
  <c r="M310" i="1"/>
  <c r="K310" i="1"/>
  <c r="N310" i="1"/>
  <c r="L310" i="1"/>
  <c r="O312" i="1"/>
  <c r="P312" i="1"/>
  <c r="I311" i="1"/>
  <c r="H311" i="1"/>
  <c r="C312" i="1"/>
  <c r="D312" i="1"/>
  <c r="F312" i="1" s="1"/>
  <c r="G312" i="1" s="1"/>
  <c r="E313" i="1"/>
  <c r="A314" i="1"/>
  <c r="J313" i="1"/>
  <c r="B313" i="1"/>
  <c r="T313" i="1" l="1"/>
  <c r="S313" i="1"/>
  <c r="R313" i="1"/>
  <c r="Q313" i="1"/>
  <c r="M311" i="1"/>
  <c r="K311" i="1"/>
  <c r="N311" i="1"/>
  <c r="L311" i="1"/>
  <c r="O313" i="1"/>
  <c r="P313" i="1"/>
  <c r="E314" i="1"/>
  <c r="A315" i="1"/>
  <c r="B314" i="1"/>
  <c r="J314" i="1"/>
  <c r="C313" i="1"/>
  <c r="D313" i="1"/>
  <c r="F313" i="1" s="1"/>
  <c r="G313" i="1" s="1"/>
  <c r="I312" i="1"/>
  <c r="H312" i="1"/>
  <c r="T314" i="1" l="1"/>
  <c r="S314" i="1"/>
  <c r="R314" i="1"/>
  <c r="Q314" i="1"/>
  <c r="M312" i="1"/>
  <c r="K312" i="1"/>
  <c r="N312" i="1"/>
  <c r="L312" i="1"/>
  <c r="O314" i="1"/>
  <c r="P314" i="1"/>
  <c r="I313" i="1"/>
  <c r="H313" i="1"/>
  <c r="E315" i="1"/>
  <c r="A316" i="1"/>
  <c r="J315" i="1"/>
  <c r="B315" i="1"/>
  <c r="C314" i="1"/>
  <c r="D314" i="1"/>
  <c r="F314" i="1" s="1"/>
  <c r="G314" i="1" s="1"/>
  <c r="T315" i="1" l="1"/>
  <c r="S315" i="1"/>
  <c r="Q315" i="1"/>
  <c r="R315" i="1"/>
  <c r="M313" i="1"/>
  <c r="K313" i="1"/>
  <c r="N313" i="1"/>
  <c r="L313" i="1"/>
  <c r="O315" i="1"/>
  <c r="P315" i="1"/>
  <c r="C315" i="1"/>
  <c r="D315" i="1"/>
  <c r="F315" i="1" s="1"/>
  <c r="G315" i="1" s="1"/>
  <c r="I314" i="1"/>
  <c r="H314" i="1"/>
  <c r="E316" i="1"/>
  <c r="A317" i="1"/>
  <c r="B316" i="1"/>
  <c r="J316" i="1"/>
  <c r="T316" i="1" l="1"/>
  <c r="S316" i="1"/>
  <c r="Q316" i="1"/>
  <c r="R316" i="1"/>
  <c r="M314" i="1"/>
  <c r="K314" i="1"/>
  <c r="N314" i="1"/>
  <c r="L314" i="1"/>
  <c r="O316" i="1"/>
  <c r="P316" i="1"/>
  <c r="I315" i="1"/>
  <c r="H315" i="1"/>
  <c r="C316" i="1"/>
  <c r="D316" i="1"/>
  <c r="F316" i="1" s="1"/>
  <c r="G316" i="1" s="1"/>
  <c r="E317" i="1"/>
  <c r="A318" i="1"/>
  <c r="B317" i="1"/>
  <c r="J317" i="1"/>
  <c r="T317" i="1" l="1"/>
  <c r="S317" i="1"/>
  <c r="R317" i="1"/>
  <c r="Q317" i="1"/>
  <c r="M315" i="1"/>
  <c r="K315" i="1"/>
  <c r="N315" i="1"/>
  <c r="L315" i="1"/>
  <c r="O317" i="1"/>
  <c r="P317" i="1"/>
  <c r="C317" i="1"/>
  <c r="D317" i="1"/>
  <c r="F317" i="1" s="1"/>
  <c r="G317" i="1" s="1"/>
  <c r="E318" i="1"/>
  <c r="A319" i="1"/>
  <c r="B318" i="1"/>
  <c r="J318" i="1"/>
  <c r="I316" i="1"/>
  <c r="H316" i="1"/>
  <c r="T318" i="1" l="1"/>
  <c r="S318" i="1"/>
  <c r="R318" i="1"/>
  <c r="Q318" i="1"/>
  <c r="M316" i="1"/>
  <c r="K316" i="1"/>
  <c r="N316" i="1"/>
  <c r="L316" i="1"/>
  <c r="O318" i="1"/>
  <c r="P318" i="1"/>
  <c r="E319" i="1"/>
  <c r="A320" i="1"/>
  <c r="J319" i="1"/>
  <c r="B319" i="1"/>
  <c r="C318" i="1"/>
  <c r="D318" i="1"/>
  <c r="F318" i="1" s="1"/>
  <c r="G318" i="1" s="1"/>
  <c r="I317" i="1"/>
  <c r="H317" i="1"/>
  <c r="T319" i="1" l="1"/>
  <c r="S319" i="1"/>
  <c r="R319" i="1"/>
  <c r="Q319" i="1"/>
  <c r="N317" i="1"/>
  <c r="L317" i="1"/>
  <c r="M317" i="1"/>
  <c r="K317" i="1"/>
  <c r="O319" i="1"/>
  <c r="P319" i="1"/>
  <c r="E320" i="1"/>
  <c r="A321" i="1"/>
  <c r="B320" i="1"/>
  <c r="J320" i="1"/>
  <c r="C319" i="1"/>
  <c r="D319" i="1"/>
  <c r="F319" i="1" s="1"/>
  <c r="G319" i="1" s="1"/>
  <c r="I318" i="1"/>
  <c r="H318" i="1"/>
  <c r="T320" i="1" l="1"/>
  <c r="S320" i="1"/>
  <c r="R320" i="1"/>
  <c r="Q320" i="1"/>
  <c r="M318" i="1"/>
  <c r="K318" i="1"/>
  <c r="N318" i="1"/>
  <c r="L318" i="1"/>
  <c r="O320" i="1"/>
  <c r="P320" i="1"/>
  <c r="I319" i="1"/>
  <c r="H319" i="1"/>
  <c r="C320" i="1"/>
  <c r="D320" i="1"/>
  <c r="F320" i="1" s="1"/>
  <c r="G320" i="1" s="1"/>
  <c r="E321" i="1"/>
  <c r="A322" i="1"/>
  <c r="B321" i="1"/>
  <c r="J321" i="1"/>
  <c r="T321" i="1" l="1"/>
  <c r="S321" i="1"/>
  <c r="R321" i="1"/>
  <c r="Q321" i="1"/>
  <c r="M319" i="1"/>
  <c r="K319" i="1"/>
  <c r="N319" i="1"/>
  <c r="L319" i="1"/>
  <c r="O321" i="1"/>
  <c r="P321" i="1"/>
  <c r="C321" i="1"/>
  <c r="D321" i="1"/>
  <c r="F321" i="1" s="1"/>
  <c r="G321" i="1" s="1"/>
  <c r="E322" i="1"/>
  <c r="A323" i="1"/>
  <c r="B322" i="1"/>
  <c r="J322" i="1"/>
  <c r="I320" i="1"/>
  <c r="H320" i="1"/>
  <c r="T322" i="1" l="1"/>
  <c r="S322" i="1"/>
  <c r="R322" i="1"/>
  <c r="Q322" i="1"/>
  <c r="M320" i="1"/>
  <c r="K320" i="1"/>
  <c r="N320" i="1"/>
  <c r="L320" i="1"/>
  <c r="O322" i="1"/>
  <c r="P322" i="1"/>
  <c r="C322" i="1"/>
  <c r="D322" i="1"/>
  <c r="F322" i="1" s="1"/>
  <c r="G322" i="1" s="1"/>
  <c r="E323" i="1"/>
  <c r="A324" i="1"/>
  <c r="J323" i="1"/>
  <c r="B323" i="1"/>
  <c r="I321" i="1"/>
  <c r="H321" i="1"/>
  <c r="S323" i="1" l="1"/>
  <c r="T323" i="1"/>
  <c r="Q323" i="1"/>
  <c r="R323" i="1"/>
  <c r="N321" i="1"/>
  <c r="L321" i="1"/>
  <c r="M321" i="1"/>
  <c r="K321" i="1"/>
  <c r="O323" i="1"/>
  <c r="P323" i="1"/>
  <c r="I322" i="1"/>
  <c r="H322" i="1"/>
  <c r="C323" i="1"/>
  <c r="D323" i="1"/>
  <c r="F323" i="1" s="1"/>
  <c r="G323" i="1" s="1"/>
  <c r="E324" i="1"/>
  <c r="A325" i="1"/>
  <c r="B324" i="1"/>
  <c r="J324" i="1"/>
  <c r="T324" i="1" l="1"/>
  <c r="S324" i="1"/>
  <c r="Q324" i="1"/>
  <c r="R324" i="1"/>
  <c r="M322" i="1"/>
  <c r="K322" i="1"/>
  <c r="N322" i="1"/>
  <c r="L322" i="1"/>
  <c r="P324" i="1"/>
  <c r="O324" i="1"/>
  <c r="C324" i="1"/>
  <c r="D324" i="1"/>
  <c r="F324" i="1" s="1"/>
  <c r="G324" i="1" s="1"/>
  <c r="E325" i="1"/>
  <c r="A326" i="1"/>
  <c r="J325" i="1"/>
  <c r="B325" i="1"/>
  <c r="I323" i="1"/>
  <c r="H323" i="1"/>
  <c r="T325" i="1" l="1"/>
  <c r="S325" i="1"/>
  <c r="R325" i="1"/>
  <c r="Q325" i="1"/>
  <c r="N323" i="1"/>
  <c r="L323" i="1"/>
  <c r="M323" i="1"/>
  <c r="K323" i="1"/>
  <c r="O325" i="1"/>
  <c r="P325" i="1"/>
  <c r="I324" i="1"/>
  <c r="H324" i="1"/>
  <c r="E326" i="1"/>
  <c r="A327" i="1"/>
  <c r="B326" i="1"/>
  <c r="J326" i="1"/>
  <c r="C325" i="1"/>
  <c r="D325" i="1"/>
  <c r="F325" i="1" s="1"/>
  <c r="G325" i="1" s="1"/>
  <c r="T326" i="1" l="1"/>
  <c r="S326" i="1"/>
  <c r="R326" i="1"/>
  <c r="Q326" i="1"/>
  <c r="M324" i="1"/>
  <c r="K324" i="1"/>
  <c r="N324" i="1"/>
  <c r="L324" i="1"/>
  <c r="P326" i="1"/>
  <c r="O326" i="1"/>
  <c r="C326" i="1"/>
  <c r="D326" i="1"/>
  <c r="F326" i="1" s="1"/>
  <c r="G326" i="1" s="1"/>
  <c r="E327" i="1"/>
  <c r="A328" i="1"/>
  <c r="J327" i="1"/>
  <c r="B327" i="1"/>
  <c r="I325" i="1"/>
  <c r="H325" i="1"/>
  <c r="T327" i="1" l="1"/>
  <c r="S327" i="1"/>
  <c r="R327" i="1"/>
  <c r="Q327" i="1"/>
  <c r="N325" i="1"/>
  <c r="L325" i="1"/>
  <c r="M325" i="1"/>
  <c r="K325" i="1"/>
  <c r="O327" i="1"/>
  <c r="P327" i="1"/>
  <c r="I326" i="1"/>
  <c r="H326" i="1"/>
  <c r="C327" i="1"/>
  <c r="D327" i="1"/>
  <c r="F327" i="1" s="1"/>
  <c r="G327" i="1" s="1"/>
  <c r="E328" i="1"/>
  <c r="A329" i="1"/>
  <c r="B328" i="1"/>
  <c r="J328" i="1"/>
  <c r="T328" i="1" l="1"/>
  <c r="S328" i="1"/>
  <c r="R328" i="1"/>
  <c r="Q328" i="1"/>
  <c r="M326" i="1"/>
  <c r="K326" i="1"/>
  <c r="N326" i="1"/>
  <c r="L326" i="1"/>
  <c r="P328" i="1"/>
  <c r="O328" i="1"/>
  <c r="C328" i="1"/>
  <c r="D328" i="1"/>
  <c r="F328" i="1" s="1"/>
  <c r="G328" i="1" s="1"/>
  <c r="I327" i="1"/>
  <c r="H327" i="1"/>
  <c r="E329" i="1"/>
  <c r="A330" i="1"/>
  <c r="J329" i="1"/>
  <c r="B329" i="1"/>
  <c r="T329" i="1" l="1"/>
  <c r="S329" i="1"/>
  <c r="R329" i="1"/>
  <c r="Q329" i="1"/>
  <c r="M327" i="1"/>
  <c r="K327" i="1"/>
  <c r="N327" i="1"/>
  <c r="L327" i="1"/>
  <c r="O329" i="1"/>
  <c r="P329" i="1"/>
  <c r="C329" i="1"/>
  <c r="D329" i="1"/>
  <c r="F329" i="1" s="1"/>
  <c r="G329" i="1" s="1"/>
  <c r="E330" i="1"/>
  <c r="A331" i="1"/>
  <c r="B330" i="1"/>
  <c r="J330" i="1"/>
  <c r="I328" i="1"/>
  <c r="H328" i="1"/>
  <c r="T330" i="1" l="1"/>
  <c r="S330" i="1"/>
  <c r="R330" i="1"/>
  <c r="Q330" i="1"/>
  <c r="M328" i="1"/>
  <c r="K328" i="1"/>
  <c r="N328" i="1"/>
  <c r="L328" i="1"/>
  <c r="O330" i="1"/>
  <c r="P330" i="1"/>
  <c r="C330" i="1"/>
  <c r="D330" i="1"/>
  <c r="F330" i="1" s="1"/>
  <c r="G330" i="1" s="1"/>
  <c r="E331" i="1"/>
  <c r="A332" i="1"/>
  <c r="J331" i="1"/>
  <c r="B331" i="1"/>
  <c r="I329" i="1"/>
  <c r="H329" i="1"/>
  <c r="T331" i="1" l="1"/>
  <c r="S331" i="1"/>
  <c r="Q331" i="1"/>
  <c r="R331" i="1"/>
  <c r="N329" i="1"/>
  <c r="L329" i="1"/>
  <c r="M329" i="1"/>
  <c r="K329" i="1"/>
  <c r="O331" i="1"/>
  <c r="P331" i="1"/>
  <c r="I330" i="1"/>
  <c r="H330" i="1"/>
  <c r="K330" i="1" s="1"/>
  <c r="C331" i="1"/>
  <c r="D331" i="1"/>
  <c r="F331" i="1" s="1"/>
  <c r="G331" i="1" s="1"/>
  <c r="E332" i="1"/>
  <c r="A333" i="1"/>
  <c r="B332" i="1"/>
  <c r="J332" i="1"/>
  <c r="T332" i="1" l="1"/>
  <c r="S332" i="1"/>
  <c r="N330" i="1"/>
  <c r="L330" i="1"/>
  <c r="M330" i="1"/>
  <c r="Q332" i="1"/>
  <c r="R332" i="1"/>
  <c r="O332" i="1"/>
  <c r="P332" i="1"/>
  <c r="C332" i="1"/>
  <c r="D332" i="1"/>
  <c r="F332" i="1" s="1"/>
  <c r="G332" i="1" s="1"/>
  <c r="I331" i="1"/>
  <c r="H331" i="1"/>
  <c r="K331" i="1" s="1"/>
  <c r="E333" i="1"/>
  <c r="A334" i="1"/>
  <c r="J333" i="1"/>
  <c r="B333" i="1"/>
  <c r="T333" i="1" l="1"/>
  <c r="S333" i="1"/>
  <c r="N331" i="1"/>
  <c r="L331" i="1"/>
  <c r="M331" i="1"/>
  <c r="R333" i="1"/>
  <c r="Q333" i="1"/>
  <c r="O333" i="1"/>
  <c r="P333" i="1"/>
  <c r="I332" i="1"/>
  <c r="H332" i="1"/>
  <c r="K332" i="1" s="1"/>
  <c r="E334" i="1"/>
  <c r="A335" i="1"/>
  <c r="B334" i="1"/>
  <c r="J334" i="1"/>
  <c r="C333" i="1"/>
  <c r="D333" i="1"/>
  <c r="F333" i="1" s="1"/>
  <c r="G333" i="1" s="1"/>
  <c r="T334" i="1" l="1"/>
  <c r="S334" i="1"/>
  <c r="N332" i="1"/>
  <c r="L332" i="1"/>
  <c r="M332" i="1"/>
  <c r="R334" i="1"/>
  <c r="Q334" i="1"/>
  <c r="O334" i="1"/>
  <c r="P334" i="1"/>
  <c r="C334" i="1"/>
  <c r="D334" i="1"/>
  <c r="F334" i="1" s="1"/>
  <c r="G334" i="1" s="1"/>
  <c r="I333" i="1"/>
  <c r="H333" i="1"/>
  <c r="K333" i="1" s="1"/>
  <c r="E335" i="1"/>
  <c r="A336" i="1"/>
  <c r="J335" i="1"/>
  <c r="B335" i="1"/>
  <c r="T335" i="1" l="1"/>
  <c r="S335" i="1"/>
  <c r="N333" i="1"/>
  <c r="L333" i="1"/>
  <c r="M333" i="1"/>
  <c r="R335" i="1"/>
  <c r="Q335" i="1"/>
  <c r="O335" i="1"/>
  <c r="P335" i="1"/>
  <c r="I334" i="1"/>
  <c r="H334" i="1"/>
  <c r="K334" i="1" s="1"/>
  <c r="C335" i="1"/>
  <c r="D335" i="1"/>
  <c r="F335" i="1" s="1"/>
  <c r="G335" i="1" s="1"/>
  <c r="E336" i="1"/>
  <c r="A337" i="1"/>
  <c r="B336" i="1"/>
  <c r="J336" i="1"/>
  <c r="T336" i="1" l="1"/>
  <c r="S336" i="1"/>
  <c r="N334" i="1"/>
  <c r="L334" i="1"/>
  <c r="M334" i="1"/>
  <c r="R336" i="1"/>
  <c r="Q336" i="1"/>
  <c r="O336" i="1"/>
  <c r="P336" i="1"/>
  <c r="I335" i="1"/>
  <c r="H335" i="1"/>
  <c r="K335" i="1" s="1"/>
  <c r="C336" i="1"/>
  <c r="D336" i="1"/>
  <c r="F336" i="1" s="1"/>
  <c r="G336" i="1" s="1"/>
  <c r="E337" i="1"/>
  <c r="A338" i="1"/>
  <c r="B337" i="1"/>
  <c r="J337" i="1"/>
  <c r="T337" i="1" l="1"/>
  <c r="S337" i="1"/>
  <c r="N335" i="1"/>
  <c r="L335" i="1"/>
  <c r="M335" i="1"/>
  <c r="R337" i="1"/>
  <c r="Q337" i="1"/>
  <c r="O337" i="1"/>
  <c r="P337" i="1"/>
  <c r="C337" i="1"/>
  <c r="D337" i="1"/>
  <c r="F337" i="1" s="1"/>
  <c r="G337" i="1" s="1"/>
  <c r="I336" i="1"/>
  <c r="H336" i="1"/>
  <c r="E338" i="1"/>
  <c r="A339" i="1"/>
  <c r="B338" i="1"/>
  <c r="J338" i="1"/>
  <c r="T338" i="1" l="1"/>
  <c r="S338" i="1"/>
  <c r="R338" i="1"/>
  <c r="Q338" i="1"/>
  <c r="L336" i="1"/>
  <c r="N336" i="1"/>
  <c r="K336" i="1"/>
  <c r="M336" i="1"/>
  <c r="O338" i="1"/>
  <c r="P338" i="1"/>
  <c r="I337" i="1"/>
  <c r="H337" i="1"/>
  <c r="C338" i="1"/>
  <c r="D338" i="1"/>
  <c r="F338" i="1" s="1"/>
  <c r="G338" i="1" s="1"/>
  <c r="E339" i="1"/>
  <c r="A340" i="1"/>
  <c r="J339" i="1"/>
  <c r="B339" i="1"/>
  <c r="T339" i="1" l="1"/>
  <c r="S339" i="1"/>
  <c r="Q339" i="1"/>
  <c r="R339" i="1"/>
  <c r="K337" i="1"/>
  <c r="M337" i="1"/>
  <c r="L337" i="1"/>
  <c r="N337" i="1"/>
  <c r="O339" i="1"/>
  <c r="P339" i="1"/>
  <c r="I338" i="1"/>
  <c r="H338" i="1"/>
  <c r="E340" i="1"/>
  <c r="A341" i="1"/>
  <c r="B340" i="1"/>
  <c r="J340" i="1"/>
  <c r="C339" i="1"/>
  <c r="D339" i="1"/>
  <c r="F339" i="1" s="1"/>
  <c r="G339" i="1" s="1"/>
  <c r="T340" i="1" l="1"/>
  <c r="S340" i="1"/>
  <c r="Q340" i="1"/>
  <c r="R340" i="1"/>
  <c r="K338" i="1"/>
  <c r="M338" i="1"/>
  <c r="L338" i="1"/>
  <c r="N338" i="1"/>
  <c r="P340" i="1"/>
  <c r="O340" i="1"/>
  <c r="I339" i="1"/>
  <c r="H339" i="1"/>
  <c r="C340" i="1"/>
  <c r="D340" i="1"/>
  <c r="F340" i="1" s="1"/>
  <c r="G340" i="1" s="1"/>
  <c r="E341" i="1"/>
  <c r="A342" i="1"/>
  <c r="J341" i="1"/>
  <c r="B341" i="1"/>
  <c r="T341" i="1" l="1"/>
  <c r="S341" i="1"/>
  <c r="R341" i="1"/>
  <c r="Q341" i="1"/>
  <c r="K339" i="1"/>
  <c r="M339" i="1"/>
  <c r="L339" i="1"/>
  <c r="N339" i="1"/>
  <c r="O341" i="1"/>
  <c r="P341" i="1"/>
  <c r="C341" i="1"/>
  <c r="D341" i="1"/>
  <c r="F341" i="1" s="1"/>
  <c r="G341" i="1" s="1"/>
  <c r="E342" i="1"/>
  <c r="A343" i="1"/>
  <c r="B342" i="1"/>
  <c r="J342" i="1"/>
  <c r="I340" i="1"/>
  <c r="H340" i="1"/>
  <c r="T342" i="1" l="1"/>
  <c r="S342" i="1"/>
  <c r="R342" i="1"/>
  <c r="Q342" i="1"/>
  <c r="K340" i="1"/>
  <c r="M340" i="1"/>
  <c r="L340" i="1"/>
  <c r="N340" i="1"/>
  <c r="P342" i="1"/>
  <c r="O342" i="1"/>
  <c r="I341" i="1"/>
  <c r="H341" i="1"/>
  <c r="C342" i="1"/>
  <c r="D342" i="1"/>
  <c r="F342" i="1" s="1"/>
  <c r="G342" i="1" s="1"/>
  <c r="E343" i="1"/>
  <c r="A344" i="1"/>
  <c r="J343" i="1"/>
  <c r="B343" i="1"/>
  <c r="T343" i="1" l="1"/>
  <c r="S343" i="1"/>
  <c r="R343" i="1"/>
  <c r="Q343" i="1"/>
  <c r="K341" i="1"/>
  <c r="M341" i="1"/>
  <c r="L341" i="1"/>
  <c r="N341" i="1"/>
  <c r="O343" i="1"/>
  <c r="P343" i="1"/>
  <c r="C343" i="1"/>
  <c r="D343" i="1"/>
  <c r="F343" i="1" s="1"/>
  <c r="G343" i="1" s="1"/>
  <c r="I342" i="1"/>
  <c r="H342" i="1"/>
  <c r="B344" i="1"/>
  <c r="J344" i="1"/>
  <c r="A345" i="1"/>
  <c r="E344" i="1"/>
  <c r="T344" i="1" l="1"/>
  <c r="S344" i="1"/>
  <c r="R344" i="1"/>
  <c r="Q344" i="1"/>
  <c r="K342" i="1"/>
  <c r="M342" i="1"/>
  <c r="L342" i="1"/>
  <c r="N342" i="1"/>
  <c r="O344" i="1"/>
  <c r="P344" i="1"/>
  <c r="D344" i="1"/>
  <c r="F344" i="1" s="1"/>
  <c r="G344" i="1" s="1"/>
  <c r="C344" i="1"/>
  <c r="B345" i="1"/>
  <c r="J345" i="1"/>
  <c r="A346" i="1"/>
  <c r="E345" i="1"/>
  <c r="I343" i="1"/>
  <c r="H343" i="1"/>
  <c r="T345" i="1" l="1"/>
  <c r="S345" i="1"/>
  <c r="R345" i="1"/>
  <c r="Q345" i="1"/>
  <c r="K343" i="1"/>
  <c r="M343" i="1"/>
  <c r="L343" i="1"/>
  <c r="N343" i="1"/>
  <c r="O345" i="1"/>
  <c r="P345" i="1"/>
  <c r="H344" i="1"/>
  <c r="I344" i="1"/>
  <c r="J346" i="1"/>
  <c r="B346" i="1"/>
  <c r="A347" i="1"/>
  <c r="E346" i="1"/>
  <c r="D345" i="1"/>
  <c r="F345" i="1" s="1"/>
  <c r="G345" i="1" s="1"/>
  <c r="C345" i="1"/>
  <c r="T346" i="1" l="1"/>
  <c r="S346" i="1"/>
  <c r="R346" i="1"/>
  <c r="Q346" i="1"/>
  <c r="L344" i="1"/>
  <c r="N344" i="1"/>
  <c r="K344" i="1"/>
  <c r="M344" i="1"/>
  <c r="O346" i="1"/>
  <c r="P346" i="1"/>
  <c r="H345" i="1"/>
  <c r="I345" i="1"/>
  <c r="J347" i="1"/>
  <c r="B347" i="1"/>
  <c r="A348" i="1"/>
  <c r="E347" i="1"/>
  <c r="D346" i="1"/>
  <c r="F346" i="1" s="1"/>
  <c r="G346" i="1" s="1"/>
  <c r="C346" i="1"/>
  <c r="T347" i="1" l="1"/>
  <c r="S347" i="1"/>
  <c r="Q347" i="1"/>
  <c r="R347" i="1"/>
  <c r="L345" i="1"/>
  <c r="N345" i="1"/>
  <c r="K345" i="1"/>
  <c r="M345" i="1"/>
  <c r="D347" i="1"/>
  <c r="F347" i="1" s="1"/>
  <c r="G347" i="1" s="1"/>
  <c r="C347" i="1"/>
  <c r="J348" i="1"/>
  <c r="B348" i="1"/>
  <c r="A349" i="1"/>
  <c r="E348" i="1"/>
  <c r="H346" i="1"/>
  <c r="I346" i="1"/>
  <c r="T348" i="1" l="1"/>
  <c r="S348" i="1"/>
  <c r="Q348" i="1"/>
  <c r="R348" i="1"/>
  <c r="K346" i="1"/>
  <c r="M346" i="1"/>
  <c r="L346" i="1"/>
  <c r="N346" i="1"/>
  <c r="J349" i="1"/>
  <c r="B349" i="1"/>
  <c r="E349" i="1"/>
  <c r="A350" i="1"/>
  <c r="D348" i="1"/>
  <c r="F348" i="1" s="1"/>
  <c r="G348" i="1" s="1"/>
  <c r="C348" i="1"/>
  <c r="H347" i="1"/>
  <c r="I347" i="1"/>
  <c r="P347" i="1" s="1"/>
  <c r="T349" i="1" l="1"/>
  <c r="S349" i="1"/>
  <c r="O347" i="1"/>
  <c r="R349" i="1"/>
  <c r="Q349" i="1"/>
  <c r="K347" i="1"/>
  <c r="M347" i="1"/>
  <c r="L347" i="1"/>
  <c r="N347" i="1"/>
  <c r="C349" i="1"/>
  <c r="D349" i="1"/>
  <c r="F349" i="1" s="1"/>
  <c r="G349" i="1" s="1"/>
  <c r="H348" i="1"/>
  <c r="I348" i="1"/>
  <c r="P348" i="1" s="1"/>
  <c r="J350" i="1"/>
  <c r="B350" i="1"/>
  <c r="E350" i="1"/>
  <c r="A351" i="1"/>
  <c r="T350" i="1" l="1"/>
  <c r="S350" i="1"/>
  <c r="O348" i="1"/>
  <c r="R350" i="1"/>
  <c r="Q350" i="1"/>
  <c r="K348" i="1"/>
  <c r="M348" i="1"/>
  <c r="L348" i="1"/>
  <c r="N348" i="1"/>
  <c r="C350" i="1"/>
  <c r="D350" i="1"/>
  <c r="F350" i="1" s="1"/>
  <c r="G350" i="1" s="1"/>
  <c r="H349" i="1"/>
  <c r="I349" i="1"/>
  <c r="P349" i="1" s="1"/>
  <c r="J351" i="1"/>
  <c r="B351" i="1"/>
  <c r="E351" i="1"/>
  <c r="A352" i="1"/>
  <c r="T351" i="1" l="1"/>
  <c r="S351" i="1"/>
  <c r="O349" i="1"/>
  <c r="R351" i="1"/>
  <c r="Q351" i="1"/>
  <c r="L349" i="1"/>
  <c r="N349" i="1"/>
  <c r="K349" i="1"/>
  <c r="M349" i="1"/>
  <c r="J352" i="1"/>
  <c r="B352" i="1"/>
  <c r="E352" i="1"/>
  <c r="A353" i="1"/>
  <c r="C351" i="1"/>
  <c r="D351" i="1"/>
  <c r="F351" i="1" s="1"/>
  <c r="G351" i="1" s="1"/>
  <c r="H350" i="1"/>
  <c r="I350" i="1"/>
  <c r="P350" i="1" s="1"/>
  <c r="T352" i="1" l="1"/>
  <c r="S352" i="1"/>
  <c r="O350" i="1"/>
  <c r="L350" i="1"/>
  <c r="N350" i="1"/>
  <c r="K350" i="1"/>
  <c r="M350" i="1"/>
  <c r="O352" i="1"/>
  <c r="P352" i="1"/>
  <c r="H351" i="1"/>
  <c r="I351" i="1"/>
  <c r="P351" i="1" s="1"/>
  <c r="J353" i="1"/>
  <c r="B353" i="1"/>
  <c r="E353" i="1"/>
  <c r="A354" i="1"/>
  <c r="D352" i="1"/>
  <c r="F352" i="1" s="1"/>
  <c r="G352" i="1" s="1"/>
  <c r="C352" i="1"/>
  <c r="T353" i="1" l="1"/>
  <c r="S353" i="1"/>
  <c r="O351" i="1"/>
  <c r="L351" i="1"/>
  <c r="N351" i="1"/>
  <c r="K351" i="1"/>
  <c r="M351" i="1"/>
  <c r="O353" i="1"/>
  <c r="P353" i="1"/>
  <c r="C353" i="1"/>
  <c r="D353" i="1"/>
  <c r="F353" i="1" s="1"/>
  <c r="G353" i="1" s="1"/>
  <c r="J354" i="1"/>
  <c r="B354" i="1"/>
  <c r="E354" i="1"/>
  <c r="A355" i="1"/>
  <c r="H352" i="1"/>
  <c r="I352" i="1"/>
  <c r="R352" i="1" l="1"/>
  <c r="Q352" i="1"/>
  <c r="R354" i="1"/>
  <c r="Q354" i="1"/>
  <c r="L352" i="1"/>
  <c r="N352" i="1"/>
  <c r="K352" i="1"/>
  <c r="M352" i="1"/>
  <c r="O354" i="1"/>
  <c r="P354" i="1"/>
  <c r="J355" i="1"/>
  <c r="B355" i="1"/>
  <c r="E355" i="1"/>
  <c r="A356" i="1"/>
  <c r="C354" i="1"/>
  <c r="D354" i="1"/>
  <c r="F354" i="1" s="1"/>
  <c r="G354" i="1" s="1"/>
  <c r="H353" i="1"/>
  <c r="I353" i="1"/>
  <c r="R353" i="1" l="1"/>
  <c r="Q353" i="1"/>
  <c r="Q355" i="1"/>
  <c r="R355" i="1"/>
  <c r="L353" i="1"/>
  <c r="N353" i="1"/>
  <c r="K353" i="1"/>
  <c r="M353" i="1"/>
  <c r="O355" i="1"/>
  <c r="P355" i="1"/>
  <c r="J356" i="1"/>
  <c r="B356" i="1"/>
  <c r="E356" i="1"/>
  <c r="A357" i="1"/>
  <c r="H354" i="1"/>
  <c r="S354" i="1" s="1"/>
  <c r="I354" i="1"/>
  <c r="T354" i="1" s="1"/>
  <c r="C355" i="1"/>
  <c r="D355" i="1"/>
  <c r="F355" i="1" s="1"/>
  <c r="G355" i="1" s="1"/>
  <c r="T356" i="1" l="1"/>
  <c r="S356" i="1"/>
  <c r="Q356" i="1"/>
  <c r="R356" i="1"/>
  <c r="L354" i="1"/>
  <c r="N354" i="1"/>
  <c r="K354" i="1"/>
  <c r="M354" i="1"/>
  <c r="P356" i="1"/>
  <c r="O356" i="1"/>
  <c r="H355" i="1"/>
  <c r="S355" i="1" s="1"/>
  <c r="I355" i="1"/>
  <c r="T355" i="1" s="1"/>
  <c r="D356" i="1"/>
  <c r="F356" i="1" s="1"/>
  <c r="G356" i="1" s="1"/>
  <c r="C356" i="1"/>
  <c r="J357" i="1"/>
  <c r="B357" i="1"/>
  <c r="E357" i="1"/>
  <c r="A358" i="1"/>
  <c r="T357" i="1" l="1"/>
  <c r="S357" i="1"/>
  <c r="R357" i="1"/>
  <c r="Q357" i="1"/>
  <c r="L355" i="1"/>
  <c r="N355" i="1"/>
  <c r="K355" i="1"/>
  <c r="M355" i="1"/>
  <c r="H356" i="1"/>
  <c r="I356" i="1"/>
  <c r="C357" i="1"/>
  <c r="D357" i="1"/>
  <c r="F357" i="1" s="1"/>
  <c r="G357" i="1" s="1"/>
  <c r="J358" i="1"/>
  <c r="B358" i="1"/>
  <c r="E358" i="1"/>
  <c r="A359" i="1"/>
  <c r="T358" i="1" l="1"/>
  <c r="S358" i="1"/>
  <c r="R358" i="1"/>
  <c r="Q358" i="1"/>
  <c r="L356" i="1"/>
  <c r="N356" i="1"/>
  <c r="K356" i="1"/>
  <c r="M356" i="1"/>
  <c r="C358" i="1"/>
  <c r="D358" i="1"/>
  <c r="F358" i="1" s="1"/>
  <c r="G358" i="1" s="1"/>
  <c r="J359" i="1"/>
  <c r="B359" i="1"/>
  <c r="E359" i="1"/>
  <c r="A360" i="1"/>
  <c r="H357" i="1"/>
  <c r="I357" i="1"/>
  <c r="N357" i="1" s="1"/>
  <c r="T359" i="1" l="1"/>
  <c r="S359" i="1"/>
  <c r="M357" i="1"/>
  <c r="R359" i="1"/>
  <c r="Q359" i="1"/>
  <c r="K357" i="1"/>
  <c r="O357" i="1"/>
  <c r="L357" i="1"/>
  <c r="P357" i="1"/>
  <c r="C359" i="1"/>
  <c r="D359" i="1"/>
  <c r="F359" i="1" s="1"/>
  <c r="G359" i="1" s="1"/>
  <c r="J360" i="1"/>
  <c r="B360" i="1"/>
  <c r="E360" i="1"/>
  <c r="A361" i="1"/>
  <c r="H358" i="1"/>
  <c r="I358" i="1"/>
  <c r="N358" i="1" s="1"/>
  <c r="T360" i="1" l="1"/>
  <c r="S360" i="1"/>
  <c r="M358" i="1"/>
  <c r="R360" i="1"/>
  <c r="Q360" i="1"/>
  <c r="L358" i="1"/>
  <c r="P358" i="1"/>
  <c r="K358" i="1"/>
  <c r="O358" i="1"/>
  <c r="J361" i="1"/>
  <c r="B361" i="1"/>
  <c r="E361" i="1"/>
  <c r="A362" i="1"/>
  <c r="D360" i="1"/>
  <c r="F360" i="1" s="1"/>
  <c r="G360" i="1" s="1"/>
  <c r="C360" i="1"/>
  <c r="H359" i="1"/>
  <c r="I359" i="1"/>
  <c r="N359" i="1" s="1"/>
  <c r="T361" i="1" l="1"/>
  <c r="S361" i="1"/>
  <c r="M359" i="1"/>
  <c r="R361" i="1"/>
  <c r="Q361" i="1"/>
  <c r="L359" i="1"/>
  <c r="P359" i="1"/>
  <c r="K359" i="1"/>
  <c r="O359" i="1"/>
  <c r="H360" i="1"/>
  <c r="I360" i="1"/>
  <c r="N360" i="1" s="1"/>
  <c r="J362" i="1"/>
  <c r="B362" i="1"/>
  <c r="E362" i="1"/>
  <c r="A363" i="1"/>
  <c r="D361" i="1"/>
  <c r="F361" i="1" s="1"/>
  <c r="G361" i="1" s="1"/>
  <c r="C361" i="1"/>
  <c r="T362" i="1" l="1"/>
  <c r="S362" i="1"/>
  <c r="M360" i="1"/>
  <c r="R362" i="1"/>
  <c r="Q362" i="1"/>
  <c r="L360" i="1"/>
  <c r="P360" i="1"/>
  <c r="K360" i="1"/>
  <c r="O360" i="1"/>
  <c r="P362" i="1"/>
  <c r="O362" i="1"/>
  <c r="J363" i="1"/>
  <c r="B363" i="1"/>
  <c r="E363" i="1"/>
  <c r="A364" i="1"/>
  <c r="D362" i="1"/>
  <c r="F362" i="1" s="1"/>
  <c r="G362" i="1" s="1"/>
  <c r="C362" i="1"/>
  <c r="H361" i="1"/>
  <c r="I361" i="1"/>
  <c r="N361" i="1" s="1"/>
  <c r="S363" i="1" l="1"/>
  <c r="T363" i="1"/>
  <c r="M361" i="1"/>
  <c r="Q363" i="1"/>
  <c r="R363" i="1"/>
  <c r="K361" i="1"/>
  <c r="O361" i="1"/>
  <c r="L361" i="1"/>
  <c r="P361" i="1"/>
  <c r="O363" i="1"/>
  <c r="P363" i="1"/>
  <c r="J364" i="1"/>
  <c r="B364" i="1"/>
  <c r="E364" i="1"/>
  <c r="A365" i="1"/>
  <c r="D363" i="1"/>
  <c r="F363" i="1" s="1"/>
  <c r="G363" i="1" s="1"/>
  <c r="C363" i="1"/>
  <c r="H362" i="1"/>
  <c r="I362" i="1"/>
  <c r="T364" i="1" l="1"/>
  <c r="S364" i="1"/>
  <c r="Q364" i="1"/>
  <c r="R364" i="1"/>
  <c r="K362" i="1"/>
  <c r="M362" i="1"/>
  <c r="L362" i="1"/>
  <c r="N362" i="1"/>
  <c r="O364" i="1"/>
  <c r="P364" i="1"/>
  <c r="H363" i="1"/>
  <c r="I363" i="1"/>
  <c r="J365" i="1"/>
  <c r="B365" i="1"/>
  <c r="E365" i="1"/>
  <c r="A366" i="1"/>
  <c r="D364" i="1"/>
  <c r="F364" i="1" s="1"/>
  <c r="G364" i="1" s="1"/>
  <c r="C364" i="1"/>
  <c r="T365" i="1" l="1"/>
  <c r="S365" i="1"/>
  <c r="R365" i="1"/>
  <c r="Q365" i="1"/>
  <c r="L363" i="1"/>
  <c r="N363" i="1"/>
  <c r="K363" i="1"/>
  <c r="M363" i="1"/>
  <c r="O365" i="1"/>
  <c r="P365" i="1"/>
  <c r="J366" i="1"/>
  <c r="B366" i="1"/>
  <c r="E366" i="1"/>
  <c r="A367" i="1"/>
  <c r="D365" i="1"/>
  <c r="F365" i="1" s="1"/>
  <c r="G365" i="1" s="1"/>
  <c r="C365" i="1"/>
  <c r="H364" i="1"/>
  <c r="I364" i="1"/>
  <c r="T366" i="1" l="1"/>
  <c r="S366" i="1"/>
  <c r="R366" i="1"/>
  <c r="Q366" i="1"/>
  <c r="K364" i="1"/>
  <c r="M364" i="1"/>
  <c r="L364" i="1"/>
  <c r="N364" i="1"/>
  <c r="O366" i="1"/>
  <c r="P366" i="1"/>
  <c r="H365" i="1"/>
  <c r="I365" i="1"/>
  <c r="J367" i="1"/>
  <c r="B367" i="1"/>
  <c r="E367" i="1"/>
  <c r="A368" i="1"/>
  <c r="D366" i="1"/>
  <c r="F366" i="1" s="1"/>
  <c r="G366" i="1" s="1"/>
  <c r="C366" i="1"/>
  <c r="T367" i="1" l="1"/>
  <c r="S367" i="1"/>
  <c r="R367" i="1"/>
  <c r="Q367" i="1"/>
  <c r="L365" i="1"/>
  <c r="N365" i="1"/>
  <c r="K365" i="1"/>
  <c r="M365" i="1"/>
  <c r="O367" i="1"/>
  <c r="P367" i="1"/>
  <c r="J368" i="1"/>
  <c r="B368" i="1"/>
  <c r="E368" i="1"/>
  <c r="A369" i="1"/>
  <c r="D367" i="1"/>
  <c r="F367" i="1" s="1"/>
  <c r="G367" i="1" s="1"/>
  <c r="C367" i="1"/>
  <c r="H366" i="1"/>
  <c r="I366" i="1"/>
  <c r="T368" i="1" l="1"/>
  <c r="S368" i="1"/>
  <c r="R368" i="1"/>
  <c r="Q368" i="1"/>
  <c r="K366" i="1"/>
  <c r="M366" i="1"/>
  <c r="L366" i="1"/>
  <c r="N366" i="1"/>
  <c r="O368" i="1"/>
  <c r="P368" i="1"/>
  <c r="H367" i="1"/>
  <c r="I367" i="1"/>
  <c r="J369" i="1"/>
  <c r="B369" i="1"/>
  <c r="E369" i="1"/>
  <c r="A370" i="1"/>
  <c r="D368" i="1"/>
  <c r="F368" i="1" s="1"/>
  <c r="G368" i="1" s="1"/>
  <c r="C368" i="1"/>
  <c r="T369" i="1" l="1"/>
  <c r="S369" i="1"/>
  <c r="R369" i="1"/>
  <c r="Q369" i="1"/>
  <c r="N367" i="1"/>
  <c r="L367" i="1"/>
  <c r="M367" i="1"/>
  <c r="K367" i="1"/>
  <c r="O369" i="1"/>
  <c r="P369" i="1"/>
  <c r="J370" i="1"/>
  <c r="B370" i="1"/>
  <c r="E370" i="1"/>
  <c r="A371" i="1"/>
  <c r="D369" i="1"/>
  <c r="F369" i="1" s="1"/>
  <c r="G369" i="1" s="1"/>
  <c r="C369" i="1"/>
  <c r="H368" i="1"/>
  <c r="I368" i="1"/>
  <c r="T370" i="1" l="1"/>
  <c r="S370" i="1"/>
  <c r="R370" i="1"/>
  <c r="Q370" i="1"/>
  <c r="N368" i="1"/>
  <c r="L368" i="1"/>
  <c r="M368" i="1"/>
  <c r="K368" i="1"/>
  <c r="O370" i="1"/>
  <c r="P370" i="1"/>
  <c r="J371" i="1"/>
  <c r="B371" i="1"/>
  <c r="E371" i="1"/>
  <c r="A372" i="1"/>
  <c r="H369" i="1"/>
  <c r="I369" i="1"/>
  <c r="D370" i="1"/>
  <c r="F370" i="1" s="1"/>
  <c r="G370" i="1" s="1"/>
  <c r="C370" i="1"/>
  <c r="S371" i="1" l="1"/>
  <c r="T371" i="1"/>
  <c r="Q371" i="1"/>
  <c r="R371" i="1"/>
  <c r="N369" i="1"/>
  <c r="L369" i="1"/>
  <c r="M369" i="1"/>
  <c r="K369" i="1"/>
  <c r="O371" i="1"/>
  <c r="P371" i="1"/>
  <c r="J372" i="1"/>
  <c r="B372" i="1"/>
  <c r="E372" i="1"/>
  <c r="A373" i="1"/>
  <c r="D371" i="1"/>
  <c r="F371" i="1" s="1"/>
  <c r="G371" i="1" s="1"/>
  <c r="C371" i="1"/>
  <c r="H370" i="1"/>
  <c r="I370" i="1"/>
  <c r="T372" i="1" l="1"/>
  <c r="S372" i="1"/>
  <c r="Q372" i="1"/>
  <c r="R372" i="1"/>
  <c r="N370" i="1"/>
  <c r="L370" i="1"/>
  <c r="M370" i="1"/>
  <c r="K370" i="1"/>
  <c r="P372" i="1"/>
  <c r="O372" i="1"/>
  <c r="J373" i="1"/>
  <c r="B373" i="1"/>
  <c r="E373" i="1"/>
  <c r="A374" i="1"/>
  <c r="D372" i="1"/>
  <c r="F372" i="1" s="1"/>
  <c r="G372" i="1" s="1"/>
  <c r="C372" i="1"/>
  <c r="H371" i="1"/>
  <c r="I371" i="1"/>
  <c r="T373" i="1" l="1"/>
  <c r="S373" i="1"/>
  <c r="R373" i="1"/>
  <c r="Q373" i="1"/>
  <c r="N371" i="1"/>
  <c r="L371" i="1"/>
  <c r="M371" i="1"/>
  <c r="K371" i="1"/>
  <c r="O373" i="1"/>
  <c r="P373" i="1"/>
  <c r="J374" i="1"/>
  <c r="B374" i="1"/>
  <c r="E374" i="1"/>
  <c r="A375" i="1"/>
  <c r="D373" i="1"/>
  <c r="F373" i="1" s="1"/>
  <c r="G373" i="1" s="1"/>
  <c r="C373" i="1"/>
  <c r="H372" i="1"/>
  <c r="I372" i="1"/>
  <c r="T374" i="1" l="1"/>
  <c r="S374" i="1"/>
  <c r="R374" i="1"/>
  <c r="Q374" i="1"/>
  <c r="N372" i="1"/>
  <c r="L372" i="1"/>
  <c r="M372" i="1"/>
  <c r="K372" i="1"/>
  <c r="P374" i="1"/>
  <c r="O374" i="1"/>
  <c r="H373" i="1"/>
  <c r="I373" i="1"/>
  <c r="J375" i="1"/>
  <c r="B375" i="1"/>
  <c r="E375" i="1"/>
  <c r="A376" i="1"/>
  <c r="D374" i="1"/>
  <c r="F374" i="1" s="1"/>
  <c r="G374" i="1" s="1"/>
  <c r="C374" i="1"/>
  <c r="T375" i="1" l="1"/>
  <c r="S375" i="1"/>
  <c r="R375" i="1"/>
  <c r="Q375" i="1"/>
  <c r="N373" i="1"/>
  <c r="L373" i="1"/>
  <c r="M373" i="1"/>
  <c r="K373" i="1"/>
  <c r="O375" i="1"/>
  <c r="P375" i="1"/>
  <c r="J376" i="1"/>
  <c r="B376" i="1"/>
  <c r="E376" i="1"/>
  <c r="A377" i="1"/>
  <c r="D375" i="1"/>
  <c r="F375" i="1" s="1"/>
  <c r="G375" i="1" s="1"/>
  <c r="C375" i="1"/>
  <c r="H374" i="1"/>
  <c r="I374" i="1"/>
  <c r="T376" i="1" l="1"/>
  <c r="S376" i="1"/>
  <c r="R376" i="1"/>
  <c r="Q376" i="1"/>
  <c r="M374" i="1"/>
  <c r="K374" i="1"/>
  <c r="N374" i="1"/>
  <c r="L374" i="1"/>
  <c r="P376" i="1"/>
  <c r="O376" i="1"/>
  <c r="H375" i="1"/>
  <c r="I375" i="1"/>
  <c r="J377" i="1"/>
  <c r="B377" i="1"/>
  <c r="E377" i="1"/>
  <c r="A378" i="1"/>
  <c r="D376" i="1"/>
  <c r="F376" i="1" s="1"/>
  <c r="G376" i="1" s="1"/>
  <c r="C376" i="1"/>
  <c r="T377" i="1" l="1"/>
  <c r="S377" i="1"/>
  <c r="R377" i="1"/>
  <c r="Q377" i="1"/>
  <c r="N375" i="1"/>
  <c r="L375" i="1"/>
  <c r="M375" i="1"/>
  <c r="K375" i="1"/>
  <c r="O377" i="1"/>
  <c r="P377" i="1"/>
  <c r="J378" i="1"/>
  <c r="B378" i="1"/>
  <c r="E378" i="1"/>
  <c r="A379" i="1"/>
  <c r="D377" i="1"/>
  <c r="F377" i="1" s="1"/>
  <c r="G377" i="1" s="1"/>
  <c r="C377" i="1"/>
  <c r="H376" i="1"/>
  <c r="I376" i="1"/>
  <c r="T378" i="1" l="1"/>
  <c r="S378" i="1"/>
  <c r="R378" i="1"/>
  <c r="Q378" i="1"/>
  <c r="N376" i="1"/>
  <c r="L376" i="1"/>
  <c r="M376" i="1"/>
  <c r="K376" i="1"/>
  <c r="O378" i="1"/>
  <c r="P378" i="1"/>
  <c r="H377" i="1"/>
  <c r="I377" i="1"/>
  <c r="J379" i="1"/>
  <c r="B379" i="1"/>
  <c r="E379" i="1"/>
  <c r="A380" i="1"/>
  <c r="D378" i="1"/>
  <c r="F378" i="1" s="1"/>
  <c r="G378" i="1" s="1"/>
  <c r="C378" i="1"/>
  <c r="S379" i="1" l="1"/>
  <c r="T379" i="1"/>
  <c r="Q379" i="1"/>
  <c r="R379" i="1"/>
  <c r="N377" i="1"/>
  <c r="L377" i="1"/>
  <c r="M377" i="1"/>
  <c r="K377" i="1"/>
  <c r="O379" i="1"/>
  <c r="P379" i="1"/>
  <c r="D379" i="1"/>
  <c r="F379" i="1" s="1"/>
  <c r="G379" i="1" s="1"/>
  <c r="C379" i="1"/>
  <c r="J380" i="1"/>
  <c r="B380" i="1"/>
  <c r="E380" i="1"/>
  <c r="A381" i="1"/>
  <c r="H378" i="1"/>
  <c r="I378" i="1"/>
  <c r="T380" i="1" l="1"/>
  <c r="S380" i="1"/>
  <c r="Q380" i="1"/>
  <c r="R380" i="1"/>
  <c r="N378" i="1"/>
  <c r="L378" i="1"/>
  <c r="M378" i="1"/>
  <c r="K378" i="1"/>
  <c r="O380" i="1"/>
  <c r="P380" i="1"/>
  <c r="J381" i="1"/>
  <c r="B381" i="1"/>
  <c r="E381" i="1"/>
  <c r="A382" i="1"/>
  <c r="D380" i="1"/>
  <c r="F380" i="1" s="1"/>
  <c r="G380" i="1" s="1"/>
  <c r="C380" i="1"/>
  <c r="H379" i="1"/>
  <c r="I379" i="1"/>
  <c r="T381" i="1" l="1"/>
  <c r="S381" i="1"/>
  <c r="R381" i="1"/>
  <c r="Q381" i="1"/>
  <c r="M379" i="1"/>
  <c r="K379" i="1"/>
  <c r="N379" i="1"/>
  <c r="L379" i="1"/>
  <c r="O381" i="1"/>
  <c r="P381" i="1"/>
  <c r="H380" i="1"/>
  <c r="I380" i="1"/>
  <c r="J382" i="1"/>
  <c r="B382" i="1"/>
  <c r="E382" i="1"/>
  <c r="A383" i="1"/>
  <c r="D381" i="1"/>
  <c r="F381" i="1" s="1"/>
  <c r="G381" i="1" s="1"/>
  <c r="C381" i="1"/>
  <c r="T382" i="1" l="1"/>
  <c r="S382" i="1"/>
  <c r="R382" i="1"/>
  <c r="Q382" i="1"/>
  <c r="N380" i="1"/>
  <c r="L380" i="1"/>
  <c r="M380" i="1"/>
  <c r="K380" i="1"/>
  <c r="O382" i="1"/>
  <c r="P382" i="1"/>
  <c r="J383" i="1"/>
  <c r="B383" i="1"/>
  <c r="E383" i="1"/>
  <c r="A384" i="1"/>
  <c r="D382" i="1"/>
  <c r="F382" i="1" s="1"/>
  <c r="G382" i="1" s="1"/>
  <c r="C382" i="1"/>
  <c r="H381" i="1"/>
  <c r="I381" i="1"/>
  <c r="T383" i="1" l="1"/>
  <c r="S383" i="1"/>
  <c r="R383" i="1"/>
  <c r="Q383" i="1"/>
  <c r="N381" i="1"/>
  <c r="L381" i="1"/>
  <c r="M381" i="1"/>
  <c r="K381" i="1"/>
  <c r="O383" i="1"/>
  <c r="P383" i="1"/>
  <c r="J384" i="1"/>
  <c r="B384" i="1"/>
  <c r="E384" i="1"/>
  <c r="A385" i="1"/>
  <c r="D383" i="1"/>
  <c r="F383" i="1" s="1"/>
  <c r="G383" i="1" s="1"/>
  <c r="C383" i="1"/>
  <c r="H382" i="1"/>
  <c r="I382" i="1"/>
  <c r="T384" i="1" l="1"/>
  <c r="S384" i="1"/>
  <c r="R384" i="1"/>
  <c r="Q384" i="1"/>
  <c r="M382" i="1"/>
  <c r="K382" i="1"/>
  <c r="N382" i="1"/>
  <c r="L382" i="1"/>
  <c r="O384" i="1"/>
  <c r="P384" i="1"/>
  <c r="D384" i="1"/>
  <c r="F384" i="1" s="1"/>
  <c r="G384" i="1" s="1"/>
  <c r="C384" i="1"/>
  <c r="J385" i="1"/>
  <c r="B385" i="1"/>
  <c r="E385" i="1"/>
  <c r="A386" i="1"/>
  <c r="H383" i="1"/>
  <c r="I383" i="1"/>
  <c r="T385" i="1" l="1"/>
  <c r="S385" i="1"/>
  <c r="R385" i="1"/>
  <c r="Q385" i="1"/>
  <c r="N383" i="1"/>
  <c r="L383" i="1"/>
  <c r="M383" i="1"/>
  <c r="K383" i="1"/>
  <c r="O385" i="1"/>
  <c r="P385" i="1"/>
  <c r="J386" i="1"/>
  <c r="B386" i="1"/>
  <c r="E386" i="1"/>
  <c r="A387" i="1"/>
  <c r="D385" i="1"/>
  <c r="F385" i="1" s="1"/>
  <c r="G385" i="1" s="1"/>
  <c r="C385" i="1"/>
  <c r="H384" i="1"/>
  <c r="I384" i="1"/>
  <c r="T386" i="1" l="1"/>
  <c r="S386" i="1"/>
  <c r="R386" i="1"/>
  <c r="Q386" i="1"/>
  <c r="M384" i="1"/>
  <c r="K384" i="1"/>
  <c r="N384" i="1"/>
  <c r="L384" i="1"/>
  <c r="O386" i="1"/>
  <c r="P386" i="1"/>
  <c r="H385" i="1"/>
  <c r="I385" i="1"/>
  <c r="J387" i="1"/>
  <c r="B387" i="1"/>
  <c r="E387" i="1"/>
  <c r="A388" i="1"/>
  <c r="D386" i="1"/>
  <c r="F386" i="1" s="1"/>
  <c r="G386" i="1" s="1"/>
  <c r="C386" i="1"/>
  <c r="T387" i="1" l="1"/>
  <c r="S387" i="1"/>
  <c r="Q387" i="1"/>
  <c r="R387" i="1"/>
  <c r="N385" i="1"/>
  <c r="L385" i="1"/>
  <c r="M385" i="1"/>
  <c r="K385" i="1"/>
  <c r="O387" i="1"/>
  <c r="P387" i="1"/>
  <c r="J388" i="1"/>
  <c r="B388" i="1"/>
  <c r="E388" i="1"/>
  <c r="A389" i="1"/>
  <c r="D387" i="1"/>
  <c r="F387" i="1" s="1"/>
  <c r="G387" i="1" s="1"/>
  <c r="C387" i="1"/>
  <c r="H386" i="1"/>
  <c r="I386" i="1"/>
  <c r="T388" i="1" l="1"/>
  <c r="S388" i="1"/>
  <c r="Q388" i="1"/>
  <c r="R388" i="1"/>
  <c r="N386" i="1"/>
  <c r="L386" i="1"/>
  <c r="M386" i="1"/>
  <c r="K386" i="1"/>
  <c r="P388" i="1"/>
  <c r="O388" i="1"/>
  <c r="H387" i="1"/>
  <c r="I387" i="1"/>
  <c r="J389" i="1"/>
  <c r="B389" i="1"/>
  <c r="E389" i="1"/>
  <c r="A390" i="1"/>
  <c r="D388" i="1"/>
  <c r="F388" i="1" s="1"/>
  <c r="G388" i="1" s="1"/>
  <c r="C388" i="1"/>
  <c r="T389" i="1" l="1"/>
  <c r="S389" i="1"/>
  <c r="R389" i="1"/>
  <c r="Q389" i="1"/>
  <c r="N387" i="1"/>
  <c r="L387" i="1"/>
  <c r="M387" i="1"/>
  <c r="K387" i="1"/>
  <c r="O389" i="1"/>
  <c r="P389" i="1"/>
  <c r="D389" i="1"/>
  <c r="F389" i="1" s="1"/>
  <c r="G389" i="1" s="1"/>
  <c r="C389" i="1"/>
  <c r="J390" i="1"/>
  <c r="B390" i="1"/>
  <c r="E390" i="1"/>
  <c r="A391" i="1"/>
  <c r="H388" i="1"/>
  <c r="I388" i="1"/>
  <c r="T390" i="1" l="1"/>
  <c r="S390" i="1"/>
  <c r="R390" i="1"/>
  <c r="Q390" i="1"/>
  <c r="N388" i="1"/>
  <c r="L388" i="1"/>
  <c r="M388" i="1"/>
  <c r="K388" i="1"/>
  <c r="O390" i="1"/>
  <c r="P390" i="1"/>
  <c r="D390" i="1"/>
  <c r="F390" i="1" s="1"/>
  <c r="G390" i="1" s="1"/>
  <c r="C390" i="1"/>
  <c r="H389" i="1"/>
  <c r="I389" i="1"/>
  <c r="J391" i="1"/>
  <c r="B391" i="1"/>
  <c r="E391" i="1"/>
  <c r="A392" i="1"/>
  <c r="T391" i="1" l="1"/>
  <c r="S391" i="1"/>
  <c r="R391" i="1"/>
  <c r="Q391" i="1"/>
  <c r="N389" i="1"/>
  <c r="L389" i="1"/>
  <c r="M389" i="1"/>
  <c r="K389" i="1"/>
  <c r="O391" i="1"/>
  <c r="P391" i="1"/>
  <c r="D391" i="1"/>
  <c r="F391" i="1" s="1"/>
  <c r="G391" i="1" s="1"/>
  <c r="C391" i="1"/>
  <c r="H390" i="1"/>
  <c r="I390" i="1"/>
  <c r="J392" i="1"/>
  <c r="B392" i="1"/>
  <c r="E392" i="1"/>
  <c r="A393" i="1"/>
  <c r="T392" i="1" l="1"/>
  <c r="S392" i="1"/>
  <c r="R392" i="1"/>
  <c r="Q392" i="1"/>
  <c r="M390" i="1"/>
  <c r="K390" i="1"/>
  <c r="N390" i="1"/>
  <c r="L390" i="1"/>
  <c r="P392" i="1"/>
  <c r="O392" i="1"/>
  <c r="H391" i="1"/>
  <c r="K391" i="1" s="1"/>
  <c r="I391" i="1"/>
  <c r="J393" i="1"/>
  <c r="B393" i="1"/>
  <c r="E393" i="1"/>
  <c r="A394" i="1"/>
  <c r="D392" i="1"/>
  <c r="F392" i="1" s="1"/>
  <c r="G392" i="1" s="1"/>
  <c r="C392" i="1"/>
  <c r="T393" i="1" l="1"/>
  <c r="S393" i="1"/>
  <c r="N391" i="1"/>
  <c r="L391" i="1"/>
  <c r="M391" i="1"/>
  <c r="R393" i="1"/>
  <c r="Q393" i="1"/>
  <c r="O393" i="1"/>
  <c r="P393" i="1"/>
  <c r="H392" i="1"/>
  <c r="K392" i="1" s="1"/>
  <c r="I392" i="1"/>
  <c r="D393" i="1"/>
  <c r="F393" i="1" s="1"/>
  <c r="G393" i="1" s="1"/>
  <c r="C393" i="1"/>
  <c r="J394" i="1"/>
  <c r="B394" i="1"/>
  <c r="E394" i="1"/>
  <c r="A395" i="1"/>
  <c r="T394" i="1" l="1"/>
  <c r="S394" i="1"/>
  <c r="N392" i="1"/>
  <c r="L392" i="1"/>
  <c r="M392" i="1"/>
  <c r="R394" i="1"/>
  <c r="Q394" i="1"/>
  <c r="P394" i="1"/>
  <c r="O394" i="1"/>
  <c r="J395" i="1"/>
  <c r="B395" i="1"/>
  <c r="E395" i="1"/>
  <c r="A396" i="1"/>
  <c r="H393" i="1"/>
  <c r="K393" i="1" s="1"/>
  <c r="I393" i="1"/>
  <c r="D394" i="1"/>
  <c r="F394" i="1" s="1"/>
  <c r="G394" i="1" s="1"/>
  <c r="C394" i="1"/>
  <c r="T395" i="1" l="1"/>
  <c r="S395" i="1"/>
  <c r="N393" i="1"/>
  <c r="L393" i="1"/>
  <c r="M393" i="1"/>
  <c r="Q395" i="1"/>
  <c r="R395" i="1"/>
  <c r="O395" i="1"/>
  <c r="P395" i="1"/>
  <c r="D395" i="1"/>
  <c r="F395" i="1" s="1"/>
  <c r="G395" i="1" s="1"/>
  <c r="C395" i="1"/>
  <c r="E396" i="1"/>
  <c r="A397" i="1"/>
  <c r="J396" i="1"/>
  <c r="B396" i="1"/>
  <c r="H394" i="1"/>
  <c r="K394" i="1" s="1"/>
  <c r="I394" i="1"/>
  <c r="T396" i="1" l="1"/>
  <c r="S396" i="1"/>
  <c r="N394" i="1"/>
  <c r="L394" i="1"/>
  <c r="M394" i="1"/>
  <c r="Q396" i="1"/>
  <c r="R396" i="1"/>
  <c r="P396" i="1"/>
  <c r="O396" i="1"/>
  <c r="D396" i="1"/>
  <c r="F396" i="1" s="1"/>
  <c r="G396" i="1" s="1"/>
  <c r="C396" i="1"/>
  <c r="H395" i="1"/>
  <c r="K395" i="1" s="1"/>
  <c r="I395" i="1"/>
  <c r="E397" i="1"/>
  <c r="A398" i="1"/>
  <c r="J397" i="1"/>
  <c r="B397" i="1"/>
  <c r="T397" i="1" l="1"/>
  <c r="S397" i="1"/>
  <c r="N395" i="1"/>
  <c r="L395" i="1"/>
  <c r="M395" i="1"/>
  <c r="R397" i="1"/>
  <c r="Q397" i="1"/>
  <c r="O397" i="1"/>
  <c r="P397" i="1"/>
  <c r="D397" i="1"/>
  <c r="F397" i="1" s="1"/>
  <c r="G397" i="1" s="1"/>
  <c r="C397" i="1"/>
  <c r="E398" i="1"/>
  <c r="A399" i="1"/>
  <c r="J398" i="1"/>
  <c r="B398" i="1"/>
  <c r="H396" i="1"/>
  <c r="K396" i="1" s="1"/>
  <c r="I396" i="1"/>
  <c r="T398" i="1" l="1"/>
  <c r="S398" i="1"/>
  <c r="N396" i="1"/>
  <c r="L396" i="1"/>
  <c r="M396" i="1"/>
  <c r="R398" i="1"/>
  <c r="Q398" i="1"/>
  <c r="E399" i="1"/>
  <c r="J399" i="1"/>
  <c r="A400" i="1"/>
  <c r="B399" i="1"/>
  <c r="D398" i="1"/>
  <c r="F398" i="1" s="1"/>
  <c r="G398" i="1" s="1"/>
  <c r="C398" i="1"/>
  <c r="H397" i="1"/>
  <c r="K397" i="1" s="1"/>
  <c r="I397" i="1"/>
  <c r="T399" i="1" l="1"/>
  <c r="S399" i="1"/>
  <c r="N397" i="1"/>
  <c r="L397" i="1"/>
  <c r="M397" i="1"/>
  <c r="R399" i="1"/>
  <c r="Q399" i="1"/>
  <c r="O399" i="1"/>
  <c r="P399" i="1"/>
  <c r="D399" i="1"/>
  <c r="F399" i="1" s="1"/>
  <c r="G399" i="1" s="1"/>
  <c r="C399" i="1"/>
  <c r="E400" i="1"/>
  <c r="J400" i="1"/>
  <c r="B400" i="1"/>
  <c r="A401" i="1"/>
  <c r="H398" i="1"/>
  <c r="I398" i="1"/>
  <c r="L398" i="1" s="1"/>
  <c r="T400" i="1" l="1"/>
  <c r="S400" i="1"/>
  <c r="K398" i="1"/>
  <c r="R400" i="1"/>
  <c r="Q400" i="1"/>
  <c r="P398" i="1"/>
  <c r="N398" i="1"/>
  <c r="O398" i="1"/>
  <c r="M398" i="1"/>
  <c r="O400" i="1"/>
  <c r="P400" i="1"/>
  <c r="E401" i="1"/>
  <c r="J401" i="1"/>
  <c r="B401" i="1"/>
  <c r="A402" i="1"/>
  <c r="H399" i="1"/>
  <c r="I399" i="1"/>
  <c r="D400" i="1"/>
  <c r="F400" i="1" s="1"/>
  <c r="G400" i="1" s="1"/>
  <c r="C400" i="1"/>
  <c r="T401" i="1" l="1"/>
  <c r="S401" i="1"/>
  <c r="R401" i="1"/>
  <c r="Q401" i="1"/>
  <c r="K399" i="1"/>
  <c r="M399" i="1"/>
  <c r="L399" i="1"/>
  <c r="N399" i="1"/>
  <c r="O401" i="1"/>
  <c r="P401" i="1"/>
  <c r="E402" i="1"/>
  <c r="J402" i="1"/>
  <c r="B402" i="1"/>
  <c r="A403" i="1"/>
  <c r="D401" i="1"/>
  <c r="F401" i="1" s="1"/>
  <c r="G401" i="1" s="1"/>
  <c r="C401" i="1"/>
  <c r="H400" i="1"/>
  <c r="I400" i="1"/>
  <c r="T402" i="1" l="1"/>
  <c r="S402" i="1"/>
  <c r="R402" i="1"/>
  <c r="Q402" i="1"/>
  <c r="K400" i="1"/>
  <c r="M400" i="1"/>
  <c r="L400" i="1"/>
  <c r="N400" i="1"/>
  <c r="P402" i="1"/>
  <c r="O402" i="1"/>
  <c r="H401" i="1"/>
  <c r="I401" i="1"/>
  <c r="E403" i="1"/>
  <c r="J403" i="1"/>
  <c r="B403" i="1"/>
  <c r="A404" i="1"/>
  <c r="D402" i="1"/>
  <c r="F402" i="1" s="1"/>
  <c r="G402" i="1" s="1"/>
  <c r="C402" i="1"/>
  <c r="T403" i="1" l="1"/>
  <c r="S403" i="1"/>
  <c r="Q403" i="1"/>
  <c r="R403" i="1"/>
  <c r="L401" i="1"/>
  <c r="N401" i="1"/>
  <c r="K401" i="1"/>
  <c r="M401" i="1"/>
  <c r="O403" i="1"/>
  <c r="P403" i="1"/>
  <c r="E404" i="1"/>
  <c r="J404" i="1"/>
  <c r="B404" i="1"/>
  <c r="A405" i="1"/>
  <c r="H402" i="1"/>
  <c r="I402" i="1"/>
  <c r="D403" i="1"/>
  <c r="F403" i="1" s="1"/>
  <c r="G403" i="1" s="1"/>
  <c r="C403" i="1"/>
  <c r="T404" i="1" l="1"/>
  <c r="S404" i="1"/>
  <c r="Q404" i="1"/>
  <c r="R404" i="1"/>
  <c r="L402" i="1"/>
  <c r="N402" i="1"/>
  <c r="K402" i="1"/>
  <c r="M402" i="1"/>
  <c r="P404" i="1"/>
  <c r="O404" i="1"/>
  <c r="H403" i="1"/>
  <c r="I403" i="1"/>
  <c r="E405" i="1"/>
  <c r="J405" i="1"/>
  <c r="B405" i="1"/>
  <c r="A406" i="1"/>
  <c r="D404" i="1"/>
  <c r="F404" i="1" s="1"/>
  <c r="G404" i="1" s="1"/>
  <c r="C404" i="1"/>
  <c r="T405" i="1" l="1"/>
  <c r="S405" i="1"/>
  <c r="R405" i="1"/>
  <c r="Q405" i="1"/>
  <c r="L403" i="1"/>
  <c r="N403" i="1"/>
  <c r="K403" i="1"/>
  <c r="M403" i="1"/>
  <c r="O405" i="1"/>
  <c r="P405" i="1"/>
  <c r="H404" i="1"/>
  <c r="I404" i="1"/>
  <c r="E406" i="1"/>
  <c r="J406" i="1"/>
  <c r="B406" i="1"/>
  <c r="A407" i="1"/>
  <c r="D405" i="1"/>
  <c r="F405" i="1" s="1"/>
  <c r="G405" i="1" s="1"/>
  <c r="C405" i="1"/>
  <c r="T406" i="1" l="1"/>
  <c r="S406" i="1"/>
  <c r="R406" i="1"/>
  <c r="Q406" i="1"/>
  <c r="L404" i="1"/>
  <c r="N404" i="1"/>
  <c r="K404" i="1"/>
  <c r="M404" i="1"/>
  <c r="O406" i="1"/>
  <c r="P406" i="1"/>
  <c r="H405" i="1"/>
  <c r="I405" i="1"/>
  <c r="D406" i="1"/>
  <c r="F406" i="1" s="1"/>
  <c r="G406" i="1" s="1"/>
  <c r="C406" i="1"/>
  <c r="E407" i="1"/>
  <c r="J407" i="1"/>
  <c r="B407" i="1"/>
  <c r="A408" i="1"/>
  <c r="T407" i="1" l="1"/>
  <c r="S407" i="1"/>
  <c r="R407" i="1"/>
  <c r="Q407" i="1"/>
  <c r="L405" i="1"/>
  <c r="N405" i="1"/>
  <c r="K405" i="1"/>
  <c r="M405" i="1"/>
  <c r="O407" i="1"/>
  <c r="P407" i="1"/>
  <c r="E408" i="1"/>
  <c r="J408" i="1"/>
  <c r="B408" i="1"/>
  <c r="A409" i="1"/>
  <c r="H406" i="1"/>
  <c r="I406" i="1"/>
  <c r="D407" i="1"/>
  <c r="F407" i="1" s="1"/>
  <c r="G407" i="1" s="1"/>
  <c r="C407" i="1"/>
  <c r="T408" i="1" l="1"/>
  <c r="S408" i="1"/>
  <c r="R408" i="1"/>
  <c r="Q408" i="1"/>
  <c r="L406" i="1"/>
  <c r="N406" i="1"/>
  <c r="K406" i="1"/>
  <c r="M406" i="1"/>
  <c r="P408" i="1"/>
  <c r="O408" i="1"/>
  <c r="H407" i="1"/>
  <c r="I407" i="1"/>
  <c r="E409" i="1"/>
  <c r="J409" i="1"/>
  <c r="B409" i="1"/>
  <c r="A410" i="1"/>
  <c r="D408" i="1"/>
  <c r="F408" i="1" s="1"/>
  <c r="G408" i="1" s="1"/>
  <c r="C408" i="1"/>
  <c r="T409" i="1" l="1"/>
  <c r="S409" i="1"/>
  <c r="R409" i="1"/>
  <c r="Q409" i="1"/>
  <c r="L407" i="1"/>
  <c r="N407" i="1"/>
  <c r="K407" i="1"/>
  <c r="M407" i="1"/>
  <c r="O409" i="1"/>
  <c r="P409" i="1"/>
  <c r="E410" i="1"/>
  <c r="J410" i="1"/>
  <c r="B410" i="1"/>
  <c r="A411" i="1"/>
  <c r="H408" i="1"/>
  <c r="I408" i="1"/>
  <c r="D409" i="1"/>
  <c r="F409" i="1" s="1"/>
  <c r="G409" i="1" s="1"/>
  <c r="C409" i="1"/>
  <c r="T410" i="1" l="1"/>
  <c r="S410" i="1"/>
  <c r="R410" i="1"/>
  <c r="Q410" i="1"/>
  <c r="K408" i="1"/>
  <c r="M408" i="1"/>
  <c r="L408" i="1"/>
  <c r="N408" i="1"/>
  <c r="P410" i="1"/>
  <c r="O410" i="1"/>
  <c r="H409" i="1"/>
  <c r="I409" i="1"/>
  <c r="E411" i="1"/>
  <c r="J411" i="1"/>
  <c r="B411" i="1"/>
  <c r="A412" i="1"/>
  <c r="D410" i="1"/>
  <c r="F410" i="1" s="1"/>
  <c r="G410" i="1" s="1"/>
  <c r="C410" i="1"/>
  <c r="T411" i="1" l="1"/>
  <c r="S411" i="1"/>
  <c r="Q411" i="1"/>
  <c r="R411" i="1"/>
  <c r="L409" i="1"/>
  <c r="N409" i="1"/>
  <c r="K409" i="1"/>
  <c r="M409" i="1"/>
  <c r="O411" i="1"/>
  <c r="P411" i="1"/>
  <c r="D411" i="1"/>
  <c r="F411" i="1" s="1"/>
  <c r="G411" i="1" s="1"/>
  <c r="C411" i="1"/>
  <c r="E412" i="1"/>
  <c r="J412" i="1"/>
  <c r="B412" i="1"/>
  <c r="A413" i="1"/>
  <c r="H410" i="1"/>
  <c r="I410" i="1"/>
  <c r="T412" i="1" l="1"/>
  <c r="S412" i="1"/>
  <c r="Q412" i="1"/>
  <c r="R412" i="1"/>
  <c r="K410" i="1"/>
  <c r="M410" i="1"/>
  <c r="L410" i="1"/>
  <c r="N410" i="1"/>
  <c r="O412" i="1"/>
  <c r="P412" i="1"/>
  <c r="E413" i="1"/>
  <c r="J413" i="1"/>
  <c r="B413" i="1"/>
  <c r="A414" i="1"/>
  <c r="D412" i="1"/>
  <c r="F412" i="1" s="1"/>
  <c r="G412" i="1" s="1"/>
  <c r="C412" i="1"/>
  <c r="H411" i="1"/>
  <c r="I411" i="1"/>
  <c r="T413" i="1" l="1"/>
  <c r="S413" i="1"/>
  <c r="R413" i="1"/>
  <c r="Q413" i="1"/>
  <c r="K411" i="1"/>
  <c r="M411" i="1"/>
  <c r="L411" i="1"/>
  <c r="N411" i="1"/>
  <c r="O413" i="1"/>
  <c r="P413" i="1"/>
  <c r="E414" i="1"/>
  <c r="J414" i="1"/>
  <c r="B414" i="1"/>
  <c r="A415" i="1"/>
  <c r="H412" i="1"/>
  <c r="I412" i="1"/>
  <c r="D413" i="1"/>
  <c r="F413" i="1" s="1"/>
  <c r="G413" i="1" s="1"/>
  <c r="C413" i="1"/>
  <c r="T414" i="1" l="1"/>
  <c r="S414" i="1"/>
  <c r="R414" i="1"/>
  <c r="Q414" i="1"/>
  <c r="K412" i="1"/>
  <c r="M412" i="1"/>
  <c r="L412" i="1"/>
  <c r="N412" i="1"/>
  <c r="O414" i="1"/>
  <c r="P414" i="1"/>
  <c r="H413" i="1"/>
  <c r="I413" i="1"/>
  <c r="E415" i="1"/>
  <c r="J415" i="1"/>
  <c r="B415" i="1"/>
  <c r="A416" i="1"/>
  <c r="D414" i="1"/>
  <c r="F414" i="1" s="1"/>
  <c r="G414" i="1" s="1"/>
  <c r="C414" i="1"/>
  <c r="T415" i="1" l="1"/>
  <c r="S415" i="1"/>
  <c r="R415" i="1"/>
  <c r="Q415" i="1"/>
  <c r="L413" i="1"/>
  <c r="N413" i="1"/>
  <c r="K413" i="1"/>
  <c r="M413" i="1"/>
  <c r="O415" i="1"/>
  <c r="P415" i="1"/>
  <c r="E416" i="1"/>
  <c r="J416" i="1"/>
  <c r="B416" i="1"/>
  <c r="A417" i="1"/>
  <c r="H414" i="1"/>
  <c r="I414" i="1"/>
  <c r="D415" i="1"/>
  <c r="F415" i="1" s="1"/>
  <c r="G415" i="1" s="1"/>
  <c r="C415" i="1"/>
  <c r="T416" i="1" l="1"/>
  <c r="S416" i="1"/>
  <c r="R416" i="1"/>
  <c r="Q416" i="1"/>
  <c r="L414" i="1"/>
  <c r="N414" i="1"/>
  <c r="K414" i="1"/>
  <c r="M414" i="1"/>
  <c r="H415" i="1"/>
  <c r="I415" i="1"/>
  <c r="E417" i="1"/>
  <c r="J417" i="1"/>
  <c r="B417" i="1"/>
  <c r="A418" i="1"/>
  <c r="D416" i="1"/>
  <c r="F416" i="1" s="1"/>
  <c r="G416" i="1" s="1"/>
  <c r="C416" i="1"/>
  <c r="T417" i="1" l="1"/>
  <c r="S417" i="1"/>
  <c r="R417" i="1"/>
  <c r="Q417" i="1"/>
  <c r="L415" i="1"/>
  <c r="N415" i="1"/>
  <c r="K415" i="1"/>
  <c r="M415" i="1"/>
  <c r="D417" i="1"/>
  <c r="F417" i="1" s="1"/>
  <c r="G417" i="1" s="1"/>
  <c r="C417" i="1"/>
  <c r="H416" i="1"/>
  <c r="I416" i="1"/>
  <c r="P416" i="1" s="1"/>
  <c r="E418" i="1"/>
  <c r="J418" i="1"/>
  <c r="B418" i="1"/>
  <c r="A419" i="1"/>
  <c r="T418" i="1" l="1"/>
  <c r="S418" i="1"/>
  <c r="O416" i="1"/>
  <c r="R418" i="1"/>
  <c r="Q418" i="1"/>
  <c r="L416" i="1"/>
  <c r="N416" i="1"/>
  <c r="K416" i="1"/>
  <c r="M416" i="1"/>
  <c r="D418" i="1"/>
  <c r="F418" i="1" s="1"/>
  <c r="G418" i="1" s="1"/>
  <c r="C418" i="1"/>
  <c r="E419" i="1"/>
  <c r="J419" i="1"/>
  <c r="B419" i="1"/>
  <c r="A420" i="1"/>
  <c r="H417" i="1"/>
  <c r="I417" i="1"/>
  <c r="P417" i="1" s="1"/>
  <c r="T419" i="1" l="1"/>
  <c r="S419" i="1"/>
  <c r="O417" i="1"/>
  <c r="Q419" i="1"/>
  <c r="R419" i="1"/>
  <c r="L417" i="1"/>
  <c r="N417" i="1"/>
  <c r="K417" i="1"/>
  <c r="M417" i="1"/>
  <c r="D419" i="1"/>
  <c r="F419" i="1" s="1"/>
  <c r="G419" i="1" s="1"/>
  <c r="C419" i="1"/>
  <c r="H418" i="1"/>
  <c r="I418" i="1"/>
  <c r="P418" i="1" s="1"/>
  <c r="E420" i="1"/>
  <c r="J420" i="1"/>
  <c r="B420" i="1"/>
  <c r="A421" i="1"/>
  <c r="T420" i="1" l="1"/>
  <c r="S420" i="1"/>
  <c r="O418" i="1"/>
  <c r="Q420" i="1"/>
  <c r="R420" i="1"/>
  <c r="K418" i="1"/>
  <c r="M418" i="1"/>
  <c r="L418" i="1"/>
  <c r="N418" i="1"/>
  <c r="D420" i="1"/>
  <c r="F420" i="1" s="1"/>
  <c r="G420" i="1" s="1"/>
  <c r="C420" i="1"/>
  <c r="E421" i="1"/>
  <c r="J421" i="1"/>
  <c r="B421" i="1"/>
  <c r="A422" i="1"/>
  <c r="H419" i="1"/>
  <c r="I419" i="1"/>
  <c r="P419" i="1" s="1"/>
  <c r="T421" i="1" l="1"/>
  <c r="S421" i="1"/>
  <c r="O419" i="1"/>
  <c r="K419" i="1"/>
  <c r="M419" i="1"/>
  <c r="L419" i="1"/>
  <c r="N419" i="1"/>
  <c r="E422" i="1"/>
  <c r="J422" i="1"/>
  <c r="B422" i="1"/>
  <c r="A423" i="1"/>
  <c r="D421" i="1"/>
  <c r="F421" i="1" s="1"/>
  <c r="G421" i="1" s="1"/>
  <c r="C421" i="1"/>
  <c r="H420" i="1"/>
  <c r="I420" i="1"/>
  <c r="N420" i="1" s="1"/>
  <c r="T422" i="1" l="1"/>
  <c r="S422" i="1"/>
  <c r="M420" i="1"/>
  <c r="K420" i="1"/>
  <c r="O420" i="1"/>
  <c r="L420" i="1"/>
  <c r="P420" i="1"/>
  <c r="H421" i="1"/>
  <c r="Q421" i="1" s="1"/>
  <c r="I421" i="1"/>
  <c r="E423" i="1"/>
  <c r="J423" i="1"/>
  <c r="B423" i="1"/>
  <c r="A424" i="1"/>
  <c r="D422" i="1"/>
  <c r="F422" i="1" s="1"/>
  <c r="G422" i="1" s="1"/>
  <c r="C422" i="1"/>
  <c r="N421" i="1" l="1"/>
  <c r="R421" i="1"/>
  <c r="M421" i="1"/>
  <c r="R423" i="1"/>
  <c r="Q423" i="1"/>
  <c r="L421" i="1"/>
  <c r="P421" i="1"/>
  <c r="K421" i="1"/>
  <c r="O421" i="1"/>
  <c r="H422" i="1"/>
  <c r="Q422" i="1" s="1"/>
  <c r="I422" i="1"/>
  <c r="D423" i="1"/>
  <c r="F423" i="1" s="1"/>
  <c r="G423" i="1" s="1"/>
  <c r="C423" i="1"/>
  <c r="E424" i="1"/>
  <c r="J424" i="1"/>
  <c r="B424" i="1"/>
  <c r="A425" i="1"/>
  <c r="N422" i="1" l="1"/>
  <c r="R422" i="1"/>
  <c r="M422" i="1"/>
  <c r="R424" i="1"/>
  <c r="Q424" i="1"/>
  <c r="L422" i="1"/>
  <c r="P422" i="1"/>
  <c r="K422" i="1"/>
  <c r="O422" i="1"/>
  <c r="H423" i="1"/>
  <c r="S423" i="1" s="1"/>
  <c r="I423" i="1"/>
  <c r="D424" i="1"/>
  <c r="F424" i="1" s="1"/>
  <c r="G424" i="1" s="1"/>
  <c r="C424" i="1"/>
  <c r="E425" i="1"/>
  <c r="J425" i="1"/>
  <c r="B425" i="1"/>
  <c r="A426" i="1"/>
  <c r="N423" i="1" l="1"/>
  <c r="T423" i="1"/>
  <c r="T425" i="1"/>
  <c r="S425" i="1"/>
  <c r="M423" i="1"/>
  <c r="R425" i="1"/>
  <c r="Q425" i="1"/>
  <c r="L423" i="1"/>
  <c r="P423" i="1"/>
  <c r="K423" i="1"/>
  <c r="O423" i="1"/>
  <c r="O425" i="1"/>
  <c r="P425" i="1"/>
  <c r="E426" i="1"/>
  <c r="J426" i="1"/>
  <c r="B426" i="1"/>
  <c r="A427" i="1"/>
  <c r="H424" i="1"/>
  <c r="S424" i="1" s="1"/>
  <c r="I424" i="1"/>
  <c r="D425" i="1"/>
  <c r="F425" i="1" s="1"/>
  <c r="G425" i="1" s="1"/>
  <c r="C425" i="1"/>
  <c r="N424" i="1" l="1"/>
  <c r="T424" i="1"/>
  <c r="T426" i="1"/>
  <c r="S426" i="1"/>
  <c r="M424" i="1"/>
  <c r="R426" i="1"/>
  <c r="Q426" i="1"/>
  <c r="L424" i="1"/>
  <c r="P424" i="1"/>
  <c r="K424" i="1"/>
  <c r="O424" i="1"/>
  <c r="P426" i="1"/>
  <c r="O426" i="1"/>
  <c r="E427" i="1"/>
  <c r="J427" i="1"/>
  <c r="B427" i="1"/>
  <c r="A428" i="1"/>
  <c r="H425" i="1"/>
  <c r="I425" i="1"/>
  <c r="D426" i="1"/>
  <c r="F426" i="1" s="1"/>
  <c r="G426" i="1" s="1"/>
  <c r="C426" i="1"/>
  <c r="S427" i="1" l="1"/>
  <c r="T427" i="1"/>
  <c r="Q427" i="1"/>
  <c r="R427" i="1"/>
  <c r="L425" i="1"/>
  <c r="N425" i="1"/>
  <c r="K425" i="1"/>
  <c r="M425" i="1"/>
  <c r="O427" i="1"/>
  <c r="P427" i="1"/>
  <c r="E428" i="1"/>
  <c r="J428" i="1"/>
  <c r="B428" i="1"/>
  <c r="A429" i="1"/>
  <c r="D427" i="1"/>
  <c r="F427" i="1" s="1"/>
  <c r="G427" i="1" s="1"/>
  <c r="C427" i="1"/>
  <c r="H426" i="1"/>
  <c r="I426" i="1"/>
  <c r="T428" i="1" l="1"/>
  <c r="S428" i="1"/>
  <c r="Q428" i="1"/>
  <c r="R428" i="1"/>
  <c r="K426" i="1"/>
  <c r="M426" i="1"/>
  <c r="L426" i="1"/>
  <c r="N426" i="1"/>
  <c r="O428" i="1"/>
  <c r="P428" i="1"/>
  <c r="H427" i="1"/>
  <c r="I427" i="1"/>
  <c r="E429" i="1"/>
  <c r="J429" i="1"/>
  <c r="B429" i="1"/>
  <c r="A430" i="1"/>
  <c r="D428" i="1"/>
  <c r="F428" i="1" s="1"/>
  <c r="G428" i="1" s="1"/>
  <c r="C428" i="1"/>
  <c r="T429" i="1" l="1"/>
  <c r="S429" i="1"/>
  <c r="R429" i="1"/>
  <c r="Q429" i="1"/>
  <c r="L427" i="1"/>
  <c r="N427" i="1"/>
  <c r="K427" i="1"/>
  <c r="M427" i="1"/>
  <c r="O429" i="1"/>
  <c r="P429" i="1"/>
  <c r="E430" i="1"/>
  <c r="J430" i="1"/>
  <c r="B430" i="1"/>
  <c r="A431" i="1"/>
  <c r="H428" i="1"/>
  <c r="I428" i="1"/>
  <c r="D429" i="1"/>
  <c r="F429" i="1" s="1"/>
  <c r="G429" i="1" s="1"/>
  <c r="C429" i="1"/>
  <c r="T430" i="1" l="1"/>
  <c r="S430" i="1"/>
  <c r="R430" i="1"/>
  <c r="Q430" i="1"/>
  <c r="K428" i="1"/>
  <c r="M428" i="1"/>
  <c r="L428" i="1"/>
  <c r="N428" i="1"/>
  <c r="O430" i="1"/>
  <c r="P430" i="1"/>
  <c r="E431" i="1"/>
  <c r="J431" i="1"/>
  <c r="B431" i="1"/>
  <c r="A432" i="1"/>
  <c r="H429" i="1"/>
  <c r="I429" i="1"/>
  <c r="D430" i="1"/>
  <c r="F430" i="1" s="1"/>
  <c r="G430" i="1" s="1"/>
  <c r="C430" i="1"/>
  <c r="T431" i="1" l="1"/>
  <c r="S431" i="1"/>
  <c r="R431" i="1"/>
  <c r="Q431" i="1"/>
  <c r="K429" i="1"/>
  <c r="M429" i="1"/>
  <c r="L429" i="1"/>
  <c r="N429" i="1"/>
  <c r="O431" i="1"/>
  <c r="P431" i="1"/>
  <c r="E432" i="1"/>
  <c r="J432" i="1"/>
  <c r="B432" i="1"/>
  <c r="A433" i="1"/>
  <c r="D431" i="1"/>
  <c r="F431" i="1" s="1"/>
  <c r="G431" i="1" s="1"/>
  <c r="C431" i="1"/>
  <c r="H430" i="1"/>
  <c r="I430" i="1"/>
  <c r="T432" i="1" l="1"/>
  <c r="S432" i="1"/>
  <c r="R432" i="1"/>
  <c r="Q432" i="1"/>
  <c r="L430" i="1"/>
  <c r="N430" i="1"/>
  <c r="K430" i="1"/>
  <c r="M430" i="1"/>
  <c r="O432" i="1"/>
  <c r="P432" i="1"/>
  <c r="E433" i="1"/>
  <c r="J433" i="1"/>
  <c r="B433" i="1"/>
  <c r="A434" i="1"/>
  <c r="D432" i="1"/>
  <c r="F432" i="1" s="1"/>
  <c r="G432" i="1" s="1"/>
  <c r="C432" i="1"/>
  <c r="H431" i="1"/>
  <c r="I431" i="1"/>
  <c r="T433" i="1" l="1"/>
  <c r="S433" i="1"/>
  <c r="R433" i="1"/>
  <c r="Q433" i="1"/>
  <c r="K431" i="1"/>
  <c r="M431" i="1"/>
  <c r="L431" i="1"/>
  <c r="N431" i="1"/>
  <c r="O433" i="1"/>
  <c r="P433" i="1"/>
  <c r="H432" i="1"/>
  <c r="I432" i="1"/>
  <c r="E434" i="1"/>
  <c r="J434" i="1"/>
  <c r="B434" i="1"/>
  <c r="A435" i="1"/>
  <c r="D433" i="1"/>
  <c r="F433" i="1" s="1"/>
  <c r="G433" i="1" s="1"/>
  <c r="C433" i="1"/>
  <c r="T434" i="1" l="1"/>
  <c r="S434" i="1"/>
  <c r="R434" i="1"/>
  <c r="Q434" i="1"/>
  <c r="L432" i="1"/>
  <c r="N432" i="1"/>
  <c r="K432" i="1"/>
  <c r="M432" i="1"/>
  <c r="O434" i="1"/>
  <c r="P434" i="1"/>
  <c r="E435" i="1"/>
  <c r="J435" i="1"/>
  <c r="B435" i="1"/>
  <c r="A436" i="1"/>
  <c r="H433" i="1"/>
  <c r="I433" i="1"/>
  <c r="D434" i="1"/>
  <c r="F434" i="1" s="1"/>
  <c r="G434" i="1" s="1"/>
  <c r="C434" i="1"/>
  <c r="S435" i="1" l="1"/>
  <c r="T435" i="1"/>
  <c r="Q435" i="1"/>
  <c r="R435" i="1"/>
  <c r="N433" i="1"/>
  <c r="L433" i="1"/>
  <c r="M433" i="1"/>
  <c r="K433" i="1"/>
  <c r="O435" i="1"/>
  <c r="P435" i="1"/>
  <c r="E436" i="1"/>
  <c r="J436" i="1"/>
  <c r="B436" i="1"/>
  <c r="A437" i="1"/>
  <c r="A438" i="1" s="1"/>
  <c r="D435" i="1"/>
  <c r="F435" i="1" s="1"/>
  <c r="G435" i="1" s="1"/>
  <c r="C435" i="1"/>
  <c r="H434" i="1"/>
  <c r="I434" i="1"/>
  <c r="T436" i="1" l="1"/>
  <c r="S436" i="1"/>
  <c r="Q436" i="1"/>
  <c r="R436" i="1"/>
  <c r="M434" i="1"/>
  <c r="K434" i="1"/>
  <c r="N434" i="1"/>
  <c r="L434" i="1"/>
  <c r="A439" i="1"/>
  <c r="E438" i="1"/>
  <c r="B438" i="1"/>
  <c r="J438" i="1"/>
  <c r="O436" i="1"/>
  <c r="P436" i="1"/>
  <c r="E437" i="1"/>
  <c r="J437" i="1"/>
  <c r="B437" i="1"/>
  <c r="D436" i="1"/>
  <c r="F436" i="1" s="1"/>
  <c r="G436" i="1" s="1"/>
  <c r="C436" i="1"/>
  <c r="H435" i="1"/>
  <c r="I435" i="1"/>
  <c r="B8" i="2"/>
  <c r="B10" i="2"/>
  <c r="AL15" i="1" l="1"/>
  <c r="AW6" i="1"/>
  <c r="AH18" i="1"/>
  <c r="AL16" i="1"/>
  <c r="T438" i="1"/>
  <c r="S438" i="1"/>
  <c r="T437" i="1"/>
  <c r="S437" i="1"/>
  <c r="R437" i="1"/>
  <c r="Q437" i="1"/>
  <c r="R438" i="1"/>
  <c r="Q438" i="1"/>
  <c r="N435" i="1"/>
  <c r="L435" i="1"/>
  <c r="M435" i="1"/>
  <c r="K435" i="1"/>
  <c r="O438" i="1"/>
  <c r="P438" i="1"/>
  <c r="C438" i="1"/>
  <c r="D438" i="1"/>
  <c r="A440" i="1"/>
  <c r="E439" i="1"/>
  <c r="B439" i="1"/>
  <c r="J439" i="1"/>
  <c r="O437" i="1"/>
  <c r="P437" i="1"/>
  <c r="H436" i="1"/>
  <c r="I436" i="1"/>
  <c r="D437" i="1"/>
  <c r="F437" i="1" s="1"/>
  <c r="C437" i="1"/>
  <c r="T439" i="1" l="1"/>
  <c r="S439" i="1"/>
  <c r="R439" i="1"/>
  <c r="Q439" i="1"/>
  <c r="N436" i="1"/>
  <c r="L436" i="1"/>
  <c r="M436" i="1"/>
  <c r="K436" i="1"/>
  <c r="O439" i="1"/>
  <c r="P439" i="1"/>
  <c r="D439" i="1"/>
  <c r="C439" i="1"/>
  <c r="A441" i="1"/>
  <c r="E440" i="1"/>
  <c r="B440" i="1"/>
  <c r="J440" i="1"/>
  <c r="G437" i="1"/>
  <c r="I437" i="1" s="1"/>
  <c r="F438" i="1"/>
  <c r="T440" i="1" l="1"/>
  <c r="S440" i="1"/>
  <c r="R440" i="1"/>
  <c r="Q440" i="1"/>
  <c r="N437" i="1"/>
  <c r="L437" i="1"/>
  <c r="H437" i="1"/>
  <c r="P440" i="1"/>
  <c r="O440" i="1"/>
  <c r="D440" i="1"/>
  <c r="C440" i="1"/>
  <c r="A442" i="1"/>
  <c r="E441" i="1"/>
  <c r="B441" i="1"/>
  <c r="J441" i="1"/>
  <c r="G438" i="1"/>
  <c r="F439" i="1"/>
  <c r="T441" i="1" l="1"/>
  <c r="S441" i="1"/>
  <c r="R441" i="1"/>
  <c r="Q441" i="1"/>
  <c r="M437" i="1"/>
  <c r="K437" i="1"/>
  <c r="O441" i="1"/>
  <c r="P441" i="1"/>
  <c r="D441" i="1"/>
  <c r="C441" i="1"/>
  <c r="A443" i="1"/>
  <c r="E442" i="1"/>
  <c r="B442" i="1"/>
  <c r="J442" i="1"/>
  <c r="G439" i="1"/>
  <c r="F440" i="1"/>
  <c r="I438" i="1"/>
  <c r="H438" i="1"/>
  <c r="T442" i="1" l="1"/>
  <c r="S442" i="1"/>
  <c r="R442" i="1"/>
  <c r="Q442" i="1"/>
  <c r="M438" i="1"/>
  <c r="K438" i="1"/>
  <c r="N438" i="1"/>
  <c r="L438" i="1"/>
  <c r="O442" i="1"/>
  <c r="P442" i="1"/>
  <c r="C442" i="1"/>
  <c r="D442" i="1"/>
  <c r="A444" i="1"/>
  <c r="E443" i="1"/>
  <c r="B443" i="1"/>
  <c r="J443" i="1"/>
  <c r="G440" i="1"/>
  <c r="F441" i="1"/>
  <c r="I439" i="1"/>
  <c r="H439" i="1"/>
  <c r="T443" i="1" l="1"/>
  <c r="S443" i="1"/>
  <c r="Q443" i="1"/>
  <c r="R443" i="1"/>
  <c r="M439" i="1"/>
  <c r="K439" i="1"/>
  <c r="N439" i="1"/>
  <c r="L439" i="1"/>
  <c r="C443" i="1"/>
  <c r="D443" i="1"/>
  <c r="P443" i="1"/>
  <c r="O443" i="1"/>
  <c r="A445" i="1"/>
  <c r="E444" i="1"/>
  <c r="B444" i="1"/>
  <c r="J444" i="1"/>
  <c r="G441" i="1"/>
  <c r="F442" i="1"/>
  <c r="I440" i="1"/>
  <c r="H440" i="1"/>
  <c r="T444" i="1" l="1"/>
  <c r="S444" i="1"/>
  <c r="Q444" i="1"/>
  <c r="R444" i="1"/>
  <c r="M440" i="1"/>
  <c r="K440" i="1"/>
  <c r="N440" i="1"/>
  <c r="L440" i="1"/>
  <c r="O444" i="1"/>
  <c r="P444" i="1"/>
  <c r="D444" i="1"/>
  <c r="C444" i="1"/>
  <c r="A446" i="1"/>
  <c r="E445" i="1"/>
  <c r="B445" i="1"/>
  <c r="J445" i="1"/>
  <c r="G442" i="1"/>
  <c r="F443" i="1"/>
  <c r="H441" i="1"/>
  <c r="I441" i="1"/>
  <c r="T445" i="1" l="1"/>
  <c r="S445" i="1"/>
  <c r="R445" i="1"/>
  <c r="Q445" i="1"/>
  <c r="N441" i="1"/>
  <c r="L441" i="1"/>
  <c r="M441" i="1"/>
  <c r="K441" i="1"/>
  <c r="D445" i="1"/>
  <c r="C445" i="1"/>
  <c r="O445" i="1"/>
  <c r="P445" i="1"/>
  <c r="A447" i="1"/>
  <c r="E446" i="1"/>
  <c r="B446" i="1"/>
  <c r="J446" i="1"/>
  <c r="G443" i="1"/>
  <c r="F444" i="1"/>
  <c r="I442" i="1"/>
  <c r="H442" i="1"/>
  <c r="T446" i="1" l="1"/>
  <c r="S446" i="1"/>
  <c r="R446" i="1"/>
  <c r="Q446" i="1"/>
  <c r="M442" i="1"/>
  <c r="K442" i="1"/>
  <c r="N442" i="1"/>
  <c r="L442" i="1"/>
  <c r="O446" i="1"/>
  <c r="P446" i="1"/>
  <c r="D446" i="1"/>
  <c r="C446" i="1"/>
  <c r="A448" i="1"/>
  <c r="E447" i="1"/>
  <c r="B447" i="1"/>
  <c r="J447" i="1"/>
  <c r="G444" i="1"/>
  <c r="F445" i="1"/>
  <c r="H443" i="1"/>
  <c r="I443" i="1"/>
  <c r="T447" i="1" l="1"/>
  <c r="S447" i="1"/>
  <c r="R447" i="1"/>
  <c r="Q447" i="1"/>
  <c r="N443" i="1"/>
  <c r="L443" i="1"/>
  <c r="M443" i="1"/>
  <c r="K443" i="1"/>
  <c r="O447" i="1"/>
  <c r="P447" i="1"/>
  <c r="D447" i="1"/>
  <c r="C447" i="1"/>
  <c r="A449" i="1"/>
  <c r="E448" i="1"/>
  <c r="B448" i="1"/>
  <c r="J448" i="1"/>
  <c r="G445" i="1"/>
  <c r="F446" i="1"/>
  <c r="I444" i="1"/>
  <c r="H444" i="1"/>
  <c r="T448" i="1" l="1"/>
  <c r="S448" i="1"/>
  <c r="R448" i="1"/>
  <c r="Q448" i="1"/>
  <c r="M444" i="1"/>
  <c r="K444" i="1"/>
  <c r="N444" i="1"/>
  <c r="L444" i="1"/>
  <c r="P448" i="1"/>
  <c r="O448" i="1"/>
  <c r="D448" i="1"/>
  <c r="C448" i="1"/>
  <c r="A450" i="1"/>
  <c r="E449" i="1"/>
  <c r="B449" i="1"/>
  <c r="J449" i="1"/>
  <c r="G446" i="1"/>
  <c r="F447" i="1"/>
  <c r="I445" i="1"/>
  <c r="H445" i="1"/>
  <c r="T449" i="1" l="1"/>
  <c r="S449" i="1"/>
  <c r="R449" i="1"/>
  <c r="Q449" i="1"/>
  <c r="M445" i="1"/>
  <c r="K445" i="1"/>
  <c r="N445" i="1"/>
  <c r="L445" i="1"/>
  <c r="D449" i="1"/>
  <c r="C449" i="1"/>
  <c r="O449" i="1"/>
  <c r="P449" i="1"/>
  <c r="A451" i="1"/>
  <c r="E450" i="1"/>
  <c r="B450" i="1"/>
  <c r="J450" i="1"/>
  <c r="G447" i="1"/>
  <c r="F448" i="1"/>
  <c r="H446" i="1"/>
  <c r="I446" i="1"/>
  <c r="T450" i="1" l="1"/>
  <c r="S450" i="1"/>
  <c r="R450" i="1"/>
  <c r="Q450" i="1"/>
  <c r="N446" i="1"/>
  <c r="L446" i="1"/>
  <c r="M446" i="1"/>
  <c r="K446" i="1"/>
  <c r="O450" i="1"/>
  <c r="P450" i="1"/>
  <c r="D450" i="1"/>
  <c r="C450" i="1"/>
  <c r="A452" i="1"/>
  <c r="E451" i="1"/>
  <c r="B451" i="1"/>
  <c r="J451" i="1"/>
  <c r="G448" i="1"/>
  <c r="F449" i="1"/>
  <c r="I447" i="1"/>
  <c r="H447" i="1"/>
  <c r="T451" i="1" l="1"/>
  <c r="S451" i="1"/>
  <c r="Q451" i="1"/>
  <c r="R451" i="1"/>
  <c r="M447" i="1"/>
  <c r="K447" i="1"/>
  <c r="N447" i="1"/>
  <c r="L447" i="1"/>
  <c r="D451" i="1"/>
  <c r="C451" i="1"/>
  <c r="O451" i="1"/>
  <c r="P451" i="1"/>
  <c r="A453" i="1"/>
  <c r="E452" i="1"/>
  <c r="B452" i="1"/>
  <c r="J452" i="1"/>
  <c r="F450" i="1"/>
  <c r="G449" i="1"/>
  <c r="I448" i="1"/>
  <c r="H448" i="1"/>
  <c r="T452" i="1" l="1"/>
  <c r="S452" i="1"/>
  <c r="Q452" i="1"/>
  <c r="R452" i="1"/>
  <c r="M448" i="1"/>
  <c r="K448" i="1"/>
  <c r="N448" i="1"/>
  <c r="L448" i="1"/>
  <c r="O452" i="1"/>
  <c r="P452" i="1"/>
  <c r="C452" i="1"/>
  <c r="D452" i="1"/>
  <c r="A454" i="1"/>
  <c r="E453" i="1"/>
  <c r="J453" i="1"/>
  <c r="B453" i="1"/>
  <c r="I449" i="1"/>
  <c r="H449" i="1"/>
  <c r="G450" i="1"/>
  <c r="F451" i="1"/>
  <c r="T453" i="1" l="1"/>
  <c r="S453" i="1"/>
  <c r="R453" i="1"/>
  <c r="Q453" i="1"/>
  <c r="M449" i="1"/>
  <c r="K449" i="1"/>
  <c r="N449" i="1"/>
  <c r="L449" i="1"/>
  <c r="C453" i="1"/>
  <c r="D453" i="1"/>
  <c r="O453" i="1"/>
  <c r="P453" i="1"/>
  <c r="A455" i="1"/>
  <c r="B454" i="1"/>
  <c r="E454" i="1"/>
  <c r="J454" i="1"/>
  <c r="G451" i="1"/>
  <c r="F452" i="1"/>
  <c r="I450" i="1"/>
  <c r="H450" i="1"/>
  <c r="T454" i="1" l="1"/>
  <c r="S454" i="1"/>
  <c r="R454" i="1"/>
  <c r="Q454" i="1"/>
  <c r="M450" i="1"/>
  <c r="K450" i="1"/>
  <c r="N450" i="1"/>
  <c r="L450" i="1"/>
  <c r="P454" i="1"/>
  <c r="O454" i="1"/>
  <c r="C454" i="1"/>
  <c r="D454" i="1"/>
  <c r="A456" i="1"/>
  <c r="E455" i="1"/>
  <c r="B455" i="1"/>
  <c r="J455" i="1"/>
  <c r="F453" i="1"/>
  <c r="G452" i="1"/>
  <c r="I451" i="1"/>
  <c r="H451" i="1"/>
  <c r="T455" i="1" l="1"/>
  <c r="S455" i="1"/>
  <c r="R455" i="1"/>
  <c r="Q455" i="1"/>
  <c r="M451" i="1"/>
  <c r="K451" i="1"/>
  <c r="N451" i="1"/>
  <c r="L451" i="1"/>
  <c r="C455" i="1"/>
  <c r="D455" i="1"/>
  <c r="O455" i="1"/>
  <c r="P455" i="1"/>
  <c r="A457" i="1"/>
  <c r="E456" i="1"/>
  <c r="B456" i="1"/>
  <c r="J456" i="1"/>
  <c r="H452" i="1"/>
  <c r="I452" i="1"/>
  <c r="F454" i="1"/>
  <c r="G453" i="1"/>
  <c r="T456" i="1" l="1"/>
  <c r="S456" i="1"/>
  <c r="R456" i="1"/>
  <c r="Q456" i="1"/>
  <c r="M452" i="1"/>
  <c r="K452" i="1"/>
  <c r="N452" i="1"/>
  <c r="L452" i="1"/>
  <c r="P456" i="1"/>
  <c r="O456" i="1"/>
  <c r="C456" i="1"/>
  <c r="D456" i="1"/>
  <c r="A458" i="1"/>
  <c r="E457" i="1"/>
  <c r="B457" i="1"/>
  <c r="J457" i="1"/>
  <c r="I453" i="1"/>
  <c r="H453" i="1"/>
  <c r="F455" i="1"/>
  <c r="G454" i="1"/>
  <c r="T457" i="1" l="1"/>
  <c r="S457" i="1"/>
  <c r="R457" i="1"/>
  <c r="Q457" i="1"/>
  <c r="N453" i="1"/>
  <c r="L453" i="1"/>
  <c r="M453" i="1"/>
  <c r="K453" i="1"/>
  <c r="P457" i="1"/>
  <c r="O457" i="1"/>
  <c r="D457" i="1"/>
  <c r="C457" i="1"/>
  <c r="A459" i="1"/>
  <c r="E458" i="1"/>
  <c r="B458" i="1"/>
  <c r="J458" i="1"/>
  <c r="H454" i="1"/>
  <c r="I454" i="1"/>
  <c r="G455" i="1"/>
  <c r="F456" i="1"/>
  <c r="T458" i="1" l="1"/>
  <c r="S458" i="1"/>
  <c r="R458" i="1"/>
  <c r="Q458" i="1"/>
  <c r="N454" i="1"/>
  <c r="L454" i="1"/>
  <c r="M454" i="1"/>
  <c r="K454" i="1"/>
  <c r="D458" i="1"/>
  <c r="C458" i="1"/>
  <c r="P458" i="1"/>
  <c r="O458" i="1"/>
  <c r="A460" i="1"/>
  <c r="E459" i="1"/>
  <c r="B459" i="1"/>
  <c r="J459" i="1"/>
  <c r="F457" i="1"/>
  <c r="G456" i="1"/>
  <c r="I455" i="1"/>
  <c r="H455" i="1"/>
  <c r="K455" i="1" s="1"/>
  <c r="T459" i="1" l="1"/>
  <c r="S459" i="1"/>
  <c r="N455" i="1"/>
  <c r="L455" i="1"/>
  <c r="M455" i="1"/>
  <c r="Q459" i="1"/>
  <c r="R459" i="1"/>
  <c r="O459" i="1"/>
  <c r="P459" i="1"/>
  <c r="C459" i="1"/>
  <c r="D459" i="1"/>
  <c r="A461" i="1"/>
  <c r="B460" i="1"/>
  <c r="E460" i="1"/>
  <c r="J460" i="1"/>
  <c r="H456" i="1"/>
  <c r="K456" i="1" s="1"/>
  <c r="I456" i="1"/>
  <c r="F458" i="1"/>
  <c r="G457" i="1"/>
  <c r="T460" i="1" l="1"/>
  <c r="S460" i="1"/>
  <c r="N456" i="1"/>
  <c r="L456" i="1"/>
  <c r="M456" i="1"/>
  <c r="Q460" i="1"/>
  <c r="R460" i="1"/>
  <c r="P460" i="1"/>
  <c r="O460" i="1"/>
  <c r="C460" i="1"/>
  <c r="D460" i="1"/>
  <c r="A462" i="1"/>
  <c r="E461" i="1"/>
  <c r="B461" i="1"/>
  <c r="J461" i="1"/>
  <c r="I457" i="1"/>
  <c r="H457" i="1"/>
  <c r="K457" i="1" s="1"/>
  <c r="G458" i="1"/>
  <c r="F459" i="1"/>
  <c r="T461" i="1" l="1"/>
  <c r="S461" i="1"/>
  <c r="N457" i="1"/>
  <c r="L457" i="1"/>
  <c r="M457" i="1"/>
  <c r="R461" i="1"/>
  <c r="Q461" i="1"/>
  <c r="O461" i="1"/>
  <c r="P461" i="1"/>
  <c r="C461" i="1"/>
  <c r="D461" i="1"/>
  <c r="A463" i="1"/>
  <c r="E462" i="1"/>
  <c r="B462" i="1"/>
  <c r="J462" i="1"/>
  <c r="F460" i="1"/>
  <c r="G459" i="1"/>
  <c r="I458" i="1"/>
  <c r="H458" i="1"/>
  <c r="K458" i="1" s="1"/>
  <c r="T462" i="1" l="1"/>
  <c r="S462" i="1"/>
  <c r="N458" i="1"/>
  <c r="L458" i="1"/>
  <c r="M458" i="1"/>
  <c r="R462" i="1"/>
  <c r="Q462" i="1"/>
  <c r="C462" i="1"/>
  <c r="D462" i="1"/>
  <c r="O462" i="1"/>
  <c r="P462" i="1"/>
  <c r="A464" i="1"/>
  <c r="E463" i="1"/>
  <c r="B463" i="1"/>
  <c r="J463" i="1"/>
  <c r="G460" i="1"/>
  <c r="I460" i="1" s="1"/>
  <c r="F461" i="1"/>
  <c r="H459" i="1"/>
  <c r="K459" i="1" s="1"/>
  <c r="I459" i="1"/>
  <c r="T463" i="1" l="1"/>
  <c r="S463" i="1"/>
  <c r="N459" i="1"/>
  <c r="L459" i="1"/>
  <c r="N460" i="1"/>
  <c r="L460" i="1"/>
  <c r="M459" i="1"/>
  <c r="R463" i="1"/>
  <c r="Q463" i="1"/>
  <c r="P463" i="1"/>
  <c r="O463" i="1"/>
  <c r="C463" i="1"/>
  <c r="D463" i="1"/>
  <c r="H460" i="1"/>
  <c r="K460" i="1" s="1"/>
  <c r="A465" i="1"/>
  <c r="E464" i="1"/>
  <c r="J464" i="1"/>
  <c r="B464" i="1"/>
  <c r="G461" i="1"/>
  <c r="F462" i="1"/>
  <c r="T464" i="1" l="1"/>
  <c r="S464" i="1"/>
  <c r="M460" i="1"/>
  <c r="R464" i="1"/>
  <c r="Q464" i="1"/>
  <c r="O464" i="1"/>
  <c r="P464" i="1"/>
  <c r="C464" i="1"/>
  <c r="D464" i="1"/>
  <c r="A466" i="1"/>
  <c r="E465" i="1"/>
  <c r="J465" i="1"/>
  <c r="B465" i="1"/>
  <c r="F463" i="1"/>
  <c r="G462" i="1"/>
  <c r="I461" i="1"/>
  <c r="H461" i="1"/>
  <c r="K461" i="1" s="1"/>
  <c r="T465" i="1" l="1"/>
  <c r="S465" i="1"/>
  <c r="N461" i="1"/>
  <c r="L461" i="1"/>
  <c r="M461" i="1"/>
  <c r="R465" i="1"/>
  <c r="Q465" i="1"/>
  <c r="O465" i="1"/>
  <c r="P465" i="1"/>
  <c r="D465" i="1"/>
  <c r="C465" i="1"/>
  <c r="A467" i="1"/>
  <c r="E466" i="1"/>
  <c r="B466" i="1"/>
  <c r="J466" i="1"/>
  <c r="I462" i="1"/>
  <c r="H462" i="1"/>
  <c r="K462" i="1" s="1"/>
  <c r="G463" i="1"/>
  <c r="F464" i="1"/>
  <c r="T466" i="1" l="1"/>
  <c r="S466" i="1"/>
  <c r="N462" i="1"/>
  <c r="L462" i="1"/>
  <c r="M462" i="1"/>
  <c r="R466" i="1"/>
  <c r="Q466" i="1"/>
  <c r="C466" i="1"/>
  <c r="D466" i="1"/>
  <c r="O466" i="1"/>
  <c r="P466" i="1"/>
  <c r="A468" i="1"/>
  <c r="E467" i="1"/>
  <c r="B467" i="1"/>
  <c r="J467" i="1"/>
  <c r="I463" i="1"/>
  <c r="H463" i="1"/>
  <c r="K463" i="1" s="1"/>
  <c r="G464" i="1"/>
  <c r="F465" i="1"/>
  <c r="T467" i="1" l="1"/>
  <c r="S467" i="1"/>
  <c r="N463" i="1"/>
  <c r="L463" i="1"/>
  <c r="M463" i="1"/>
  <c r="Q467" i="1"/>
  <c r="R467" i="1"/>
  <c r="P467" i="1"/>
  <c r="O467" i="1"/>
  <c r="C467" i="1"/>
  <c r="D467" i="1"/>
  <c r="A469" i="1"/>
  <c r="B468" i="1"/>
  <c r="E468" i="1"/>
  <c r="J468" i="1"/>
  <c r="I464" i="1"/>
  <c r="H464" i="1"/>
  <c r="K464" i="1" s="1"/>
  <c r="G465" i="1"/>
  <c r="F466" i="1"/>
  <c r="T468" i="1" l="1"/>
  <c r="S468" i="1"/>
  <c r="N464" i="1"/>
  <c r="L464" i="1"/>
  <c r="M464" i="1"/>
  <c r="Q468" i="1"/>
  <c r="R468" i="1"/>
  <c r="P468" i="1"/>
  <c r="O468" i="1"/>
  <c r="D468" i="1"/>
  <c r="C468" i="1"/>
  <c r="A470" i="1"/>
  <c r="E469" i="1"/>
  <c r="B469" i="1"/>
  <c r="J469" i="1"/>
  <c r="I465" i="1"/>
  <c r="H465" i="1"/>
  <c r="K465" i="1" s="1"/>
  <c r="G466" i="1"/>
  <c r="F467" i="1"/>
  <c r="T469" i="1" l="1"/>
  <c r="S469" i="1"/>
  <c r="N465" i="1"/>
  <c r="L465" i="1"/>
  <c r="M465" i="1"/>
  <c r="R469" i="1"/>
  <c r="Q469" i="1"/>
  <c r="C469" i="1"/>
  <c r="D469" i="1"/>
  <c r="O469" i="1"/>
  <c r="P469" i="1"/>
  <c r="A471" i="1"/>
  <c r="E470" i="1"/>
  <c r="B470" i="1"/>
  <c r="J470" i="1"/>
  <c r="H466" i="1"/>
  <c r="K466" i="1" s="1"/>
  <c r="I466" i="1"/>
  <c r="G467" i="1"/>
  <c r="F468" i="1"/>
  <c r="T470" i="1" l="1"/>
  <c r="S470" i="1"/>
  <c r="N466" i="1"/>
  <c r="L466" i="1"/>
  <c r="M466" i="1"/>
  <c r="R470" i="1"/>
  <c r="Q470" i="1"/>
  <c r="O470" i="1"/>
  <c r="P470" i="1"/>
  <c r="C470" i="1"/>
  <c r="D470" i="1"/>
  <c r="A472" i="1"/>
  <c r="E471" i="1"/>
  <c r="J471" i="1"/>
  <c r="B471" i="1"/>
  <c r="I467" i="1"/>
  <c r="H467" i="1"/>
  <c r="G468" i="1"/>
  <c r="F469" i="1"/>
  <c r="T471" i="1" l="1"/>
  <c r="S471" i="1"/>
  <c r="R471" i="1"/>
  <c r="Q471" i="1"/>
  <c r="L467" i="1"/>
  <c r="N467" i="1"/>
  <c r="K467" i="1"/>
  <c r="M467" i="1"/>
  <c r="P471" i="1"/>
  <c r="O471" i="1"/>
  <c r="D471" i="1"/>
  <c r="C471" i="1"/>
  <c r="A473" i="1"/>
  <c r="E472" i="1"/>
  <c r="B472" i="1"/>
  <c r="J472" i="1"/>
  <c r="I468" i="1"/>
  <c r="H468" i="1"/>
  <c r="G469" i="1"/>
  <c r="F470" i="1"/>
  <c r="T472" i="1" l="1"/>
  <c r="S472" i="1"/>
  <c r="R472" i="1"/>
  <c r="Q472" i="1"/>
  <c r="K468" i="1"/>
  <c r="M468" i="1"/>
  <c r="L468" i="1"/>
  <c r="N468" i="1"/>
  <c r="C472" i="1"/>
  <c r="D472" i="1"/>
  <c r="O472" i="1"/>
  <c r="P472" i="1"/>
  <c r="A474" i="1"/>
  <c r="E473" i="1"/>
  <c r="B473" i="1"/>
  <c r="J473" i="1"/>
  <c r="I469" i="1"/>
  <c r="H469" i="1"/>
  <c r="G470" i="1"/>
  <c r="F471" i="1"/>
  <c r="T473" i="1" l="1"/>
  <c r="S473" i="1"/>
  <c r="R473" i="1"/>
  <c r="Q473" i="1"/>
  <c r="K469" i="1"/>
  <c r="M469" i="1"/>
  <c r="L469" i="1"/>
  <c r="N469" i="1"/>
  <c r="O473" i="1"/>
  <c r="P473" i="1"/>
  <c r="C473" i="1"/>
  <c r="D473" i="1"/>
  <c r="A475" i="1"/>
  <c r="E474" i="1"/>
  <c r="B474" i="1"/>
  <c r="J474" i="1"/>
  <c r="I470" i="1"/>
  <c r="H470" i="1"/>
  <c r="G471" i="1"/>
  <c r="F472" i="1"/>
  <c r="T474" i="1" l="1"/>
  <c r="S474" i="1"/>
  <c r="R474" i="1"/>
  <c r="Q474" i="1"/>
  <c r="K470" i="1"/>
  <c r="M470" i="1"/>
  <c r="L470" i="1"/>
  <c r="N470" i="1"/>
  <c r="C474" i="1"/>
  <c r="D474" i="1"/>
  <c r="O474" i="1"/>
  <c r="P474" i="1"/>
  <c r="A476" i="1"/>
  <c r="E475" i="1"/>
  <c r="B475" i="1"/>
  <c r="J475" i="1"/>
  <c r="F473" i="1"/>
  <c r="G472" i="1"/>
  <c r="H471" i="1"/>
  <c r="I471" i="1"/>
  <c r="T475" i="1" l="1"/>
  <c r="S475" i="1"/>
  <c r="Q475" i="1"/>
  <c r="R475" i="1"/>
  <c r="L471" i="1"/>
  <c r="N471" i="1"/>
  <c r="K471" i="1"/>
  <c r="M471" i="1"/>
  <c r="O475" i="1"/>
  <c r="P475" i="1"/>
  <c r="C475" i="1"/>
  <c r="D475" i="1"/>
  <c r="A477" i="1"/>
  <c r="E476" i="1"/>
  <c r="J476" i="1"/>
  <c r="B476" i="1"/>
  <c r="I472" i="1"/>
  <c r="H472" i="1"/>
  <c r="G473" i="1"/>
  <c r="F474" i="1"/>
  <c r="T476" i="1" l="1"/>
  <c r="S476" i="1"/>
  <c r="Q476" i="1"/>
  <c r="R476" i="1"/>
  <c r="L472" i="1"/>
  <c r="N472" i="1"/>
  <c r="K472" i="1"/>
  <c r="M472" i="1"/>
  <c r="D476" i="1"/>
  <c r="C476" i="1"/>
  <c r="O476" i="1"/>
  <c r="P476" i="1"/>
  <c r="A478" i="1"/>
  <c r="E477" i="1"/>
  <c r="B477" i="1"/>
  <c r="J477" i="1"/>
  <c r="I473" i="1"/>
  <c r="H473" i="1"/>
  <c r="G474" i="1"/>
  <c r="F475" i="1"/>
  <c r="T477" i="1" l="1"/>
  <c r="S477" i="1"/>
  <c r="R477" i="1"/>
  <c r="Q477" i="1"/>
  <c r="L473" i="1"/>
  <c r="N473" i="1"/>
  <c r="K473" i="1"/>
  <c r="M473" i="1"/>
  <c r="O477" i="1"/>
  <c r="P477" i="1"/>
  <c r="C477" i="1"/>
  <c r="D477" i="1"/>
  <c r="A479" i="1"/>
  <c r="E478" i="1"/>
  <c r="B478" i="1"/>
  <c r="J478" i="1"/>
  <c r="H474" i="1"/>
  <c r="I474" i="1"/>
  <c r="G475" i="1"/>
  <c r="F476" i="1"/>
  <c r="T478" i="1" l="1"/>
  <c r="S478" i="1"/>
  <c r="R478" i="1"/>
  <c r="Q478" i="1"/>
  <c r="L474" i="1"/>
  <c r="N474" i="1"/>
  <c r="K474" i="1"/>
  <c r="M474" i="1"/>
  <c r="O478" i="1"/>
  <c r="P478" i="1"/>
  <c r="D478" i="1"/>
  <c r="C478" i="1"/>
  <c r="A480" i="1"/>
  <c r="B479" i="1"/>
  <c r="E479" i="1"/>
  <c r="J479" i="1"/>
  <c r="I475" i="1"/>
  <c r="H475" i="1"/>
  <c r="F477" i="1"/>
  <c r="G476" i="1"/>
  <c r="T479" i="1" l="1"/>
  <c r="S479" i="1"/>
  <c r="R479" i="1"/>
  <c r="Q479" i="1"/>
  <c r="K475" i="1"/>
  <c r="M475" i="1"/>
  <c r="L475" i="1"/>
  <c r="N475" i="1"/>
  <c r="O479" i="1"/>
  <c r="P479" i="1"/>
  <c r="C479" i="1"/>
  <c r="D479" i="1"/>
  <c r="A481" i="1"/>
  <c r="E480" i="1"/>
  <c r="B480" i="1"/>
  <c r="J480" i="1"/>
  <c r="F478" i="1"/>
  <c r="G477" i="1"/>
  <c r="I476" i="1"/>
  <c r="H476" i="1"/>
  <c r="T480" i="1" l="1"/>
  <c r="S480" i="1"/>
  <c r="R480" i="1"/>
  <c r="Q480" i="1"/>
  <c r="K476" i="1"/>
  <c r="M476" i="1"/>
  <c r="L476" i="1"/>
  <c r="N476" i="1"/>
  <c r="C480" i="1"/>
  <c r="D480" i="1"/>
  <c r="P480" i="1"/>
  <c r="O480" i="1"/>
  <c r="A482" i="1"/>
  <c r="E481" i="1"/>
  <c r="B481" i="1"/>
  <c r="J481" i="1"/>
  <c r="H477" i="1"/>
  <c r="I477" i="1"/>
  <c r="G478" i="1"/>
  <c r="F479" i="1"/>
  <c r="T481" i="1" l="1"/>
  <c r="S481" i="1"/>
  <c r="R481" i="1"/>
  <c r="Q481" i="1"/>
  <c r="L477" i="1"/>
  <c r="N477" i="1"/>
  <c r="K477" i="1"/>
  <c r="M477" i="1"/>
  <c r="P481" i="1"/>
  <c r="O481" i="1"/>
  <c r="D481" i="1"/>
  <c r="C481" i="1"/>
  <c r="A483" i="1"/>
  <c r="E482" i="1"/>
  <c r="B482" i="1"/>
  <c r="J482" i="1"/>
  <c r="G479" i="1"/>
  <c r="F480" i="1"/>
  <c r="I478" i="1"/>
  <c r="H478" i="1"/>
  <c r="T482" i="1" l="1"/>
  <c r="S482" i="1"/>
  <c r="R482" i="1"/>
  <c r="Q482" i="1"/>
  <c r="K478" i="1"/>
  <c r="M478" i="1"/>
  <c r="L478" i="1"/>
  <c r="N478" i="1"/>
  <c r="D482" i="1"/>
  <c r="C482" i="1"/>
  <c r="P482" i="1"/>
  <c r="O482" i="1"/>
  <c r="A484" i="1"/>
  <c r="E483" i="1"/>
  <c r="B483" i="1"/>
  <c r="J483" i="1"/>
  <c r="G480" i="1"/>
  <c r="F481" i="1"/>
  <c r="H479" i="1"/>
  <c r="I479" i="1"/>
  <c r="S483" i="1" l="1"/>
  <c r="T483" i="1"/>
  <c r="Q483" i="1"/>
  <c r="R483" i="1"/>
  <c r="L479" i="1"/>
  <c r="N479" i="1"/>
  <c r="K479" i="1"/>
  <c r="M479" i="1"/>
  <c r="P483" i="1"/>
  <c r="O483" i="1"/>
  <c r="D483" i="1"/>
  <c r="C483" i="1"/>
  <c r="A485" i="1"/>
  <c r="B484" i="1"/>
  <c r="E484" i="1"/>
  <c r="J484" i="1"/>
  <c r="G481" i="1"/>
  <c r="F482" i="1"/>
  <c r="I480" i="1"/>
  <c r="H480" i="1"/>
  <c r="T484" i="1" l="1"/>
  <c r="S484" i="1"/>
  <c r="Q484" i="1"/>
  <c r="R484" i="1"/>
  <c r="K480" i="1"/>
  <c r="M480" i="1"/>
  <c r="L480" i="1"/>
  <c r="N480" i="1"/>
  <c r="O484" i="1"/>
  <c r="P484" i="1"/>
  <c r="C484" i="1"/>
  <c r="D484" i="1"/>
  <c r="A486" i="1"/>
  <c r="E485" i="1"/>
  <c r="B485" i="1"/>
  <c r="J485" i="1"/>
  <c r="F483" i="1"/>
  <c r="G482" i="1"/>
  <c r="H481" i="1"/>
  <c r="I481" i="1"/>
  <c r="T485" i="1" l="1"/>
  <c r="S485" i="1"/>
  <c r="R485" i="1"/>
  <c r="Q485" i="1"/>
  <c r="L481" i="1"/>
  <c r="N481" i="1"/>
  <c r="K481" i="1"/>
  <c r="M481" i="1"/>
  <c r="D485" i="1"/>
  <c r="C485" i="1"/>
  <c r="A487" i="1"/>
  <c r="E486" i="1"/>
  <c r="B486" i="1"/>
  <c r="J486" i="1"/>
  <c r="H482" i="1"/>
  <c r="I482" i="1"/>
  <c r="G483" i="1"/>
  <c r="F484" i="1"/>
  <c r="T486" i="1" l="1"/>
  <c r="S486" i="1"/>
  <c r="R486" i="1"/>
  <c r="Q486" i="1"/>
  <c r="K482" i="1"/>
  <c r="M482" i="1"/>
  <c r="L482" i="1"/>
  <c r="N482" i="1"/>
  <c r="D486" i="1"/>
  <c r="C486" i="1"/>
  <c r="A488" i="1"/>
  <c r="E487" i="1"/>
  <c r="B487" i="1"/>
  <c r="J487" i="1"/>
  <c r="H483" i="1"/>
  <c r="I483" i="1"/>
  <c r="G484" i="1"/>
  <c r="F485" i="1"/>
  <c r="T487" i="1" l="1"/>
  <c r="S487" i="1"/>
  <c r="R487" i="1"/>
  <c r="Q487" i="1"/>
  <c r="K483" i="1"/>
  <c r="M483" i="1"/>
  <c r="L483" i="1"/>
  <c r="N483" i="1"/>
  <c r="D487" i="1"/>
  <c r="C487" i="1"/>
  <c r="A489" i="1"/>
  <c r="E488" i="1"/>
  <c r="B488" i="1"/>
  <c r="J488" i="1"/>
  <c r="H484" i="1"/>
  <c r="I484" i="1"/>
  <c r="G485" i="1"/>
  <c r="F486" i="1"/>
  <c r="T488" i="1" l="1"/>
  <c r="S488" i="1"/>
  <c r="R488" i="1"/>
  <c r="Q488" i="1"/>
  <c r="L484" i="1"/>
  <c r="N484" i="1"/>
  <c r="K484" i="1"/>
  <c r="M484" i="1"/>
  <c r="D488" i="1"/>
  <c r="C488" i="1"/>
  <c r="A490" i="1"/>
  <c r="E489" i="1"/>
  <c r="B489" i="1"/>
  <c r="J489" i="1"/>
  <c r="G486" i="1"/>
  <c r="F487" i="1"/>
  <c r="I485" i="1"/>
  <c r="N485" i="1" s="1"/>
  <c r="H485" i="1"/>
  <c r="T489" i="1" l="1"/>
  <c r="S489" i="1"/>
  <c r="M485" i="1"/>
  <c r="R489" i="1"/>
  <c r="Q489" i="1"/>
  <c r="K485" i="1"/>
  <c r="O485" i="1"/>
  <c r="L485" i="1"/>
  <c r="P485" i="1"/>
  <c r="D489" i="1"/>
  <c r="C489" i="1"/>
  <c r="A491" i="1"/>
  <c r="E490" i="1"/>
  <c r="B490" i="1"/>
  <c r="J490" i="1"/>
  <c r="G487" i="1"/>
  <c r="F488" i="1"/>
  <c r="H486" i="1"/>
  <c r="I486" i="1"/>
  <c r="N486" i="1" s="1"/>
  <c r="T490" i="1" l="1"/>
  <c r="S490" i="1"/>
  <c r="M486" i="1"/>
  <c r="R490" i="1"/>
  <c r="Q490" i="1"/>
  <c r="L486" i="1"/>
  <c r="P486" i="1"/>
  <c r="K486" i="1"/>
  <c r="O486" i="1"/>
  <c r="C490" i="1"/>
  <c r="D490" i="1"/>
  <c r="A492" i="1"/>
  <c r="E491" i="1"/>
  <c r="B491" i="1"/>
  <c r="J491" i="1"/>
  <c r="G488" i="1"/>
  <c r="F489" i="1"/>
  <c r="I487" i="1"/>
  <c r="N487" i="1" s="1"/>
  <c r="H487" i="1"/>
  <c r="S491" i="1" l="1"/>
  <c r="T491" i="1"/>
  <c r="M487" i="1"/>
  <c r="Q491" i="1"/>
  <c r="R491" i="1"/>
  <c r="K487" i="1"/>
  <c r="O487" i="1"/>
  <c r="L487" i="1"/>
  <c r="P487" i="1"/>
  <c r="D491" i="1"/>
  <c r="C491" i="1"/>
  <c r="A493" i="1"/>
  <c r="E492" i="1"/>
  <c r="B492" i="1"/>
  <c r="J492" i="1"/>
  <c r="G489" i="1"/>
  <c r="F490" i="1"/>
  <c r="H488" i="1"/>
  <c r="I488" i="1"/>
  <c r="N488" i="1" s="1"/>
  <c r="T492" i="1" l="1"/>
  <c r="S492" i="1"/>
  <c r="M488" i="1"/>
  <c r="Q492" i="1"/>
  <c r="R492" i="1"/>
  <c r="L488" i="1"/>
  <c r="P488" i="1"/>
  <c r="K488" i="1"/>
  <c r="O488" i="1"/>
  <c r="D492" i="1"/>
  <c r="C492" i="1"/>
  <c r="A494" i="1"/>
  <c r="B493" i="1"/>
  <c r="E493" i="1"/>
  <c r="J493" i="1"/>
  <c r="G490" i="1"/>
  <c r="F491" i="1"/>
  <c r="I489" i="1"/>
  <c r="N489" i="1" s="1"/>
  <c r="H489" i="1"/>
  <c r="T493" i="1" l="1"/>
  <c r="S493" i="1"/>
  <c r="M489" i="1"/>
  <c r="R493" i="1"/>
  <c r="Q493" i="1"/>
  <c r="K489" i="1"/>
  <c r="O489" i="1"/>
  <c r="L489" i="1"/>
  <c r="P489" i="1"/>
  <c r="C493" i="1"/>
  <c r="D493" i="1"/>
  <c r="A495" i="1"/>
  <c r="E494" i="1"/>
  <c r="B494" i="1"/>
  <c r="J494" i="1"/>
  <c r="G491" i="1"/>
  <c r="F492" i="1"/>
  <c r="H490" i="1"/>
  <c r="I490" i="1"/>
  <c r="P490" i="1" s="1"/>
  <c r="T494" i="1" l="1"/>
  <c r="S494" i="1"/>
  <c r="O490" i="1"/>
  <c r="L490" i="1"/>
  <c r="N490" i="1"/>
  <c r="K490" i="1"/>
  <c r="M490" i="1"/>
  <c r="O494" i="1"/>
  <c r="P494" i="1"/>
  <c r="C494" i="1"/>
  <c r="D494" i="1"/>
  <c r="A496" i="1"/>
  <c r="E495" i="1"/>
  <c r="B495" i="1"/>
  <c r="J495" i="1"/>
  <c r="G492" i="1"/>
  <c r="F493" i="1"/>
  <c r="H491" i="1"/>
  <c r="I491" i="1"/>
  <c r="P491" i="1" s="1"/>
  <c r="T495" i="1" l="1"/>
  <c r="S495" i="1"/>
  <c r="O491" i="1"/>
  <c r="L491" i="1"/>
  <c r="N491" i="1"/>
  <c r="K491" i="1"/>
  <c r="M491" i="1"/>
  <c r="P495" i="1"/>
  <c r="O495" i="1"/>
  <c r="C495" i="1"/>
  <c r="D495" i="1"/>
  <c r="A497" i="1"/>
  <c r="E496" i="1"/>
  <c r="B496" i="1"/>
  <c r="J496" i="1"/>
  <c r="G493" i="1"/>
  <c r="F494" i="1"/>
  <c r="I492" i="1"/>
  <c r="P492" i="1" s="1"/>
  <c r="H492" i="1"/>
  <c r="O492" i="1" l="1"/>
  <c r="R496" i="1"/>
  <c r="Q496" i="1"/>
  <c r="K492" i="1"/>
  <c r="M492" i="1"/>
  <c r="L492" i="1"/>
  <c r="N492" i="1"/>
  <c r="C496" i="1"/>
  <c r="D496" i="1"/>
  <c r="P496" i="1"/>
  <c r="O496" i="1"/>
  <c r="A498" i="1"/>
  <c r="E497" i="1"/>
  <c r="B497" i="1"/>
  <c r="J497" i="1"/>
  <c r="G494" i="1"/>
  <c r="F495" i="1"/>
  <c r="I493" i="1"/>
  <c r="P493" i="1" s="1"/>
  <c r="H493" i="1"/>
  <c r="O493" i="1" l="1"/>
  <c r="R497" i="1"/>
  <c r="Q497" i="1"/>
  <c r="K493" i="1"/>
  <c r="M493" i="1"/>
  <c r="L493" i="1"/>
  <c r="N493" i="1"/>
  <c r="O497" i="1"/>
  <c r="P497" i="1"/>
  <c r="D497" i="1"/>
  <c r="C497" i="1"/>
  <c r="A499" i="1"/>
  <c r="E498" i="1"/>
  <c r="B498" i="1"/>
  <c r="J498" i="1"/>
  <c r="G495" i="1"/>
  <c r="F496" i="1"/>
  <c r="H494" i="1"/>
  <c r="I494" i="1"/>
  <c r="T498" i="1" l="1"/>
  <c r="S498" i="1"/>
  <c r="Q494" i="1"/>
  <c r="R494" i="1"/>
  <c r="R498" i="1"/>
  <c r="Q498" i="1"/>
  <c r="L494" i="1"/>
  <c r="N494" i="1"/>
  <c r="K494" i="1"/>
  <c r="M494" i="1"/>
  <c r="P498" i="1"/>
  <c r="O498" i="1"/>
  <c r="D498" i="1"/>
  <c r="C498" i="1"/>
  <c r="A500" i="1"/>
  <c r="E499" i="1"/>
  <c r="B499" i="1"/>
  <c r="J499" i="1"/>
  <c r="G496" i="1"/>
  <c r="F497" i="1"/>
  <c r="H495" i="1"/>
  <c r="I495" i="1"/>
  <c r="S499" i="1" l="1"/>
  <c r="T499" i="1"/>
  <c r="R495" i="1"/>
  <c r="Q495" i="1"/>
  <c r="Q499" i="1"/>
  <c r="R499" i="1"/>
  <c r="L495" i="1"/>
  <c r="N495" i="1"/>
  <c r="K495" i="1"/>
  <c r="M495" i="1"/>
  <c r="D499" i="1"/>
  <c r="C499" i="1"/>
  <c r="P499" i="1"/>
  <c r="O499" i="1"/>
  <c r="A501" i="1"/>
  <c r="E500" i="1"/>
  <c r="B500" i="1"/>
  <c r="J500" i="1"/>
  <c r="G497" i="1"/>
  <c r="F498" i="1"/>
  <c r="I496" i="1"/>
  <c r="T496" i="1" s="1"/>
  <c r="H496" i="1"/>
  <c r="S496" i="1" s="1"/>
  <c r="T500" i="1" l="1"/>
  <c r="S500" i="1"/>
  <c r="Q500" i="1"/>
  <c r="R500" i="1"/>
  <c r="K496" i="1"/>
  <c r="M496" i="1"/>
  <c r="L496" i="1"/>
  <c r="N496" i="1"/>
  <c r="O500" i="1"/>
  <c r="P500" i="1"/>
  <c r="D500" i="1"/>
  <c r="C500" i="1"/>
  <c r="A502" i="1"/>
  <c r="E501" i="1"/>
  <c r="B501" i="1"/>
  <c r="J501" i="1"/>
  <c r="G498" i="1"/>
  <c r="F499" i="1"/>
  <c r="H497" i="1"/>
  <c r="S497" i="1" s="1"/>
  <c r="I497" i="1"/>
  <c r="T497" i="1" s="1"/>
  <c r="T501" i="1" l="1"/>
  <c r="S501" i="1"/>
  <c r="R501" i="1"/>
  <c r="Q501" i="1"/>
  <c r="L497" i="1"/>
  <c r="N497" i="1"/>
  <c r="K497" i="1"/>
  <c r="M497" i="1"/>
  <c r="O501" i="1"/>
  <c r="P501" i="1"/>
  <c r="D501" i="1"/>
  <c r="C501" i="1"/>
  <c r="A503" i="1"/>
  <c r="E502" i="1"/>
  <c r="J502" i="1"/>
  <c r="B502" i="1"/>
  <c r="G499" i="1"/>
  <c r="F500" i="1"/>
  <c r="I498" i="1"/>
  <c r="H498" i="1"/>
  <c r="T502" i="1" l="1"/>
  <c r="S502" i="1"/>
  <c r="R502" i="1"/>
  <c r="Q502" i="1"/>
  <c r="K498" i="1"/>
  <c r="M498" i="1"/>
  <c r="L498" i="1"/>
  <c r="N498" i="1"/>
  <c r="C502" i="1"/>
  <c r="D502" i="1"/>
  <c r="O502" i="1"/>
  <c r="P502" i="1"/>
  <c r="A504" i="1"/>
  <c r="E503" i="1"/>
  <c r="B503" i="1"/>
  <c r="J503" i="1"/>
  <c r="G500" i="1"/>
  <c r="F501" i="1"/>
  <c r="H499" i="1"/>
  <c r="I499" i="1"/>
  <c r="T503" i="1" l="1"/>
  <c r="S503" i="1"/>
  <c r="R503" i="1"/>
  <c r="Q503" i="1"/>
  <c r="L499" i="1"/>
  <c r="N499" i="1"/>
  <c r="K499" i="1"/>
  <c r="M499" i="1"/>
  <c r="O503" i="1"/>
  <c r="P503" i="1"/>
  <c r="C503" i="1"/>
  <c r="D503" i="1"/>
  <c r="A505" i="1"/>
  <c r="E504" i="1"/>
  <c r="B504" i="1"/>
  <c r="J504" i="1"/>
  <c r="G501" i="1"/>
  <c r="F502" i="1"/>
  <c r="H500" i="1"/>
  <c r="I500" i="1"/>
  <c r="T504" i="1" l="1"/>
  <c r="S504" i="1"/>
  <c r="R504" i="1"/>
  <c r="Q504" i="1"/>
  <c r="L500" i="1"/>
  <c r="N500" i="1"/>
  <c r="K500" i="1"/>
  <c r="M500" i="1"/>
  <c r="P504" i="1"/>
  <c r="O504" i="1"/>
  <c r="C504" i="1"/>
  <c r="D504" i="1"/>
  <c r="A506" i="1"/>
  <c r="B505" i="1"/>
  <c r="E505" i="1"/>
  <c r="J505" i="1"/>
  <c r="G502" i="1"/>
  <c r="F503" i="1"/>
  <c r="I501" i="1"/>
  <c r="H501" i="1"/>
  <c r="T505" i="1" l="1"/>
  <c r="S505" i="1"/>
  <c r="R505" i="1"/>
  <c r="Q505" i="1"/>
  <c r="K501" i="1"/>
  <c r="M501" i="1"/>
  <c r="L501" i="1"/>
  <c r="N501" i="1"/>
  <c r="O505" i="1"/>
  <c r="P505" i="1"/>
  <c r="C505" i="1"/>
  <c r="D505" i="1"/>
  <c r="A507" i="1"/>
  <c r="E506" i="1"/>
  <c r="B506" i="1"/>
  <c r="J506" i="1"/>
  <c r="F504" i="1"/>
  <c r="G503" i="1"/>
  <c r="I502" i="1"/>
  <c r="H502" i="1"/>
  <c r="T506" i="1" l="1"/>
  <c r="S506" i="1"/>
  <c r="R506" i="1"/>
  <c r="Q506" i="1"/>
  <c r="M502" i="1"/>
  <c r="K502" i="1"/>
  <c r="N502" i="1"/>
  <c r="L502" i="1"/>
  <c r="C506" i="1"/>
  <c r="D506" i="1"/>
  <c r="P506" i="1"/>
  <c r="O506" i="1"/>
  <c r="A508" i="1"/>
  <c r="E507" i="1"/>
  <c r="B507" i="1"/>
  <c r="J507" i="1"/>
  <c r="H503" i="1"/>
  <c r="I503" i="1"/>
  <c r="G504" i="1"/>
  <c r="F505" i="1"/>
  <c r="S507" i="1" l="1"/>
  <c r="T507" i="1"/>
  <c r="Q507" i="1"/>
  <c r="R507" i="1"/>
  <c r="N503" i="1"/>
  <c r="L503" i="1"/>
  <c r="M503" i="1"/>
  <c r="K503" i="1"/>
  <c r="O507" i="1"/>
  <c r="P507" i="1"/>
  <c r="C507" i="1"/>
  <c r="D507" i="1"/>
  <c r="E508" i="1"/>
  <c r="A509" i="1"/>
  <c r="B508" i="1"/>
  <c r="J508" i="1"/>
  <c r="G505" i="1"/>
  <c r="F506" i="1"/>
  <c r="I504" i="1"/>
  <c r="H504" i="1"/>
  <c r="T508" i="1" l="1"/>
  <c r="S508" i="1"/>
  <c r="Q508" i="1"/>
  <c r="R508" i="1"/>
  <c r="M504" i="1"/>
  <c r="K504" i="1"/>
  <c r="N504" i="1"/>
  <c r="L504" i="1"/>
  <c r="C508" i="1"/>
  <c r="D508" i="1"/>
  <c r="A510" i="1"/>
  <c r="E509" i="1"/>
  <c r="B509" i="1"/>
  <c r="J509" i="1"/>
  <c r="P508" i="1"/>
  <c r="O508" i="1"/>
  <c r="F507" i="1"/>
  <c r="G506" i="1"/>
  <c r="H505" i="1"/>
  <c r="I505" i="1"/>
  <c r="T509" i="1" l="1"/>
  <c r="S509" i="1"/>
  <c r="R509" i="1"/>
  <c r="Q509" i="1"/>
  <c r="N505" i="1"/>
  <c r="L505" i="1"/>
  <c r="M505" i="1"/>
  <c r="K505" i="1"/>
  <c r="P509" i="1"/>
  <c r="O509" i="1"/>
  <c r="E510" i="1"/>
  <c r="J510" i="1"/>
  <c r="B510" i="1"/>
  <c r="A511" i="1"/>
  <c r="D509" i="1"/>
  <c r="C509" i="1"/>
  <c r="H506" i="1"/>
  <c r="I506" i="1"/>
  <c r="F508" i="1"/>
  <c r="G507" i="1"/>
  <c r="T510" i="1" l="1"/>
  <c r="S510" i="1"/>
  <c r="R510" i="1"/>
  <c r="Q510" i="1"/>
  <c r="M506" i="1"/>
  <c r="K506" i="1"/>
  <c r="N506" i="1"/>
  <c r="L506" i="1"/>
  <c r="O510" i="1"/>
  <c r="P510" i="1"/>
  <c r="E511" i="1"/>
  <c r="A512" i="1"/>
  <c r="J511" i="1"/>
  <c r="B511" i="1"/>
  <c r="D510" i="1"/>
  <c r="C510" i="1"/>
  <c r="G508" i="1"/>
  <c r="F509" i="1"/>
  <c r="I507" i="1"/>
  <c r="H507" i="1"/>
  <c r="T511" i="1" l="1"/>
  <c r="S511" i="1"/>
  <c r="R511" i="1"/>
  <c r="Q511" i="1"/>
  <c r="M507" i="1"/>
  <c r="K507" i="1"/>
  <c r="N507" i="1"/>
  <c r="L507" i="1"/>
  <c r="E512" i="1"/>
  <c r="A513" i="1"/>
  <c r="J512" i="1"/>
  <c r="B512" i="1"/>
  <c r="C511" i="1"/>
  <c r="D511" i="1"/>
  <c r="O511" i="1"/>
  <c r="P511" i="1"/>
  <c r="G509" i="1"/>
  <c r="F510" i="1"/>
  <c r="H508" i="1"/>
  <c r="I508" i="1"/>
  <c r="T512" i="1" l="1"/>
  <c r="S512" i="1"/>
  <c r="R512" i="1"/>
  <c r="Q512" i="1"/>
  <c r="N508" i="1"/>
  <c r="L508" i="1"/>
  <c r="M508" i="1"/>
  <c r="K508" i="1"/>
  <c r="O512" i="1"/>
  <c r="P512" i="1"/>
  <c r="J513" i="1"/>
  <c r="B513" i="1"/>
  <c r="A514" i="1"/>
  <c r="E513" i="1"/>
  <c r="D512" i="1"/>
  <c r="C512" i="1"/>
  <c r="G510" i="1"/>
  <c r="F511" i="1"/>
  <c r="H509" i="1"/>
  <c r="I509" i="1"/>
  <c r="T513" i="1" l="1"/>
  <c r="S513" i="1"/>
  <c r="R513" i="1"/>
  <c r="Q513" i="1"/>
  <c r="N509" i="1"/>
  <c r="L509" i="1"/>
  <c r="M509" i="1"/>
  <c r="K509" i="1"/>
  <c r="O513" i="1"/>
  <c r="P513" i="1"/>
  <c r="D513" i="1"/>
  <c r="C513" i="1"/>
  <c r="B514" i="1"/>
  <c r="E514" i="1"/>
  <c r="J514" i="1"/>
  <c r="A515" i="1"/>
  <c r="G511" i="1"/>
  <c r="F512" i="1"/>
  <c r="H510" i="1"/>
  <c r="I510" i="1"/>
  <c r="T514" i="1" l="1"/>
  <c r="S514" i="1"/>
  <c r="R514" i="1"/>
  <c r="Q514" i="1"/>
  <c r="N510" i="1"/>
  <c r="L510" i="1"/>
  <c r="M510" i="1"/>
  <c r="K510" i="1"/>
  <c r="P514" i="1"/>
  <c r="O514" i="1"/>
  <c r="E515" i="1"/>
  <c r="A516" i="1"/>
  <c r="J515" i="1"/>
  <c r="B515" i="1"/>
  <c r="C514" i="1"/>
  <c r="D514" i="1"/>
  <c r="G512" i="1"/>
  <c r="F513" i="1"/>
  <c r="H511" i="1"/>
  <c r="I511" i="1"/>
  <c r="S515" i="1" l="1"/>
  <c r="T515" i="1"/>
  <c r="Q515" i="1"/>
  <c r="R515" i="1"/>
  <c r="N511" i="1"/>
  <c r="L511" i="1"/>
  <c r="M511" i="1"/>
  <c r="K511" i="1"/>
  <c r="B516" i="1"/>
  <c r="A517" i="1"/>
  <c r="J516" i="1"/>
  <c r="E516" i="1"/>
  <c r="D515" i="1"/>
  <c r="C515" i="1"/>
  <c r="P515" i="1"/>
  <c r="O515" i="1"/>
  <c r="G513" i="1"/>
  <c r="F514" i="1"/>
  <c r="I512" i="1"/>
  <c r="H512" i="1"/>
  <c r="T516" i="1" l="1"/>
  <c r="S516" i="1"/>
  <c r="Q516" i="1"/>
  <c r="R516" i="1"/>
  <c r="M512" i="1"/>
  <c r="K512" i="1"/>
  <c r="N512" i="1"/>
  <c r="L512" i="1"/>
  <c r="E517" i="1"/>
  <c r="J517" i="1"/>
  <c r="A518" i="1"/>
  <c r="B517" i="1"/>
  <c r="P516" i="1"/>
  <c r="O516" i="1"/>
  <c r="D516" i="1"/>
  <c r="C516" i="1"/>
  <c r="G514" i="1"/>
  <c r="F515" i="1"/>
  <c r="H513" i="1"/>
  <c r="I513" i="1"/>
  <c r="T517" i="1" l="1"/>
  <c r="S517" i="1"/>
  <c r="R517" i="1"/>
  <c r="Q517" i="1"/>
  <c r="N513" i="1"/>
  <c r="L513" i="1"/>
  <c r="M513" i="1"/>
  <c r="K513" i="1"/>
  <c r="C517" i="1"/>
  <c r="D517" i="1"/>
  <c r="B518" i="1"/>
  <c r="E518" i="1"/>
  <c r="A519" i="1"/>
  <c r="J518" i="1"/>
  <c r="O517" i="1"/>
  <c r="P517" i="1"/>
  <c r="G515" i="1"/>
  <c r="F516" i="1"/>
  <c r="H514" i="1"/>
  <c r="I514" i="1"/>
  <c r="T518" i="1" l="1"/>
  <c r="S518" i="1"/>
  <c r="R518" i="1"/>
  <c r="Q518" i="1"/>
  <c r="N514" i="1"/>
  <c r="L514" i="1"/>
  <c r="M514" i="1"/>
  <c r="K514" i="1"/>
  <c r="P518" i="1"/>
  <c r="O518" i="1"/>
  <c r="J519" i="1"/>
  <c r="B519" i="1"/>
  <c r="E519" i="1"/>
  <c r="A520" i="1"/>
  <c r="C518" i="1"/>
  <c r="D518" i="1"/>
  <c r="G516" i="1"/>
  <c r="F517" i="1"/>
  <c r="I515" i="1"/>
  <c r="H515" i="1"/>
  <c r="T519" i="1" l="1"/>
  <c r="S519" i="1"/>
  <c r="R519" i="1"/>
  <c r="Q519" i="1"/>
  <c r="M515" i="1"/>
  <c r="K515" i="1"/>
  <c r="N515" i="1"/>
  <c r="L515" i="1"/>
  <c r="P519" i="1"/>
  <c r="O519" i="1"/>
  <c r="D519" i="1"/>
  <c r="C519" i="1"/>
  <c r="E520" i="1"/>
  <c r="B520" i="1"/>
  <c r="J520" i="1"/>
  <c r="A521" i="1"/>
  <c r="G517" i="1"/>
  <c r="F518" i="1"/>
  <c r="H516" i="1"/>
  <c r="I516" i="1"/>
  <c r="T520" i="1" l="1"/>
  <c r="S520" i="1"/>
  <c r="R520" i="1"/>
  <c r="Q520" i="1"/>
  <c r="N516" i="1"/>
  <c r="L516" i="1"/>
  <c r="M516" i="1"/>
  <c r="K516" i="1"/>
  <c r="E521" i="1"/>
  <c r="J521" i="1"/>
  <c r="A522" i="1"/>
  <c r="B521" i="1"/>
  <c r="D520" i="1"/>
  <c r="C520" i="1"/>
  <c r="P520" i="1"/>
  <c r="O520" i="1"/>
  <c r="G518" i="1"/>
  <c r="F519" i="1"/>
  <c r="H517" i="1"/>
  <c r="I517" i="1"/>
  <c r="T521" i="1" l="1"/>
  <c r="S521" i="1"/>
  <c r="R521" i="1"/>
  <c r="Q521" i="1"/>
  <c r="N517" i="1"/>
  <c r="L517" i="1"/>
  <c r="M517" i="1"/>
  <c r="K517" i="1"/>
  <c r="B522" i="1"/>
  <c r="A523" i="1"/>
  <c r="E522" i="1"/>
  <c r="J522" i="1"/>
  <c r="O521" i="1"/>
  <c r="P521" i="1"/>
  <c r="C521" i="1"/>
  <c r="D521" i="1"/>
  <c r="G519" i="1"/>
  <c r="F520" i="1"/>
  <c r="I518" i="1"/>
  <c r="H518" i="1"/>
  <c r="T522" i="1" l="1"/>
  <c r="S522" i="1"/>
  <c r="R522" i="1"/>
  <c r="Q522" i="1"/>
  <c r="M518" i="1"/>
  <c r="K518" i="1"/>
  <c r="N518" i="1"/>
  <c r="L518" i="1"/>
  <c r="E523" i="1"/>
  <c r="B523" i="1"/>
  <c r="A524" i="1"/>
  <c r="J523" i="1"/>
  <c r="P522" i="1"/>
  <c r="O522" i="1"/>
  <c r="C522" i="1"/>
  <c r="D522" i="1"/>
  <c r="F521" i="1"/>
  <c r="G520" i="1"/>
  <c r="H519" i="1"/>
  <c r="I519" i="1"/>
  <c r="T523" i="1" l="1"/>
  <c r="S523" i="1"/>
  <c r="Q523" i="1"/>
  <c r="R523" i="1"/>
  <c r="N519" i="1"/>
  <c r="L519" i="1"/>
  <c r="M519" i="1"/>
  <c r="K519" i="1"/>
  <c r="E524" i="1"/>
  <c r="J524" i="1"/>
  <c r="A525" i="1"/>
  <c r="B524" i="1"/>
  <c r="P523" i="1"/>
  <c r="O523" i="1"/>
  <c r="C523" i="1"/>
  <c r="D523" i="1"/>
  <c r="I520" i="1"/>
  <c r="H520" i="1"/>
  <c r="G521" i="1"/>
  <c r="F522" i="1"/>
  <c r="T524" i="1" l="1"/>
  <c r="S524" i="1"/>
  <c r="R524" i="1"/>
  <c r="Q524" i="1"/>
  <c r="N520" i="1"/>
  <c r="L520" i="1"/>
  <c r="M520" i="1"/>
  <c r="K520" i="1"/>
  <c r="E525" i="1"/>
  <c r="J525" i="1"/>
  <c r="A526" i="1"/>
  <c r="B525" i="1"/>
  <c r="C524" i="1"/>
  <c r="D524" i="1"/>
  <c r="O524" i="1"/>
  <c r="P524" i="1"/>
  <c r="F523" i="1"/>
  <c r="G522" i="1"/>
  <c r="H521" i="1"/>
  <c r="I521" i="1"/>
  <c r="T525" i="1" l="1"/>
  <c r="S525" i="1"/>
  <c r="R525" i="1"/>
  <c r="Q525" i="1"/>
  <c r="N521" i="1"/>
  <c r="L521" i="1"/>
  <c r="M521" i="1"/>
  <c r="K521" i="1"/>
  <c r="C525" i="1"/>
  <c r="D525" i="1"/>
  <c r="B526" i="1"/>
  <c r="E526" i="1"/>
  <c r="A527" i="1"/>
  <c r="J526" i="1"/>
  <c r="O525" i="1"/>
  <c r="P525" i="1"/>
  <c r="I522" i="1"/>
  <c r="H522" i="1"/>
  <c r="G523" i="1"/>
  <c r="F524" i="1"/>
  <c r="T526" i="1" l="1"/>
  <c r="S526" i="1"/>
  <c r="R526" i="1"/>
  <c r="Q526" i="1"/>
  <c r="M522" i="1"/>
  <c r="K522" i="1"/>
  <c r="N522" i="1"/>
  <c r="L522" i="1"/>
  <c r="D526" i="1"/>
  <c r="C526" i="1"/>
  <c r="P526" i="1"/>
  <c r="O526" i="1"/>
  <c r="E527" i="1"/>
  <c r="J527" i="1"/>
  <c r="A528" i="1"/>
  <c r="B527" i="1"/>
  <c r="H523" i="1"/>
  <c r="K523" i="1" s="1"/>
  <c r="I523" i="1"/>
  <c r="G524" i="1"/>
  <c r="F525" i="1"/>
  <c r="T527" i="1" l="1"/>
  <c r="S527" i="1"/>
  <c r="N523" i="1"/>
  <c r="L523" i="1"/>
  <c r="M523" i="1"/>
  <c r="R527" i="1"/>
  <c r="Q527" i="1"/>
  <c r="D527" i="1"/>
  <c r="C527" i="1"/>
  <c r="P527" i="1"/>
  <c r="O527" i="1"/>
  <c r="E528" i="1"/>
  <c r="J528" i="1"/>
  <c r="B528" i="1"/>
  <c r="A529" i="1"/>
  <c r="H524" i="1"/>
  <c r="K524" i="1" s="1"/>
  <c r="I524" i="1"/>
  <c r="G525" i="1"/>
  <c r="F526" i="1"/>
  <c r="T528" i="1" l="1"/>
  <c r="S528" i="1"/>
  <c r="N524" i="1"/>
  <c r="L524" i="1"/>
  <c r="M524" i="1"/>
  <c r="R528" i="1"/>
  <c r="Q528" i="1"/>
  <c r="A530" i="1"/>
  <c r="B529" i="1"/>
  <c r="E529" i="1"/>
  <c r="J529" i="1"/>
  <c r="P528" i="1"/>
  <c r="O528" i="1"/>
  <c r="C528" i="1"/>
  <c r="D528" i="1"/>
  <c r="G526" i="1"/>
  <c r="F527" i="1"/>
  <c r="I525" i="1"/>
  <c r="H525" i="1"/>
  <c r="K525" i="1" s="1"/>
  <c r="T529" i="1" l="1"/>
  <c r="S529" i="1"/>
  <c r="N525" i="1"/>
  <c r="L525" i="1"/>
  <c r="M525" i="1"/>
  <c r="R529" i="1"/>
  <c r="Q529" i="1"/>
  <c r="O529" i="1"/>
  <c r="P529" i="1"/>
  <c r="D529" i="1"/>
  <c r="C529" i="1"/>
  <c r="J530" i="1"/>
  <c r="B530" i="1"/>
  <c r="E530" i="1"/>
  <c r="A531" i="1"/>
  <c r="G527" i="1"/>
  <c r="F528" i="1"/>
  <c r="I526" i="1"/>
  <c r="H526" i="1"/>
  <c r="K526" i="1" s="1"/>
  <c r="T530" i="1" l="1"/>
  <c r="S530" i="1"/>
  <c r="N526" i="1"/>
  <c r="L526" i="1"/>
  <c r="M526" i="1"/>
  <c r="R530" i="1"/>
  <c r="Q530" i="1"/>
  <c r="J531" i="1"/>
  <c r="B531" i="1"/>
  <c r="A532" i="1"/>
  <c r="E531" i="1"/>
  <c r="C530" i="1"/>
  <c r="D530" i="1"/>
  <c r="O530" i="1"/>
  <c r="P530" i="1"/>
  <c r="G528" i="1"/>
  <c r="F529" i="1"/>
  <c r="H527" i="1"/>
  <c r="K527" i="1" s="1"/>
  <c r="I527" i="1"/>
  <c r="S531" i="1" l="1"/>
  <c r="T531" i="1"/>
  <c r="N527" i="1"/>
  <c r="L527" i="1"/>
  <c r="M527" i="1"/>
  <c r="Q531" i="1"/>
  <c r="R531" i="1"/>
  <c r="A533" i="1"/>
  <c r="E532" i="1"/>
  <c r="J532" i="1"/>
  <c r="B532" i="1"/>
  <c r="D531" i="1"/>
  <c r="C531" i="1"/>
  <c r="O531" i="1"/>
  <c r="P531" i="1"/>
  <c r="G529" i="1"/>
  <c r="F530" i="1"/>
  <c r="I528" i="1"/>
  <c r="H528" i="1"/>
  <c r="K528" i="1" s="1"/>
  <c r="T532" i="1" l="1"/>
  <c r="S532" i="1"/>
  <c r="N528" i="1"/>
  <c r="L528" i="1"/>
  <c r="M528" i="1"/>
  <c r="Q532" i="1"/>
  <c r="R532" i="1"/>
  <c r="C532" i="1"/>
  <c r="D532" i="1"/>
  <c r="P532" i="1"/>
  <c r="O532" i="1"/>
  <c r="E533" i="1"/>
  <c r="A534" i="1"/>
  <c r="J533" i="1"/>
  <c r="B533" i="1"/>
  <c r="G530" i="1"/>
  <c r="F531" i="1"/>
  <c r="I529" i="1"/>
  <c r="H529" i="1"/>
  <c r="K529" i="1" s="1"/>
  <c r="T533" i="1" l="1"/>
  <c r="S533" i="1"/>
  <c r="N529" i="1"/>
  <c r="L529" i="1"/>
  <c r="M529" i="1"/>
  <c r="R533" i="1"/>
  <c r="Q533" i="1"/>
  <c r="C533" i="1"/>
  <c r="D533" i="1"/>
  <c r="O533" i="1"/>
  <c r="P533" i="1"/>
  <c r="E534" i="1"/>
  <c r="J534" i="1"/>
  <c r="A535" i="1"/>
  <c r="B534" i="1"/>
  <c r="G531" i="1"/>
  <c r="F532" i="1"/>
  <c r="I530" i="1"/>
  <c r="H530" i="1"/>
  <c r="K530" i="1" s="1"/>
  <c r="T534" i="1" l="1"/>
  <c r="S534" i="1"/>
  <c r="N530" i="1"/>
  <c r="L530" i="1"/>
  <c r="M530" i="1"/>
  <c r="R534" i="1"/>
  <c r="Q534" i="1"/>
  <c r="B535" i="1"/>
  <c r="E535" i="1"/>
  <c r="A536" i="1"/>
  <c r="J535" i="1"/>
  <c r="O534" i="1"/>
  <c r="P534" i="1"/>
  <c r="C534" i="1"/>
  <c r="D534" i="1"/>
  <c r="G532" i="1"/>
  <c r="F533" i="1"/>
  <c r="I531" i="1"/>
  <c r="H531" i="1"/>
  <c r="K531" i="1" s="1"/>
  <c r="T535" i="1" l="1"/>
  <c r="S535" i="1"/>
  <c r="N531" i="1"/>
  <c r="L531" i="1"/>
  <c r="M531" i="1"/>
  <c r="R535" i="1"/>
  <c r="Q535" i="1"/>
  <c r="A537" i="1"/>
  <c r="J536" i="1"/>
  <c r="B536" i="1"/>
  <c r="E536" i="1"/>
  <c r="P535" i="1"/>
  <c r="O535" i="1"/>
  <c r="C535" i="1"/>
  <c r="D535" i="1"/>
  <c r="F534" i="1"/>
  <c r="G533" i="1"/>
  <c r="H532" i="1"/>
  <c r="K532" i="1" s="1"/>
  <c r="I532" i="1"/>
  <c r="T536" i="1" l="1"/>
  <c r="S536" i="1"/>
  <c r="N532" i="1"/>
  <c r="L532" i="1"/>
  <c r="M532" i="1"/>
  <c r="R536" i="1"/>
  <c r="Q536" i="1"/>
  <c r="P536" i="1"/>
  <c r="O536" i="1"/>
  <c r="C536" i="1"/>
  <c r="D536" i="1"/>
  <c r="E537" i="1"/>
  <c r="B537" i="1"/>
  <c r="A538" i="1"/>
  <c r="J537" i="1"/>
  <c r="I533" i="1"/>
  <c r="H533" i="1"/>
  <c r="K533" i="1" s="1"/>
  <c r="G534" i="1"/>
  <c r="F535" i="1"/>
  <c r="T537" i="1" l="1"/>
  <c r="S537" i="1"/>
  <c r="N533" i="1"/>
  <c r="L533" i="1"/>
  <c r="M533" i="1"/>
  <c r="R537" i="1"/>
  <c r="Q537" i="1"/>
  <c r="O537" i="1"/>
  <c r="P537" i="1"/>
  <c r="C537" i="1"/>
  <c r="D537" i="1"/>
  <c r="J538" i="1"/>
  <c r="B538" i="1"/>
  <c r="E538" i="1"/>
  <c r="A539" i="1"/>
  <c r="H534" i="1"/>
  <c r="K534" i="1" s="1"/>
  <c r="I534" i="1"/>
  <c r="G535" i="1"/>
  <c r="F536" i="1"/>
  <c r="T538" i="1" l="1"/>
  <c r="S538" i="1"/>
  <c r="N534" i="1"/>
  <c r="L534" i="1"/>
  <c r="M534" i="1"/>
  <c r="R538" i="1"/>
  <c r="Q538" i="1"/>
  <c r="E539" i="1"/>
  <c r="A540" i="1"/>
  <c r="J539" i="1"/>
  <c r="B539" i="1"/>
  <c r="C538" i="1"/>
  <c r="D538" i="1"/>
  <c r="O538" i="1"/>
  <c r="P538" i="1"/>
  <c r="F537" i="1"/>
  <c r="G536" i="1"/>
  <c r="H535" i="1"/>
  <c r="K535" i="1" s="1"/>
  <c r="I535" i="1"/>
  <c r="T539" i="1" l="1"/>
  <c r="S539" i="1"/>
  <c r="N535" i="1"/>
  <c r="L535" i="1"/>
  <c r="M535" i="1"/>
  <c r="Q539" i="1"/>
  <c r="R539" i="1"/>
  <c r="O539" i="1"/>
  <c r="P539" i="1"/>
  <c r="E540" i="1"/>
  <c r="A541" i="1"/>
  <c r="B540" i="1"/>
  <c r="J540" i="1"/>
  <c r="D539" i="1"/>
  <c r="C539" i="1"/>
  <c r="H536" i="1"/>
  <c r="K536" i="1" s="1"/>
  <c r="I536" i="1"/>
  <c r="G537" i="1"/>
  <c r="F538" i="1"/>
  <c r="T540" i="1" l="1"/>
  <c r="S540" i="1"/>
  <c r="N536" i="1"/>
  <c r="L536" i="1"/>
  <c r="M536" i="1"/>
  <c r="R540" i="1"/>
  <c r="Q540" i="1"/>
  <c r="O540" i="1"/>
  <c r="P540" i="1"/>
  <c r="E541" i="1"/>
  <c r="A542" i="1"/>
  <c r="B541" i="1"/>
  <c r="J541" i="1"/>
  <c r="D540" i="1"/>
  <c r="C540" i="1"/>
  <c r="G538" i="1"/>
  <c r="F539" i="1"/>
  <c r="H537" i="1"/>
  <c r="I537" i="1"/>
  <c r="T541" i="1" l="1"/>
  <c r="S541" i="1"/>
  <c r="R541" i="1"/>
  <c r="Q541" i="1"/>
  <c r="L537" i="1"/>
  <c r="N537" i="1"/>
  <c r="K537" i="1"/>
  <c r="M537" i="1"/>
  <c r="O541" i="1"/>
  <c r="P541" i="1"/>
  <c r="E542" i="1"/>
  <c r="B542" i="1"/>
  <c r="J542" i="1"/>
  <c r="A543" i="1"/>
  <c r="C541" i="1"/>
  <c r="D541" i="1"/>
  <c r="G539" i="1"/>
  <c r="F540" i="1"/>
  <c r="H538" i="1"/>
  <c r="I538" i="1"/>
  <c r="T542" i="1" l="1"/>
  <c r="S542" i="1"/>
  <c r="R542" i="1"/>
  <c r="Q542" i="1"/>
  <c r="L538" i="1"/>
  <c r="N538" i="1"/>
  <c r="K538" i="1"/>
  <c r="M538" i="1"/>
  <c r="C542" i="1"/>
  <c r="D542" i="1"/>
  <c r="B543" i="1"/>
  <c r="E543" i="1"/>
  <c r="A544" i="1"/>
  <c r="J543" i="1"/>
  <c r="P542" i="1"/>
  <c r="O542" i="1"/>
  <c r="G540" i="1"/>
  <c r="F541" i="1"/>
  <c r="H539" i="1"/>
  <c r="I539" i="1"/>
  <c r="T543" i="1" l="1"/>
  <c r="S543" i="1"/>
  <c r="R543" i="1"/>
  <c r="Q543" i="1"/>
  <c r="L539" i="1"/>
  <c r="N539" i="1"/>
  <c r="K539" i="1"/>
  <c r="M539" i="1"/>
  <c r="A545" i="1"/>
  <c r="E544" i="1"/>
  <c r="B544" i="1"/>
  <c r="J544" i="1"/>
  <c r="P543" i="1"/>
  <c r="O543" i="1"/>
  <c r="C543" i="1"/>
  <c r="D543" i="1"/>
  <c r="G541" i="1"/>
  <c r="F542" i="1"/>
  <c r="H540" i="1"/>
  <c r="I540" i="1"/>
  <c r="T544" i="1" l="1"/>
  <c r="S544" i="1"/>
  <c r="R544" i="1"/>
  <c r="Q544" i="1"/>
  <c r="L540" i="1"/>
  <c r="N540" i="1"/>
  <c r="K540" i="1"/>
  <c r="M540" i="1"/>
  <c r="O544" i="1"/>
  <c r="P544" i="1"/>
  <c r="C544" i="1"/>
  <c r="D544" i="1"/>
  <c r="J545" i="1"/>
  <c r="E545" i="1"/>
  <c r="A546" i="1"/>
  <c r="B545" i="1"/>
  <c r="F543" i="1"/>
  <c r="G542" i="1"/>
  <c r="H541" i="1"/>
  <c r="I541" i="1"/>
  <c r="T545" i="1" l="1"/>
  <c r="S545" i="1"/>
  <c r="R545" i="1"/>
  <c r="Q545" i="1"/>
  <c r="L541" i="1"/>
  <c r="N541" i="1"/>
  <c r="K541" i="1"/>
  <c r="M541" i="1"/>
  <c r="C545" i="1"/>
  <c r="D545" i="1"/>
  <c r="A547" i="1"/>
  <c r="B546" i="1"/>
  <c r="J546" i="1"/>
  <c r="E546" i="1"/>
  <c r="O545" i="1"/>
  <c r="P545" i="1"/>
  <c r="I542" i="1"/>
  <c r="H542" i="1"/>
  <c r="G543" i="1"/>
  <c r="F544" i="1"/>
  <c r="T546" i="1" l="1"/>
  <c r="S546" i="1"/>
  <c r="R546" i="1"/>
  <c r="Q546" i="1"/>
  <c r="K542" i="1"/>
  <c r="M542" i="1"/>
  <c r="L542" i="1"/>
  <c r="N542" i="1"/>
  <c r="O546" i="1"/>
  <c r="P546" i="1"/>
  <c r="B547" i="1"/>
  <c r="A548" i="1"/>
  <c r="J547" i="1"/>
  <c r="E547" i="1"/>
  <c r="C546" i="1"/>
  <c r="D546" i="1"/>
  <c r="H543" i="1"/>
  <c r="I543" i="1"/>
  <c r="G544" i="1"/>
  <c r="F545" i="1"/>
  <c r="S547" i="1" l="1"/>
  <c r="T547" i="1"/>
  <c r="Q547" i="1"/>
  <c r="R547" i="1"/>
  <c r="K543" i="1"/>
  <c r="M543" i="1"/>
  <c r="L543" i="1"/>
  <c r="N543" i="1"/>
  <c r="E548" i="1"/>
  <c r="B548" i="1"/>
  <c r="A549" i="1"/>
  <c r="J548" i="1"/>
  <c r="C547" i="1"/>
  <c r="D547" i="1"/>
  <c r="P547" i="1"/>
  <c r="O547" i="1"/>
  <c r="I544" i="1"/>
  <c r="H544" i="1"/>
  <c r="G545" i="1"/>
  <c r="F546" i="1"/>
  <c r="T548" i="1" l="1"/>
  <c r="S548" i="1"/>
  <c r="Q548" i="1"/>
  <c r="R548" i="1"/>
  <c r="K544" i="1"/>
  <c r="M544" i="1"/>
  <c r="L544" i="1"/>
  <c r="N544" i="1"/>
  <c r="P548" i="1"/>
  <c r="O548" i="1"/>
  <c r="E549" i="1"/>
  <c r="A550" i="1"/>
  <c r="B549" i="1"/>
  <c r="J549" i="1"/>
  <c r="C548" i="1"/>
  <c r="D548" i="1"/>
  <c r="H545" i="1"/>
  <c r="I545" i="1"/>
  <c r="G546" i="1"/>
  <c r="F547" i="1"/>
  <c r="T549" i="1" l="1"/>
  <c r="S549" i="1"/>
  <c r="R549" i="1"/>
  <c r="Q549" i="1"/>
  <c r="K545" i="1"/>
  <c r="M545" i="1"/>
  <c r="L545" i="1"/>
  <c r="N545" i="1"/>
  <c r="E550" i="1"/>
  <c r="A551" i="1"/>
  <c r="B550" i="1"/>
  <c r="J550" i="1"/>
  <c r="O549" i="1"/>
  <c r="P549" i="1"/>
  <c r="D549" i="1"/>
  <c r="C549" i="1"/>
  <c r="G547" i="1"/>
  <c r="F548" i="1"/>
  <c r="I546" i="1"/>
  <c r="H546" i="1"/>
  <c r="T550" i="1" l="1"/>
  <c r="S550" i="1"/>
  <c r="R550" i="1"/>
  <c r="Q550" i="1"/>
  <c r="K546" i="1"/>
  <c r="M546" i="1"/>
  <c r="L546" i="1"/>
  <c r="N546" i="1"/>
  <c r="C550" i="1"/>
  <c r="D550" i="1"/>
  <c r="E551" i="1"/>
  <c r="A552" i="1"/>
  <c r="B551" i="1"/>
  <c r="J551" i="1"/>
  <c r="P550" i="1"/>
  <c r="O550" i="1"/>
  <c r="G548" i="1"/>
  <c r="F549" i="1"/>
  <c r="H547" i="1"/>
  <c r="I547" i="1"/>
  <c r="T551" i="1" l="1"/>
  <c r="S551" i="1"/>
  <c r="R551" i="1"/>
  <c r="Q551" i="1"/>
  <c r="L547" i="1"/>
  <c r="N547" i="1"/>
  <c r="K547" i="1"/>
  <c r="M547" i="1"/>
  <c r="C551" i="1"/>
  <c r="D551" i="1"/>
  <c r="P551" i="1"/>
  <c r="O551" i="1"/>
  <c r="J552" i="1"/>
  <c r="E552" i="1"/>
  <c r="A553" i="1"/>
  <c r="B552" i="1"/>
  <c r="G549" i="1"/>
  <c r="F550" i="1"/>
  <c r="H548" i="1"/>
  <c r="I548" i="1"/>
  <c r="T552" i="1" l="1"/>
  <c r="S552" i="1"/>
  <c r="R552" i="1"/>
  <c r="Q552" i="1"/>
  <c r="L548" i="1"/>
  <c r="N548" i="1"/>
  <c r="K548" i="1"/>
  <c r="M548" i="1"/>
  <c r="C552" i="1"/>
  <c r="D552" i="1"/>
  <c r="B553" i="1"/>
  <c r="E553" i="1"/>
  <c r="A554" i="1"/>
  <c r="J553" i="1"/>
  <c r="P552" i="1"/>
  <c r="O552" i="1"/>
  <c r="G550" i="1"/>
  <c r="F551" i="1"/>
  <c r="H549" i="1"/>
  <c r="I549" i="1"/>
  <c r="T553" i="1" l="1"/>
  <c r="S553" i="1"/>
  <c r="R553" i="1"/>
  <c r="Q553" i="1"/>
  <c r="L549" i="1"/>
  <c r="N549" i="1"/>
  <c r="K549" i="1"/>
  <c r="M549" i="1"/>
  <c r="O553" i="1"/>
  <c r="P553" i="1"/>
  <c r="C553" i="1"/>
  <c r="D553" i="1"/>
  <c r="J554" i="1"/>
  <c r="E554" i="1"/>
  <c r="A555" i="1"/>
  <c r="B554" i="1"/>
  <c r="G551" i="1"/>
  <c r="F552" i="1"/>
  <c r="I550" i="1"/>
  <c r="H550" i="1"/>
  <c r="T554" i="1" l="1"/>
  <c r="S554" i="1"/>
  <c r="R554" i="1"/>
  <c r="Q554" i="1"/>
  <c r="K550" i="1"/>
  <c r="M550" i="1"/>
  <c r="L550" i="1"/>
  <c r="N550" i="1"/>
  <c r="C554" i="1"/>
  <c r="D554" i="1"/>
  <c r="E555" i="1"/>
  <c r="A556" i="1"/>
  <c r="B555" i="1"/>
  <c r="J555" i="1"/>
  <c r="P554" i="1"/>
  <c r="O554" i="1"/>
  <c r="G552" i="1"/>
  <c r="F553" i="1"/>
  <c r="I551" i="1"/>
  <c r="H551" i="1"/>
  <c r="T555" i="1" l="1"/>
  <c r="S555" i="1"/>
  <c r="Q555" i="1"/>
  <c r="R555" i="1"/>
  <c r="K551" i="1"/>
  <c r="M551" i="1"/>
  <c r="L551" i="1"/>
  <c r="N551" i="1"/>
  <c r="P555" i="1"/>
  <c r="O555" i="1"/>
  <c r="E556" i="1"/>
  <c r="B556" i="1"/>
  <c r="A557" i="1"/>
  <c r="J556" i="1"/>
  <c r="C555" i="1"/>
  <c r="D555" i="1"/>
  <c r="G553" i="1"/>
  <c r="F554" i="1"/>
  <c r="H552" i="1"/>
  <c r="I552" i="1"/>
  <c r="T556" i="1" l="1"/>
  <c r="S556" i="1"/>
  <c r="R556" i="1"/>
  <c r="Q556" i="1"/>
  <c r="L552" i="1"/>
  <c r="N552" i="1"/>
  <c r="K552" i="1"/>
  <c r="M552" i="1"/>
  <c r="C556" i="1"/>
  <c r="D556" i="1"/>
  <c r="E557" i="1"/>
  <c r="B557" i="1"/>
  <c r="A558" i="1"/>
  <c r="J557" i="1"/>
  <c r="G554" i="1"/>
  <c r="F555" i="1"/>
  <c r="I553" i="1"/>
  <c r="H553" i="1"/>
  <c r="T557" i="1" l="1"/>
  <c r="S557" i="1"/>
  <c r="R557" i="1"/>
  <c r="Q557" i="1"/>
  <c r="K553" i="1"/>
  <c r="M553" i="1"/>
  <c r="L553" i="1"/>
  <c r="N553" i="1"/>
  <c r="E558" i="1"/>
  <c r="A559" i="1"/>
  <c r="B558" i="1"/>
  <c r="J558" i="1"/>
  <c r="C557" i="1"/>
  <c r="D557" i="1"/>
  <c r="G555" i="1"/>
  <c r="F556" i="1"/>
  <c r="I554" i="1"/>
  <c r="H554" i="1"/>
  <c r="T558" i="1" l="1"/>
  <c r="S558" i="1"/>
  <c r="R558" i="1"/>
  <c r="Q558" i="1"/>
  <c r="K554" i="1"/>
  <c r="M554" i="1"/>
  <c r="L554" i="1"/>
  <c r="N554" i="1"/>
  <c r="C558" i="1"/>
  <c r="D558" i="1"/>
  <c r="E559" i="1"/>
  <c r="A560" i="1"/>
  <c r="B559" i="1"/>
  <c r="J559" i="1"/>
  <c r="G556" i="1"/>
  <c r="F557" i="1"/>
  <c r="H555" i="1"/>
  <c r="I555" i="1"/>
  <c r="T559" i="1" l="1"/>
  <c r="S559" i="1"/>
  <c r="R559" i="1"/>
  <c r="Q559" i="1"/>
  <c r="L555" i="1"/>
  <c r="N555" i="1"/>
  <c r="K555" i="1"/>
  <c r="M555" i="1"/>
  <c r="J560" i="1"/>
  <c r="E560" i="1"/>
  <c r="A561" i="1"/>
  <c r="B560" i="1"/>
  <c r="C559" i="1"/>
  <c r="D559" i="1"/>
  <c r="G557" i="1"/>
  <c r="F558" i="1"/>
  <c r="H556" i="1"/>
  <c r="I556" i="1"/>
  <c r="N556" i="1" s="1"/>
  <c r="T560" i="1" l="1"/>
  <c r="S560" i="1"/>
  <c r="M556" i="1"/>
  <c r="R560" i="1"/>
  <c r="Q560" i="1"/>
  <c r="L556" i="1"/>
  <c r="P556" i="1"/>
  <c r="K556" i="1"/>
  <c r="O556" i="1"/>
  <c r="C560" i="1"/>
  <c r="D560" i="1"/>
  <c r="E561" i="1"/>
  <c r="J561" i="1"/>
  <c r="A562" i="1"/>
  <c r="B561" i="1"/>
  <c r="G558" i="1"/>
  <c r="F559" i="1"/>
  <c r="I557" i="1"/>
  <c r="N557" i="1" s="1"/>
  <c r="H557" i="1"/>
  <c r="T561" i="1" l="1"/>
  <c r="S561" i="1"/>
  <c r="M557" i="1"/>
  <c r="R561" i="1"/>
  <c r="Q561" i="1"/>
  <c r="K557" i="1"/>
  <c r="O557" i="1"/>
  <c r="L557" i="1"/>
  <c r="P557" i="1"/>
  <c r="C561" i="1"/>
  <c r="D561" i="1"/>
  <c r="O561" i="1"/>
  <c r="P561" i="1"/>
  <c r="E562" i="1"/>
  <c r="A563" i="1"/>
  <c r="J562" i="1"/>
  <c r="B562" i="1"/>
  <c r="G559" i="1"/>
  <c r="F560" i="1"/>
  <c r="H558" i="1"/>
  <c r="I558" i="1"/>
  <c r="N558" i="1" s="1"/>
  <c r="T562" i="1" l="1"/>
  <c r="S562" i="1"/>
  <c r="M558" i="1"/>
  <c r="R562" i="1"/>
  <c r="Q562" i="1"/>
  <c r="L558" i="1"/>
  <c r="P558" i="1"/>
  <c r="K558" i="1"/>
  <c r="O558" i="1"/>
  <c r="C562" i="1"/>
  <c r="D562" i="1"/>
  <c r="P562" i="1"/>
  <c r="O562" i="1"/>
  <c r="E563" i="1"/>
  <c r="A564" i="1"/>
  <c r="B563" i="1"/>
  <c r="J563" i="1"/>
  <c r="G560" i="1"/>
  <c r="F561" i="1"/>
  <c r="I559" i="1"/>
  <c r="N559" i="1" s="1"/>
  <c r="H559" i="1"/>
  <c r="T563" i="1" l="1"/>
  <c r="S563" i="1"/>
  <c r="M559" i="1"/>
  <c r="Q563" i="1"/>
  <c r="R563" i="1"/>
  <c r="K559" i="1"/>
  <c r="O559" i="1"/>
  <c r="L559" i="1"/>
  <c r="P559" i="1"/>
  <c r="P563" i="1"/>
  <c r="O563" i="1"/>
  <c r="D563" i="1"/>
  <c r="C563" i="1"/>
  <c r="E564" i="1"/>
  <c r="A565" i="1"/>
  <c r="J564" i="1"/>
  <c r="B564" i="1"/>
  <c r="G561" i="1"/>
  <c r="F562" i="1"/>
  <c r="H560" i="1"/>
  <c r="I560" i="1"/>
  <c r="N560" i="1" s="1"/>
  <c r="T564" i="1" l="1"/>
  <c r="S564" i="1"/>
  <c r="M560" i="1"/>
  <c r="Q564" i="1"/>
  <c r="R564" i="1"/>
  <c r="L560" i="1"/>
  <c r="P560" i="1"/>
  <c r="K560" i="1"/>
  <c r="O560" i="1"/>
  <c r="D564" i="1"/>
  <c r="C564" i="1"/>
  <c r="E565" i="1"/>
  <c r="B565" i="1"/>
  <c r="J565" i="1"/>
  <c r="A566" i="1"/>
  <c r="G562" i="1"/>
  <c r="F563" i="1"/>
  <c r="I561" i="1"/>
  <c r="H561" i="1"/>
  <c r="T565" i="1" l="1"/>
  <c r="S565" i="1"/>
  <c r="R565" i="1"/>
  <c r="Q565" i="1"/>
  <c r="K561" i="1"/>
  <c r="M561" i="1"/>
  <c r="L561" i="1"/>
  <c r="N561" i="1"/>
  <c r="E566" i="1"/>
  <c r="B566" i="1"/>
  <c r="A567" i="1"/>
  <c r="J566" i="1"/>
  <c r="C565" i="1"/>
  <c r="D565" i="1"/>
  <c r="G563" i="1"/>
  <c r="F564" i="1"/>
  <c r="H562" i="1"/>
  <c r="I562" i="1"/>
  <c r="T566" i="1" l="1"/>
  <c r="S566" i="1"/>
  <c r="R566" i="1"/>
  <c r="Q566" i="1"/>
  <c r="L562" i="1"/>
  <c r="N562" i="1"/>
  <c r="K562" i="1"/>
  <c r="M562" i="1"/>
  <c r="E567" i="1"/>
  <c r="J567" i="1"/>
  <c r="B567" i="1"/>
  <c r="A568" i="1"/>
  <c r="C566" i="1"/>
  <c r="D566" i="1"/>
  <c r="G564" i="1"/>
  <c r="F565" i="1"/>
  <c r="H563" i="1"/>
  <c r="I563" i="1"/>
  <c r="T567" i="1" l="1"/>
  <c r="S567" i="1"/>
  <c r="R567" i="1"/>
  <c r="Q567" i="1"/>
  <c r="L563" i="1"/>
  <c r="N563" i="1"/>
  <c r="K563" i="1"/>
  <c r="M563" i="1"/>
  <c r="E568" i="1"/>
  <c r="B568" i="1"/>
  <c r="J568" i="1"/>
  <c r="A569" i="1"/>
  <c r="C567" i="1"/>
  <c r="D567" i="1"/>
  <c r="G565" i="1"/>
  <c r="F566" i="1"/>
  <c r="I564" i="1"/>
  <c r="P564" i="1" s="1"/>
  <c r="H564" i="1"/>
  <c r="T568" i="1" l="1"/>
  <c r="S568" i="1"/>
  <c r="O564" i="1"/>
  <c r="R568" i="1"/>
  <c r="Q568" i="1"/>
  <c r="K564" i="1"/>
  <c r="M564" i="1"/>
  <c r="L564" i="1"/>
  <c r="N564" i="1"/>
  <c r="J569" i="1"/>
  <c r="E569" i="1"/>
  <c r="B569" i="1"/>
  <c r="A570" i="1"/>
  <c r="C568" i="1"/>
  <c r="D568" i="1"/>
  <c r="G566" i="1"/>
  <c r="F567" i="1"/>
  <c r="I565" i="1"/>
  <c r="P565" i="1" s="1"/>
  <c r="H565" i="1"/>
  <c r="T569" i="1" l="1"/>
  <c r="S569" i="1"/>
  <c r="O565" i="1"/>
  <c r="K565" i="1"/>
  <c r="M565" i="1"/>
  <c r="L565" i="1"/>
  <c r="N565" i="1"/>
  <c r="E570" i="1"/>
  <c r="B570" i="1"/>
  <c r="J570" i="1"/>
  <c r="A571" i="1"/>
  <c r="C569" i="1"/>
  <c r="D569" i="1"/>
  <c r="O569" i="1"/>
  <c r="P569" i="1"/>
  <c r="G567" i="1"/>
  <c r="F568" i="1"/>
  <c r="I566" i="1"/>
  <c r="P566" i="1" s="1"/>
  <c r="H566" i="1"/>
  <c r="T570" i="1" l="1"/>
  <c r="S570" i="1"/>
  <c r="O566" i="1"/>
  <c r="K566" i="1"/>
  <c r="M566" i="1"/>
  <c r="L566" i="1"/>
  <c r="N566" i="1"/>
  <c r="O570" i="1"/>
  <c r="P570" i="1"/>
  <c r="E571" i="1"/>
  <c r="B571" i="1"/>
  <c r="J571" i="1"/>
  <c r="A572" i="1"/>
  <c r="C570" i="1"/>
  <c r="D570" i="1"/>
  <c r="G568" i="1"/>
  <c r="F569" i="1"/>
  <c r="I567" i="1"/>
  <c r="P567" i="1" s="1"/>
  <c r="H567" i="1"/>
  <c r="O567" i="1" l="1"/>
  <c r="Q571" i="1"/>
  <c r="R571" i="1"/>
  <c r="K567" i="1"/>
  <c r="M567" i="1"/>
  <c r="L567" i="1"/>
  <c r="N567" i="1"/>
  <c r="C571" i="1"/>
  <c r="D571" i="1"/>
  <c r="E572" i="1"/>
  <c r="B572" i="1"/>
  <c r="A573" i="1"/>
  <c r="J572" i="1"/>
  <c r="P571" i="1"/>
  <c r="O571" i="1"/>
  <c r="G569" i="1"/>
  <c r="F570" i="1"/>
  <c r="H568" i="1"/>
  <c r="I568" i="1"/>
  <c r="P568" i="1" s="1"/>
  <c r="O568" i="1" l="1"/>
  <c r="Q572" i="1"/>
  <c r="R572" i="1"/>
  <c r="L568" i="1"/>
  <c r="N568" i="1"/>
  <c r="K568" i="1"/>
  <c r="M568" i="1"/>
  <c r="E573" i="1"/>
  <c r="B573" i="1"/>
  <c r="J573" i="1"/>
  <c r="A574" i="1"/>
  <c r="P572" i="1"/>
  <c r="O572" i="1"/>
  <c r="C572" i="1"/>
  <c r="D572" i="1"/>
  <c r="G570" i="1"/>
  <c r="F571" i="1"/>
  <c r="H569" i="1"/>
  <c r="I569" i="1"/>
  <c r="T573" i="1" l="1"/>
  <c r="S573" i="1"/>
  <c r="R569" i="1"/>
  <c r="Q569" i="1"/>
  <c r="R573" i="1"/>
  <c r="Q573" i="1"/>
  <c r="L569" i="1"/>
  <c r="N569" i="1"/>
  <c r="K569" i="1"/>
  <c r="M569" i="1"/>
  <c r="O573" i="1"/>
  <c r="P573" i="1"/>
  <c r="E574" i="1"/>
  <c r="B574" i="1"/>
  <c r="J574" i="1"/>
  <c r="A575" i="1"/>
  <c r="C573" i="1"/>
  <c r="D573" i="1"/>
  <c r="G571" i="1"/>
  <c r="F572" i="1"/>
  <c r="H570" i="1"/>
  <c r="I570" i="1"/>
  <c r="T574" i="1" l="1"/>
  <c r="S574" i="1"/>
  <c r="R570" i="1"/>
  <c r="Q570" i="1"/>
  <c r="R574" i="1"/>
  <c r="Q574" i="1"/>
  <c r="L570" i="1"/>
  <c r="N570" i="1"/>
  <c r="K570" i="1"/>
  <c r="M570" i="1"/>
  <c r="B575" i="1"/>
  <c r="A576" i="1"/>
  <c r="E575" i="1"/>
  <c r="J575" i="1"/>
  <c r="C574" i="1"/>
  <c r="D574" i="1"/>
  <c r="P574" i="1"/>
  <c r="O574" i="1"/>
  <c r="F573" i="1"/>
  <c r="G572" i="1"/>
  <c r="H571" i="1"/>
  <c r="S571" i="1" s="1"/>
  <c r="I571" i="1"/>
  <c r="T571" i="1" s="1"/>
  <c r="T575" i="1" l="1"/>
  <c r="S575" i="1"/>
  <c r="R575" i="1"/>
  <c r="Q575" i="1"/>
  <c r="L571" i="1"/>
  <c r="N571" i="1"/>
  <c r="K571" i="1"/>
  <c r="M571" i="1"/>
  <c r="P575" i="1"/>
  <c r="O575" i="1"/>
  <c r="A577" i="1"/>
  <c r="J576" i="1"/>
  <c r="E576" i="1"/>
  <c r="B576" i="1"/>
  <c r="C575" i="1"/>
  <c r="D575" i="1"/>
  <c r="I572" i="1"/>
  <c r="T572" i="1" s="1"/>
  <c r="H572" i="1"/>
  <c r="S572" i="1" s="1"/>
  <c r="G573" i="1"/>
  <c r="F574" i="1"/>
  <c r="T576" i="1" l="1"/>
  <c r="S576" i="1"/>
  <c r="R576" i="1"/>
  <c r="Q576" i="1"/>
  <c r="L572" i="1"/>
  <c r="N572" i="1"/>
  <c r="K572" i="1"/>
  <c r="M572" i="1"/>
  <c r="O576" i="1"/>
  <c r="P576" i="1"/>
  <c r="E577" i="1"/>
  <c r="B577" i="1"/>
  <c r="J577" i="1"/>
  <c r="A578" i="1"/>
  <c r="C576" i="1"/>
  <c r="D576" i="1"/>
  <c r="I573" i="1"/>
  <c r="H573" i="1"/>
  <c r="F575" i="1"/>
  <c r="G574" i="1"/>
  <c r="T577" i="1" l="1"/>
  <c r="S577" i="1"/>
  <c r="R577" i="1"/>
  <c r="Q577" i="1"/>
  <c r="K573" i="1"/>
  <c r="M573" i="1"/>
  <c r="L573" i="1"/>
  <c r="N573" i="1"/>
  <c r="C577" i="1"/>
  <c r="D577" i="1"/>
  <c r="J578" i="1"/>
  <c r="E578" i="1"/>
  <c r="B578" i="1"/>
  <c r="A579" i="1"/>
  <c r="O577" i="1"/>
  <c r="P577" i="1"/>
  <c r="G575" i="1"/>
  <c r="F576" i="1"/>
  <c r="I574" i="1"/>
  <c r="H574" i="1"/>
  <c r="T578" i="1" l="1"/>
  <c r="S578" i="1"/>
  <c r="R578" i="1"/>
  <c r="Q578" i="1"/>
  <c r="L574" i="1"/>
  <c r="N574" i="1"/>
  <c r="K574" i="1"/>
  <c r="M574" i="1"/>
  <c r="P578" i="1"/>
  <c r="O578" i="1"/>
  <c r="E579" i="1"/>
  <c r="A580" i="1"/>
  <c r="B579" i="1"/>
  <c r="J579" i="1"/>
  <c r="C578" i="1"/>
  <c r="D578" i="1"/>
  <c r="G576" i="1"/>
  <c r="F577" i="1"/>
  <c r="I575" i="1"/>
  <c r="H575" i="1"/>
  <c r="S579" i="1" l="1"/>
  <c r="T579" i="1"/>
  <c r="Q579" i="1"/>
  <c r="R579" i="1"/>
  <c r="N575" i="1"/>
  <c r="L575" i="1"/>
  <c r="M575" i="1"/>
  <c r="K575" i="1"/>
  <c r="E580" i="1"/>
  <c r="B580" i="1"/>
  <c r="J580" i="1"/>
  <c r="A581" i="1"/>
  <c r="P579" i="1"/>
  <c r="O579" i="1"/>
  <c r="D579" i="1"/>
  <c r="C579" i="1"/>
  <c r="G577" i="1"/>
  <c r="F578" i="1"/>
  <c r="H576" i="1"/>
  <c r="I576" i="1"/>
  <c r="T580" i="1" l="1"/>
  <c r="S580" i="1"/>
  <c r="R580" i="1"/>
  <c r="Q580" i="1"/>
  <c r="N576" i="1"/>
  <c r="L576" i="1"/>
  <c r="M576" i="1"/>
  <c r="K576" i="1"/>
  <c r="P580" i="1"/>
  <c r="O580" i="1"/>
  <c r="A582" i="1"/>
  <c r="B581" i="1"/>
  <c r="E581" i="1"/>
  <c r="J581" i="1"/>
  <c r="C580" i="1"/>
  <c r="D580" i="1"/>
  <c r="G578" i="1"/>
  <c r="F579" i="1"/>
  <c r="H577" i="1"/>
  <c r="I577" i="1"/>
  <c r="T581" i="1" l="1"/>
  <c r="S581" i="1"/>
  <c r="R581" i="1"/>
  <c r="Q581" i="1"/>
  <c r="N577" i="1"/>
  <c r="L577" i="1"/>
  <c r="M577" i="1"/>
  <c r="K577" i="1"/>
  <c r="C581" i="1"/>
  <c r="D581" i="1"/>
  <c r="A583" i="1"/>
  <c r="E582" i="1"/>
  <c r="B582" i="1"/>
  <c r="J582" i="1"/>
  <c r="O581" i="1"/>
  <c r="P581" i="1"/>
  <c r="G579" i="1"/>
  <c r="F580" i="1"/>
  <c r="I578" i="1"/>
  <c r="H578" i="1"/>
  <c r="T582" i="1" l="1"/>
  <c r="S582" i="1"/>
  <c r="R582" i="1"/>
  <c r="Q582" i="1"/>
  <c r="M578" i="1"/>
  <c r="K578" i="1"/>
  <c r="N578" i="1"/>
  <c r="L578" i="1"/>
  <c r="C582" i="1"/>
  <c r="D582" i="1"/>
  <c r="A584" i="1"/>
  <c r="J583" i="1"/>
  <c r="E583" i="1"/>
  <c r="B583" i="1"/>
  <c r="O582" i="1"/>
  <c r="P582" i="1"/>
  <c r="G580" i="1"/>
  <c r="F581" i="1"/>
  <c r="H579" i="1"/>
  <c r="I579" i="1"/>
  <c r="T583" i="1" l="1"/>
  <c r="S583" i="1"/>
  <c r="R583" i="1"/>
  <c r="Q583" i="1"/>
  <c r="N579" i="1"/>
  <c r="L579" i="1"/>
  <c r="M579" i="1"/>
  <c r="K579" i="1"/>
  <c r="P583" i="1"/>
  <c r="O583" i="1"/>
  <c r="C583" i="1"/>
  <c r="D583" i="1"/>
  <c r="B584" i="1"/>
  <c r="J584" i="1"/>
  <c r="E584" i="1"/>
  <c r="A585" i="1"/>
  <c r="G581" i="1"/>
  <c r="F582" i="1"/>
  <c r="I580" i="1"/>
  <c r="H580" i="1"/>
  <c r="T584" i="1" l="1"/>
  <c r="S584" i="1"/>
  <c r="R584" i="1"/>
  <c r="Q584" i="1"/>
  <c r="M580" i="1"/>
  <c r="K580" i="1"/>
  <c r="N580" i="1"/>
  <c r="L580" i="1"/>
  <c r="J585" i="1"/>
  <c r="A586" i="1"/>
  <c r="E585" i="1"/>
  <c r="B585" i="1"/>
  <c r="P584" i="1"/>
  <c r="O584" i="1"/>
  <c r="D584" i="1"/>
  <c r="C584" i="1"/>
  <c r="G582" i="1"/>
  <c r="F583" i="1"/>
  <c r="H581" i="1"/>
  <c r="I581" i="1"/>
  <c r="T585" i="1" l="1"/>
  <c r="S585" i="1"/>
  <c r="R585" i="1"/>
  <c r="Q585" i="1"/>
  <c r="N581" i="1"/>
  <c r="L581" i="1"/>
  <c r="M581" i="1"/>
  <c r="K581" i="1"/>
  <c r="A587" i="1"/>
  <c r="J586" i="1"/>
  <c r="E586" i="1"/>
  <c r="B586" i="1"/>
  <c r="C585" i="1"/>
  <c r="D585" i="1"/>
  <c r="O585" i="1"/>
  <c r="P585" i="1"/>
  <c r="G583" i="1"/>
  <c r="F584" i="1"/>
  <c r="H582" i="1"/>
  <c r="I582" i="1"/>
  <c r="T586" i="1" l="1"/>
  <c r="S586" i="1"/>
  <c r="R586" i="1"/>
  <c r="Q586" i="1"/>
  <c r="N582" i="1"/>
  <c r="L582" i="1"/>
  <c r="M582" i="1"/>
  <c r="K582" i="1"/>
  <c r="C586" i="1"/>
  <c r="D586" i="1"/>
  <c r="P586" i="1"/>
  <c r="O586" i="1"/>
  <c r="B587" i="1"/>
  <c r="J587" i="1"/>
  <c r="A588" i="1"/>
  <c r="E587" i="1"/>
  <c r="G584" i="1"/>
  <c r="F585" i="1"/>
  <c r="I583" i="1"/>
  <c r="H583" i="1"/>
  <c r="T587" i="1" l="1"/>
  <c r="S587" i="1"/>
  <c r="R587" i="1"/>
  <c r="Q587" i="1"/>
  <c r="M583" i="1"/>
  <c r="K583" i="1"/>
  <c r="N583" i="1"/>
  <c r="L583" i="1"/>
  <c r="A589" i="1"/>
  <c r="B588" i="1"/>
  <c r="J588" i="1"/>
  <c r="E588" i="1"/>
  <c r="P587" i="1"/>
  <c r="O587" i="1"/>
  <c r="C587" i="1"/>
  <c r="D587" i="1"/>
  <c r="G585" i="1"/>
  <c r="F586" i="1"/>
  <c r="I584" i="1"/>
  <c r="H584" i="1"/>
  <c r="T588" i="1" l="1"/>
  <c r="S588" i="1"/>
  <c r="R588" i="1"/>
  <c r="Q588" i="1"/>
  <c r="M584" i="1"/>
  <c r="K584" i="1"/>
  <c r="N584" i="1"/>
  <c r="L584" i="1"/>
  <c r="C588" i="1"/>
  <c r="D588" i="1"/>
  <c r="P588" i="1"/>
  <c r="O588" i="1"/>
  <c r="J589" i="1"/>
  <c r="E589" i="1"/>
  <c r="B589" i="1"/>
  <c r="A590" i="1"/>
  <c r="G586" i="1"/>
  <c r="F587" i="1"/>
  <c r="H585" i="1"/>
  <c r="I585" i="1"/>
  <c r="T589" i="1" l="1"/>
  <c r="S589" i="1"/>
  <c r="R589" i="1"/>
  <c r="Q589" i="1"/>
  <c r="N585" i="1"/>
  <c r="L585" i="1"/>
  <c r="M585" i="1"/>
  <c r="K585" i="1"/>
  <c r="C589" i="1"/>
  <c r="D589" i="1"/>
  <c r="J590" i="1"/>
  <c r="E590" i="1"/>
  <c r="A591" i="1"/>
  <c r="B590" i="1"/>
  <c r="O589" i="1"/>
  <c r="P589" i="1"/>
  <c r="G587" i="1"/>
  <c r="F588" i="1"/>
  <c r="H586" i="1"/>
  <c r="I586" i="1"/>
  <c r="T590" i="1" l="1"/>
  <c r="S590" i="1"/>
  <c r="R590" i="1"/>
  <c r="Q590" i="1"/>
  <c r="N586" i="1"/>
  <c r="L586" i="1"/>
  <c r="M586" i="1"/>
  <c r="K586" i="1"/>
  <c r="P590" i="1"/>
  <c r="O590" i="1"/>
  <c r="C590" i="1"/>
  <c r="D590" i="1"/>
  <c r="A592" i="1"/>
  <c r="B591" i="1"/>
  <c r="J591" i="1"/>
  <c r="E591" i="1"/>
  <c r="G588" i="1"/>
  <c r="F589" i="1"/>
  <c r="I587" i="1"/>
  <c r="H587" i="1"/>
  <c r="T591" i="1" l="1"/>
  <c r="S591" i="1"/>
  <c r="R591" i="1"/>
  <c r="Q591" i="1"/>
  <c r="M587" i="1"/>
  <c r="K587" i="1"/>
  <c r="N587" i="1"/>
  <c r="L587" i="1"/>
  <c r="P591" i="1"/>
  <c r="O591" i="1"/>
  <c r="D591" i="1"/>
  <c r="C591" i="1"/>
  <c r="J592" i="1"/>
  <c r="A593" i="1"/>
  <c r="E592" i="1"/>
  <c r="B592" i="1"/>
  <c r="G589" i="1"/>
  <c r="F590" i="1"/>
  <c r="I588" i="1"/>
  <c r="H588" i="1"/>
  <c r="T592" i="1" l="1"/>
  <c r="S592" i="1"/>
  <c r="R592" i="1"/>
  <c r="Q592" i="1"/>
  <c r="M588" i="1"/>
  <c r="K588" i="1"/>
  <c r="N588" i="1"/>
  <c r="L588" i="1"/>
  <c r="E593" i="1"/>
  <c r="A594" i="1"/>
  <c r="B593" i="1"/>
  <c r="J593" i="1"/>
  <c r="C592" i="1"/>
  <c r="D592" i="1"/>
  <c r="P592" i="1"/>
  <c r="O592" i="1"/>
  <c r="G590" i="1"/>
  <c r="F591" i="1"/>
  <c r="I589" i="1"/>
  <c r="H589" i="1"/>
  <c r="T593" i="1" l="1"/>
  <c r="S593" i="1"/>
  <c r="R593" i="1"/>
  <c r="Q593" i="1"/>
  <c r="M589" i="1"/>
  <c r="K589" i="1"/>
  <c r="N589" i="1"/>
  <c r="L589" i="1"/>
  <c r="C593" i="1"/>
  <c r="D593" i="1"/>
  <c r="O593" i="1"/>
  <c r="P593" i="1"/>
  <c r="J594" i="1"/>
  <c r="E594" i="1"/>
  <c r="B594" i="1"/>
  <c r="A595" i="1"/>
  <c r="G591" i="1"/>
  <c r="F592" i="1"/>
  <c r="I590" i="1"/>
  <c r="H590" i="1"/>
  <c r="T594" i="1" l="1"/>
  <c r="S594" i="1"/>
  <c r="R594" i="1"/>
  <c r="Q594" i="1"/>
  <c r="M590" i="1"/>
  <c r="K590" i="1"/>
  <c r="N590" i="1"/>
  <c r="L590" i="1"/>
  <c r="J595" i="1"/>
  <c r="E595" i="1"/>
  <c r="A596" i="1"/>
  <c r="B595" i="1"/>
  <c r="C594" i="1"/>
  <c r="D594" i="1"/>
  <c r="O594" i="1"/>
  <c r="P594" i="1"/>
  <c r="G592" i="1"/>
  <c r="F593" i="1"/>
  <c r="H591" i="1"/>
  <c r="I591" i="1"/>
  <c r="T595" i="1" l="1"/>
  <c r="S595" i="1"/>
  <c r="R595" i="1"/>
  <c r="Q595" i="1"/>
  <c r="N591" i="1"/>
  <c r="L591" i="1"/>
  <c r="M591" i="1"/>
  <c r="K591" i="1"/>
  <c r="A597" i="1"/>
  <c r="B596" i="1"/>
  <c r="J596" i="1"/>
  <c r="E596" i="1"/>
  <c r="C595" i="1"/>
  <c r="D595" i="1"/>
  <c r="P595" i="1"/>
  <c r="O595" i="1"/>
  <c r="G593" i="1"/>
  <c r="F594" i="1"/>
  <c r="H592" i="1"/>
  <c r="I592" i="1"/>
  <c r="T596" i="1" l="1"/>
  <c r="S596" i="1"/>
  <c r="R596" i="1"/>
  <c r="Q596" i="1"/>
  <c r="N592" i="1"/>
  <c r="L592" i="1"/>
  <c r="M592" i="1"/>
  <c r="K592" i="1"/>
  <c r="C596" i="1"/>
  <c r="D596" i="1"/>
  <c r="P596" i="1"/>
  <c r="O596" i="1"/>
  <c r="B597" i="1"/>
  <c r="J597" i="1"/>
  <c r="A598" i="1"/>
  <c r="E597" i="1"/>
  <c r="G594" i="1"/>
  <c r="F595" i="1"/>
  <c r="H593" i="1"/>
  <c r="I593" i="1"/>
  <c r="T597" i="1" l="1"/>
  <c r="S597" i="1"/>
  <c r="R597" i="1"/>
  <c r="Q597" i="1"/>
  <c r="N593" i="1"/>
  <c r="L593" i="1"/>
  <c r="M593" i="1"/>
  <c r="K593" i="1"/>
  <c r="J598" i="1"/>
  <c r="B598" i="1"/>
  <c r="E598" i="1"/>
  <c r="A599" i="1"/>
  <c r="P597" i="1"/>
  <c r="O597" i="1"/>
  <c r="C597" i="1"/>
  <c r="D597" i="1"/>
  <c r="G595" i="1"/>
  <c r="F596" i="1"/>
  <c r="I594" i="1"/>
  <c r="H594" i="1"/>
  <c r="T598" i="1" l="1"/>
  <c r="S598" i="1"/>
  <c r="R598" i="1"/>
  <c r="Q598" i="1"/>
  <c r="M594" i="1"/>
  <c r="K594" i="1"/>
  <c r="N594" i="1"/>
  <c r="L594" i="1"/>
  <c r="J599" i="1"/>
  <c r="E599" i="1"/>
  <c r="A600" i="1"/>
  <c r="B599" i="1"/>
  <c r="C598" i="1"/>
  <c r="D598" i="1"/>
  <c r="O598" i="1"/>
  <c r="P598" i="1"/>
  <c r="G596" i="1"/>
  <c r="F597" i="1"/>
  <c r="H595" i="1"/>
  <c r="I595" i="1"/>
  <c r="T599" i="1" l="1"/>
  <c r="S599" i="1"/>
  <c r="R599" i="1"/>
  <c r="Q599" i="1"/>
  <c r="N595" i="1"/>
  <c r="L595" i="1"/>
  <c r="M595" i="1"/>
  <c r="K595" i="1"/>
  <c r="J600" i="1"/>
  <c r="A601" i="1"/>
  <c r="E600" i="1"/>
  <c r="B600" i="1"/>
  <c r="C599" i="1"/>
  <c r="D599" i="1"/>
  <c r="P599" i="1"/>
  <c r="O599" i="1"/>
  <c r="G597" i="1"/>
  <c r="F598" i="1"/>
  <c r="I596" i="1"/>
  <c r="H596" i="1"/>
  <c r="T600" i="1" l="1"/>
  <c r="S600" i="1"/>
  <c r="R600" i="1"/>
  <c r="Q600" i="1"/>
  <c r="M596" i="1"/>
  <c r="K596" i="1"/>
  <c r="N596" i="1"/>
  <c r="L596" i="1"/>
  <c r="J601" i="1"/>
  <c r="E601" i="1"/>
  <c r="A602" i="1"/>
  <c r="B601" i="1"/>
  <c r="C600" i="1"/>
  <c r="D600" i="1"/>
  <c r="P600" i="1"/>
  <c r="O600" i="1"/>
  <c r="G598" i="1"/>
  <c r="F599" i="1"/>
  <c r="I597" i="1"/>
  <c r="H597" i="1"/>
  <c r="T601" i="1" l="1"/>
  <c r="S601" i="1"/>
  <c r="R601" i="1"/>
  <c r="Q601" i="1"/>
  <c r="M597" i="1"/>
  <c r="K597" i="1"/>
  <c r="N597" i="1"/>
  <c r="L597" i="1"/>
  <c r="J602" i="1"/>
  <c r="E602" i="1"/>
  <c r="A603" i="1"/>
  <c r="B602" i="1"/>
  <c r="C601" i="1"/>
  <c r="D601" i="1"/>
  <c r="P601" i="1"/>
  <c r="O601" i="1"/>
  <c r="G599" i="1"/>
  <c r="F600" i="1"/>
  <c r="I598" i="1"/>
  <c r="H598" i="1"/>
  <c r="T602" i="1" l="1"/>
  <c r="S602" i="1"/>
  <c r="R602" i="1"/>
  <c r="Q602" i="1"/>
  <c r="M598" i="1"/>
  <c r="K598" i="1"/>
  <c r="N598" i="1"/>
  <c r="L598" i="1"/>
  <c r="J603" i="1"/>
  <c r="E603" i="1"/>
  <c r="B603" i="1"/>
  <c r="A604" i="1"/>
  <c r="C602" i="1"/>
  <c r="D602" i="1"/>
  <c r="P602" i="1"/>
  <c r="O602" i="1"/>
  <c r="G600" i="1"/>
  <c r="F601" i="1"/>
  <c r="H599" i="1"/>
  <c r="I599" i="1"/>
  <c r="T603" i="1" l="1"/>
  <c r="S603" i="1"/>
  <c r="R603" i="1"/>
  <c r="Q603" i="1"/>
  <c r="N599" i="1"/>
  <c r="L599" i="1"/>
  <c r="M599" i="1"/>
  <c r="K599" i="1"/>
  <c r="J604" i="1"/>
  <c r="E604" i="1"/>
  <c r="B604" i="1"/>
  <c r="A605" i="1"/>
  <c r="C603" i="1"/>
  <c r="D603" i="1"/>
  <c r="P603" i="1"/>
  <c r="O603" i="1"/>
  <c r="G601" i="1"/>
  <c r="F602" i="1"/>
  <c r="H600" i="1"/>
  <c r="I600" i="1"/>
  <c r="T604" i="1" l="1"/>
  <c r="S604" i="1"/>
  <c r="R604" i="1"/>
  <c r="Q604" i="1"/>
  <c r="N600" i="1"/>
  <c r="L600" i="1"/>
  <c r="M600" i="1"/>
  <c r="K600" i="1"/>
  <c r="C604" i="1"/>
  <c r="D604" i="1"/>
  <c r="E605" i="1"/>
  <c r="A606" i="1"/>
  <c r="B605" i="1"/>
  <c r="J605" i="1"/>
  <c r="P604" i="1"/>
  <c r="O604" i="1"/>
  <c r="G602" i="1"/>
  <c r="F603" i="1"/>
  <c r="I601" i="1"/>
  <c r="H601" i="1"/>
  <c r="T605" i="1" l="1"/>
  <c r="S605" i="1"/>
  <c r="R605" i="1"/>
  <c r="Q605" i="1"/>
  <c r="M601" i="1"/>
  <c r="K601" i="1"/>
  <c r="N601" i="1"/>
  <c r="L601" i="1"/>
  <c r="C605" i="1"/>
  <c r="D605" i="1"/>
  <c r="B606" i="1"/>
  <c r="J606" i="1"/>
  <c r="E606" i="1"/>
  <c r="A607" i="1"/>
  <c r="O605" i="1"/>
  <c r="P605" i="1"/>
  <c r="G603" i="1"/>
  <c r="F604" i="1"/>
  <c r="H602" i="1"/>
  <c r="I602" i="1"/>
  <c r="T606" i="1" l="1"/>
  <c r="S606" i="1"/>
  <c r="R606" i="1"/>
  <c r="Q606" i="1"/>
  <c r="N602" i="1"/>
  <c r="L602" i="1"/>
  <c r="M602" i="1"/>
  <c r="K602" i="1"/>
  <c r="J607" i="1"/>
  <c r="E607" i="1"/>
  <c r="A608" i="1"/>
  <c r="B607" i="1"/>
  <c r="D606" i="1"/>
  <c r="C606" i="1"/>
  <c r="P606" i="1"/>
  <c r="O606" i="1"/>
  <c r="G604" i="1"/>
  <c r="F605" i="1"/>
  <c r="I603" i="1"/>
  <c r="H603" i="1"/>
  <c r="T607" i="1" l="1"/>
  <c r="S607" i="1"/>
  <c r="R607" i="1"/>
  <c r="Q607" i="1"/>
  <c r="M603" i="1"/>
  <c r="K603" i="1"/>
  <c r="N603" i="1"/>
  <c r="L603" i="1"/>
  <c r="C607" i="1"/>
  <c r="D607" i="1"/>
  <c r="E608" i="1"/>
  <c r="A609" i="1"/>
  <c r="B608" i="1"/>
  <c r="J608" i="1"/>
  <c r="O607" i="1"/>
  <c r="P607" i="1"/>
  <c r="G605" i="1"/>
  <c r="F606" i="1"/>
  <c r="I604" i="1"/>
  <c r="H604" i="1"/>
  <c r="T608" i="1" l="1"/>
  <c r="S608" i="1"/>
  <c r="R608" i="1"/>
  <c r="Q608" i="1"/>
  <c r="M604" i="1"/>
  <c r="K604" i="1"/>
  <c r="N604" i="1"/>
  <c r="L604" i="1"/>
  <c r="P608" i="1"/>
  <c r="O608" i="1"/>
  <c r="C608" i="1"/>
  <c r="D608" i="1"/>
  <c r="J609" i="1"/>
  <c r="A610" i="1"/>
  <c r="E609" i="1"/>
  <c r="B609" i="1"/>
  <c r="G606" i="1"/>
  <c r="F607" i="1"/>
  <c r="H605" i="1"/>
  <c r="I605" i="1"/>
  <c r="T609" i="1" l="1"/>
  <c r="S609" i="1"/>
  <c r="R609" i="1"/>
  <c r="Q609" i="1"/>
  <c r="N605" i="1"/>
  <c r="L605" i="1"/>
  <c r="M605" i="1"/>
  <c r="K605" i="1"/>
  <c r="J610" i="1"/>
  <c r="A611" i="1"/>
  <c r="E610" i="1"/>
  <c r="B610" i="1"/>
  <c r="C609" i="1"/>
  <c r="D609" i="1"/>
  <c r="P609" i="1"/>
  <c r="O609" i="1"/>
  <c r="G607" i="1"/>
  <c r="F608" i="1"/>
  <c r="I606" i="1"/>
  <c r="H606" i="1"/>
  <c r="T610" i="1" l="1"/>
  <c r="S610" i="1"/>
  <c r="R610" i="1"/>
  <c r="Q610" i="1"/>
  <c r="M606" i="1"/>
  <c r="K606" i="1"/>
  <c r="N606" i="1"/>
  <c r="L606" i="1"/>
  <c r="J611" i="1"/>
  <c r="E611" i="1"/>
  <c r="A612" i="1"/>
  <c r="B611" i="1"/>
  <c r="C610" i="1"/>
  <c r="D610" i="1"/>
  <c r="O610" i="1"/>
  <c r="P610" i="1"/>
  <c r="G608" i="1"/>
  <c r="F609" i="1"/>
  <c r="H607" i="1"/>
  <c r="I607" i="1"/>
  <c r="S611" i="1" l="1"/>
  <c r="T611" i="1"/>
  <c r="R611" i="1"/>
  <c r="Q611" i="1"/>
  <c r="N607" i="1"/>
  <c r="L607" i="1"/>
  <c r="M607" i="1"/>
  <c r="K607" i="1"/>
  <c r="C611" i="1"/>
  <c r="D611" i="1"/>
  <c r="B612" i="1"/>
  <c r="J612" i="1"/>
  <c r="E612" i="1"/>
  <c r="A613" i="1"/>
  <c r="P611" i="1"/>
  <c r="O611" i="1"/>
  <c r="G609" i="1"/>
  <c r="F610" i="1"/>
  <c r="H608" i="1"/>
  <c r="I608" i="1"/>
  <c r="T612" i="1" l="1"/>
  <c r="S612" i="1"/>
  <c r="R612" i="1"/>
  <c r="Q612" i="1"/>
  <c r="N608" i="1"/>
  <c r="L608" i="1"/>
  <c r="M608" i="1"/>
  <c r="K608" i="1"/>
  <c r="J613" i="1"/>
  <c r="E613" i="1"/>
  <c r="B613" i="1"/>
  <c r="A614" i="1"/>
  <c r="C612" i="1"/>
  <c r="D612" i="1"/>
  <c r="P612" i="1"/>
  <c r="O612" i="1"/>
  <c r="G610" i="1"/>
  <c r="F611" i="1"/>
  <c r="I609" i="1"/>
  <c r="H609" i="1"/>
  <c r="T613" i="1" l="1"/>
  <c r="S613" i="1"/>
  <c r="R613" i="1"/>
  <c r="Q613" i="1"/>
  <c r="M609" i="1"/>
  <c r="K609" i="1"/>
  <c r="N609" i="1"/>
  <c r="L609" i="1"/>
  <c r="J614" i="1"/>
  <c r="B614" i="1"/>
  <c r="E614" i="1"/>
  <c r="A615" i="1"/>
  <c r="D613" i="1"/>
  <c r="C613" i="1"/>
  <c r="P613" i="1"/>
  <c r="O613" i="1"/>
  <c r="G611" i="1"/>
  <c r="F612" i="1"/>
  <c r="I610" i="1"/>
  <c r="H610" i="1"/>
  <c r="T614" i="1" l="1"/>
  <c r="S614" i="1"/>
  <c r="R614" i="1"/>
  <c r="Q614" i="1"/>
  <c r="M610" i="1"/>
  <c r="K610" i="1"/>
  <c r="N610" i="1"/>
  <c r="L610" i="1"/>
  <c r="B615" i="1"/>
  <c r="A616" i="1"/>
  <c r="J615" i="1"/>
  <c r="E615" i="1"/>
  <c r="C614" i="1"/>
  <c r="D614" i="1"/>
  <c r="O614" i="1"/>
  <c r="P614" i="1"/>
  <c r="G612" i="1"/>
  <c r="F613" i="1"/>
  <c r="I611" i="1"/>
  <c r="H611" i="1"/>
  <c r="T615" i="1" l="1"/>
  <c r="S615" i="1"/>
  <c r="R615" i="1"/>
  <c r="Q615" i="1"/>
  <c r="M611" i="1"/>
  <c r="K611" i="1"/>
  <c r="N611" i="1"/>
  <c r="L611" i="1"/>
  <c r="B616" i="1"/>
  <c r="J616" i="1"/>
  <c r="A617" i="1"/>
  <c r="E616" i="1"/>
  <c r="P615" i="1"/>
  <c r="O615" i="1"/>
  <c r="C615" i="1"/>
  <c r="D615" i="1"/>
  <c r="G613" i="1"/>
  <c r="F614" i="1"/>
  <c r="I612" i="1"/>
  <c r="H612" i="1"/>
  <c r="T616" i="1" l="1"/>
  <c r="S616" i="1"/>
  <c r="R616" i="1"/>
  <c r="Q616" i="1"/>
  <c r="M612" i="1"/>
  <c r="K612" i="1"/>
  <c r="N612" i="1"/>
  <c r="L612" i="1"/>
  <c r="B617" i="1"/>
  <c r="E617" i="1"/>
  <c r="J617" i="1"/>
  <c r="A618" i="1"/>
  <c r="P616" i="1"/>
  <c r="O616" i="1"/>
  <c r="C616" i="1"/>
  <c r="D616" i="1"/>
  <c r="G614" i="1"/>
  <c r="F615" i="1"/>
  <c r="H613" i="1"/>
  <c r="I613" i="1"/>
  <c r="T617" i="1" l="1"/>
  <c r="S617" i="1"/>
  <c r="R617" i="1"/>
  <c r="Q617" i="1"/>
  <c r="L613" i="1"/>
  <c r="N613" i="1"/>
  <c r="K613" i="1"/>
  <c r="M613" i="1"/>
  <c r="J618" i="1"/>
  <c r="A619" i="1"/>
  <c r="B618" i="1"/>
  <c r="E618" i="1"/>
  <c r="O617" i="1"/>
  <c r="P617" i="1"/>
  <c r="C617" i="1"/>
  <c r="D617" i="1"/>
  <c r="G615" i="1"/>
  <c r="F616" i="1"/>
  <c r="H614" i="1"/>
  <c r="I614" i="1"/>
  <c r="T618" i="1" l="1"/>
  <c r="S618" i="1"/>
  <c r="R618" i="1"/>
  <c r="Q618" i="1"/>
  <c r="L614" i="1"/>
  <c r="N614" i="1"/>
  <c r="K614" i="1"/>
  <c r="M614" i="1"/>
  <c r="C618" i="1"/>
  <c r="D618" i="1"/>
  <c r="J619" i="1"/>
  <c r="E619" i="1"/>
  <c r="A620" i="1"/>
  <c r="B619" i="1"/>
  <c r="P618" i="1"/>
  <c r="O618" i="1"/>
  <c r="G616" i="1"/>
  <c r="F617" i="1"/>
  <c r="H615" i="1"/>
  <c r="I615" i="1"/>
  <c r="S619" i="1" l="1"/>
  <c r="T619" i="1"/>
  <c r="R619" i="1"/>
  <c r="Q619" i="1"/>
  <c r="L615" i="1"/>
  <c r="N615" i="1"/>
  <c r="K615" i="1"/>
  <c r="M615" i="1"/>
  <c r="O619" i="1"/>
  <c r="P619" i="1"/>
  <c r="D619" i="1"/>
  <c r="C619" i="1"/>
  <c r="B620" i="1"/>
  <c r="J620" i="1"/>
  <c r="E620" i="1"/>
  <c r="A621" i="1"/>
  <c r="G617" i="1"/>
  <c r="F618" i="1"/>
  <c r="I616" i="1"/>
  <c r="H616" i="1"/>
  <c r="T620" i="1" l="1"/>
  <c r="S620" i="1"/>
  <c r="R620" i="1"/>
  <c r="Q620" i="1"/>
  <c r="K616" i="1"/>
  <c r="M616" i="1"/>
  <c r="L616" i="1"/>
  <c r="N616" i="1"/>
  <c r="J621" i="1"/>
  <c r="B621" i="1"/>
  <c r="E621" i="1"/>
  <c r="A622" i="1"/>
  <c r="P620" i="1"/>
  <c r="O620" i="1"/>
  <c r="D620" i="1"/>
  <c r="C620" i="1"/>
  <c r="G618" i="1"/>
  <c r="F619" i="1"/>
  <c r="H617" i="1"/>
  <c r="I617" i="1"/>
  <c r="T621" i="1" l="1"/>
  <c r="S621" i="1"/>
  <c r="R621" i="1"/>
  <c r="Q621" i="1"/>
  <c r="L617" i="1"/>
  <c r="N617" i="1"/>
  <c r="K617" i="1"/>
  <c r="M617" i="1"/>
  <c r="B622" i="1"/>
  <c r="J622" i="1"/>
  <c r="A623" i="1"/>
  <c r="E622" i="1"/>
  <c r="C621" i="1"/>
  <c r="D621" i="1"/>
  <c r="P621" i="1"/>
  <c r="O621" i="1"/>
  <c r="G619" i="1"/>
  <c r="F620" i="1"/>
  <c r="I618" i="1"/>
  <c r="H618" i="1"/>
  <c r="T622" i="1" l="1"/>
  <c r="S622" i="1"/>
  <c r="R622" i="1"/>
  <c r="Q622" i="1"/>
  <c r="K618" i="1"/>
  <c r="M618" i="1"/>
  <c r="L618" i="1"/>
  <c r="N618" i="1"/>
  <c r="J623" i="1"/>
  <c r="E623" i="1"/>
  <c r="A624" i="1"/>
  <c r="B623" i="1"/>
  <c r="O622" i="1"/>
  <c r="P622" i="1"/>
  <c r="C622" i="1"/>
  <c r="D622" i="1"/>
  <c r="G620" i="1"/>
  <c r="F621" i="1"/>
  <c r="I619" i="1"/>
  <c r="H619" i="1"/>
  <c r="T623" i="1" l="1"/>
  <c r="S623" i="1"/>
  <c r="R623" i="1"/>
  <c r="Q623" i="1"/>
  <c r="K619" i="1"/>
  <c r="M619" i="1"/>
  <c r="L619" i="1"/>
  <c r="N619" i="1"/>
  <c r="B624" i="1"/>
  <c r="J624" i="1"/>
  <c r="E624" i="1"/>
  <c r="A625" i="1"/>
  <c r="D623" i="1"/>
  <c r="C623" i="1"/>
  <c r="O623" i="1"/>
  <c r="P623" i="1"/>
  <c r="G621" i="1"/>
  <c r="F622" i="1"/>
  <c r="I620" i="1"/>
  <c r="H620" i="1"/>
  <c r="T624" i="1" l="1"/>
  <c r="S624" i="1"/>
  <c r="R624" i="1"/>
  <c r="Q624" i="1"/>
  <c r="K620" i="1"/>
  <c r="M620" i="1"/>
  <c r="L620" i="1"/>
  <c r="N620" i="1"/>
  <c r="P624" i="1"/>
  <c r="O624" i="1"/>
  <c r="J625" i="1"/>
  <c r="E625" i="1"/>
  <c r="B625" i="1"/>
  <c r="A626" i="1"/>
  <c r="C624" i="1"/>
  <c r="D624" i="1"/>
  <c r="G622" i="1"/>
  <c r="F623" i="1"/>
  <c r="H621" i="1"/>
  <c r="I621" i="1"/>
  <c r="T625" i="1" l="1"/>
  <c r="S625" i="1"/>
  <c r="R625" i="1"/>
  <c r="Q625" i="1"/>
  <c r="L621" i="1"/>
  <c r="N621" i="1"/>
  <c r="K621" i="1"/>
  <c r="M621" i="1"/>
  <c r="B626" i="1"/>
  <c r="J626" i="1"/>
  <c r="A627" i="1"/>
  <c r="E626" i="1"/>
  <c r="O625" i="1"/>
  <c r="P625" i="1"/>
  <c r="D625" i="1"/>
  <c r="C625" i="1"/>
  <c r="G623" i="1"/>
  <c r="F624" i="1"/>
  <c r="I622" i="1"/>
  <c r="H622" i="1"/>
  <c r="T626" i="1" l="1"/>
  <c r="S626" i="1"/>
  <c r="R626" i="1"/>
  <c r="Q626" i="1"/>
  <c r="K622" i="1"/>
  <c r="M622" i="1"/>
  <c r="L622" i="1"/>
  <c r="N622" i="1"/>
  <c r="B627" i="1"/>
  <c r="A628" i="1"/>
  <c r="J627" i="1"/>
  <c r="E627" i="1"/>
  <c r="O626" i="1"/>
  <c r="P626" i="1"/>
  <c r="D626" i="1"/>
  <c r="C626" i="1"/>
  <c r="G624" i="1"/>
  <c r="F625" i="1"/>
  <c r="H623" i="1"/>
  <c r="I623" i="1"/>
  <c r="S627" i="1" l="1"/>
  <c r="T627" i="1"/>
  <c r="R627" i="1"/>
  <c r="Q627" i="1"/>
  <c r="L623" i="1"/>
  <c r="N623" i="1"/>
  <c r="K623" i="1"/>
  <c r="M623" i="1"/>
  <c r="O627" i="1"/>
  <c r="P627" i="1"/>
  <c r="J628" i="1"/>
  <c r="A629" i="1"/>
  <c r="B628" i="1"/>
  <c r="E628" i="1"/>
  <c r="D627" i="1"/>
  <c r="C627" i="1"/>
  <c r="G625" i="1"/>
  <c r="F626" i="1"/>
  <c r="I624" i="1"/>
  <c r="H624" i="1"/>
  <c r="T628" i="1" l="1"/>
  <c r="S628" i="1"/>
  <c r="Q628" i="1"/>
  <c r="R628" i="1"/>
  <c r="K624" i="1"/>
  <c r="M624" i="1"/>
  <c r="L624" i="1"/>
  <c r="N624" i="1"/>
  <c r="J629" i="1"/>
  <c r="E629" i="1"/>
  <c r="A630" i="1"/>
  <c r="B629" i="1"/>
  <c r="P628" i="1"/>
  <c r="O628" i="1"/>
  <c r="C628" i="1"/>
  <c r="D628" i="1"/>
  <c r="G626" i="1"/>
  <c r="F627" i="1"/>
  <c r="H625" i="1"/>
  <c r="I625" i="1"/>
  <c r="T629" i="1" l="1"/>
  <c r="S629" i="1"/>
  <c r="R629" i="1"/>
  <c r="Q629" i="1"/>
  <c r="L625" i="1"/>
  <c r="N625" i="1"/>
  <c r="K625" i="1"/>
  <c r="M625" i="1"/>
  <c r="C629" i="1"/>
  <c r="D629" i="1"/>
  <c r="J630" i="1"/>
  <c r="A631" i="1"/>
  <c r="E630" i="1"/>
  <c r="B630" i="1"/>
  <c r="O629" i="1"/>
  <c r="P629" i="1"/>
  <c r="G627" i="1"/>
  <c r="F628" i="1"/>
  <c r="I626" i="1"/>
  <c r="H626" i="1"/>
  <c r="T630" i="1" l="1"/>
  <c r="S630" i="1"/>
  <c r="R630" i="1"/>
  <c r="Q630" i="1"/>
  <c r="K626" i="1"/>
  <c r="M626" i="1"/>
  <c r="L626" i="1"/>
  <c r="N626" i="1"/>
  <c r="P630" i="1"/>
  <c r="O630" i="1"/>
  <c r="C630" i="1"/>
  <c r="D630" i="1"/>
  <c r="J631" i="1"/>
  <c r="A632" i="1"/>
  <c r="E631" i="1"/>
  <c r="B631" i="1"/>
  <c r="G628" i="1"/>
  <c r="F629" i="1"/>
  <c r="I627" i="1"/>
  <c r="H627" i="1"/>
  <c r="T631" i="1" l="1"/>
  <c r="S631" i="1"/>
  <c r="R631" i="1"/>
  <c r="Q631" i="1"/>
  <c r="K627" i="1"/>
  <c r="M627" i="1"/>
  <c r="L627" i="1"/>
  <c r="N627" i="1"/>
  <c r="B632" i="1"/>
  <c r="E632" i="1"/>
  <c r="J632" i="1"/>
  <c r="A633" i="1"/>
  <c r="D631" i="1"/>
  <c r="C631" i="1"/>
  <c r="P631" i="1"/>
  <c r="O631" i="1"/>
  <c r="G629" i="1"/>
  <c r="F630" i="1"/>
  <c r="I628" i="1"/>
  <c r="H628" i="1"/>
  <c r="T632" i="1" l="1"/>
  <c r="S632" i="1"/>
  <c r="R632" i="1"/>
  <c r="Q632" i="1"/>
  <c r="K628" i="1"/>
  <c r="M628" i="1"/>
  <c r="L628" i="1"/>
  <c r="N628" i="1"/>
  <c r="P632" i="1"/>
  <c r="O632" i="1"/>
  <c r="J633" i="1"/>
  <c r="E633" i="1"/>
  <c r="A634" i="1"/>
  <c r="B633" i="1"/>
  <c r="C632" i="1"/>
  <c r="D632" i="1"/>
  <c r="G630" i="1"/>
  <c r="F631" i="1"/>
  <c r="H629" i="1"/>
  <c r="I629" i="1"/>
  <c r="T633" i="1" l="1"/>
  <c r="S633" i="1"/>
  <c r="R633" i="1"/>
  <c r="Q633" i="1"/>
  <c r="L629" i="1"/>
  <c r="N629" i="1"/>
  <c r="K629" i="1"/>
  <c r="M629" i="1"/>
  <c r="P633" i="1"/>
  <c r="O633" i="1"/>
  <c r="D633" i="1"/>
  <c r="C633" i="1"/>
  <c r="J634" i="1"/>
  <c r="E634" i="1"/>
  <c r="A635" i="1"/>
  <c r="B634" i="1"/>
  <c r="G631" i="1"/>
  <c r="F632" i="1"/>
  <c r="I630" i="1"/>
  <c r="H630" i="1"/>
  <c r="T634" i="1" l="1"/>
  <c r="S634" i="1"/>
  <c r="R634" i="1"/>
  <c r="Q634" i="1"/>
  <c r="K630" i="1"/>
  <c r="M630" i="1"/>
  <c r="L630" i="1"/>
  <c r="N630" i="1"/>
  <c r="D634" i="1"/>
  <c r="C634" i="1"/>
  <c r="B635" i="1"/>
  <c r="J635" i="1"/>
  <c r="E635" i="1"/>
  <c r="A636" i="1"/>
  <c r="O634" i="1"/>
  <c r="P634" i="1"/>
  <c r="G632" i="1"/>
  <c r="F633" i="1"/>
  <c r="I631" i="1"/>
  <c r="H631" i="1"/>
  <c r="T635" i="1" l="1"/>
  <c r="S635" i="1"/>
  <c r="R635" i="1"/>
  <c r="Q635" i="1"/>
  <c r="K631" i="1"/>
  <c r="M631" i="1"/>
  <c r="L631" i="1"/>
  <c r="N631" i="1"/>
  <c r="A637" i="1"/>
  <c r="J636" i="1"/>
  <c r="E636" i="1"/>
  <c r="B636" i="1"/>
  <c r="D635" i="1"/>
  <c r="C635" i="1"/>
  <c r="P635" i="1"/>
  <c r="O635" i="1"/>
  <c r="G633" i="1"/>
  <c r="F634" i="1"/>
  <c r="H632" i="1"/>
  <c r="I632" i="1"/>
  <c r="T636" i="1" l="1"/>
  <c r="S636" i="1"/>
  <c r="Q636" i="1"/>
  <c r="R636" i="1"/>
  <c r="L632" i="1"/>
  <c r="N632" i="1"/>
  <c r="K632" i="1"/>
  <c r="M632" i="1"/>
  <c r="C636" i="1"/>
  <c r="D636" i="1"/>
  <c r="P636" i="1"/>
  <c r="O636" i="1"/>
  <c r="A638" i="1"/>
  <c r="E637" i="1"/>
  <c r="B637" i="1"/>
  <c r="J637" i="1"/>
  <c r="G634" i="1"/>
  <c r="F635" i="1"/>
  <c r="H633" i="1"/>
  <c r="I633" i="1"/>
  <c r="T637" i="1" l="1"/>
  <c r="S637" i="1"/>
  <c r="R637" i="1"/>
  <c r="Q637" i="1"/>
  <c r="L633" i="1"/>
  <c r="N633" i="1"/>
  <c r="K633" i="1"/>
  <c r="M633" i="1"/>
  <c r="O637" i="1"/>
  <c r="P637" i="1"/>
  <c r="C637" i="1"/>
  <c r="D637" i="1"/>
  <c r="A639" i="1"/>
  <c r="E638" i="1"/>
  <c r="B638" i="1"/>
  <c r="J638" i="1"/>
  <c r="G635" i="1"/>
  <c r="F636" i="1"/>
  <c r="I634" i="1"/>
  <c r="H634" i="1"/>
  <c r="T638" i="1" l="1"/>
  <c r="S638" i="1"/>
  <c r="R638" i="1"/>
  <c r="Q638" i="1"/>
  <c r="K634" i="1"/>
  <c r="M634" i="1"/>
  <c r="L634" i="1"/>
  <c r="N634" i="1"/>
  <c r="D638" i="1"/>
  <c r="C638" i="1"/>
  <c r="P638" i="1"/>
  <c r="O638" i="1"/>
  <c r="A640" i="1"/>
  <c r="E639" i="1"/>
  <c r="B639" i="1"/>
  <c r="J639" i="1"/>
  <c r="G636" i="1"/>
  <c r="F637" i="1"/>
  <c r="H635" i="1"/>
  <c r="I635" i="1"/>
  <c r="T639" i="1" l="1"/>
  <c r="S639" i="1"/>
  <c r="R639" i="1"/>
  <c r="Q639" i="1"/>
  <c r="L635" i="1"/>
  <c r="N635" i="1"/>
  <c r="K635" i="1"/>
  <c r="M635" i="1"/>
  <c r="P639" i="1"/>
  <c r="O639" i="1"/>
  <c r="C639" i="1"/>
  <c r="D639" i="1"/>
  <c r="A641" i="1"/>
  <c r="E640" i="1"/>
  <c r="B640" i="1"/>
  <c r="J640" i="1"/>
  <c r="G637" i="1"/>
  <c r="F638" i="1"/>
  <c r="H636" i="1"/>
  <c r="I636" i="1"/>
  <c r="T640" i="1" l="1"/>
  <c r="S640" i="1"/>
  <c r="R640" i="1"/>
  <c r="Q640" i="1"/>
  <c r="L636" i="1"/>
  <c r="N636" i="1"/>
  <c r="K636" i="1"/>
  <c r="M636" i="1"/>
  <c r="O640" i="1"/>
  <c r="P640" i="1"/>
  <c r="C640" i="1"/>
  <c r="D640" i="1"/>
  <c r="A642" i="1"/>
  <c r="E641" i="1"/>
  <c r="B641" i="1"/>
  <c r="J641" i="1"/>
  <c r="G638" i="1"/>
  <c r="F639" i="1"/>
  <c r="H637" i="1"/>
  <c r="I637" i="1"/>
  <c r="T641" i="1" l="1"/>
  <c r="S641" i="1"/>
  <c r="R641" i="1"/>
  <c r="Q641" i="1"/>
  <c r="L637" i="1"/>
  <c r="N637" i="1"/>
  <c r="K637" i="1"/>
  <c r="M637" i="1"/>
  <c r="O641" i="1"/>
  <c r="P641" i="1"/>
  <c r="D641" i="1"/>
  <c r="C641" i="1"/>
  <c r="A643" i="1"/>
  <c r="E642" i="1"/>
  <c r="B642" i="1"/>
  <c r="J642" i="1"/>
  <c r="G639" i="1"/>
  <c r="F640" i="1"/>
  <c r="I638" i="1"/>
  <c r="H638" i="1"/>
  <c r="T642" i="1" l="1"/>
  <c r="S642" i="1"/>
  <c r="R642" i="1"/>
  <c r="Q642" i="1"/>
  <c r="K638" i="1"/>
  <c r="M638" i="1"/>
  <c r="L638" i="1"/>
  <c r="N638" i="1"/>
  <c r="D642" i="1"/>
  <c r="C642" i="1"/>
  <c r="O642" i="1"/>
  <c r="P642" i="1"/>
  <c r="A644" i="1"/>
  <c r="E643" i="1"/>
  <c r="B643" i="1"/>
  <c r="J643" i="1"/>
  <c r="G640" i="1"/>
  <c r="F641" i="1"/>
  <c r="H639" i="1"/>
  <c r="I639" i="1"/>
  <c r="S643" i="1" l="1"/>
  <c r="T643" i="1"/>
  <c r="R643" i="1"/>
  <c r="Q643" i="1"/>
  <c r="L639" i="1"/>
  <c r="N639" i="1"/>
  <c r="K639" i="1"/>
  <c r="M639" i="1"/>
  <c r="O643" i="1"/>
  <c r="P643" i="1"/>
  <c r="C643" i="1"/>
  <c r="D643" i="1"/>
  <c r="A645" i="1"/>
  <c r="E644" i="1"/>
  <c r="B644" i="1"/>
  <c r="J644" i="1"/>
  <c r="G641" i="1"/>
  <c r="F642" i="1"/>
  <c r="H640" i="1"/>
  <c r="I640" i="1"/>
  <c r="T644" i="1" l="1"/>
  <c r="S644" i="1"/>
  <c r="Q644" i="1"/>
  <c r="R644" i="1"/>
  <c r="L640" i="1"/>
  <c r="N640" i="1"/>
  <c r="K640" i="1"/>
  <c r="M640" i="1"/>
  <c r="C644" i="1"/>
  <c r="D644" i="1"/>
  <c r="A646" i="1"/>
  <c r="E645" i="1"/>
  <c r="B645" i="1"/>
  <c r="J645" i="1"/>
  <c r="G642" i="1"/>
  <c r="F643" i="1"/>
  <c r="I641" i="1"/>
  <c r="H641" i="1"/>
  <c r="T645" i="1" l="1"/>
  <c r="S645" i="1"/>
  <c r="R645" i="1"/>
  <c r="Q645" i="1"/>
  <c r="K641" i="1"/>
  <c r="M641" i="1"/>
  <c r="L641" i="1"/>
  <c r="N641" i="1"/>
  <c r="C645" i="1"/>
  <c r="D645" i="1"/>
  <c r="A647" i="1"/>
  <c r="E646" i="1"/>
  <c r="B646" i="1"/>
  <c r="J646" i="1"/>
  <c r="G643" i="1"/>
  <c r="F644" i="1"/>
  <c r="I642" i="1"/>
  <c r="H642" i="1"/>
  <c r="T646" i="1" l="1"/>
  <c r="S646" i="1"/>
  <c r="R646" i="1"/>
  <c r="Q646" i="1"/>
  <c r="K642" i="1"/>
  <c r="M642" i="1"/>
  <c r="L642" i="1"/>
  <c r="N642" i="1"/>
  <c r="C646" i="1"/>
  <c r="D646" i="1"/>
  <c r="A648" i="1"/>
  <c r="E647" i="1"/>
  <c r="B647" i="1"/>
  <c r="J647" i="1"/>
  <c r="G644" i="1"/>
  <c r="F645" i="1"/>
  <c r="I643" i="1"/>
  <c r="H643" i="1"/>
  <c r="T647" i="1" l="1"/>
  <c r="S647" i="1"/>
  <c r="R647" i="1"/>
  <c r="Q647" i="1"/>
  <c r="K643" i="1"/>
  <c r="M643" i="1"/>
  <c r="L643" i="1"/>
  <c r="N643" i="1"/>
  <c r="C647" i="1"/>
  <c r="D647" i="1"/>
  <c r="A649" i="1"/>
  <c r="E648" i="1"/>
  <c r="B648" i="1"/>
  <c r="J648" i="1"/>
  <c r="G645" i="1"/>
  <c r="F646" i="1"/>
  <c r="I644" i="1"/>
  <c r="P644" i="1" s="1"/>
  <c r="H644" i="1"/>
  <c r="T648" i="1" l="1"/>
  <c r="S648" i="1"/>
  <c r="O644" i="1"/>
  <c r="R648" i="1"/>
  <c r="Q648" i="1"/>
  <c r="K644" i="1"/>
  <c r="M644" i="1"/>
  <c r="L644" i="1"/>
  <c r="N644" i="1"/>
  <c r="C648" i="1"/>
  <c r="D648" i="1"/>
  <c r="A650" i="1"/>
  <c r="E649" i="1"/>
  <c r="B649" i="1"/>
  <c r="J649" i="1"/>
  <c r="G646" i="1"/>
  <c r="F647" i="1"/>
  <c r="H645" i="1"/>
  <c r="I645" i="1"/>
  <c r="P645" i="1" s="1"/>
  <c r="T649" i="1" l="1"/>
  <c r="S649" i="1"/>
  <c r="O645" i="1"/>
  <c r="L645" i="1"/>
  <c r="N645" i="1"/>
  <c r="K645" i="1"/>
  <c r="M645" i="1"/>
  <c r="P649" i="1"/>
  <c r="O649" i="1"/>
  <c r="C649" i="1"/>
  <c r="D649" i="1"/>
  <c r="A651" i="1"/>
  <c r="E650" i="1"/>
  <c r="B650" i="1"/>
  <c r="J650" i="1"/>
  <c r="G647" i="1"/>
  <c r="F648" i="1"/>
  <c r="I646" i="1"/>
  <c r="P646" i="1" s="1"/>
  <c r="H646" i="1"/>
  <c r="T650" i="1" l="1"/>
  <c r="S650" i="1"/>
  <c r="O646" i="1"/>
  <c r="K646" i="1"/>
  <c r="M646" i="1"/>
  <c r="L646" i="1"/>
  <c r="N646" i="1"/>
  <c r="C650" i="1"/>
  <c r="D650" i="1"/>
  <c r="O650" i="1"/>
  <c r="P650" i="1"/>
  <c r="A652" i="1"/>
  <c r="E651" i="1"/>
  <c r="B651" i="1"/>
  <c r="J651" i="1"/>
  <c r="G648" i="1"/>
  <c r="F649" i="1"/>
  <c r="I647" i="1"/>
  <c r="P647" i="1" s="1"/>
  <c r="H647" i="1"/>
  <c r="O647" i="1" l="1"/>
  <c r="R651" i="1"/>
  <c r="Q651" i="1"/>
  <c r="K647" i="1"/>
  <c r="M647" i="1"/>
  <c r="L647" i="1"/>
  <c r="N647" i="1"/>
  <c r="P651" i="1"/>
  <c r="O651" i="1"/>
  <c r="C651" i="1"/>
  <c r="D651" i="1"/>
  <c r="E652" i="1"/>
  <c r="B652" i="1"/>
  <c r="J652" i="1"/>
  <c r="F650" i="1"/>
  <c r="G649" i="1"/>
  <c r="I648" i="1"/>
  <c r="P648" i="1" s="1"/>
  <c r="H648" i="1"/>
  <c r="AA13" i="1" l="1"/>
  <c r="AA5" i="1"/>
  <c r="AA11" i="1"/>
  <c r="AA9" i="1"/>
  <c r="AA8" i="1"/>
  <c r="AA12" i="1"/>
  <c r="AA6" i="1"/>
  <c r="AA7" i="1"/>
  <c r="AA10" i="1"/>
  <c r="AA4" i="1"/>
  <c r="AA3" i="1"/>
  <c r="O648" i="1"/>
  <c r="AV5" i="1"/>
  <c r="AV22" i="1" s="1"/>
  <c r="AV6" i="1"/>
  <c r="AV26" i="1" s="1"/>
  <c r="R652" i="1"/>
  <c r="Q652" i="1"/>
  <c r="L648" i="1"/>
  <c r="N648" i="1"/>
  <c r="K648" i="1"/>
  <c r="M648" i="1"/>
  <c r="C652" i="1"/>
  <c r="D652" i="1"/>
  <c r="P652" i="1"/>
  <c r="O652" i="1"/>
  <c r="AV4" i="1"/>
  <c r="AV18" i="1" s="1"/>
  <c r="AV3" i="1"/>
  <c r="AV14" i="1" s="1"/>
  <c r="AV2" i="1"/>
  <c r="AV10" i="1" s="1"/>
  <c r="I649" i="1"/>
  <c r="H649" i="1"/>
  <c r="G650" i="1"/>
  <c r="F651" i="1"/>
  <c r="AV7" i="1" l="1"/>
  <c r="Q649" i="1"/>
  <c r="R649" i="1"/>
  <c r="L649" i="1"/>
  <c r="N649" i="1"/>
  <c r="K649" i="1"/>
  <c r="M649" i="1"/>
  <c r="I650" i="1"/>
  <c r="H650" i="1"/>
  <c r="G651" i="1"/>
  <c r="F652" i="1"/>
  <c r="G652" i="1" s="1"/>
  <c r="Q650" i="1" l="1"/>
  <c r="R650" i="1"/>
  <c r="K650" i="1"/>
  <c r="M650" i="1"/>
  <c r="L650" i="1"/>
  <c r="N650" i="1"/>
  <c r="H651" i="1"/>
  <c r="S651" i="1" s="1"/>
  <c r="I651" i="1"/>
  <c r="T651" i="1" s="1"/>
  <c r="I652" i="1"/>
  <c r="T652" i="1" s="1"/>
  <c r="H652" i="1"/>
  <c r="S652" i="1" s="1"/>
  <c r="K652" i="1" l="1"/>
  <c r="M652" i="1"/>
  <c r="L651" i="1"/>
  <c r="N651" i="1"/>
  <c r="K651" i="1"/>
  <c r="M651" i="1"/>
  <c r="L652" i="1"/>
  <c r="N652" i="1"/>
</calcChain>
</file>

<file path=xl/sharedStrings.xml><?xml version="1.0" encoding="utf-8"?>
<sst xmlns="http://schemas.openxmlformats.org/spreadsheetml/2006/main" count="305" uniqueCount="252">
  <si>
    <t>Labour</t>
  </si>
  <si>
    <t>Conservative</t>
  </si>
  <si>
    <t>Lib Dem</t>
  </si>
  <si>
    <t>SNP</t>
  </si>
  <si>
    <t>Other</t>
  </si>
  <si>
    <t>Labour majority</t>
  </si>
  <si>
    <t>Election result</t>
  </si>
  <si>
    <t>Seats</t>
  </si>
  <si>
    <t>Ring#</t>
  </si>
  <si>
    <t>Dots/Row</t>
  </si>
  <si>
    <t>#dots-adj</t>
  </si>
  <si>
    <t>Cumulative</t>
  </si>
  <si>
    <t>Check</t>
  </si>
  <si>
    <t>Radius</t>
  </si>
  <si>
    <t>Scalar</t>
  </si>
  <si>
    <t>Zeros</t>
  </si>
  <si>
    <t>Splits</t>
  </si>
  <si>
    <t>CHECK</t>
  </si>
  <si>
    <t>Obs#</t>
  </si>
  <si>
    <t>Dummy</t>
  </si>
  <si>
    <t>Number</t>
  </si>
  <si>
    <t>Radians</t>
  </si>
  <si>
    <t>x</t>
  </si>
  <si>
    <t>y</t>
  </si>
  <si>
    <t>PARTY</t>
  </si>
  <si>
    <t>#dots</t>
  </si>
  <si>
    <t>Party</t>
  </si>
  <si>
    <t>Dots/Ring</t>
  </si>
  <si>
    <t>Position</t>
  </si>
  <si>
    <t>SUM</t>
  </si>
  <si>
    <t>Total Seats</t>
  </si>
  <si>
    <t>TOTAL</t>
  </si>
  <si>
    <t>*This Arc-Dot chart may take some time to understand how it all works, but the philosophy is simple:</t>
  </si>
  <si>
    <t>ALL</t>
  </si>
  <si>
    <t>*create six half-circles, divide each ring into X number of points, and use radians to find the position</t>
  </si>
  <si>
    <t xml:space="preserve">*of each point along each ring. The method used here tries to automate the process as much as possible, </t>
  </si>
  <si>
    <t xml:space="preserve">*though with something other than three groups, some additional work is necessary. </t>
  </si>
  <si>
    <t>L</t>
  </si>
  <si>
    <t>C</t>
  </si>
  <si>
    <t>LD</t>
  </si>
  <si>
    <t>Oth</t>
  </si>
  <si>
    <t>xLAB</t>
  </si>
  <si>
    <t>yLab</t>
  </si>
  <si>
    <t>xCon</t>
  </si>
  <si>
    <t>yCon</t>
  </si>
  <si>
    <t>xLD</t>
  </si>
  <si>
    <t>yLD</t>
  </si>
  <si>
    <t>xSNP</t>
  </si>
  <si>
    <t>ySNP</t>
  </si>
  <si>
    <t>xOth</t>
  </si>
  <si>
    <t>yOth</t>
  </si>
  <si>
    <t>Conservatives</t>
  </si>
  <si>
    <t>Seat tallies</t>
  </si>
  <si>
    <t>UNVDPE1@UK</t>
  </si>
  <si>
    <t>UNVDPE3@UK</t>
  </si>
  <si>
    <t>UNVDWR@UK</t>
  </si>
  <si>
    <t>UNVDWE@UK</t>
  </si>
  <si>
    <t>201001 !M</t>
  </si>
  <si>
    <t>201001</t>
  </si>
  <si>
    <t>.DTLM</t>
  </si>
  <si>
    <t>.LSOURCE</t>
  </si>
  <si>
    <t>.TN</t>
  </si>
  <si>
    <t>.T1</t>
  </si>
  <si>
    <t>.DESC</t>
  </si>
  <si>
    <t>Jul-04-2024 09:33</t>
  </si>
  <si>
    <t>Bank of England</t>
  </si>
  <si>
    <t>Jun-2024</t>
  </si>
  <si>
    <t>Jan-2017</t>
  </si>
  <si>
    <t>UK: BoE DMP: Expected Price Growth Over the Next Year: Single Month (%)</t>
  </si>
  <si>
    <t>UK: BoE DMP: Expected Price Growth Over the Next Year: 3 Month Average (%)</t>
  </si>
  <si>
    <t>Jul-04-2024 09:36</t>
  </si>
  <si>
    <t>Aug-2017</t>
  </si>
  <si>
    <t>UK: BoE DMP: Realized Wage Growth Over the Past Year:  Single Month (%)</t>
  </si>
  <si>
    <t>UK: BoE DMP: Expected Wage Growth Over the Next Year: Single Month (%)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</si>
  <si>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</si>
  <si>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</si>
  <si>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</si>
  <si>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</si>
  <si>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</si>
  <si>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</si>
  <si>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</si>
  <si>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</si>
  <si>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</si>
  <si>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</si>
  <si>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</si>
  <si>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</si>
  <si>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</si>
  <si>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</si>
  <si>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</si>
  <si>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</si>
  <si>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</si>
  <si>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</si>
  <si>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</si>
  <si>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</si>
  <si>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</si>
  <si>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</si>
  <si>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</si>
  <si>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</si>
  <si>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</si>
  <si>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</si>
  <si>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</si>
  <si>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</si>
  <si>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</si>
  <si>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</si>
  <si>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</si>
  <si>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</si>
  <si>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</si>
  <si>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</si>
  <si>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</si>
  <si>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</si>
  <si>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</si>
  <si>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</si>
  <si>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</si>
  <si>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</si>
  <si>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</si>
  <si>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</si>
  <si>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</si>
  <si>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</si>
  <si>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</si>
  <si>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</si>
  <si>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</si>
  <si>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</si>
  <si>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</si>
  <si>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</si>
  <si>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</si>
  <si>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</si>
  <si>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</si>
  <si>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</si>
  <si>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</si>
  <si>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</si>
  <si>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</si>
  <si>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</si>
  <si>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</si>
  <si>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</si>
  <si>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</si>
  <si>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</si>
  <si>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</si>
  <si>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</si>
  <si>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</si>
  <si>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</si>
  <si>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</si>
  <si>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</si>
  <si>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</si>
  <si>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</si>
  <si>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</si>
  <si>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</si>
  <si>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</si>
  <si>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</si>
  <si>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</si>
  <si>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</si>
  <si>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</si>
  <si>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</si>
  <si>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</si>
  <si>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</si>
  <si>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</si>
  <si>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</si>
  <si>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</si>
  <si>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</si>
  <si>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</si>
  <si>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</si>
  <si>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</si>
  <si>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</si>
  <si>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</si>
  <si>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</si>
  <si>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</si>
  <si>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</si>
  <si>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</si>
  <si>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</si>
  <si>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</si>
  <si>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</si>
  <si>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</si>
  <si>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</si>
  <si>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</si>
  <si>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</si>
  <si>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</si>
  <si>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</si>
  <si>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</si>
  <si>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</si>
  <si>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</si>
  <si>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</si>
  <si>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</si>
  <si>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</si>
  <si>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</si>
  <si>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</si>
  <si>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</si>
  <si>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</si>
  <si>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</si>
  <si>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</si>
  <si>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</si>
  <si>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</si>
  <si>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</si>
  <si>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</si>
  <si>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</si>
  <si>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</si>
  <si>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</si>
  <si>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</si>
  <si>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</si>
  <si>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</si>
  <si>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</si>
  <si>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</si>
  <si>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</si>
  <si>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</si>
  <si>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</si>
  <si>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</si>
  <si>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</si>
  <si>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</si>
  <si>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</si>
  <si>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</si>
  <si>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</si>
  <si>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</si>
  <si>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</si>
  <si>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</si>
  <si>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</si>
  <si>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</si>
  <si>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</si>
  <si>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</si>
  <si>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</si>
  <si>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</si>
  <si>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</si>
  <si>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</si>
  <si>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</si>
  <si>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</si>
  <si>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</si>
  <si>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</si>
  <si>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</si>
  <si>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</si>
  <si>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</si>
  <si>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</si>
  <si>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</si>
  <si>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</si>
  <si>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</si>
  <si>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</si>
  <si>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</si>
  <si>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</si>
  <si>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</si>
  <si>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</si>
  <si>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</si>
  <si>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</si>
  <si>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</si>
  <si>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</si>
  <si>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</si>
  <si>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</si>
  <si>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</si>
  <si>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</si>
  <si>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</si>
  <si>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</si>
  <si>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</si>
  <si>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Prices - past year</t>
  </si>
  <si>
    <t>Prices - next year</t>
  </si>
  <si>
    <t>Wages - past year</t>
  </si>
  <si>
    <t>Wages - next year</t>
  </si>
  <si>
    <t>DMP - prices &amp;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</si>
</sst>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165" fontId="0" fillId="0" borderId="0" xfId="0" applyNumberFormat="1"/>
    <xf numFmtId="0" fontId="6" fillId="0" borderId="0" xfId="0" applyFont="1"/>
    <xf numFmtId="164" fontId="6" fillId="0" borderId="0" xfId="0" applyNumberFormat="1" applyFont="1"/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1" fillId="0" borderId="0" xfId="0" applyNumberFormat="1" applyFont="1"/>
    <xf numFmtId="0" fontId="4" fillId="2" borderId="0" xfId="0" applyFont="1" applyFill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yperlink 2" xfId="1" xr:uid="{D68BDE1B-5107-4294-9C52-8F31DD2300BB}"/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782700891202156E-2"/>
          <c:y val="0.14369822584058181"/>
          <c:w val="0.921011687921927"/>
          <c:h val="0.747299112363429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'Election chart calculations'!$K$2</c:f>
              <c:strCache>
                <c:ptCount val="1"/>
                <c:pt idx="0">
                  <c:v>xLAB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'Election chart calculations'!$K$3:$K$652</c:f>
              <c:numCache>
                <c:formatCode>0.0</c:formatCode>
                <c:ptCount val="650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8.715574274765836E-2</c:v>
                </c:pt>
                <c:pt idx="18">
                  <c:v>6.1257422745431001E-17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1.1000000000000001</c:v>
                </c:pt>
                <c:pt idx="38">
                  <c:v>1.0966090671064408</c:v>
                </c:pt>
                <c:pt idx="39">
                  <c:v>1.0864571746546516</c:v>
                </c:pt>
                <c:pt idx="40">
                  <c:v>1.0696069124374443</c:v>
                </c:pt>
                <c:pt idx="41">
                  <c:v>1.0461621679246689</c:v>
                </c:pt>
                <c:pt idx="42">
                  <c:v>1.0162674857624154</c:v>
                </c:pt>
                <c:pt idx="43">
                  <c:v>0.98010717660720481</c:v>
                </c:pt>
                <c:pt idx="44">
                  <c:v>0.93790418078950144</c:v>
                </c:pt>
                <c:pt idx="45">
                  <c:v>0.88991869381244226</c:v>
                </c:pt>
                <c:pt idx="46">
                  <c:v>0.8364465621600341</c:v>
                </c:pt>
                <c:pt idx="47">
                  <c:v>0.77781745930520241</c:v>
                </c:pt>
                <c:pt idx="48">
                  <c:v>0.714392853163202</c:v>
                </c:pt>
                <c:pt idx="49">
                  <c:v>0.64656377752172045</c:v>
                </c:pt>
                <c:pt idx="50">
                  <c:v>0.57474842118754388</c:v>
                </c:pt>
                <c:pt idx="51">
                  <c:v>0.49938954971350152</c:v>
                </c:pt>
                <c:pt idx="52">
                  <c:v>0.42095177560159885</c:v>
                </c:pt>
                <c:pt idx="53">
                  <c:v>0.33991869381244222</c:v>
                </c:pt>
                <c:pt idx="54">
                  <c:v>0.25678990024149606</c:v>
                </c:pt>
                <c:pt idx="55">
                  <c:v>0.17207791154425403</c:v>
                </c:pt>
                <c:pt idx="56">
                  <c:v>8.6305005300629511E-2</c:v>
                </c:pt>
                <c:pt idx="57">
                  <c:v>6.7383165019974101E-17</c:v>
                </c:pt>
                <c:pt idx="58">
                  <c:v>-8.6305005300629373E-2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1.2000000000000002</c:v>
                </c:pt>
                <c:pt idx="79">
                  <c:v>1.1969425375323044</c:v>
                </c:pt>
                <c:pt idx="80">
                  <c:v>1.1877857302571193</c:v>
                </c:pt>
                <c:pt idx="81">
                  <c:v>1.1725762391653916</c:v>
                </c:pt>
                <c:pt idx="82">
                  <c:v>1.151391568337397</c:v>
                </c:pt>
                <c:pt idx="83">
                  <c:v>1.1243396699997141</c:v>
                </c:pt>
                <c:pt idx="84">
                  <c:v>1.0915583944254224</c:v>
                </c:pt>
                <c:pt idx="85">
                  <c:v>1.053214787480707</c:v>
                </c:pt>
                <c:pt idx="86">
                  <c:v>1.0095042393974176</c:v>
                </c:pt>
                <c:pt idx="87">
                  <c:v>0.96064948910923265</c:v>
                </c:pt>
                <c:pt idx="88">
                  <c:v>0.9068994892251101</c:v>
                </c:pt>
                <c:pt idx="89">
                  <c:v>0.84852813742385691</c:v>
                </c:pt>
                <c:pt idx="90">
                  <c:v>0.7858328807343421</c:v>
                </c:pt>
                <c:pt idx="91">
                  <c:v>0.71913319981361623</c:v>
                </c:pt>
                <c:pt idx="92">
                  <c:v>0.64876898094671687</c:v>
                </c:pt>
                <c:pt idx="93">
                  <c:v>0.575098784064068</c:v>
                </c:pt>
                <c:pt idx="94">
                  <c:v>0.49849801560226359</c:v>
                </c:pt>
                <c:pt idx="95">
                  <c:v>0.41935701551891763</c:v>
                </c:pt>
                <c:pt idx="96">
                  <c:v>0.33807906820971562</c:v>
                </c:pt>
                <c:pt idx="97">
                  <c:v>0.25507834746357166</c:v>
                </c:pt>
                <c:pt idx="98">
                  <c:v>0.17077780592794164</c:v>
                </c:pt>
                <c:pt idx="99">
                  <c:v>8.5607019839078299E-2</c:v>
                </c:pt>
                <c:pt idx="100">
                  <c:v>-4.5939814452555802E-16</c:v>
                </c:pt>
                <c:pt idx="101">
                  <c:v>-8.5607019839079493E-2</c:v>
                </c:pt>
                <c:pt idx="102">
                  <c:v>-0.17077780592794281</c:v>
                </c:pt>
                <c:pt idx="103">
                  <c:v>-0.25507834746357261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1.3000000000000003</c:v>
                </c:pt>
                <c:pt idx="124">
                  <c:v>1.2973290105754376</c:v>
                </c:pt>
                <c:pt idx="125">
                  <c:v>1.2893270179702201</c:v>
                </c:pt>
                <c:pt idx="126">
                  <c:v>1.2760269040883851</c:v>
                </c:pt>
                <c:pt idx="127">
                  <c:v>1.2574833219507386</c:v>
                </c:pt>
                <c:pt idx="128">
                  <c:v>1.2337724711138696</c:v>
                </c:pt>
                <c:pt idx="129">
                  <c:v>1.2049917845498286</c:v>
                </c:pt>
                <c:pt idx="130">
                  <c:v>1.1712595282731451</c:v>
                </c:pt>
                <c:pt idx="131">
                  <c:v>1.1327143153604062</c:v>
                </c:pt>
                <c:pt idx="132">
                  <c:v>1.089514536359393</c:v>
                </c:pt>
                <c:pt idx="133">
                  <c:v>1.0418377084283439</c:v>
                </c:pt>
                <c:pt idx="134">
                  <c:v>0.98987974587987493</c:v>
                </c:pt>
                <c:pt idx="135">
                  <c:v>0.93385415512704595</c:v>
                </c:pt>
                <c:pt idx="136">
                  <c:v>0.87399115733971189</c:v>
                </c:pt>
                <c:pt idx="137">
                  <c:v>0.81053674241635343</c:v>
                </c:pt>
                <c:pt idx="138">
                  <c:v>0.74375165815882027</c:v>
                </c:pt>
                <c:pt idx="139">
                  <c:v>0.67391033880368223</c:v>
                </c:pt>
                <c:pt idx="140">
                  <c:v>0.60129977731308537</c:v>
                </c:pt>
                <c:pt idx="141">
                  <c:v>0.52621834605911155</c:v>
                </c:pt>
                <c:pt idx="142">
                  <c:v>0.44897457074769948</c:v>
                </c:pt>
                <c:pt idx="143">
                  <c:v>0.36988586262034173</c:v>
                </c:pt>
                <c:pt idx="144">
                  <c:v>0.28927721414320801</c:v>
                </c:pt>
                <c:pt idx="145">
                  <c:v>0.20747986354339229</c:v>
                </c:pt>
                <c:pt idx="146">
                  <c:v>0.12482993367998532</c:v>
                </c:pt>
                <c:pt idx="147">
                  <c:v>4.1667050843150782E-2</c:v>
                </c:pt>
                <c:pt idx="148">
                  <c:v>-4.1667050843152642E-2</c:v>
                </c:pt>
                <c:pt idx="149">
                  <c:v>-0.12482993367998718</c:v>
                </c:pt>
                <c:pt idx="150">
                  <c:v>-0.20747986354339412</c:v>
                </c:pt>
                <c:pt idx="151">
                  <c:v>-0.28927721414320984</c:v>
                </c:pt>
                <c:pt idx="152">
                  <c:v>-0.36988586262034351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1.4000000000000004</c:v>
                </c:pt>
                <c:pt idx="174">
                  <c:v>1.3976314215797758</c:v>
                </c:pt>
                <c:pt idx="175">
                  <c:v>1.3905337008387206</c:v>
                </c:pt>
                <c:pt idx="176">
                  <c:v>1.3787308542170915</c:v>
                </c:pt>
                <c:pt idx="177">
                  <c:v>1.3622628188117536</c:v>
                </c:pt>
                <c:pt idx="178">
                  <c:v>1.3411853172416848</c:v>
                </c:pt>
                <c:pt idx="179">
                  <c:v>1.3155696691002721</c:v>
                </c:pt>
                <c:pt idx="180">
                  <c:v>1.285502549632384</c:v>
                </c:pt>
                <c:pt idx="181">
                  <c:v>1.2510856964527775</c:v>
                </c:pt>
                <c:pt idx="182">
                  <c:v>1.2124355652982144</c:v>
                </c:pt>
                <c:pt idx="183">
                  <c:v>1.1696829359781113</c:v>
                </c:pt>
                <c:pt idx="184">
                  <c:v>1.1229724698570616</c:v>
                </c:pt>
                <c:pt idx="185">
                  <c:v>1.0724622203665695</c:v>
                </c:pt>
                <c:pt idx="186">
                  <c:v>1.0183230982022684</c:v>
                </c:pt>
                <c:pt idx="187">
                  <c:v>0.96073829301622715</c:v>
                </c:pt>
                <c:pt idx="188">
                  <c:v>0.89990265356115529</c:v>
                </c:pt>
                <c:pt idx="189">
                  <c:v>0.83602202838390072</c:v>
                </c:pt>
                <c:pt idx="190">
                  <c:v>0.7693125692991285</c:v>
                </c:pt>
                <c:pt idx="191">
                  <c:v>0.69999999999999973</c:v>
                </c:pt>
                <c:pt idx="192">
                  <c:v>0.62831885228064677</c:v>
                </c:pt>
                <c:pt idx="193">
                  <c:v>0.55451167245481925</c:v>
                </c:pt>
                <c:pt idx="194">
                  <c:v>0.47882820065593618</c:v>
                </c:pt>
                <c:pt idx="195">
                  <c:v>0.40152452579552633</c:v>
                </c:pt>
                <c:pt idx="196">
                  <c:v>0.32286221903941642</c:v>
                </c:pt>
                <c:pt idx="197">
                  <c:v>0.24310744873370263</c:v>
                </c:pt>
                <c:pt idx="198">
                  <c:v>0.16253007977532277</c:v>
                </c:pt>
                <c:pt idx="199">
                  <c:v>8.1402760474666283E-2</c:v>
                </c:pt>
                <c:pt idx="200">
                  <c:v>3.9662283873864731E-16</c:v>
                </c:pt>
                <c:pt idx="201">
                  <c:v>-8.1402760474665478E-2</c:v>
                </c:pt>
                <c:pt idx="202">
                  <c:v>-0.16253007977532166</c:v>
                </c:pt>
                <c:pt idx="203">
                  <c:v>-0.24310744873370155</c:v>
                </c:pt>
                <c:pt idx="204">
                  <c:v>-0.32286221903941537</c:v>
                </c:pt>
                <c:pt idx="205">
                  <c:v>-0.40152452579552522</c:v>
                </c:pt>
                <c:pt idx="206">
                  <c:v>-0.47882820065593518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1.5000000000000004</c:v>
                </c:pt>
                <c:pt idx="229">
                  <c:v>1.4978740435151434</c:v>
                </c:pt>
                <c:pt idx="230">
                  <c:v>1.4915022003152061</c:v>
                </c:pt>
                <c:pt idx="231">
                  <c:v>1.4809025320820173</c:v>
                </c:pt>
                <c:pt idx="232">
                  <c:v>1.4661050847268005</c:v>
                </c:pt>
                <c:pt idx="233">
                  <c:v>1.4471518032217743</c:v>
                </c:pt>
                <c:pt idx="234">
                  <c:v>1.4240964127025724</c:v>
                </c:pt>
                <c:pt idx="235">
                  <c:v>1.397004266178508</c:v>
                </c:pt>
                <c:pt idx="236">
                  <c:v>1.3659521592823702</c:v>
                </c:pt>
                <c:pt idx="237">
                  <c:v>1.331028112584858</c:v>
                </c:pt>
                <c:pt idx="238">
                  <c:v>1.2923311220907097</c:v>
                </c:pt>
                <c:pt idx="239">
                  <c:v>1.2499708786237729</c:v>
                </c:pt>
                <c:pt idx="240">
                  <c:v>1.204067456896446</c:v>
                </c:pt>
                <c:pt idx="241">
                  <c:v>1.1547509751448597</c:v>
                </c:pt>
                <c:pt idx="242">
                  <c:v>1.1021612262946012</c:v>
                </c:pt>
                <c:pt idx="243">
                  <c:v>1.0464472817024775</c:v>
                </c:pt>
                <c:pt idx="244">
                  <c:v>0.98776706859755814</c:v>
                </c:pt>
                <c:pt idx="245">
                  <c:v>0.92628692241928801</c:v>
                </c:pt>
                <c:pt idx="246">
                  <c:v>0.86218111532161035</c:v>
                </c:pt>
                <c:pt idx="247">
                  <c:v>0.79563136217961372</c:v>
                </c:pt>
                <c:pt idx="248">
                  <c:v>0.72682630549897531</c:v>
                </c:pt>
                <c:pt idx="249">
                  <c:v>0.65596098068828279</c:v>
                </c:pt>
                <c:pt idx="250">
                  <c:v>0.58323626320998101</c:v>
                </c:pt>
                <c:pt idx="251">
                  <c:v>0.50885829917704539</c:v>
                </c:pt>
                <c:pt idx="252">
                  <c:v>0.43303792100943156</c:v>
                </c:pt>
                <c:pt idx="253">
                  <c:v>0.35599004980667259</c:v>
                </c:pt>
                <c:pt idx="254">
                  <c:v>0.27793308613067153</c:v>
                </c:pt>
                <c:pt idx="255">
                  <c:v>0.19908829092558336</c:v>
                </c:pt>
                <c:pt idx="256">
                  <c:v>0.11967915832962536</c:v>
                </c:pt>
                <c:pt idx="257">
                  <c:v>3.9930782156662563E-2</c:v>
                </c:pt>
                <c:pt idx="258">
                  <c:v>-3.9930782156661383E-2</c:v>
                </c:pt>
                <c:pt idx="259">
                  <c:v>-0.11967915832962386</c:v>
                </c:pt>
                <c:pt idx="260">
                  <c:v>-0.19908829092558186</c:v>
                </c:pt>
                <c:pt idx="261">
                  <c:v>-0.27793308613067069</c:v>
                </c:pt>
                <c:pt idx="262">
                  <c:v>-0.35599004980667143</c:v>
                </c:pt>
                <c:pt idx="263">
                  <c:v>-0.43303792100943039</c:v>
                </c:pt>
                <c:pt idx="264">
                  <c:v>-0.50885829917704428</c:v>
                </c:pt>
                <c:pt idx="265">
                  <c:v>-0.58323626320997957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1.6000000000000005</c:v>
                </c:pt>
                <c:pt idx="289">
                  <c:v>1.5980727299282764</c:v>
                </c:pt>
                <c:pt idx="290">
                  <c:v>1.5922955626755155</c:v>
                </c:pt>
                <c:pt idx="291">
                  <c:v>1.5826824159436501</c:v>
                </c:pt>
                <c:pt idx="292">
                  <c:v>1.5692564486451692</c:v>
                </c:pt>
                <c:pt idx="293">
                  <c:v>1.5520500051112709</c:v>
                </c:pt>
                <c:pt idx="294">
                  <c:v>1.5311045371715346</c:v>
                </c:pt>
                <c:pt idx="295">
                  <c:v>1.5064705042928337</c:v>
                </c:pt>
                <c:pt idx="296">
                  <c:v>1.4782072520180594</c:v>
                </c:pt>
                <c:pt idx="297">
                  <c:v>1.4463828689975098</c:v>
                </c:pt>
                <c:pt idx="298">
                  <c:v>1.4110740229573686</c:v>
                </c:pt>
                <c:pt idx="299">
                  <c:v>1.3723657760004357</c:v>
                </c:pt>
                <c:pt idx="300">
                  <c:v>1.3303513796840729</c:v>
                </c:pt>
                <c:pt idx="301">
                  <c:v>1.2851320503690324</c:v>
                </c:pt>
                <c:pt idx="302">
                  <c:v>1.2368167253803797</c:v>
                </c:pt>
                <c:pt idx="303">
                  <c:v>1.1855218005679349</c:v>
                </c:pt>
                <c:pt idx="304">
                  <c:v>1.1313708498984765</c:v>
                </c:pt>
                <c:pt idx="305">
                  <c:v>1.0744943277552297</c:v>
                </c:pt>
                <c:pt idx="306">
                  <c:v>1.0150292546618331</c:v>
                </c:pt>
                <c:pt idx="307">
                  <c:v>0.95311888718789384</c:v>
                </c:pt>
                <c:pt idx="308">
                  <c:v>0.88891237283136393</c:v>
                </c:pt>
                <c:pt idx="309">
                  <c:v>0.82256439070915488</c:v>
                </c:pt>
                <c:pt idx="310">
                  <c:v>0.75423477892159674</c:v>
                </c:pt>
                <c:pt idx="311">
                  <c:v>0.68408814948845176</c:v>
                </c:pt>
                <c:pt idx="312">
                  <c:v>0.61229349178414394</c:v>
                </c:pt>
                <c:pt idx="313">
                  <c:v>0.53902376542755226</c:v>
                </c:pt>
                <c:pt idx="314">
                  <c:v>0.4644554836071399</c:v>
                </c:pt>
                <c:pt idx="315">
                  <c:v>0.38876828784522249</c:v>
                </c:pt>
                <c:pt idx="316">
                  <c:v>0.31214451522580544</c:v>
                </c:pt>
                <c:pt idx="317">
                  <c:v>0.23476875912857886</c:v>
                </c:pt>
                <c:pt idx="318">
                  <c:v>0.15682742452729728</c:v>
                </c:pt>
                <c:pt idx="319">
                  <c:v>7.8508278923869024E-2</c:v>
                </c:pt>
                <c:pt idx="320">
                  <c:v>9.8011876392689638E-17</c:v>
                </c:pt>
                <c:pt idx="321">
                  <c:v>-7.8508278923868843E-2</c:v>
                </c:pt>
                <c:pt idx="322">
                  <c:v>-0.15682742452729709</c:v>
                </c:pt>
                <c:pt idx="323">
                  <c:v>-0.2347687591285787</c:v>
                </c:pt>
                <c:pt idx="324">
                  <c:v>-0.31214451522580522</c:v>
                </c:pt>
                <c:pt idx="325">
                  <c:v>-0.38876828784522233</c:v>
                </c:pt>
                <c:pt idx="326">
                  <c:v>-0.46445548360713962</c:v>
                </c:pt>
                <c:pt idx="327">
                  <c:v>-0.53902376542755204</c:v>
                </c:pt>
                <c:pt idx="328">
                  <c:v>-0.61229349178414372</c:v>
                </c:pt>
                <c:pt idx="329">
                  <c:v>-0.6840881494884512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1.7000000000000006</c:v>
                </c:pt>
                <c:pt idx="354">
                  <c:v>1.6981860571640337</c:v>
                </c:pt>
                <c:pt idx="355">
                  <c:v>1.6927480997015592</c:v>
                </c:pt>
                <c:pt idx="356">
                  <c:v>1.6836977324878495</c:v>
                </c:pt>
                <c:pt idx="357">
                  <c:v>1.6710542694626336</c:v>
                </c:pt>
                <c:pt idx="358">
                  <c:v>1.6548446924131786</c:v>
                </c:pt>
                <c:pt idx="359">
                  <c:v>1.635103593393793</c:v>
                </c:pt>
                <c:pt idx="360">
                  <c:v>1.6118731009046425</c:v>
                </c:pt>
                <c:pt idx="361">
                  <c:v>1.5852027899874055</c:v>
                </c:pt>
                <c:pt idx="362">
                  <c:v>1.5551495764296364</c:v>
                </c:pt>
                <c:pt idx="363">
                  <c:v>1.5217775953036066</c:v>
                </c:pt>
                <c:pt idx="364">
                  <c:v>1.4851580640988289</c:v>
                </c:pt>
                <c:pt idx="365">
                  <c:v>1.4453691307403447</c:v>
                </c:pt>
                <c:pt idx="366">
                  <c:v>1.4024957068171144</c:v>
                </c:pt>
                <c:pt idx="367">
                  <c:v>1.3566292863764076</c:v>
                </c:pt>
                <c:pt idx="368">
                  <c:v>1.3078677506708947</c:v>
                </c:pt>
                <c:pt idx="369">
                  <c:v>1.2563151592751209</c:v>
                </c:pt>
                <c:pt idx="370">
                  <c:v>1.2020815280171309</c:v>
                </c:pt>
                <c:pt idx="371">
                  <c:v>1.1452825941991476</c:v>
                </c:pt>
                <c:pt idx="372">
                  <c:v>1.0860395696083345</c:v>
                </c:pt>
                <c:pt idx="373">
                  <c:v>1.0244788818447361</c:v>
                </c:pt>
                <c:pt idx="374">
                  <c:v>0.96073190451840618</c:v>
                </c:pt>
                <c:pt idx="375">
                  <c:v>0.89493467689150485</c:v>
                </c:pt>
                <c:pt idx="376">
                  <c:v>0.82722761356365548</c:v>
                </c:pt>
                <c:pt idx="377">
                  <c:v>0.75775520482011516</c:v>
                </c:pt>
                <c:pt idx="378">
                  <c:v>0.68666570828222129</c:v>
                </c:pt>
                <c:pt idx="379">
                  <c:v>0.61411083251816012</c:v>
                </c:pt>
                <c:pt idx="380">
                  <c:v>0.54024541328923303</c:v>
                </c:pt>
                <c:pt idx="381">
                  <c:v>0.4652270831225413</c:v>
                </c:pt>
                <c:pt idx="382">
                  <c:v>0.38921593491522855</c:v>
                </c:pt>
                <c:pt idx="383">
                  <c:v>0.31237418028817038</c:v>
                </c:pt>
                <c:pt idx="384">
                  <c:v>0.23486580341820038</c:v>
                </c:pt>
                <c:pt idx="385">
                  <c:v>0.15685621108761461</c:v>
                </c:pt>
                <c:pt idx="386">
                  <c:v>7.8511879697758719E-2</c:v>
                </c:pt>
                <c:pt idx="387">
                  <c:v>1.2365651037848929E-15</c:v>
                </c:pt>
                <c:pt idx="388">
                  <c:v>-7.8511879697755874E-2</c:v>
                </c:pt>
                <c:pt idx="389">
                  <c:v>-0.15685621108761177</c:v>
                </c:pt>
                <c:pt idx="390">
                  <c:v>-0.23486580341819754</c:v>
                </c:pt>
                <c:pt idx="391">
                  <c:v>-0.31237418028816794</c:v>
                </c:pt>
                <c:pt idx="392">
                  <c:v>-0.38921593491522616</c:v>
                </c:pt>
                <c:pt idx="393">
                  <c:v>-0.46522708312253891</c:v>
                </c:pt>
                <c:pt idx="394">
                  <c:v>-0.54024541328923026</c:v>
                </c:pt>
                <c:pt idx="395">
                  <c:v>-0.61411083251815735</c:v>
                </c:pt>
                <c:pt idx="396">
                  <c:v>-0.68666570828221873</c:v>
                </c:pt>
                <c:pt idx="397">
                  <c:v>-0.7577552048201126</c:v>
                </c:pt>
                <c:pt idx="398">
                  <c:v>-0.82722761356365304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1.8000000000000007</c:v>
                </c:pt>
                <c:pt idx="423">
                  <c:v>1.7982867988473448</c:v>
                </c:pt>
                <c:pt idx="424">
                  <c:v>1.7931504565651426</c:v>
                </c:pt>
                <c:pt idx="425">
                  <c:v>1.7846007504728594</c:v>
                </c:pt>
                <c:pt idx="426">
                  <c:v>1.7726539554219751</c:v>
                </c:pt>
                <c:pt idx="427">
                  <c:v>1.7573328128158807</c:v>
                </c:pt>
                <c:pt idx="428">
                  <c:v>1.7386664873203237</c:v>
                </c:pt>
                <c:pt idx="429">
                  <c:v>1.7166905113468092</c:v>
                </c:pt>
                <c:pt idx="430">
                  <c:v>1.6914467174146359</c:v>
                </c:pt>
                <c:pt idx="431">
                  <c:v>1.6629831585203168</c:v>
                </c:pt>
                <c:pt idx="432">
                  <c:v>1.6313540166659706</c:v>
                </c:pt>
                <c:pt idx="433">
                  <c:v>1.5966194997207996</c:v>
                </c:pt>
                <c:pt idx="434">
                  <c:v>1.5588457268119902</c:v>
                </c:pt>
                <c:pt idx="435">
                  <c:v>1.5181046024631948</c:v>
                </c:pt>
                <c:pt idx="436">
                  <c:v>1.4744736797201858</c:v>
                </c:pt>
                <c:pt idx="437">
                  <c:v>1.428036012524224</c:v>
                </c:pt>
                <c:pt idx="438">
                  <c:v>1.378879997614161</c:v>
                </c:pt>
                <c:pt idx="439">
                  <c:v>1.3270992062582239</c:v>
                </c:pt>
                <c:pt idx="440">
                  <c:v>1.2727922061357861</c:v>
                </c:pt>
                <c:pt idx="441">
                  <c:v>1.2160623737081888</c:v>
                </c:pt>
                <c:pt idx="442">
                  <c:v>1.1570176974357713</c:v>
                </c:pt>
                <c:pt idx="443">
                  <c:v>1.0957705722156976</c:v>
                </c:pt>
                <c:pt idx="444">
                  <c:v>1.0324375854318835</c:v>
                </c:pt>
                <c:pt idx="445">
                  <c:v>0.96713929502428342</c:v>
                </c:pt>
                <c:pt idx="446">
                  <c:v>0.90000000000000058</c:v>
                </c:pt>
                <c:pt idx="447">
                  <c:v>0.83114750382306168</c:v>
                </c:pt>
                <c:pt idx="448">
                  <c:v>0.76071287113325925</c:v>
                </c:pt>
                <c:pt idx="449">
                  <c:v>0.68883017825716197</c:v>
                </c:pt>
                <c:pt idx="450">
                  <c:v>0.61563625798620414</c:v>
                </c:pt>
                <c:pt idx="451">
                  <c:v>0.54127043910769168</c:v>
                </c:pt>
                <c:pt idx="452">
                  <c:v>0.4658742811845375</c:v>
                </c:pt>
                <c:pt idx="453">
                  <c:v>0.38959130508858536</c:v>
                </c:pt>
                <c:pt idx="454">
                  <c:v>0.31256671980047485</c:v>
                </c:pt>
                <c:pt idx="455">
                  <c:v>0.23494714599609318</c:v>
                </c:pt>
                <c:pt idx="456">
                  <c:v>0.1568803369457851</c:v>
                </c:pt>
                <c:pt idx="457">
                  <c:v>7.851489725760484E-2</c:v>
                </c:pt>
                <c:pt idx="458">
                  <c:v>1.1026336094177585E-16</c:v>
                </c:pt>
                <c:pt idx="459">
                  <c:v>-7.8514897257604632E-2</c:v>
                </c:pt>
                <c:pt idx="460">
                  <c:v>-0.15688033694578488</c:v>
                </c:pt>
                <c:pt idx="461">
                  <c:v>-0.23494714599609257</c:v>
                </c:pt>
                <c:pt idx="462">
                  <c:v>-0.31256671980047468</c:v>
                </c:pt>
                <c:pt idx="463">
                  <c:v>-0.38959130508858519</c:v>
                </c:pt>
                <c:pt idx="464">
                  <c:v>-0.46587428118453772</c:v>
                </c:pt>
                <c:pt idx="465">
                  <c:v>-0.54127043910769157</c:v>
                </c:pt>
                <c:pt idx="466">
                  <c:v>-0.61563625798620392</c:v>
                </c:pt>
                <c:pt idx="467">
                  <c:v>-0.68883017825716175</c:v>
                </c:pt>
                <c:pt idx="468">
                  <c:v>-0.76071287113325914</c:v>
                </c:pt>
                <c:pt idx="469">
                  <c:v>-0.83114750382306102</c:v>
                </c:pt>
                <c:pt idx="470">
                  <c:v>-0.89999999999999991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1.9000000000000008</c:v>
                </c:pt>
                <c:pt idx="496">
                  <c:v>1.8982880357888956</c:v>
                </c:pt>
                <c:pt idx="497">
                  <c:v>1.8931552282308013</c:v>
                </c:pt>
                <c:pt idx="498">
                  <c:v>1.8846108269918669</c:v>
                </c:pt>
                <c:pt idx="499">
                  <c:v>1.8726702296606468</c:v>
                </c:pt>
                <c:pt idx="500">
                  <c:v>1.8573549540006045</c:v>
                </c:pt>
                <c:pt idx="501">
                  <c:v>1.8386925991736487</c:v>
                </c:pt>
                <c:pt idx="502">
                  <c:v>1.8167167960045776</c:v>
                </c:pt>
                <c:pt idx="503">
                  <c:v>1.7914671463760607</c:v>
                </c:pt>
                <c:pt idx="504">
                  <c:v>1.7629891518633685</c:v>
                </c:pt>
                <c:pt idx="505">
                  <c:v>1.7313341317374586</c:v>
                </c:pt>
                <c:pt idx="506">
                  <c:v>1.6965591304841809</c:v>
                </c:pt>
                <c:pt idx="507">
                  <c:v>1.6587268150062584</c:v>
                </c:pt>
                <c:pt idx="508">
                  <c:v>1.6179053616932924</c:v>
                </c:pt>
                <c:pt idx="509">
                  <c:v>1.5741683335633008</c:v>
                </c:pt>
                <c:pt idx="510">
                  <c:v>1.5275945476971877</c:v>
                </c:pt>
                <c:pt idx="511">
                  <c:v>1.4782679332050357</c:v>
                </c:pt>
                <c:pt idx="512">
                  <c:v>1.4262773799801769</c:v>
                </c:pt>
                <c:pt idx="513">
                  <c:v>1.3717165785135967</c:v>
                </c:pt>
                <c:pt idx="514">
                  <c:v>1.3146838510573382</c:v>
                </c:pt>
                <c:pt idx="515">
                  <c:v>1.255281974441155</c:v>
                </c:pt>
                <c:pt idx="516">
                  <c:v>1.1936179948617205</c:v>
                </c:pt>
                <c:pt idx="517">
                  <c:v>1.1298030349781447</c:v>
                </c:pt>
                <c:pt idx="518">
                  <c:v>1.0639520936614311</c:v>
                </c:pt>
                <c:pt idx="519">
                  <c:v>0.99618383875874017</c:v>
                </c:pt>
                <c:pt idx="520">
                  <c:v>0.92662039324590539</c:v>
                </c:pt>
                <c:pt idx="521">
                  <c:v>0.8553871151535789</c:v>
                </c:pt>
                <c:pt idx="522">
                  <c:v>0.78261237166358544</c:v>
                </c:pt>
                <c:pt idx="523">
                  <c:v>0.70842730778258556</c:v>
                </c:pt>
                <c:pt idx="524">
                  <c:v>0.63296561000990825</c:v>
                </c:pt>
                <c:pt idx="525">
                  <c:v>0.5563632654254449</c:v>
                </c:pt>
                <c:pt idx="526">
                  <c:v>0.47875831663173679</c:v>
                </c:pt>
                <c:pt idx="527">
                  <c:v>0.40029061299187868</c:v>
                </c:pt>
                <c:pt idx="528">
                  <c:v>0.32110155861151168</c:v>
                </c:pt>
                <c:pt idx="529">
                  <c:v>0.24133385751906827</c:v>
                </c:pt>
                <c:pt idx="530">
                  <c:v>0.16113125650346591</c:v>
                </c:pt>
                <c:pt idx="531">
                  <c:v>8.0638286072680004E-2</c:v>
                </c:pt>
                <c:pt idx="532">
                  <c:v>-1.9930346435714793E-15</c:v>
                </c:pt>
                <c:pt idx="533">
                  <c:v>-8.0638286072683557E-2</c:v>
                </c:pt>
                <c:pt idx="534">
                  <c:v>-0.16113125650346988</c:v>
                </c:pt>
                <c:pt idx="535">
                  <c:v>-0.2413338575190718</c:v>
                </c:pt>
                <c:pt idx="536">
                  <c:v>-0.32110155861151524</c:v>
                </c:pt>
                <c:pt idx="537">
                  <c:v>-0.40029061299188257</c:v>
                </c:pt>
                <c:pt idx="538">
                  <c:v>-0.47875831663174029</c:v>
                </c:pt>
                <c:pt idx="539">
                  <c:v>-0.55636326542544789</c:v>
                </c:pt>
                <c:pt idx="540">
                  <c:v>-0.63296561000991203</c:v>
                </c:pt>
                <c:pt idx="541">
                  <c:v>-0.70842730778258889</c:v>
                </c:pt>
                <c:pt idx="542">
                  <c:v>-0.7826123716635891</c:v>
                </c:pt>
                <c:pt idx="543">
                  <c:v>-0.85538711515358201</c:v>
                </c:pt>
                <c:pt idx="544">
                  <c:v>-0.9266203932459085</c:v>
                </c:pt>
                <c:pt idx="545">
                  <c:v>-0.99618383875874328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2.0000000000000009</c:v>
                </c:pt>
                <c:pt idx="571">
                  <c:v>1.9984187944546046</c:v>
                </c:pt>
                <c:pt idx="572">
                  <c:v>1.9936776780293926</c:v>
                </c:pt>
                <c:pt idx="573">
                  <c:v>1.9857841474039477</c:v>
                </c:pt>
                <c:pt idx="574">
                  <c:v>1.9747506838726676</c:v>
                </c:pt>
                <c:pt idx="575">
                  <c:v>1.9605947336092733</c:v>
                </c:pt>
                <c:pt idx="576">
                  <c:v>1.943338680080821</c:v>
                </c:pt>
                <c:pt idx="577">
                  <c:v>1.9230098086548417</c:v>
                </c:pt>
                <c:pt idx="578">
                  <c:v>1.8996402634555662</c:v>
                </c:pt>
                <c:pt idx="579">
                  <c:v>1.8732669965374567</c:v>
                </c:pt>
                <c:pt idx="580">
                  <c:v>1.843931709456414</c:v>
                </c:pt>
                <c:pt idx="581">
                  <c:v>1.8116807873310472</c:v>
                </c:pt>
                <c:pt idx="582">
                  <c:v>1.7765652254982645</c:v>
                </c:pt>
                <c:pt idx="583">
                  <c:v>1.7386405488791656</c:v>
                </c:pt>
                <c:pt idx="584">
                  <c:v>1.6979667241827283</c:v>
                </c:pt>
                <c:pt idx="585">
                  <c:v>1.6546080650861148</c:v>
                </c:pt>
                <c:pt idx="586">
                  <c:v>1.60863313054153</c:v>
                </c:pt>
                <c:pt idx="587">
                  <c:v>1.5601146163704249</c:v>
                </c:pt>
                <c:pt idx="588">
                  <c:v>1.5091292403164609</c:v>
                </c:pt>
                <c:pt idx="589">
                  <c:v>1.4557576207389888</c:v>
                </c:pt>
                <c:pt idx="590">
                  <c:v>1.4000841491388514</c:v>
                </c:pt>
                <c:pt idx="591">
                  <c:v>1.3421968567180744</c:v>
                </c:pt>
                <c:pt idx="592">
                  <c:v>1.282187275184441</c:v>
                </c:pt>
                <c:pt idx="593">
                  <c:v>1.2201502920210494</c:v>
                </c:pt>
                <c:pt idx="594">
                  <c:v>1.1561840004496975</c:v>
                </c:pt>
                <c:pt idx="595">
                  <c:v>1.090389544325336</c:v>
                </c:pt>
                <c:pt idx="596">
                  <c:v>1.0228709582068454</c:v>
                </c:pt>
                <c:pt idx="597">
                  <c:v>0.95373500285701274</c:v>
                </c:pt>
                <c:pt idx="598">
                  <c:v>0.88309099643182498</c:v>
                </c:pt>
                <c:pt idx="599">
                  <c:v>0.81105064162598839</c:v>
                </c:pt>
                <c:pt idx="600">
                  <c:v>0.73772784904801647</c:v>
                </c:pt>
                <c:pt idx="601">
                  <c:v>0.66323855710413604</c:v>
                </c:pt>
                <c:pt idx="602">
                  <c:v>0.58770054867584198</c:v>
                </c:pt>
                <c:pt idx="603">
                  <c:v>0.51123326488094922</c:v>
                </c:pt>
                <c:pt idx="604">
                  <c:v>0.43395761621263612</c:v>
                </c:pt>
                <c:pt idx="605">
                  <c:v>0.35599579135510023</c:v>
                </c:pt>
                <c:pt idx="606">
                  <c:v>0.27747106397813587</c:v>
                </c:pt>
                <c:pt idx="607">
                  <c:v>0.19850759781612229</c:v>
                </c:pt>
                <c:pt idx="608">
                  <c:v>0.11923025033963902</c:v>
                </c:pt>
                <c:pt idx="609">
                  <c:v>3.9764375330138838E-2</c:v>
                </c:pt>
                <c:pt idx="610">
                  <c:v>-3.9764375330141703E-2</c:v>
                </c:pt>
                <c:pt idx="611">
                  <c:v>-0.11923025033964188</c:v>
                </c:pt>
                <c:pt idx="612">
                  <c:v>-0.1985075978161247</c:v>
                </c:pt>
                <c:pt idx="613">
                  <c:v>-0.2774710639781387</c:v>
                </c:pt>
                <c:pt idx="614">
                  <c:v>-0.35599579135510306</c:v>
                </c:pt>
                <c:pt idx="615">
                  <c:v>-0.43395761621263845</c:v>
                </c:pt>
                <c:pt idx="616">
                  <c:v>-0.511233264880952</c:v>
                </c:pt>
                <c:pt idx="617">
                  <c:v>-0.5877005486758442</c:v>
                </c:pt>
                <c:pt idx="618">
                  <c:v>-0.66323855710413837</c:v>
                </c:pt>
                <c:pt idx="619">
                  <c:v>-0.73772784904801914</c:v>
                </c:pt>
                <c:pt idx="620">
                  <c:v>-0.81105064162599061</c:v>
                </c:pt>
                <c:pt idx="621">
                  <c:v>-0.88309099643182676</c:v>
                </c:pt>
                <c:pt idx="622">
                  <c:v>-0.95373500285701607</c:v>
                </c:pt>
                <c:pt idx="623">
                  <c:v>-1.0228709582068478</c:v>
                </c:pt>
                <c:pt idx="624">
                  <c:v>-1.0903895443253389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calculations'!$L$3:$L$652</c:f>
              <c:numCache>
                <c:formatCode>0.0</c:formatCode>
                <c:ptCount val="650"/>
                <c:pt idx="0">
                  <c:v>0</c:v>
                </c:pt>
                <c:pt idx="1">
                  <c:v>8.7155742747658166E-2</c:v>
                </c:pt>
                <c:pt idx="2">
                  <c:v>0.17364817766693033</c:v>
                </c:pt>
                <c:pt idx="3">
                  <c:v>0.25881904510252074</c:v>
                </c:pt>
                <c:pt idx="4">
                  <c:v>0.34202014332566871</c:v>
                </c:pt>
                <c:pt idx="5">
                  <c:v>0.42261826174069944</c:v>
                </c:pt>
                <c:pt idx="6">
                  <c:v>0.49999999999999994</c:v>
                </c:pt>
                <c:pt idx="7">
                  <c:v>0.57357643635104605</c:v>
                </c:pt>
                <c:pt idx="8">
                  <c:v>0.64278760968653925</c:v>
                </c:pt>
                <c:pt idx="9">
                  <c:v>0.70710678118654746</c:v>
                </c:pt>
                <c:pt idx="10">
                  <c:v>0.76604444311897801</c:v>
                </c:pt>
                <c:pt idx="11">
                  <c:v>0.8191520442889918</c:v>
                </c:pt>
                <c:pt idx="12">
                  <c:v>0.8660254037844386</c:v>
                </c:pt>
                <c:pt idx="13">
                  <c:v>0.90630778703664994</c:v>
                </c:pt>
                <c:pt idx="14">
                  <c:v>0.93969262078590832</c:v>
                </c:pt>
                <c:pt idx="15">
                  <c:v>0.96592582628906831</c:v>
                </c:pt>
                <c:pt idx="16">
                  <c:v>0.98480775301220802</c:v>
                </c:pt>
                <c:pt idx="17">
                  <c:v>0.99619469809174555</c:v>
                </c:pt>
                <c:pt idx="18">
                  <c:v>1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</c:v>
                </c:pt>
                <c:pt idx="38">
                  <c:v>8.6305005300629442E-2</c:v>
                </c:pt>
                <c:pt idx="39">
                  <c:v>0.17207791154425398</c:v>
                </c:pt>
                <c:pt idx="40">
                  <c:v>0.25678990024149595</c:v>
                </c:pt>
                <c:pt idx="41">
                  <c:v>0.33991869381244216</c:v>
                </c:pt>
                <c:pt idx="42">
                  <c:v>0.4209517756015988</c:v>
                </c:pt>
                <c:pt idx="43">
                  <c:v>0.49938954971350147</c:v>
                </c:pt>
                <c:pt idx="44">
                  <c:v>0.57474842118754377</c:v>
                </c:pt>
                <c:pt idx="45">
                  <c:v>0.64656377752172045</c:v>
                </c:pt>
                <c:pt idx="46">
                  <c:v>0.71439285316320211</c:v>
                </c:pt>
                <c:pt idx="47">
                  <c:v>0.7778174593052023</c:v>
                </c:pt>
                <c:pt idx="48">
                  <c:v>0.83644656216003421</c:v>
                </c:pt>
                <c:pt idx="49">
                  <c:v>0.88991869381244226</c:v>
                </c:pt>
                <c:pt idx="50">
                  <c:v>0.93790418078950144</c:v>
                </c:pt>
                <c:pt idx="51">
                  <c:v>0.9801071766072047</c:v>
                </c:pt>
                <c:pt idx="52">
                  <c:v>1.0162674857624154</c:v>
                </c:pt>
                <c:pt idx="53">
                  <c:v>1.0461621679246689</c:v>
                </c:pt>
                <c:pt idx="54">
                  <c:v>1.0696069124374443</c:v>
                </c:pt>
                <c:pt idx="55">
                  <c:v>1.0864571746546516</c:v>
                </c:pt>
                <c:pt idx="56">
                  <c:v>1.0966090671064408</c:v>
                </c:pt>
                <c:pt idx="57">
                  <c:v>1.1000000000000001</c:v>
                </c:pt>
                <c:pt idx="58">
                  <c:v>1.0966090671064408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0</c:v>
                </c:pt>
                <c:pt idx="79">
                  <c:v>8.5607019839078827E-2</c:v>
                </c:pt>
                <c:pt idx="80">
                  <c:v>0.1707778059279422</c:v>
                </c:pt>
                <c:pt idx="81">
                  <c:v>0.25507834746357205</c:v>
                </c:pt>
                <c:pt idx="82">
                  <c:v>0.33807906820971567</c:v>
                </c:pt>
                <c:pt idx="83">
                  <c:v>0.41935701551891802</c:v>
                </c:pt>
                <c:pt idx="84">
                  <c:v>0.49849801560226376</c:v>
                </c:pt>
                <c:pt idx="85">
                  <c:v>0.57509878406406811</c:v>
                </c:pt>
                <c:pt idx="86">
                  <c:v>0.6487689809467172</c:v>
                </c:pt>
                <c:pt idx="87">
                  <c:v>0.71913319981361645</c:v>
                </c:pt>
                <c:pt idx="88">
                  <c:v>0.78583288073434221</c:v>
                </c:pt>
                <c:pt idx="89">
                  <c:v>0.84852813742385735</c:v>
                </c:pt>
                <c:pt idx="90">
                  <c:v>0.9068994892251101</c:v>
                </c:pt>
                <c:pt idx="91">
                  <c:v>0.96064948910923276</c:v>
                </c:pt>
                <c:pt idx="92">
                  <c:v>1.0095042393974176</c:v>
                </c:pt>
                <c:pt idx="93">
                  <c:v>1.0532147874807072</c:v>
                </c:pt>
                <c:pt idx="94">
                  <c:v>1.0915583944254224</c:v>
                </c:pt>
                <c:pt idx="95">
                  <c:v>1.1243396699997144</c:v>
                </c:pt>
                <c:pt idx="96">
                  <c:v>1.151391568337397</c:v>
                </c:pt>
                <c:pt idx="97">
                  <c:v>1.1725762391653918</c:v>
                </c:pt>
                <c:pt idx="98">
                  <c:v>1.1877857302571195</c:v>
                </c:pt>
                <c:pt idx="99">
                  <c:v>1.1969425375323046</c:v>
                </c:pt>
                <c:pt idx="100">
                  <c:v>1.2000000000000002</c:v>
                </c:pt>
                <c:pt idx="101">
                  <c:v>1.1969425375323044</c:v>
                </c:pt>
                <c:pt idx="102">
                  <c:v>1.1877857302571193</c:v>
                </c:pt>
                <c:pt idx="103">
                  <c:v>1.1725762391653916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0</c:v>
                </c:pt>
                <c:pt idx="124">
                  <c:v>8.3291285974926826E-2</c:v>
                </c:pt>
                <c:pt idx="125">
                  <c:v>0.16624031018985785</c:v>
                </c:pt>
                <c:pt idx="126">
                  <c:v>0.24850621731178407</c:v>
                </c:pt>
                <c:pt idx="127">
                  <c:v>0.32975095908235968</c:v>
                </c:pt>
                <c:pt idx="128">
                  <c:v>0.40964068343070703</c:v>
                </c:pt>
                <c:pt idx="129">
                  <c:v>0.48784710634318651</c:v>
                </c:pt>
                <c:pt idx="130">
                  <c:v>0.56404886085282568</c:v>
                </c:pt>
                <c:pt idx="131">
                  <c:v>0.63793281760511944</c:v>
                </c:pt>
                <c:pt idx="132">
                  <c:v>0.70919537157371348</c:v>
                </c:pt>
                <c:pt idx="133">
                  <c:v>0.77754368963858111</c:v>
                </c:pt>
                <c:pt idx="134">
                  <c:v>0.84269691390012513</c:v>
                </c:pt>
                <c:pt idx="135">
                  <c:v>0.90438731578453257</c:v>
                </c:pt>
                <c:pt idx="136">
                  <c:v>0.96236139619791061</c:v>
                </c:pt>
                <c:pt idx="137">
                  <c:v>1.0163809272084392</c:v>
                </c:pt>
                <c:pt idx="138">
                  <c:v>1.0662239309760431</c:v>
                </c:pt>
                <c:pt idx="139">
                  <c:v>1.1116855919069504</c:v>
                </c:pt>
                <c:pt idx="140">
                  <c:v>1.1525790982849007</c:v>
                </c:pt>
                <c:pt idx="141">
                  <c:v>1.1887364099205568</c:v>
                </c:pt>
                <c:pt idx="142">
                  <c:v>1.220008948664689</c:v>
                </c:pt>
                <c:pt idx="143">
                  <c:v>1.2462682089476591</c:v>
                </c:pt>
                <c:pt idx="144">
                  <c:v>1.267406285836371</c:v>
                </c:pt>
                <c:pt idx="145">
                  <c:v>1.2833363184387856</c:v>
                </c:pt>
                <c:pt idx="146">
                  <c:v>1.2939928468339579</c:v>
                </c:pt>
                <c:pt idx="147">
                  <c:v>1.2993320810608946</c:v>
                </c:pt>
                <c:pt idx="148">
                  <c:v>1.2993320810608946</c:v>
                </c:pt>
                <c:pt idx="149">
                  <c:v>1.2939928468339579</c:v>
                </c:pt>
                <c:pt idx="150">
                  <c:v>1.2833363184387852</c:v>
                </c:pt>
                <c:pt idx="151">
                  <c:v>1.2674062858363706</c:v>
                </c:pt>
                <c:pt idx="152">
                  <c:v>1.2462682089476587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0</c:v>
                </c:pt>
                <c:pt idx="174">
                  <c:v>8.1402760474666186E-2</c:v>
                </c:pt>
                <c:pt idx="175">
                  <c:v>0.16253007977532238</c:v>
                </c:pt>
                <c:pt idx="176">
                  <c:v>0.24310744873370252</c:v>
                </c:pt>
                <c:pt idx="177">
                  <c:v>0.32286221903941636</c:v>
                </c:pt>
                <c:pt idx="178">
                  <c:v>0.40152452579552644</c:v>
                </c:pt>
                <c:pt idx="179">
                  <c:v>0.47882820065593634</c:v>
                </c:pt>
                <c:pt idx="180">
                  <c:v>0.55451167245481969</c:v>
                </c:pt>
                <c:pt idx="181">
                  <c:v>0.6283188522806471</c:v>
                </c:pt>
                <c:pt idx="182">
                  <c:v>0.70000000000000007</c:v>
                </c:pt>
                <c:pt idx="183">
                  <c:v>0.7693125692991285</c:v>
                </c:pt>
                <c:pt idx="184">
                  <c:v>0.83602202838390083</c:v>
                </c:pt>
                <c:pt idx="185">
                  <c:v>0.89990265356115517</c:v>
                </c:pt>
                <c:pt idx="186">
                  <c:v>0.96073829301622726</c:v>
                </c:pt>
                <c:pt idx="187">
                  <c:v>1.0183230982022684</c:v>
                </c:pt>
                <c:pt idx="188">
                  <c:v>1.0724622203665695</c:v>
                </c:pt>
                <c:pt idx="189">
                  <c:v>1.1229724698570616</c:v>
                </c:pt>
                <c:pt idx="190">
                  <c:v>1.1696829359781113</c:v>
                </c:pt>
                <c:pt idx="191">
                  <c:v>1.2124355652982146</c:v>
                </c:pt>
                <c:pt idx="192">
                  <c:v>1.2510856964527777</c:v>
                </c:pt>
                <c:pt idx="193">
                  <c:v>1.285502549632384</c:v>
                </c:pt>
                <c:pt idx="194">
                  <c:v>1.3155696691002721</c:v>
                </c:pt>
                <c:pt idx="195">
                  <c:v>1.3411853172416848</c:v>
                </c:pt>
                <c:pt idx="196">
                  <c:v>1.3622628188117536</c:v>
                </c:pt>
                <c:pt idx="197">
                  <c:v>1.3787308542170915</c:v>
                </c:pt>
                <c:pt idx="198">
                  <c:v>1.3905337008387204</c:v>
                </c:pt>
                <c:pt idx="199">
                  <c:v>1.3976314215797758</c:v>
                </c:pt>
                <c:pt idx="200">
                  <c:v>1.4000000000000004</c:v>
                </c:pt>
                <c:pt idx="201">
                  <c:v>1.397631421579776</c:v>
                </c:pt>
                <c:pt idx="202">
                  <c:v>1.3905337008387206</c:v>
                </c:pt>
                <c:pt idx="203">
                  <c:v>1.3787308542170917</c:v>
                </c:pt>
                <c:pt idx="204">
                  <c:v>1.362262818811754</c:v>
                </c:pt>
                <c:pt idx="205">
                  <c:v>1.3411853172416852</c:v>
                </c:pt>
                <c:pt idx="206">
                  <c:v>1.3155696691002725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0</c:v>
                </c:pt>
                <c:pt idx="229">
                  <c:v>7.9833262263267993E-2</c:v>
                </c:pt>
                <c:pt idx="230">
                  <c:v>0.15944022847104816</c:v>
                </c:pt>
                <c:pt idx="231">
                  <c:v>0.23859524402860818</c:v>
                </c:pt>
                <c:pt idx="232">
                  <c:v>0.31707393544443657</c:v>
                </c:pt>
                <c:pt idx="233">
                  <c:v>0.39465384634128203</c:v>
                </c:pt>
                <c:pt idx="234">
                  <c:v>0.47111506803292319</c:v>
                </c:pt>
                <c:pt idx="235">
                  <c:v>0.54624086287923324</c:v>
                </c:pt>
                <c:pt idx="236">
                  <c:v>0.61981827865256733</c:v>
                </c:pt>
                <c:pt idx="237">
                  <c:v>0.69163875217398885</c:v>
                </c:pt>
                <c:pt idx="238">
                  <c:v>0.76149870050825996</c:v>
                </c:pt>
                <c:pt idx="239">
                  <c:v>0.82920009804179018</c:v>
                </c:pt>
                <c:pt idx="240">
                  <c:v>0.89455103780775225</c:v>
                </c:pt>
                <c:pt idx="241">
                  <c:v>0.95736627546723041</c:v>
                </c:pt>
                <c:pt idx="242">
                  <c:v>1.0174677544044244</c:v>
                </c:pt>
                <c:pt idx="243">
                  <c:v>1.0746851104474728</c:v>
                </c:pt>
                <c:pt idx="244">
                  <c:v>1.1288561547842082</c:v>
                </c:pt>
                <c:pt idx="245">
                  <c:v>1.1798273337039642</c:v>
                </c:pt>
                <c:pt idx="246">
                  <c:v>1.227454163862254</c:v>
                </c:pt>
                <c:pt idx="247">
                  <c:v>1.2716016418345069</c:v>
                </c:pt>
                <c:pt idx="248">
                  <c:v>1.3121446267979424</c:v>
                </c:pt>
                <c:pt idx="249">
                  <c:v>1.3489681952568295</c:v>
                </c:pt>
                <c:pt idx="250">
                  <c:v>1.38196796680562</c:v>
                </c:pt>
                <c:pt idx="251">
                  <c:v>1.4110504000065505</c:v>
                </c:pt>
                <c:pt idx="252">
                  <c:v>1.4361330575430087</c:v>
                </c:pt>
                <c:pt idx="253">
                  <c:v>1.4571448398970654</c:v>
                </c:pt>
                <c:pt idx="254">
                  <c:v>1.4740261868887818</c:v>
                </c:pt>
                <c:pt idx="255">
                  <c:v>1.4867292465060111</c:v>
                </c:pt>
                <c:pt idx="256">
                  <c:v>1.4952180105461257</c:v>
                </c:pt>
                <c:pt idx="257">
                  <c:v>1.4994684166851793</c:v>
                </c:pt>
                <c:pt idx="258">
                  <c:v>1.4994684166851793</c:v>
                </c:pt>
                <c:pt idx="259">
                  <c:v>1.4952180105461257</c:v>
                </c:pt>
                <c:pt idx="260">
                  <c:v>1.4867292465060113</c:v>
                </c:pt>
                <c:pt idx="261">
                  <c:v>1.4740261868887821</c:v>
                </c:pt>
                <c:pt idx="262">
                  <c:v>1.4571448398970654</c:v>
                </c:pt>
                <c:pt idx="263">
                  <c:v>1.4361330575430089</c:v>
                </c:pt>
                <c:pt idx="264">
                  <c:v>1.4110504000065507</c:v>
                </c:pt>
                <c:pt idx="265">
                  <c:v>1.3819679668056206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0</c:v>
                </c:pt>
                <c:pt idx="289">
                  <c:v>7.8508278923868843E-2</c:v>
                </c:pt>
                <c:pt idx="290">
                  <c:v>0.156827424527297</c:v>
                </c:pt>
                <c:pt idx="291">
                  <c:v>0.23476875912857886</c:v>
                </c:pt>
                <c:pt idx="292">
                  <c:v>0.31214451522580527</c:v>
                </c:pt>
                <c:pt idx="293">
                  <c:v>0.38876828784522233</c:v>
                </c:pt>
                <c:pt idx="294">
                  <c:v>0.4644554836071399</c:v>
                </c:pt>
                <c:pt idx="295">
                  <c:v>0.53902376542755226</c:v>
                </c:pt>
                <c:pt idx="296">
                  <c:v>0.61229349178414383</c:v>
                </c:pt>
                <c:pt idx="297">
                  <c:v>0.68408814948845154</c:v>
                </c:pt>
                <c:pt idx="298">
                  <c:v>0.75423477892159652</c:v>
                </c:pt>
                <c:pt idx="299">
                  <c:v>0.82256439070915488</c:v>
                </c:pt>
                <c:pt idx="300">
                  <c:v>0.88891237283136382</c:v>
                </c:pt>
                <c:pt idx="301">
                  <c:v>0.95311888718789373</c:v>
                </c:pt>
                <c:pt idx="302">
                  <c:v>1.0150292546618331</c:v>
                </c:pt>
                <c:pt idx="303">
                  <c:v>1.0744943277552297</c:v>
                </c:pt>
                <c:pt idx="304">
                  <c:v>1.1313708498984762</c:v>
                </c:pt>
                <c:pt idx="305">
                  <c:v>1.1855218005679349</c:v>
                </c:pt>
                <c:pt idx="306">
                  <c:v>1.2368167253803797</c:v>
                </c:pt>
                <c:pt idx="307">
                  <c:v>1.2851320503690322</c:v>
                </c:pt>
                <c:pt idx="308">
                  <c:v>1.3303513796840729</c:v>
                </c:pt>
                <c:pt idx="309">
                  <c:v>1.3723657760004357</c:v>
                </c:pt>
                <c:pt idx="310">
                  <c:v>1.4110740229573684</c:v>
                </c:pt>
                <c:pt idx="311">
                  <c:v>1.4463828689975098</c:v>
                </c:pt>
                <c:pt idx="312">
                  <c:v>1.4782072520180594</c:v>
                </c:pt>
                <c:pt idx="313">
                  <c:v>1.5064705042928337</c:v>
                </c:pt>
                <c:pt idx="314">
                  <c:v>1.5311045371715348</c:v>
                </c:pt>
                <c:pt idx="315">
                  <c:v>1.5520500051112709</c:v>
                </c:pt>
                <c:pt idx="316">
                  <c:v>1.5692564486451692</c:v>
                </c:pt>
                <c:pt idx="317">
                  <c:v>1.5826824159436501</c:v>
                </c:pt>
                <c:pt idx="318">
                  <c:v>1.5922955626755155</c:v>
                </c:pt>
                <c:pt idx="319">
                  <c:v>1.5980727299282764</c:v>
                </c:pt>
                <c:pt idx="320">
                  <c:v>1.6000000000000005</c:v>
                </c:pt>
                <c:pt idx="321">
                  <c:v>1.5980727299282764</c:v>
                </c:pt>
                <c:pt idx="322">
                  <c:v>1.5922955626755155</c:v>
                </c:pt>
                <c:pt idx="323">
                  <c:v>1.5826824159436501</c:v>
                </c:pt>
                <c:pt idx="324">
                  <c:v>1.5692564486451692</c:v>
                </c:pt>
                <c:pt idx="325">
                  <c:v>1.5520500051112709</c:v>
                </c:pt>
                <c:pt idx="326">
                  <c:v>1.5311045371715348</c:v>
                </c:pt>
                <c:pt idx="327">
                  <c:v>1.5064705042928337</c:v>
                </c:pt>
                <c:pt idx="328">
                  <c:v>1.4782072520180594</c:v>
                </c:pt>
                <c:pt idx="329">
                  <c:v>1.44638286899751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0</c:v>
                </c:pt>
                <c:pt idx="354">
                  <c:v>7.8511879697757331E-2</c:v>
                </c:pt>
                <c:pt idx="355">
                  <c:v>0.15685621108761344</c:v>
                </c:pt>
                <c:pt idx="356">
                  <c:v>0.23486580341819982</c:v>
                </c:pt>
                <c:pt idx="357">
                  <c:v>0.31237418028816971</c:v>
                </c:pt>
                <c:pt idx="358">
                  <c:v>0.38921593491522799</c:v>
                </c:pt>
                <c:pt idx="359">
                  <c:v>0.46522708312254096</c:v>
                </c:pt>
                <c:pt idx="360">
                  <c:v>0.54024541328923292</c:v>
                </c:pt>
                <c:pt idx="361">
                  <c:v>0.61411083251816023</c:v>
                </c:pt>
                <c:pt idx="362">
                  <c:v>0.68666570828222162</c:v>
                </c:pt>
                <c:pt idx="363">
                  <c:v>0.75775520482011527</c:v>
                </c:pt>
                <c:pt idx="364">
                  <c:v>0.82722761356365604</c:v>
                </c:pt>
                <c:pt idx="365">
                  <c:v>0.89493467689150508</c:v>
                </c:pt>
                <c:pt idx="366">
                  <c:v>0.96073190451840651</c:v>
                </c:pt>
                <c:pt idx="367">
                  <c:v>1.0244788818447363</c:v>
                </c:pt>
                <c:pt idx="368">
                  <c:v>1.0860395696083345</c:v>
                </c:pt>
                <c:pt idx="369">
                  <c:v>1.1452825941991478</c:v>
                </c:pt>
                <c:pt idx="370">
                  <c:v>1.2020815280171315</c:v>
                </c:pt>
                <c:pt idx="371">
                  <c:v>1.2563151592751212</c:v>
                </c:pt>
                <c:pt idx="372">
                  <c:v>1.3078677506708949</c:v>
                </c:pt>
                <c:pt idx="373">
                  <c:v>1.3566292863764078</c:v>
                </c:pt>
                <c:pt idx="374">
                  <c:v>1.4024957068171147</c:v>
                </c:pt>
                <c:pt idx="375">
                  <c:v>1.4453691307403447</c:v>
                </c:pt>
                <c:pt idx="376">
                  <c:v>1.4851580640988291</c:v>
                </c:pt>
                <c:pt idx="377">
                  <c:v>1.5217775953036066</c:v>
                </c:pt>
                <c:pt idx="378">
                  <c:v>1.5551495764296364</c:v>
                </c:pt>
                <c:pt idx="379">
                  <c:v>1.5852027899874055</c:v>
                </c:pt>
                <c:pt idx="380">
                  <c:v>1.6118731009046425</c:v>
                </c:pt>
                <c:pt idx="381">
                  <c:v>1.635103593393793</c:v>
                </c:pt>
                <c:pt idx="382">
                  <c:v>1.6548446924131783</c:v>
                </c:pt>
                <c:pt idx="383">
                  <c:v>1.6710542694626334</c:v>
                </c:pt>
                <c:pt idx="384">
                  <c:v>1.6836977324878493</c:v>
                </c:pt>
                <c:pt idx="385">
                  <c:v>1.6927480997015592</c:v>
                </c:pt>
                <c:pt idx="386">
                  <c:v>1.6981860571640337</c:v>
                </c:pt>
                <c:pt idx="387">
                  <c:v>1.7000000000000006</c:v>
                </c:pt>
                <c:pt idx="388">
                  <c:v>1.6981860571640339</c:v>
                </c:pt>
                <c:pt idx="389">
                  <c:v>1.6927480997015594</c:v>
                </c:pt>
                <c:pt idx="390">
                  <c:v>1.6836977324878497</c:v>
                </c:pt>
                <c:pt idx="391">
                  <c:v>1.671054269462634</c:v>
                </c:pt>
                <c:pt idx="392">
                  <c:v>1.6548446924131788</c:v>
                </c:pt>
                <c:pt idx="393">
                  <c:v>1.6351035933937936</c:v>
                </c:pt>
                <c:pt idx="394">
                  <c:v>1.6118731009046434</c:v>
                </c:pt>
                <c:pt idx="395">
                  <c:v>1.5852027899874066</c:v>
                </c:pt>
                <c:pt idx="396">
                  <c:v>1.5551495764296377</c:v>
                </c:pt>
                <c:pt idx="397">
                  <c:v>1.5217775953036079</c:v>
                </c:pt>
                <c:pt idx="398">
                  <c:v>1.4851580640988304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0</c:v>
                </c:pt>
                <c:pt idx="423">
                  <c:v>7.8514897257604827E-2</c:v>
                </c:pt>
                <c:pt idx="424">
                  <c:v>0.15688033694578477</c:v>
                </c:pt>
                <c:pt idx="425">
                  <c:v>0.23494714599609293</c:v>
                </c:pt>
                <c:pt idx="426">
                  <c:v>0.31256671980047473</c:v>
                </c:pt>
                <c:pt idx="427">
                  <c:v>0.3895913050885853</c:v>
                </c:pt>
                <c:pt idx="428">
                  <c:v>0.4658742811845375</c:v>
                </c:pt>
                <c:pt idx="429">
                  <c:v>0.54127043910769179</c:v>
                </c:pt>
                <c:pt idx="430">
                  <c:v>0.61563625798620392</c:v>
                </c:pt>
                <c:pt idx="431">
                  <c:v>0.68883017825716186</c:v>
                </c:pt>
                <c:pt idx="432">
                  <c:v>0.76071287113325925</c:v>
                </c:pt>
                <c:pt idx="433">
                  <c:v>0.83114750382306135</c:v>
                </c:pt>
                <c:pt idx="434">
                  <c:v>0.90000000000000024</c:v>
                </c:pt>
                <c:pt idx="435">
                  <c:v>0.96713929502428342</c:v>
                </c:pt>
                <c:pt idx="436">
                  <c:v>1.0324375854318832</c:v>
                </c:pt>
                <c:pt idx="437">
                  <c:v>1.0957705722156976</c:v>
                </c:pt>
                <c:pt idx="438">
                  <c:v>1.1570176974357711</c:v>
                </c:pt>
                <c:pt idx="439">
                  <c:v>1.2160623737081888</c:v>
                </c:pt>
                <c:pt idx="440">
                  <c:v>1.2727922061357859</c:v>
                </c:pt>
                <c:pt idx="441">
                  <c:v>1.3270992062582239</c:v>
                </c:pt>
                <c:pt idx="442">
                  <c:v>1.378879997614161</c:v>
                </c:pt>
                <c:pt idx="443">
                  <c:v>1.428036012524224</c:v>
                </c:pt>
                <c:pt idx="444">
                  <c:v>1.4744736797201858</c:v>
                </c:pt>
                <c:pt idx="445">
                  <c:v>1.5181046024631948</c:v>
                </c:pt>
                <c:pt idx="446">
                  <c:v>1.5588457268119902</c:v>
                </c:pt>
                <c:pt idx="447">
                  <c:v>1.5966194997207994</c:v>
                </c:pt>
                <c:pt idx="448">
                  <c:v>1.6313540166659706</c:v>
                </c:pt>
                <c:pt idx="449">
                  <c:v>1.6629831585203168</c:v>
                </c:pt>
                <c:pt idx="450">
                  <c:v>1.6914467174146357</c:v>
                </c:pt>
                <c:pt idx="451">
                  <c:v>1.7166905113468092</c:v>
                </c:pt>
                <c:pt idx="452">
                  <c:v>1.7386664873203237</c:v>
                </c:pt>
                <c:pt idx="453">
                  <c:v>1.7573328128158807</c:v>
                </c:pt>
                <c:pt idx="454">
                  <c:v>1.7726539554219751</c:v>
                </c:pt>
                <c:pt idx="455">
                  <c:v>1.7846007504728594</c:v>
                </c:pt>
                <c:pt idx="456">
                  <c:v>1.7931504565651426</c:v>
                </c:pt>
                <c:pt idx="457">
                  <c:v>1.7982867988473448</c:v>
                </c:pt>
                <c:pt idx="458">
                  <c:v>1.8000000000000007</c:v>
                </c:pt>
                <c:pt idx="459">
                  <c:v>1.7982867988473448</c:v>
                </c:pt>
                <c:pt idx="460">
                  <c:v>1.7931504565651426</c:v>
                </c:pt>
                <c:pt idx="461">
                  <c:v>1.7846007504728596</c:v>
                </c:pt>
                <c:pt idx="462">
                  <c:v>1.7726539554219751</c:v>
                </c:pt>
                <c:pt idx="463">
                  <c:v>1.7573328128158807</c:v>
                </c:pt>
                <c:pt idx="464">
                  <c:v>1.7386664873203237</c:v>
                </c:pt>
                <c:pt idx="465">
                  <c:v>1.7166905113468092</c:v>
                </c:pt>
                <c:pt idx="466">
                  <c:v>1.6914467174146359</c:v>
                </c:pt>
                <c:pt idx="467">
                  <c:v>1.6629831585203168</c:v>
                </c:pt>
                <c:pt idx="468">
                  <c:v>1.6313540166659708</c:v>
                </c:pt>
                <c:pt idx="469">
                  <c:v>1.5966194997207999</c:v>
                </c:pt>
                <c:pt idx="470">
                  <c:v>1.5588457268119902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0</c:v>
                </c:pt>
                <c:pt idx="496">
                  <c:v>8.0638286072681822E-2</c:v>
                </c:pt>
                <c:pt idx="497">
                  <c:v>0.16113125650346755</c:v>
                </c:pt>
                <c:pt idx="498">
                  <c:v>0.24133385751906974</c:v>
                </c:pt>
                <c:pt idx="499">
                  <c:v>0.3211015586115134</c:v>
                </c:pt>
                <c:pt idx="500">
                  <c:v>0.40029061299188012</c:v>
                </c:pt>
                <c:pt idx="501">
                  <c:v>0.47875831663173796</c:v>
                </c:pt>
                <c:pt idx="502">
                  <c:v>0.5563632654254459</c:v>
                </c:pt>
                <c:pt idx="503">
                  <c:v>0.63296561000990959</c:v>
                </c:pt>
                <c:pt idx="504">
                  <c:v>0.70842730778258645</c:v>
                </c:pt>
                <c:pt idx="505">
                  <c:v>0.78261237166358633</c:v>
                </c:pt>
                <c:pt idx="506">
                  <c:v>0.85538711515357946</c:v>
                </c:pt>
                <c:pt idx="507">
                  <c:v>0.92662039324590573</c:v>
                </c:pt>
                <c:pt idx="508">
                  <c:v>0.99618383875874039</c:v>
                </c:pt>
                <c:pt idx="509">
                  <c:v>1.0639520936614315</c:v>
                </c:pt>
                <c:pt idx="510">
                  <c:v>1.1298030349781449</c:v>
                </c:pt>
                <c:pt idx="511">
                  <c:v>1.1936179948617209</c:v>
                </c:pt>
                <c:pt idx="512">
                  <c:v>1.2552819744411554</c:v>
                </c:pt>
                <c:pt idx="513">
                  <c:v>1.3146838510573384</c:v>
                </c:pt>
                <c:pt idx="514">
                  <c:v>1.3717165785135972</c:v>
                </c:pt>
                <c:pt idx="515">
                  <c:v>1.4262773799801773</c:v>
                </c:pt>
                <c:pt idx="516">
                  <c:v>1.4782679332050361</c:v>
                </c:pt>
                <c:pt idx="517">
                  <c:v>1.5275945476971879</c:v>
                </c:pt>
                <c:pt idx="518">
                  <c:v>1.574168333563301</c:v>
                </c:pt>
                <c:pt idx="519">
                  <c:v>1.6179053616932924</c:v>
                </c:pt>
                <c:pt idx="520">
                  <c:v>1.6587268150062586</c:v>
                </c:pt>
                <c:pt idx="521">
                  <c:v>1.6965591304841812</c:v>
                </c:pt>
                <c:pt idx="522">
                  <c:v>1.7313341317374589</c:v>
                </c:pt>
                <c:pt idx="523">
                  <c:v>1.7629891518633689</c:v>
                </c:pt>
                <c:pt idx="524">
                  <c:v>1.7914671463760612</c:v>
                </c:pt>
                <c:pt idx="525">
                  <c:v>1.8167167960045778</c:v>
                </c:pt>
                <c:pt idx="526">
                  <c:v>1.8386925991736489</c:v>
                </c:pt>
                <c:pt idx="527">
                  <c:v>1.8573549540006049</c:v>
                </c:pt>
                <c:pt idx="528">
                  <c:v>1.872670229660647</c:v>
                </c:pt>
                <c:pt idx="529">
                  <c:v>1.8846108269918669</c:v>
                </c:pt>
                <c:pt idx="530">
                  <c:v>1.8931552282308013</c:v>
                </c:pt>
                <c:pt idx="531">
                  <c:v>1.8982880357888956</c:v>
                </c:pt>
                <c:pt idx="532">
                  <c:v>1.9000000000000008</c:v>
                </c:pt>
                <c:pt idx="533">
                  <c:v>1.8982880357888954</c:v>
                </c:pt>
                <c:pt idx="534">
                  <c:v>1.8931552282308011</c:v>
                </c:pt>
                <c:pt idx="535">
                  <c:v>1.8846108269918667</c:v>
                </c:pt>
                <c:pt idx="536">
                  <c:v>1.8726702296606466</c:v>
                </c:pt>
                <c:pt idx="537">
                  <c:v>1.857354954000604</c:v>
                </c:pt>
                <c:pt idx="538">
                  <c:v>1.838692599173648</c:v>
                </c:pt>
                <c:pt idx="539">
                  <c:v>1.8167167960045769</c:v>
                </c:pt>
                <c:pt idx="540">
                  <c:v>1.7914671463760599</c:v>
                </c:pt>
                <c:pt idx="541">
                  <c:v>1.7629891518633676</c:v>
                </c:pt>
                <c:pt idx="542">
                  <c:v>1.7313341317374573</c:v>
                </c:pt>
                <c:pt idx="543">
                  <c:v>1.6965591304841796</c:v>
                </c:pt>
                <c:pt idx="544">
                  <c:v>1.6587268150062566</c:v>
                </c:pt>
                <c:pt idx="545">
                  <c:v>1.6179053616932904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0</c:v>
                </c:pt>
                <c:pt idx="571">
                  <c:v>7.9513030193851308E-2</c:v>
                </c:pt>
                <c:pt idx="572">
                  <c:v>0.15890033394342884</c:v>
                </c:pt>
                <c:pt idx="573">
                  <c:v>0.23803638360380971</c:v>
                </c:pt>
                <c:pt idx="574">
                  <c:v>0.31679604881443013</c:v>
                </c:pt>
                <c:pt idx="575">
                  <c:v>0.39505479435590551</c:v>
                </c:pt>
                <c:pt idx="576">
                  <c:v>0.47268887706580998</c:v>
                </c:pt>
                <c:pt idx="577">
                  <c:v>0.54957554150205079</c:v>
                </c:pt>
                <c:pt idx="578">
                  <c:v>0.62559321404445467</c:v>
                </c:pt>
                <c:pt idx="579">
                  <c:v>0.70062169512764894</c:v>
                </c:pt>
                <c:pt idx="580">
                  <c:v>0.77454234930128263</c:v>
                </c:pt>
                <c:pt idx="581">
                  <c:v>0.84723829281705654</c:v>
                </c:pt>
                <c:pt idx="582">
                  <c:v>0.91859457844595638</c:v>
                </c:pt>
                <c:pt idx="583">
                  <c:v>0.98849837723344636</c:v>
                </c:pt>
                <c:pt idx="584">
                  <c:v>1.0568391569052398</c:v>
                </c:pt>
                <c:pt idx="585">
                  <c:v>1.1235088566415425</c:v>
                </c:pt>
                <c:pt idx="586">
                  <c:v>1.1884020579434216</c:v>
                </c:pt>
                <c:pt idx="587">
                  <c:v>1.2514161513211206</c:v>
                </c:pt>
                <c:pt idx="588">
                  <c:v>1.312451498540752</c:v>
                </c:pt>
                <c:pt idx="589">
                  <c:v>1.371411590172827</c:v>
                </c:pt>
                <c:pt idx="590">
                  <c:v>1.4282031981935002</c:v>
                </c:pt>
                <c:pt idx="591">
                  <c:v>1.4827365233972369</c:v>
                </c:pt>
                <c:pt idx="592">
                  <c:v>1.5349253373878164</c:v>
                </c:pt>
                <c:pt idx="593">
                  <c:v>1.5846871189231493</c:v>
                </c:pt>
                <c:pt idx="594">
                  <c:v>1.6319431843983225</c:v>
                </c:pt>
                <c:pt idx="595">
                  <c:v>1.6766188122605536</c:v>
                </c:pt>
                <c:pt idx="596">
                  <c:v>1.7186433611593224</c:v>
                </c:pt>
                <c:pt idx="597">
                  <c:v>1.7579503816448683</c:v>
                </c:pt>
                <c:pt idx="598">
                  <c:v>1.7944777212384249</c:v>
                </c:pt>
                <c:pt idx="599">
                  <c:v>1.8281676227080701</c:v>
                </c:pt>
                <c:pt idx="600">
                  <c:v>1.8589668153947749</c:v>
                </c:pt>
                <c:pt idx="601">
                  <c:v>1.8868265994442699</c:v>
                </c:pt>
                <c:pt idx="602">
                  <c:v>1.9117029228115225</c:v>
                </c:pt>
                <c:pt idx="603">
                  <c:v>1.9335564509160752</c:v>
                </c:pt>
                <c:pt idx="604">
                  <c:v>1.9523526288381026</c:v>
                </c:pt>
                <c:pt idx="605">
                  <c:v>1.9680617359568422</c:v>
                </c:pt>
                <c:pt idx="606">
                  <c:v>1.9806589329450048</c:v>
                </c:pt>
                <c:pt idx="607">
                  <c:v>1.9901243010448559</c:v>
                </c:pt>
                <c:pt idx="608">
                  <c:v>1.9964428735638671</c:v>
                </c:pt>
                <c:pt idx="609">
                  <c:v>1.999604659540132</c:v>
                </c:pt>
                <c:pt idx="610">
                  <c:v>1.999604659540132</c:v>
                </c:pt>
                <c:pt idx="611">
                  <c:v>1.9964428735638668</c:v>
                </c:pt>
                <c:pt idx="612">
                  <c:v>1.9901243010448557</c:v>
                </c:pt>
                <c:pt idx="613">
                  <c:v>1.9806589329450044</c:v>
                </c:pt>
                <c:pt idx="614">
                  <c:v>1.9680617359568418</c:v>
                </c:pt>
                <c:pt idx="615">
                  <c:v>1.9523526288381021</c:v>
                </c:pt>
                <c:pt idx="616">
                  <c:v>1.9335564509160745</c:v>
                </c:pt>
                <c:pt idx="617">
                  <c:v>1.9117029228115219</c:v>
                </c:pt>
                <c:pt idx="618">
                  <c:v>1.8868265994442692</c:v>
                </c:pt>
                <c:pt idx="619">
                  <c:v>1.8589668153947738</c:v>
                </c:pt>
                <c:pt idx="620">
                  <c:v>1.828167622708069</c:v>
                </c:pt>
                <c:pt idx="621">
                  <c:v>1.7944777212384242</c:v>
                </c:pt>
                <c:pt idx="622">
                  <c:v>1.7579503816448665</c:v>
                </c:pt>
                <c:pt idx="623">
                  <c:v>1.718643361159321</c:v>
                </c:pt>
                <c:pt idx="624">
                  <c:v>1.6766188122605516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B-422A-BD81-6A47B4B78E7E}"/>
            </c:ext>
          </c:extLst>
        </c:ser>
        <c:ser>
          <c:idx val="1"/>
          <c:order val="1"/>
          <c:tx>
            <c:strRef>
              <c:f>'Election chart calculations'!$M$2</c:f>
              <c:strCache>
                <c:ptCount val="1"/>
                <c:pt idx="0">
                  <c:v>xCon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'Election chart calculations'!$M$3:$M$652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-8.7155742747658235E-2</c:v>
                </c:pt>
                <c:pt idx="20">
                  <c:v>-0.1736481776669303</c:v>
                </c:pt>
                <c:pt idx="21">
                  <c:v>-0.25881904510252085</c:v>
                </c:pt>
                <c:pt idx="22">
                  <c:v>-0.34202014332566871</c:v>
                </c:pt>
                <c:pt idx="23">
                  <c:v>-0.42261826174069933</c:v>
                </c:pt>
                <c:pt idx="24">
                  <c:v>-0.49999999999999978</c:v>
                </c:pt>
                <c:pt idx="25">
                  <c:v>-0.57357643635104583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-0.17207791154425414</c:v>
                </c:pt>
                <c:pt idx="60">
                  <c:v>-0.25678990024149567</c:v>
                </c:pt>
                <c:pt idx="61">
                  <c:v>-0.33991869381244211</c:v>
                </c:pt>
                <c:pt idx="62">
                  <c:v>-0.42095177560159874</c:v>
                </c:pt>
                <c:pt idx="63">
                  <c:v>-0.49938954971350141</c:v>
                </c:pt>
                <c:pt idx="64">
                  <c:v>-0.57474842118754377</c:v>
                </c:pt>
                <c:pt idx="65">
                  <c:v>-0.64656377752172034</c:v>
                </c:pt>
                <c:pt idx="66">
                  <c:v>-0.714392853163202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-0.33807906820971645</c:v>
                </c:pt>
                <c:pt idx="105">
                  <c:v>-0.4193570155189188</c:v>
                </c:pt>
                <c:pt idx="106">
                  <c:v>-0.49849801560226442</c:v>
                </c:pt>
                <c:pt idx="107">
                  <c:v>-0.57509878406406933</c:v>
                </c:pt>
                <c:pt idx="108">
                  <c:v>-0.64876898094671809</c:v>
                </c:pt>
                <c:pt idx="109">
                  <c:v>-0.71913319981361723</c:v>
                </c:pt>
                <c:pt idx="110">
                  <c:v>-0.78583288073434288</c:v>
                </c:pt>
                <c:pt idx="111">
                  <c:v>-0.84852813742385791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-0.4489745707477012</c:v>
                </c:pt>
                <c:pt idx="154">
                  <c:v>-0.52621834605911344</c:v>
                </c:pt>
                <c:pt idx="155">
                  <c:v>-0.60129977731308726</c:v>
                </c:pt>
                <c:pt idx="156">
                  <c:v>-0.67391033880368412</c:v>
                </c:pt>
                <c:pt idx="157">
                  <c:v>-0.74375165815882227</c:v>
                </c:pt>
                <c:pt idx="158">
                  <c:v>-0.81053674241635454</c:v>
                </c:pt>
                <c:pt idx="159">
                  <c:v>-0.873991157339713</c:v>
                </c:pt>
                <c:pt idx="160">
                  <c:v>-0.93385415512704661</c:v>
                </c:pt>
                <c:pt idx="161">
                  <c:v>-0.98987974587987537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-0.55451167245481825</c:v>
                </c:pt>
                <c:pt idx="208">
                  <c:v>-0.62831885228064543</c:v>
                </c:pt>
                <c:pt idx="209">
                  <c:v>-0.69999999999999885</c:v>
                </c:pt>
                <c:pt idx="210">
                  <c:v>-0.76931256929912772</c:v>
                </c:pt>
                <c:pt idx="211">
                  <c:v>-0.83602202838389961</c:v>
                </c:pt>
                <c:pt idx="212">
                  <c:v>-0.89990265356115395</c:v>
                </c:pt>
                <c:pt idx="213">
                  <c:v>-0.96073829301622615</c:v>
                </c:pt>
                <c:pt idx="214">
                  <c:v>-1.0183230982022675</c:v>
                </c:pt>
                <c:pt idx="215">
                  <c:v>-1.072462220366569</c:v>
                </c:pt>
                <c:pt idx="216">
                  <c:v>-1.1229724698570611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-0.65596098068828146</c:v>
                </c:pt>
                <c:pt idx="267">
                  <c:v>-0.7268263054989742</c:v>
                </c:pt>
                <c:pt idx="268">
                  <c:v>-0.79563136217961217</c:v>
                </c:pt>
                <c:pt idx="269">
                  <c:v>-0.86218111532160879</c:v>
                </c:pt>
                <c:pt idx="270">
                  <c:v>-0.92628692241928634</c:v>
                </c:pt>
                <c:pt idx="271">
                  <c:v>-0.98776706859755659</c:v>
                </c:pt>
                <c:pt idx="272">
                  <c:v>-1.0464472817024761</c:v>
                </c:pt>
                <c:pt idx="273">
                  <c:v>-1.1021612262946001</c:v>
                </c:pt>
                <c:pt idx="274">
                  <c:v>-1.154750975144859</c:v>
                </c:pt>
                <c:pt idx="275">
                  <c:v>-1.2040674568964456</c:v>
                </c:pt>
                <c:pt idx="276">
                  <c:v>-1.2499708786237722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-0.75423477892159652</c:v>
                </c:pt>
                <c:pt idx="331">
                  <c:v>-0.82256439070915488</c:v>
                </c:pt>
                <c:pt idx="332">
                  <c:v>-0.88891237283136337</c:v>
                </c:pt>
                <c:pt idx="333">
                  <c:v>-0.95311888718789373</c:v>
                </c:pt>
                <c:pt idx="334">
                  <c:v>-1.0150292546618329</c:v>
                </c:pt>
                <c:pt idx="335">
                  <c:v>-1.0744943277552299</c:v>
                </c:pt>
                <c:pt idx="336">
                  <c:v>-1.1313708498984762</c:v>
                </c:pt>
                <c:pt idx="337">
                  <c:v>-1.1855218005679347</c:v>
                </c:pt>
                <c:pt idx="338">
                  <c:v>-1.2368167253803797</c:v>
                </c:pt>
                <c:pt idx="339">
                  <c:v>-1.2851320503690322</c:v>
                </c:pt>
                <c:pt idx="340">
                  <c:v>-1.3303513796840729</c:v>
                </c:pt>
                <c:pt idx="341">
                  <c:v>-1.3723657760004357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-0.89493467689150219</c:v>
                </c:pt>
                <c:pt idx="400">
                  <c:v>-0.96073190451840351</c:v>
                </c:pt>
                <c:pt idx="401">
                  <c:v>-1.024478881844733</c:v>
                </c:pt>
                <c:pt idx="402">
                  <c:v>-1.086039569608332</c:v>
                </c:pt>
                <c:pt idx="403">
                  <c:v>-1.1452825941991451</c:v>
                </c:pt>
                <c:pt idx="404">
                  <c:v>-1.2020815280171284</c:v>
                </c:pt>
                <c:pt idx="405">
                  <c:v>-1.2563151592751187</c:v>
                </c:pt>
                <c:pt idx="406">
                  <c:v>-1.3078677506708927</c:v>
                </c:pt>
                <c:pt idx="407">
                  <c:v>-1.3566292863764058</c:v>
                </c:pt>
                <c:pt idx="408">
                  <c:v>-1.4024957068171129</c:v>
                </c:pt>
                <c:pt idx="409">
                  <c:v>-1.4453691307403436</c:v>
                </c:pt>
                <c:pt idx="410">
                  <c:v>-1.485158064098828</c:v>
                </c:pt>
                <c:pt idx="411">
                  <c:v>-1.5217775953036057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-0.96713929502428353</c:v>
                </c:pt>
                <c:pt idx="472">
                  <c:v>-1.0324375854318828</c:v>
                </c:pt>
                <c:pt idx="473">
                  <c:v>-1.0957705722156976</c:v>
                </c:pt>
                <c:pt idx="474">
                  <c:v>-1.1570176974357713</c:v>
                </c:pt>
                <c:pt idx="475">
                  <c:v>-1.2160623737081888</c:v>
                </c:pt>
                <c:pt idx="476">
                  <c:v>-1.2727922061357859</c:v>
                </c:pt>
                <c:pt idx="477">
                  <c:v>-1.3270992062582236</c:v>
                </c:pt>
                <c:pt idx="478">
                  <c:v>-1.3788799976141608</c:v>
                </c:pt>
                <c:pt idx="479">
                  <c:v>-1.4280360125242237</c:v>
                </c:pt>
                <c:pt idx="480">
                  <c:v>-1.4744736797201861</c:v>
                </c:pt>
                <c:pt idx="481">
                  <c:v>-1.5181046024631946</c:v>
                </c:pt>
                <c:pt idx="482">
                  <c:v>-1.5588457268119902</c:v>
                </c:pt>
                <c:pt idx="483">
                  <c:v>-1.5966194997207996</c:v>
                </c:pt>
                <c:pt idx="484">
                  <c:v>-1.6313540166659706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-1.0639520936614344</c:v>
                </c:pt>
                <c:pt idx="547">
                  <c:v>-1.1298030349781478</c:v>
                </c:pt>
                <c:pt idx="548">
                  <c:v>-1.1936179948617238</c:v>
                </c:pt>
                <c:pt idx="549">
                  <c:v>-1.2552819744411574</c:v>
                </c:pt>
                <c:pt idx="550">
                  <c:v>-1.31468385105734</c:v>
                </c:pt>
                <c:pt idx="551">
                  <c:v>-1.3717165785135987</c:v>
                </c:pt>
                <c:pt idx="552">
                  <c:v>-1.426277379980178</c:v>
                </c:pt>
                <c:pt idx="553">
                  <c:v>-1.4782679332050364</c:v>
                </c:pt>
                <c:pt idx="554">
                  <c:v>-1.5275945476971886</c:v>
                </c:pt>
                <c:pt idx="555">
                  <c:v>-1.574168333563301</c:v>
                </c:pt>
                <c:pt idx="556">
                  <c:v>-1.6179053616932921</c:v>
                </c:pt>
                <c:pt idx="557">
                  <c:v>-1.6587268150062582</c:v>
                </c:pt>
                <c:pt idx="558">
                  <c:v>-1.6965591304841807</c:v>
                </c:pt>
                <c:pt idx="559">
                  <c:v>-1.7313341317374582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-1.1561840004497004</c:v>
                </c:pt>
                <c:pt idx="626">
                  <c:v>-1.2201502920210525</c:v>
                </c:pt>
                <c:pt idx="627">
                  <c:v>-1.2821872751844436</c:v>
                </c:pt>
                <c:pt idx="628">
                  <c:v>-1.3421968567180771</c:v>
                </c:pt>
                <c:pt idx="629">
                  <c:v>-1.4000841491388545</c:v>
                </c:pt>
                <c:pt idx="630">
                  <c:v>-1.455757620738992</c:v>
                </c:pt>
                <c:pt idx="631">
                  <c:v>-1.509129240316464</c:v>
                </c:pt>
                <c:pt idx="632">
                  <c:v>-1.5601146163704276</c:v>
                </c:pt>
                <c:pt idx="633">
                  <c:v>-1.6086331305415333</c:v>
                </c:pt>
                <c:pt idx="634">
                  <c:v>-1.6546080650861184</c:v>
                </c:pt>
                <c:pt idx="635">
                  <c:v>-1.697966724182731</c:v>
                </c:pt>
                <c:pt idx="636">
                  <c:v>-1.7386405488791683</c:v>
                </c:pt>
                <c:pt idx="637">
                  <c:v>-1.7765652254982671</c:v>
                </c:pt>
                <c:pt idx="638">
                  <c:v>-1.8116807873310496</c:v>
                </c:pt>
                <c:pt idx="639">
                  <c:v>-1.8439317094564165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calculations'!$N$3:$N$652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0.99619469809174555</c:v>
                </c:pt>
                <c:pt idx="20">
                  <c:v>0.98480775301220802</c:v>
                </c:pt>
                <c:pt idx="21">
                  <c:v>0.96592582628906831</c:v>
                </c:pt>
                <c:pt idx="22">
                  <c:v>0.93969262078590843</c:v>
                </c:pt>
                <c:pt idx="23">
                  <c:v>0.90630778703665005</c:v>
                </c:pt>
                <c:pt idx="24">
                  <c:v>0.86602540378443871</c:v>
                </c:pt>
                <c:pt idx="25">
                  <c:v>0.81915204428899202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1.0864571746546514</c:v>
                </c:pt>
                <c:pt idx="60">
                  <c:v>1.0696069124374443</c:v>
                </c:pt>
                <c:pt idx="61">
                  <c:v>1.0461621679246691</c:v>
                </c:pt>
                <c:pt idx="62">
                  <c:v>1.0162674857624154</c:v>
                </c:pt>
                <c:pt idx="63">
                  <c:v>0.98010717660720481</c:v>
                </c:pt>
                <c:pt idx="64">
                  <c:v>0.93790418078950155</c:v>
                </c:pt>
                <c:pt idx="65">
                  <c:v>0.88991869381244226</c:v>
                </c:pt>
                <c:pt idx="66">
                  <c:v>0.83644656216003421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1.151391568337397</c:v>
                </c:pt>
                <c:pt idx="105">
                  <c:v>1.1243396699997139</c:v>
                </c:pt>
                <c:pt idx="106">
                  <c:v>1.0915583944254219</c:v>
                </c:pt>
                <c:pt idx="107">
                  <c:v>1.0532147874807063</c:v>
                </c:pt>
                <c:pt idx="108">
                  <c:v>1.009504239397417</c:v>
                </c:pt>
                <c:pt idx="109">
                  <c:v>0.96064948910923198</c:v>
                </c:pt>
                <c:pt idx="110">
                  <c:v>0.90689948922510943</c:v>
                </c:pt>
                <c:pt idx="111">
                  <c:v>0.84852813742385647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1.2200089486646883</c:v>
                </c:pt>
                <c:pt idx="154">
                  <c:v>1.188736409920556</c:v>
                </c:pt>
                <c:pt idx="155">
                  <c:v>1.1525790982848996</c:v>
                </c:pt>
                <c:pt idx="156">
                  <c:v>1.1116855919069495</c:v>
                </c:pt>
                <c:pt idx="157">
                  <c:v>1.0662239309760417</c:v>
                </c:pt>
                <c:pt idx="158">
                  <c:v>1.0163809272084383</c:v>
                </c:pt>
                <c:pt idx="159">
                  <c:v>0.9623613961979095</c:v>
                </c:pt>
                <c:pt idx="160">
                  <c:v>0.9043873157845318</c:v>
                </c:pt>
                <c:pt idx="161">
                  <c:v>0.84269691390012469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1.2855025496323846</c:v>
                </c:pt>
                <c:pt idx="208">
                  <c:v>1.2510856964527783</c:v>
                </c:pt>
                <c:pt idx="209">
                  <c:v>1.2124355652982151</c:v>
                </c:pt>
                <c:pt idx="210">
                  <c:v>1.169682935978112</c:v>
                </c:pt>
                <c:pt idx="211">
                  <c:v>1.1229724698570624</c:v>
                </c:pt>
                <c:pt idx="212">
                  <c:v>1.0724622203665708</c:v>
                </c:pt>
                <c:pt idx="213">
                  <c:v>1.0183230982022695</c:v>
                </c:pt>
                <c:pt idx="214">
                  <c:v>0.96073829301622826</c:v>
                </c:pt>
                <c:pt idx="215">
                  <c:v>0.89990265356115595</c:v>
                </c:pt>
                <c:pt idx="216">
                  <c:v>0.83602202838390138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1.3489681952568302</c:v>
                </c:pt>
                <c:pt idx="267">
                  <c:v>1.3121446267979429</c:v>
                </c:pt>
                <c:pt idx="268">
                  <c:v>1.271601641834508</c:v>
                </c:pt>
                <c:pt idx="269">
                  <c:v>1.2274541638622551</c:v>
                </c:pt>
                <c:pt idx="270">
                  <c:v>1.1798273337039653</c:v>
                </c:pt>
                <c:pt idx="271">
                  <c:v>1.1288561547842095</c:v>
                </c:pt>
                <c:pt idx="272">
                  <c:v>1.0746851104474742</c:v>
                </c:pt>
                <c:pt idx="273">
                  <c:v>1.0174677544044257</c:v>
                </c:pt>
                <c:pt idx="274">
                  <c:v>0.95736627546723119</c:v>
                </c:pt>
                <c:pt idx="275">
                  <c:v>0.89455103780775269</c:v>
                </c:pt>
                <c:pt idx="276">
                  <c:v>0.82920009804179118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1.4110740229573686</c:v>
                </c:pt>
                <c:pt idx="331">
                  <c:v>1.3723657760004357</c:v>
                </c:pt>
                <c:pt idx="332">
                  <c:v>1.3303513796840731</c:v>
                </c:pt>
                <c:pt idx="333">
                  <c:v>1.2851320503690324</c:v>
                </c:pt>
                <c:pt idx="334">
                  <c:v>1.2368167253803797</c:v>
                </c:pt>
                <c:pt idx="335">
                  <c:v>1.1855218005679349</c:v>
                </c:pt>
                <c:pt idx="336">
                  <c:v>1.1313708498984765</c:v>
                </c:pt>
                <c:pt idx="337">
                  <c:v>1.0744943277552301</c:v>
                </c:pt>
                <c:pt idx="338">
                  <c:v>1.0150292546618331</c:v>
                </c:pt>
                <c:pt idx="339">
                  <c:v>0.95311888718789384</c:v>
                </c:pt>
                <c:pt idx="340">
                  <c:v>0.88891237283136382</c:v>
                </c:pt>
                <c:pt idx="341">
                  <c:v>0.8225643907091551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1.4453691307403465</c:v>
                </c:pt>
                <c:pt idx="400">
                  <c:v>1.4024957068171164</c:v>
                </c:pt>
                <c:pt idx="401">
                  <c:v>1.35662928637641</c:v>
                </c:pt>
                <c:pt idx="402">
                  <c:v>1.3078677506708969</c:v>
                </c:pt>
                <c:pt idx="403">
                  <c:v>1.2563151592751234</c:v>
                </c:pt>
                <c:pt idx="404">
                  <c:v>1.202081528017134</c:v>
                </c:pt>
                <c:pt idx="405">
                  <c:v>1.14528259419915</c:v>
                </c:pt>
                <c:pt idx="406">
                  <c:v>1.0860395696083369</c:v>
                </c:pt>
                <c:pt idx="407">
                  <c:v>1.0244788818447388</c:v>
                </c:pt>
                <c:pt idx="408">
                  <c:v>0.96073190451840862</c:v>
                </c:pt>
                <c:pt idx="409">
                  <c:v>0.89493467689150696</c:v>
                </c:pt>
                <c:pt idx="410">
                  <c:v>0.82722761356365737</c:v>
                </c:pt>
                <c:pt idx="411">
                  <c:v>0.75775520482011693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1.5181046024631948</c:v>
                </c:pt>
                <c:pt idx="472">
                  <c:v>1.4744736797201863</c:v>
                </c:pt>
                <c:pt idx="473">
                  <c:v>1.428036012524224</c:v>
                </c:pt>
                <c:pt idx="474">
                  <c:v>1.378879997614161</c:v>
                </c:pt>
                <c:pt idx="475">
                  <c:v>1.3270992062582239</c:v>
                </c:pt>
                <c:pt idx="476">
                  <c:v>1.2727922061357861</c:v>
                </c:pt>
                <c:pt idx="477">
                  <c:v>1.216062373708189</c:v>
                </c:pt>
                <c:pt idx="478">
                  <c:v>1.1570176974357715</c:v>
                </c:pt>
                <c:pt idx="479">
                  <c:v>1.0957705722156981</c:v>
                </c:pt>
                <c:pt idx="480">
                  <c:v>1.032437585431883</c:v>
                </c:pt>
                <c:pt idx="481">
                  <c:v>0.96713929502428375</c:v>
                </c:pt>
                <c:pt idx="482">
                  <c:v>0.90000000000000024</c:v>
                </c:pt>
                <c:pt idx="483">
                  <c:v>0.83114750382306135</c:v>
                </c:pt>
                <c:pt idx="484">
                  <c:v>0.76071287113325936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1.574168333563299</c:v>
                </c:pt>
                <c:pt idx="547">
                  <c:v>1.5275945476971855</c:v>
                </c:pt>
                <c:pt idx="548">
                  <c:v>1.4782679332050335</c:v>
                </c:pt>
                <c:pt idx="549">
                  <c:v>1.4262773799801749</c:v>
                </c:pt>
                <c:pt idx="550">
                  <c:v>1.3717165785135954</c:v>
                </c:pt>
                <c:pt idx="551">
                  <c:v>1.3146838510573366</c:v>
                </c:pt>
                <c:pt idx="552">
                  <c:v>1.2552819744411539</c:v>
                </c:pt>
                <c:pt idx="553">
                  <c:v>1.19361799486172</c:v>
                </c:pt>
                <c:pt idx="554">
                  <c:v>1.1298030349781438</c:v>
                </c:pt>
                <c:pt idx="555">
                  <c:v>1.0639520936614311</c:v>
                </c:pt>
                <c:pt idx="556">
                  <c:v>0.99618383875874061</c:v>
                </c:pt>
                <c:pt idx="557">
                  <c:v>0.92662039324590595</c:v>
                </c:pt>
                <c:pt idx="558">
                  <c:v>0.85538711515358012</c:v>
                </c:pt>
                <c:pt idx="559">
                  <c:v>0.78261237166358755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1.6319431843983203</c:v>
                </c:pt>
                <c:pt idx="626">
                  <c:v>1.5846871189231466</c:v>
                </c:pt>
                <c:pt idx="627">
                  <c:v>1.5349253373878142</c:v>
                </c:pt>
                <c:pt idx="628">
                  <c:v>1.4827365233972343</c:v>
                </c:pt>
                <c:pt idx="629">
                  <c:v>1.4282031981934973</c:v>
                </c:pt>
                <c:pt idx="630">
                  <c:v>1.3714115901728239</c:v>
                </c:pt>
                <c:pt idx="631">
                  <c:v>1.3124514985407483</c:v>
                </c:pt>
                <c:pt idx="632">
                  <c:v>1.2514161513211173</c:v>
                </c:pt>
                <c:pt idx="633">
                  <c:v>1.1884020579434171</c:v>
                </c:pt>
                <c:pt idx="634">
                  <c:v>1.1235088566415377</c:v>
                </c:pt>
                <c:pt idx="635">
                  <c:v>1.0568391569052353</c:v>
                </c:pt>
                <c:pt idx="636">
                  <c:v>0.98849837723344169</c:v>
                </c:pt>
                <c:pt idx="637">
                  <c:v>0.91859457844595138</c:v>
                </c:pt>
                <c:pt idx="638">
                  <c:v>0.84723829281705132</c:v>
                </c:pt>
                <c:pt idx="639">
                  <c:v>0.77454234930127686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2B-422A-BD81-6A47B4B78E7E}"/>
            </c:ext>
          </c:extLst>
        </c:ser>
        <c:ser>
          <c:idx val="2"/>
          <c:order val="2"/>
          <c:tx>
            <c:strRef>
              <c:f>'Election chart calculations'!$O$2</c:f>
              <c:strCache>
                <c:ptCount val="1"/>
                <c:pt idx="0">
                  <c:v>xLD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'Election chart calculations'!$O$3:$O$652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-0.64278760968653936</c:v>
                </c:pt>
                <c:pt idx="27">
                  <c:v>-0.70710678118654746</c:v>
                </c:pt>
                <c:pt idx="28">
                  <c:v>-0.7660444431189779</c:v>
                </c:pt>
                <c:pt idx="29">
                  <c:v>-0.81915204428899191</c:v>
                </c:pt>
                <c:pt idx="30">
                  <c:v>-0.86602540378443871</c:v>
                </c:pt>
                <c:pt idx="31">
                  <c:v>-0.90630778703664994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-0.7778174593052023</c:v>
                </c:pt>
                <c:pt idx="68">
                  <c:v>-0.8364465621600341</c:v>
                </c:pt>
                <c:pt idx="69">
                  <c:v>-0.88991869381244215</c:v>
                </c:pt>
                <c:pt idx="70">
                  <c:v>-0.93790418078950144</c:v>
                </c:pt>
                <c:pt idx="71">
                  <c:v>-0.9801071766072047</c:v>
                </c:pt>
                <c:pt idx="72">
                  <c:v>-1.0162674857624154</c:v>
                </c:pt>
                <c:pt idx="73">
                  <c:v>-1.0461621679246689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-0.90689948922511077</c:v>
                </c:pt>
                <c:pt idx="113">
                  <c:v>-0.9606494891092332</c:v>
                </c:pt>
                <c:pt idx="114">
                  <c:v>-1.0095042393974183</c:v>
                </c:pt>
                <c:pt idx="115">
                  <c:v>-1.0532147874807074</c:v>
                </c:pt>
                <c:pt idx="116">
                  <c:v>-1.0915583944254228</c:v>
                </c:pt>
                <c:pt idx="117">
                  <c:v>-1.1243396699997148</c:v>
                </c:pt>
                <c:pt idx="118">
                  <c:v>-1.1513915683373976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-1.0418377084283441</c:v>
                </c:pt>
                <c:pt idx="163">
                  <c:v>-1.0895145363593934</c:v>
                </c:pt>
                <c:pt idx="164">
                  <c:v>-1.1327143153604065</c:v>
                </c:pt>
                <c:pt idx="165">
                  <c:v>-1.1712595282731451</c:v>
                </c:pt>
                <c:pt idx="166">
                  <c:v>-1.2049917845498284</c:v>
                </c:pt>
                <c:pt idx="167">
                  <c:v>-1.2337724711138693</c:v>
                </c:pt>
                <c:pt idx="168">
                  <c:v>-1.2574833219507382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-1.1696829359781111</c:v>
                </c:pt>
                <c:pt idx="218">
                  <c:v>-1.2124355652982144</c:v>
                </c:pt>
                <c:pt idx="219">
                  <c:v>-1.2510856964527775</c:v>
                </c:pt>
                <c:pt idx="220">
                  <c:v>-1.285502549632384</c:v>
                </c:pt>
                <c:pt idx="221">
                  <c:v>-1.3155696691002721</c:v>
                </c:pt>
                <c:pt idx="222">
                  <c:v>-1.341185317241685</c:v>
                </c:pt>
                <c:pt idx="223">
                  <c:v>-1.362262818811754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-1.2923311220907092</c:v>
                </c:pt>
                <c:pt idx="278">
                  <c:v>-1.3310281125848575</c:v>
                </c:pt>
                <c:pt idx="279">
                  <c:v>-1.3659521592823702</c:v>
                </c:pt>
                <c:pt idx="280">
                  <c:v>-1.397004266178508</c:v>
                </c:pt>
                <c:pt idx="281">
                  <c:v>-1.4240964127025726</c:v>
                </c:pt>
                <c:pt idx="282">
                  <c:v>-1.4471518032217745</c:v>
                </c:pt>
                <c:pt idx="283">
                  <c:v>-1.4661050847268007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-1.4110740229573684</c:v>
                </c:pt>
                <c:pt idx="343">
                  <c:v>-1.4463828689975098</c:v>
                </c:pt>
                <c:pt idx="344">
                  <c:v>-1.4782072520180594</c:v>
                </c:pt>
                <c:pt idx="345">
                  <c:v>-1.5064705042928337</c:v>
                </c:pt>
                <c:pt idx="346">
                  <c:v>-1.5311045371715346</c:v>
                </c:pt>
                <c:pt idx="347">
                  <c:v>-1.5520500051112709</c:v>
                </c:pt>
                <c:pt idx="348">
                  <c:v>-1.5692564486451692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-1.5551495764296355</c:v>
                </c:pt>
                <c:pt idx="413">
                  <c:v>-1.5852027899874048</c:v>
                </c:pt>
                <c:pt idx="414">
                  <c:v>-1.6118731009046423</c:v>
                </c:pt>
                <c:pt idx="415">
                  <c:v>-1.6351035933937927</c:v>
                </c:pt>
                <c:pt idx="416">
                  <c:v>-1.6548446924131783</c:v>
                </c:pt>
                <c:pt idx="417">
                  <c:v>-1.6710542694626336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-1.6629831585203168</c:v>
                </c:pt>
                <c:pt idx="486">
                  <c:v>-1.6914467174146357</c:v>
                </c:pt>
                <c:pt idx="487">
                  <c:v>-1.7166905113468089</c:v>
                </c:pt>
                <c:pt idx="488">
                  <c:v>-1.7386664873203235</c:v>
                </c:pt>
                <c:pt idx="489">
                  <c:v>-1.7573328128158807</c:v>
                </c:pt>
                <c:pt idx="490">
                  <c:v>-1.7726539554219751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-1.762989151863368</c:v>
                </c:pt>
                <c:pt idx="561">
                  <c:v>-1.7914671463760601</c:v>
                </c:pt>
                <c:pt idx="562">
                  <c:v>-1.8167167960045769</c:v>
                </c:pt>
                <c:pt idx="563">
                  <c:v>-1.838692599173648</c:v>
                </c:pt>
                <c:pt idx="564">
                  <c:v>-1.857354954000604</c:v>
                </c:pt>
                <c:pt idx="565">
                  <c:v>-1.8726702296606461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-1.8732669965374589</c:v>
                </c:pt>
                <c:pt idx="641">
                  <c:v>-1.8996402634555682</c:v>
                </c:pt>
                <c:pt idx="642">
                  <c:v>-1.9230098086548437</c:v>
                </c:pt>
                <c:pt idx="643">
                  <c:v>-1.9433386800808226</c:v>
                </c:pt>
                <c:pt idx="644">
                  <c:v>-1.9605947336092744</c:v>
                </c:pt>
                <c:pt idx="645">
                  <c:v>-1.9747506838726689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calculations'!$P$3:$P$652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0.76604444311897801</c:v>
                </c:pt>
                <c:pt idx="27">
                  <c:v>0.70710678118654757</c:v>
                </c:pt>
                <c:pt idx="28">
                  <c:v>0.64278760968653947</c:v>
                </c:pt>
                <c:pt idx="29">
                  <c:v>0.57357643635104594</c:v>
                </c:pt>
                <c:pt idx="30">
                  <c:v>0.49999999999999994</c:v>
                </c:pt>
                <c:pt idx="31">
                  <c:v>0.4226182617406995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0.77781745930520241</c:v>
                </c:pt>
                <c:pt idx="68">
                  <c:v>0.71439285316320222</c:v>
                </c:pt>
                <c:pt idx="69">
                  <c:v>0.64656377752172067</c:v>
                </c:pt>
                <c:pt idx="70">
                  <c:v>0.57474842118754388</c:v>
                </c:pt>
                <c:pt idx="71">
                  <c:v>0.49938954971350158</c:v>
                </c:pt>
                <c:pt idx="72">
                  <c:v>0.42095177560159891</c:v>
                </c:pt>
                <c:pt idx="73">
                  <c:v>0.33991869381244227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0.78583288073434154</c:v>
                </c:pt>
                <c:pt idx="113">
                  <c:v>0.71913319981361579</c:v>
                </c:pt>
                <c:pt idx="114">
                  <c:v>0.64876898094671609</c:v>
                </c:pt>
                <c:pt idx="115">
                  <c:v>0.57509878406406711</c:v>
                </c:pt>
                <c:pt idx="116">
                  <c:v>0.49849801560226265</c:v>
                </c:pt>
                <c:pt idx="117">
                  <c:v>0.41935701551891646</c:v>
                </c:pt>
                <c:pt idx="118">
                  <c:v>0.33807906820971412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0.77754368963858067</c:v>
                </c:pt>
                <c:pt idx="163">
                  <c:v>0.70919537157371304</c:v>
                </c:pt>
                <c:pt idx="164">
                  <c:v>0.63793281760511922</c:v>
                </c:pt>
                <c:pt idx="165">
                  <c:v>0.5640488608528258</c:v>
                </c:pt>
                <c:pt idx="166">
                  <c:v>0.4878471063431869</c:v>
                </c:pt>
                <c:pt idx="167">
                  <c:v>0.40964068343070775</c:v>
                </c:pt>
                <c:pt idx="168">
                  <c:v>0.3297509590823608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0.76931256929912895</c:v>
                </c:pt>
                <c:pt idx="218">
                  <c:v>0.70000000000000007</c:v>
                </c:pt>
                <c:pt idx="219">
                  <c:v>0.62831885228064743</c:v>
                </c:pt>
                <c:pt idx="220">
                  <c:v>0.55451167245481969</c:v>
                </c:pt>
                <c:pt idx="221">
                  <c:v>0.47882820065593601</c:v>
                </c:pt>
                <c:pt idx="222">
                  <c:v>0.40152452579552578</c:v>
                </c:pt>
                <c:pt idx="223">
                  <c:v>0.32286221903941531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0.76149870050826063</c:v>
                </c:pt>
                <c:pt idx="278">
                  <c:v>0.69163875217398951</c:v>
                </c:pt>
                <c:pt idx="279">
                  <c:v>0.61981827865256733</c:v>
                </c:pt>
                <c:pt idx="280">
                  <c:v>0.54624086287923335</c:v>
                </c:pt>
                <c:pt idx="281">
                  <c:v>0.47111506803292269</c:v>
                </c:pt>
                <c:pt idx="282">
                  <c:v>0.39465384634128137</c:v>
                </c:pt>
                <c:pt idx="283">
                  <c:v>0.3170739354444353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0.75423477892159685</c:v>
                </c:pt>
                <c:pt idx="343">
                  <c:v>0.68408814948845142</c:v>
                </c:pt>
                <c:pt idx="344">
                  <c:v>0.61229349178414405</c:v>
                </c:pt>
                <c:pt idx="345">
                  <c:v>0.5390237654275527</c:v>
                </c:pt>
                <c:pt idx="346">
                  <c:v>0.46445548360713995</c:v>
                </c:pt>
                <c:pt idx="347">
                  <c:v>0.38876828784522266</c:v>
                </c:pt>
                <c:pt idx="348">
                  <c:v>0.31214451522580589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0.68666570828222351</c:v>
                </c:pt>
                <c:pt idx="413">
                  <c:v>0.61411083251816156</c:v>
                </c:pt>
                <c:pt idx="414">
                  <c:v>0.54024541328923381</c:v>
                </c:pt>
                <c:pt idx="415">
                  <c:v>0.46522708312254213</c:v>
                </c:pt>
                <c:pt idx="416">
                  <c:v>0.38921593491522866</c:v>
                </c:pt>
                <c:pt idx="417">
                  <c:v>0.31237418028816977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0.68883017825716208</c:v>
                </c:pt>
                <c:pt idx="486">
                  <c:v>0.61563625798620425</c:v>
                </c:pt>
                <c:pt idx="487">
                  <c:v>0.54127043910769224</c:v>
                </c:pt>
                <c:pt idx="488">
                  <c:v>0.465874281184538</c:v>
                </c:pt>
                <c:pt idx="489">
                  <c:v>0.38959130508858508</c:v>
                </c:pt>
                <c:pt idx="490">
                  <c:v>0.31256671980047535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0.70842730778258767</c:v>
                </c:pt>
                <c:pt idx="561">
                  <c:v>0.63296561000991125</c:v>
                </c:pt>
                <c:pt idx="562">
                  <c:v>0.55636326542544812</c:v>
                </c:pt>
                <c:pt idx="563">
                  <c:v>0.47875831663174018</c:v>
                </c:pt>
                <c:pt idx="564">
                  <c:v>0.40029061299188295</c:v>
                </c:pt>
                <c:pt idx="565">
                  <c:v>0.32110155861151679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0.70062169512764305</c:v>
                </c:pt>
                <c:pt idx="641">
                  <c:v>0.62559321404444845</c:v>
                </c:pt>
                <c:pt idx="642">
                  <c:v>0.54957554150204435</c:v>
                </c:pt>
                <c:pt idx="643">
                  <c:v>0.47268887706580315</c:v>
                </c:pt>
                <c:pt idx="644">
                  <c:v>0.39505479435589924</c:v>
                </c:pt>
                <c:pt idx="645">
                  <c:v>0.31679604881442264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2B-422A-BD81-6A47B4B78E7E}"/>
            </c:ext>
          </c:extLst>
        </c:ser>
        <c:ser>
          <c:idx val="3"/>
          <c:order val="3"/>
          <c:tx>
            <c:strRef>
              <c:f>'Election chart calculations'!$Q$2</c:f>
              <c:strCache>
                <c:ptCount val="1"/>
                <c:pt idx="0">
                  <c:v>xSNP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'Election chart calculations'!$Q$3:$Q$652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-0.93969262078590832</c:v>
                </c:pt>
                <c:pt idx="33">
                  <c:v>-0.9659258262890682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-1.0696069124374443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-1.172576239165392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-1.2760269040883849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-1.378730854217092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-1.4809025320820175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-1.5826824159436501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-1.6836977324878493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calculations'!$R$3:$R$652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0.34202014332566888</c:v>
                </c:pt>
                <c:pt idx="33">
                  <c:v>0.25881904510252102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0.25678990024149612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0.2550783474635705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0.24850621731178546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0.24310744873370121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0.23859524402860691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0.23476875912857897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0.2348658034182001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2B-422A-BD81-6A47B4B78E7E}"/>
            </c:ext>
          </c:extLst>
        </c:ser>
        <c:ser>
          <c:idx val="4"/>
          <c:order val="4"/>
          <c:tx>
            <c:strRef>
              <c:f>'Election chart calculations'!$S$2</c:f>
              <c:strCache>
                <c:ptCount val="1"/>
                <c:pt idx="0">
                  <c:v>xOth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'Election chart calculations'!$S$3:$S$652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-0.98480775301220802</c:v>
                </c:pt>
                <c:pt idx="35">
                  <c:v>-0.99619469809174555</c:v>
                </c:pt>
                <c:pt idx="36">
                  <c:v>-1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-1.0864571746546514</c:v>
                </c:pt>
                <c:pt idx="76">
                  <c:v>-1.0966090671064408</c:v>
                </c:pt>
                <c:pt idx="77">
                  <c:v>-1.1000000000000001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-1.1877857302571198</c:v>
                </c:pt>
                <c:pt idx="121">
                  <c:v>-1.1969425375323046</c:v>
                </c:pt>
                <c:pt idx="122">
                  <c:v>-1.2000000000000002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-1.2893270179702201</c:v>
                </c:pt>
                <c:pt idx="171">
                  <c:v>-1.2973290105754374</c:v>
                </c:pt>
                <c:pt idx="172">
                  <c:v>-1.3000000000000003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-1.3905337008387206</c:v>
                </c:pt>
                <c:pt idx="226">
                  <c:v>-1.397631421579776</c:v>
                </c:pt>
                <c:pt idx="227">
                  <c:v>-1.4000000000000004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-1.4915022003152063</c:v>
                </c:pt>
                <c:pt idx="286">
                  <c:v>-1.4978740435151434</c:v>
                </c:pt>
                <c:pt idx="287">
                  <c:v>-1.5000000000000004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-1.5922955626755155</c:v>
                </c:pt>
                <c:pt idx="351">
                  <c:v>-1.5980727299282764</c:v>
                </c:pt>
                <c:pt idx="352">
                  <c:v>-1.6000000000000005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-1.6927480997015594</c:v>
                </c:pt>
                <c:pt idx="420">
                  <c:v>-1.6981860571640337</c:v>
                </c:pt>
                <c:pt idx="421">
                  <c:v>-1.7000000000000006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-1.7846007504728594</c:v>
                </c:pt>
                <c:pt idx="492">
                  <c:v>-1.7931504565651426</c:v>
                </c:pt>
                <c:pt idx="493">
                  <c:v>-1.7982867988473448</c:v>
                </c:pt>
                <c:pt idx="494">
                  <c:v>-1.8000000000000007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-1.8846108269918664</c:v>
                </c:pt>
                <c:pt idx="567">
                  <c:v>-1.8931552282308008</c:v>
                </c:pt>
                <c:pt idx="568">
                  <c:v>-1.8982880357888954</c:v>
                </c:pt>
                <c:pt idx="569">
                  <c:v>-1.9000000000000008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-1.9857841474039486</c:v>
                </c:pt>
                <c:pt idx="647">
                  <c:v>-1.9936776780293932</c:v>
                </c:pt>
                <c:pt idx="648">
                  <c:v>-1.998418794454605</c:v>
                </c:pt>
                <c:pt idx="649">
                  <c:v>-2.0000000000000009</c:v>
                </c:pt>
              </c:numCache>
            </c:numRef>
          </c:xVal>
          <c:yVal>
            <c:numRef>
              <c:f>'Election chart calculations'!$T$3:$T$652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0.17364817766693069</c:v>
                </c:pt>
                <c:pt idx="35">
                  <c:v>8.7155742747658194E-2</c:v>
                </c:pt>
                <c:pt idx="36">
                  <c:v>1.22514845490862E-16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0.17207791154425409</c:v>
                </c:pt>
                <c:pt idx="76">
                  <c:v>8.6305005300629581E-2</c:v>
                </c:pt>
                <c:pt idx="77">
                  <c:v>1.347663300399482E-16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0.17077780592794067</c:v>
                </c:pt>
                <c:pt idx="121">
                  <c:v>8.5607019839077328E-2</c:v>
                </c:pt>
                <c:pt idx="122">
                  <c:v>-1.4517033408711913E-15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0.16624031018985963</c:v>
                </c:pt>
                <c:pt idx="171">
                  <c:v>8.329128597492895E-2</c:v>
                </c:pt>
                <c:pt idx="172">
                  <c:v>1.8912172175533654E-15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0.16253007977532069</c:v>
                </c:pt>
                <c:pt idx="226">
                  <c:v>8.1402760474664188E-2</c:v>
                </c:pt>
                <c:pt idx="227">
                  <c:v>-1.6936538976830567E-15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0.15944022847104694</c:v>
                </c:pt>
                <c:pt idx="286">
                  <c:v>7.9833262263266161E-2</c:v>
                </c:pt>
                <c:pt idx="287">
                  <c:v>-1.8146291760889892E-15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0.15682742452729737</c:v>
                </c:pt>
                <c:pt idx="351">
                  <c:v>7.8508278923868774E-2</c:v>
                </c:pt>
                <c:pt idx="352">
                  <c:v>1.9602375278537928E-16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0.15685621108761319</c:v>
                </c:pt>
                <c:pt idx="420">
                  <c:v>7.8511879697756567E-2</c:v>
                </c:pt>
                <c:pt idx="421">
                  <c:v>-1.301628076155748E-15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0.23494714599609293</c:v>
                </c:pt>
                <c:pt idx="492">
                  <c:v>0.15688033694578482</c:v>
                </c:pt>
                <c:pt idx="493">
                  <c:v>7.8514897257604951E-2</c:v>
                </c:pt>
                <c:pt idx="494">
                  <c:v>2.205267218835517E-16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0.24133385751907302</c:v>
                </c:pt>
                <c:pt idx="567">
                  <c:v>0.16113125650347149</c:v>
                </c:pt>
                <c:pt idx="568">
                  <c:v>8.063828607268643E-2</c:v>
                </c:pt>
                <c:pt idx="569">
                  <c:v>4.4516257000082342E-15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0.23803638360380278</c:v>
                </c:pt>
                <c:pt idx="647">
                  <c:v>0.15890033394342162</c:v>
                </c:pt>
                <c:pt idx="648">
                  <c:v>7.9513030193843828E-2</c:v>
                </c:pt>
                <c:pt idx="649">
                  <c:v>-7.7485760863194062E-15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2B-422A-BD81-6A47B4B78E7E}"/>
            </c:ext>
          </c:extLst>
        </c:ser>
        <c:ser>
          <c:idx val="5"/>
          <c:order val="5"/>
          <c:tx>
            <c:strRef>
              <c:f>'Election chart calculations'!$AV$10</c:f>
              <c:strCache>
                <c:ptCount val="1"/>
                <c:pt idx="0">
                  <c:v>Labour 412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2741851491150134"/>
                  <c:y val="-0.54915344601699934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2B-422A-BD81-6A47B4B78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'Election chart calculations'!$AV$11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'Election chart calculations'!$AV$12</c:f>
              <c:numCache>
                <c:formatCode>0.00</c:formatCode>
                <c:ptCount val="1"/>
                <c:pt idx="0">
                  <c:v>0.35956915395315225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2B-422A-BD81-6A47B4B78E7E}"/>
            </c:ext>
          </c:extLst>
        </c:ser>
        <c:ser>
          <c:idx val="6"/>
          <c:order val="6"/>
          <c:tx>
            <c:strRef>
              <c:f>'Election chart calculations'!$AV$14</c:f>
              <c:strCache>
                <c:ptCount val="1"/>
                <c:pt idx="0">
                  <c:v>Conservatives 121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50921980515147469"/>
                  <c:y val="-0.452686335000204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2B-422A-BD81-6A47B4B78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'Election chart calculations'!$AV$15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'Election chart calculations'!$AV$16</c:f>
              <c:numCache>
                <c:formatCode>0.00</c:formatCode>
                <c:ptCount val="1"/>
                <c:pt idx="0">
                  <c:v>0.35956915395315225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2B-422A-BD81-6A47B4B78E7E}"/>
            </c:ext>
          </c:extLst>
        </c:ser>
        <c:ser>
          <c:idx val="7"/>
          <c:order val="7"/>
          <c:tx>
            <c:strRef>
              <c:f>'Election chart calculations'!$AV$18</c:f>
              <c:strCache>
                <c:ptCount val="1"/>
                <c:pt idx="0">
                  <c:v>Lib Dem 72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9132630455091418"/>
                  <c:y val="-3.394253936079771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2B-422A-BD81-6A47B4B78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'Election chart calculations'!$AV$19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'Election chart calculations'!$AV$20</c:f>
              <c:numCache>
                <c:formatCode>0.00</c:formatCode>
                <c:ptCount val="1"/>
                <c:pt idx="0">
                  <c:v>0.35956915395315225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2B-422A-BD81-6A47B4B78E7E}"/>
            </c:ext>
          </c:extLst>
        </c:ser>
        <c:ser>
          <c:idx val="8"/>
          <c:order val="8"/>
          <c:tx>
            <c:strRef>
              <c:f>'Election chart calculations'!$AV$22</c:f>
              <c:strCache>
                <c:ptCount val="1"/>
                <c:pt idx="0">
                  <c:v>SNP 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21241834601183326"/>
                  <c:y val="4.155223171361005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2B-422A-BD81-6A47B4B78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'Election chart calculations'!$AV$23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'Election chart calculations'!$AV$24</c:f>
              <c:numCache>
                <c:formatCode>0.00</c:formatCode>
                <c:ptCount val="1"/>
                <c:pt idx="0">
                  <c:v>0.35956915395315225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A2B-422A-BD81-6A47B4B78E7E}"/>
            </c:ext>
          </c:extLst>
        </c:ser>
        <c:ser>
          <c:idx val="9"/>
          <c:order val="9"/>
          <c:tx>
            <c:strRef>
              <c:f>'Election chart calculations'!$AV$26</c:f>
              <c:strCache>
                <c:ptCount val="1"/>
                <c:pt idx="0">
                  <c:v>Other 36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22296377359609709"/>
                  <c:y val="0.1226790215579488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2B-422A-BD81-6A47B4B78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'Election chart calculations'!$AV$27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'Election chart calculations'!$AV$28</c:f>
              <c:numCache>
                <c:formatCode>0.00</c:formatCode>
                <c:ptCount val="1"/>
                <c:pt idx="0">
                  <c:v>0.35956915395315225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A2B-422A-BD81-6A47B4B78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559984"/>
        <c:axId val="1436063616"/>
      </c:scatterChart>
      <c:valAx>
        <c:axId val="1512559984"/>
        <c:scaling>
          <c:orientation val="minMax"/>
          <c:max val="2"/>
          <c:min val="-2"/>
        </c:scaling>
        <c:delete val="1"/>
        <c:axPos val="b"/>
        <c:numFmt formatCode="0.0" sourceLinked="1"/>
        <c:majorTickMark val="none"/>
        <c:minorTickMark val="none"/>
        <c:tickLblPos val="nextTo"/>
        <c:crossAx val="1436063616"/>
        <c:crosses val="autoZero"/>
        <c:crossBetween val="midCat"/>
      </c:valAx>
      <c:valAx>
        <c:axId val="1436063616"/>
        <c:scaling>
          <c:orientation val="minMax"/>
          <c:max val="2"/>
          <c:min val="0"/>
        </c:scaling>
        <c:delete val="1"/>
        <c:axPos val="l"/>
        <c:numFmt formatCode="0.0" sourceLinked="1"/>
        <c:majorTickMark val="none"/>
        <c:minorTickMark val="none"/>
        <c:tickLblPos val="nextTo"/>
        <c:crossAx val="151255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0656079961376362E-2"/>
          <c:y val="0.14714391023940784"/>
          <c:w val="0.88144428219457238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'DMP Chart Data'!$B$2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'DMP Chart Data'!$A$3:$A$92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'DMP Chart Data'!$B$3:$B$92</c:f>
              <c:numCache>
                <c:formatCode>0.0</c:formatCode>
                <c:ptCount val="90"/>
                <c:pt idx="0">
                  <c:v>#N/A</c:v>
                </c:pt>
                <c:pt idx="1">
                  <c:v>#N/A</c:v>
                </c:pt>
                <c:pt idx="2">
                  <c:v>2.7920000000000003</c:v>
                </c:pt>
                <c:pt idx="3">
                  <c:v>2.7696666666666672</c:v>
                </c:pt>
                <c:pt idx="4">
                  <c:v>2.6693333333333329</c:v>
                </c:pt>
                <c:pt idx="5">
                  <c:v>2.6</c:v>
                </c:pt>
                <c:pt idx="6">
                  <c:v>2.4496666666666669</c:v>
                </c:pt>
                <c:pt idx="7">
                  <c:v>2.454333333333333</c:v>
                </c:pt>
                <c:pt idx="8">
                  <c:v>2.5609999999999999</c:v>
                </c:pt>
                <c:pt idx="9">
                  <c:v>2.4786666666666668</c:v>
                </c:pt>
                <c:pt idx="10">
                  <c:v>2.4653333333333332</c:v>
                </c:pt>
                <c:pt idx="11">
                  <c:v>2.4813333333333332</c:v>
                </c:pt>
                <c:pt idx="12">
                  <c:v>2.4419999999999997</c:v>
                </c:pt>
                <c:pt idx="13">
                  <c:v>2.4376666666666669</c:v>
                </c:pt>
                <c:pt idx="14">
                  <c:v>2.3353333333333333</c:v>
                </c:pt>
                <c:pt idx="15">
                  <c:v>2.3289999999999997</c:v>
                </c:pt>
                <c:pt idx="16">
                  <c:v>2.1853333333333333</c:v>
                </c:pt>
                <c:pt idx="17">
                  <c:v>2.246</c:v>
                </c:pt>
                <c:pt idx="18">
                  <c:v>2.2393333333333332</c:v>
                </c:pt>
                <c:pt idx="19">
                  <c:v>2.3316666666666666</c:v>
                </c:pt>
                <c:pt idx="20">
                  <c:v>2.2266666666666666</c:v>
                </c:pt>
                <c:pt idx="21">
                  <c:v>2.2823333333333333</c:v>
                </c:pt>
                <c:pt idx="22">
                  <c:v>2.4266666666666663</c:v>
                </c:pt>
                <c:pt idx="23">
                  <c:v>2.4843333333333333</c:v>
                </c:pt>
                <c:pt idx="24">
                  <c:v>2.4646666666666666</c:v>
                </c:pt>
                <c:pt idx="25">
                  <c:v>2.4226666666666667</c:v>
                </c:pt>
                <c:pt idx="26">
                  <c:v>2.387</c:v>
                </c:pt>
                <c:pt idx="27">
                  <c:v>2.448</c:v>
                </c:pt>
                <c:pt idx="28">
                  <c:v>2.3716666666666666</c:v>
                </c:pt>
                <c:pt idx="29">
                  <c:v>2.4003333333333332</c:v>
                </c:pt>
                <c:pt idx="30">
                  <c:v>2.1946666666666665</c:v>
                </c:pt>
                <c:pt idx="31">
                  <c:v>2.1803333333333335</c:v>
                </c:pt>
                <c:pt idx="32">
                  <c:v>2.2473333333333336</c:v>
                </c:pt>
                <c:pt idx="33">
                  <c:v>2.2866666666666666</c:v>
                </c:pt>
                <c:pt idx="34">
                  <c:v>2.2506666666666666</c:v>
                </c:pt>
                <c:pt idx="35">
                  <c:v>2.2560000000000002</c:v>
                </c:pt>
                <c:pt idx="36">
                  <c:v>2.2243333333333335</c:v>
                </c:pt>
                <c:pt idx="37">
                  <c:v>2.206</c:v>
                </c:pt>
                <c:pt idx="38">
                  <c:v>1.954</c:v>
                </c:pt>
                <c:pt idx="39">
                  <c:v>1.6493333333333331</c:v>
                </c:pt>
                <c:pt idx="40">
                  <c:v>1.4029999999999998</c:v>
                </c:pt>
                <c:pt idx="41">
                  <c:v>1.3480000000000001</c:v>
                </c:pt>
                <c:pt idx="42">
                  <c:v>1.5</c:v>
                </c:pt>
                <c:pt idx="43">
                  <c:v>1.7646666666666668</c:v>
                </c:pt>
                <c:pt idx="44">
                  <c:v>1.9103333333333332</c:v>
                </c:pt>
                <c:pt idx="45">
                  <c:v>2.1439999999999997</c:v>
                </c:pt>
                <c:pt idx="46">
                  <c:v>2.1143333333333332</c:v>
                </c:pt>
                <c:pt idx="47">
                  <c:v>2.3839999999999999</c:v>
                </c:pt>
                <c:pt idx="48">
                  <c:v>2.4323333333333337</c:v>
                </c:pt>
                <c:pt idx="49">
                  <c:v>2.6413333333333333</c:v>
                </c:pt>
                <c:pt idx="50">
                  <c:v>2.7353333333333332</c:v>
                </c:pt>
                <c:pt idx="51">
                  <c:v>2.9446666666666665</c:v>
                </c:pt>
                <c:pt idx="52">
                  <c:v>3.1880000000000002</c:v>
                </c:pt>
                <c:pt idx="53">
                  <c:v>3.2803333333333335</c:v>
                </c:pt>
                <c:pt idx="54">
                  <c:v>3.2086666666666663</c:v>
                </c:pt>
                <c:pt idx="55">
                  <c:v>3.1333333333333329</c:v>
                </c:pt>
                <c:pt idx="56">
                  <c:v>3.4169999999999998</c:v>
                </c:pt>
                <c:pt idx="57">
                  <c:v>4.0119999999999996</c:v>
                </c:pt>
                <c:pt idx="58">
                  <c:v>4.4189999999999996</c:v>
                </c:pt>
                <c:pt idx="59">
                  <c:v>4.75</c:v>
                </c:pt>
                <c:pt idx="60">
                  <c:v>4.6900000000000004</c:v>
                </c:pt>
                <c:pt idx="61">
                  <c:v>4.8393333333333333</c:v>
                </c:pt>
                <c:pt idx="62">
                  <c:v>5.0963333333333338</c:v>
                </c:pt>
                <c:pt idx="63">
                  <c:v>5.5866666666666669</c:v>
                </c:pt>
                <c:pt idx="64">
                  <c:v>5.9170000000000007</c:v>
                </c:pt>
                <c:pt idx="65">
                  <c:v>6.057666666666667</c:v>
                </c:pt>
                <c:pt idx="66">
                  <c:v>6.2809999999999997</c:v>
                </c:pt>
                <c:pt idx="67">
                  <c:v>6.464666666666667</c:v>
                </c:pt>
                <c:pt idx="68">
                  <c:v>6.580000000000001</c:v>
                </c:pt>
                <c:pt idx="69">
                  <c:v>6.431</c:v>
                </c:pt>
                <c:pt idx="70">
                  <c:v>6.2020000000000008</c:v>
                </c:pt>
                <c:pt idx="71">
                  <c:v>5.9170000000000007</c:v>
                </c:pt>
                <c:pt idx="72">
                  <c:v>5.7766666666666673</c:v>
                </c:pt>
                <c:pt idx="73">
                  <c:v>5.657</c:v>
                </c:pt>
                <c:pt idx="74">
                  <c:v>5.4996666666666663</c:v>
                </c:pt>
                <c:pt idx="75">
                  <c:v>5.5516666666666667</c:v>
                </c:pt>
                <c:pt idx="76">
                  <c:v>5.469666666666666</c:v>
                </c:pt>
                <c:pt idx="77">
                  <c:v>5.3216666666666663</c:v>
                </c:pt>
                <c:pt idx="78">
                  <c:v>5.1990000000000007</c:v>
                </c:pt>
                <c:pt idx="79">
                  <c:v>4.9833333333333334</c:v>
                </c:pt>
                <c:pt idx="80">
                  <c:v>4.8223333333333338</c:v>
                </c:pt>
                <c:pt idx="81">
                  <c:v>4.5256666666666669</c:v>
                </c:pt>
                <c:pt idx="82">
                  <c:v>4.4463333333333335</c:v>
                </c:pt>
                <c:pt idx="83">
                  <c:v>4.3816666666666668</c:v>
                </c:pt>
                <c:pt idx="84">
                  <c:v>4.3313333333333333</c:v>
                </c:pt>
                <c:pt idx="85">
                  <c:v>4.2809999999999997</c:v>
                </c:pt>
                <c:pt idx="86">
                  <c:v>4.112333333333333</c:v>
                </c:pt>
                <c:pt idx="87">
                  <c:v>4.0060000000000002</c:v>
                </c:pt>
                <c:pt idx="88">
                  <c:v>3.911</c:v>
                </c:pt>
                <c:pt idx="89">
                  <c:v>3.871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'DMP Chart Data'!$C$2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'DMP Chart Data'!$A$3:$A$92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'DMP Chart Data'!$C$3:$C$92</c:f>
              <c:numCache>
                <c:formatCode>0.0</c:formatCode>
                <c:ptCount val="90"/>
                <c:pt idx="0">
                  <c:v>#N/A</c:v>
                </c:pt>
                <c:pt idx="1">
                  <c:v>#N/A</c:v>
                </c:pt>
                <c:pt idx="2">
                  <c:v>2.8653333333333335</c:v>
                </c:pt>
                <c:pt idx="3">
                  <c:v>2.8010000000000002</c:v>
                </c:pt>
                <c:pt idx="4">
                  <c:v>2.7436666666666665</c:v>
                </c:pt>
                <c:pt idx="5">
                  <c:v>2.6796666666666664</c:v>
                </c:pt>
                <c:pt idx="6">
                  <c:v>2.573</c:v>
                </c:pt>
                <c:pt idx="7">
                  <c:v>2.5016666666666669</c:v>
                </c:pt>
                <c:pt idx="8">
                  <c:v>2.4886666666666666</c:v>
                </c:pt>
                <c:pt idx="9">
                  <c:v>2.4983333333333335</c:v>
                </c:pt>
                <c:pt idx="10">
                  <c:v>2.5016666666666665</c:v>
                </c:pt>
                <c:pt idx="11">
                  <c:v>2.4750000000000001</c:v>
                </c:pt>
                <c:pt idx="12">
                  <c:v>2.4626666666666668</c:v>
                </c:pt>
                <c:pt idx="13">
                  <c:v>2.4536666666666669</c:v>
                </c:pt>
                <c:pt idx="14">
                  <c:v>2.4050000000000002</c:v>
                </c:pt>
                <c:pt idx="15">
                  <c:v>2.3673333333333333</c:v>
                </c:pt>
                <c:pt idx="16">
                  <c:v>2.2833333333333332</c:v>
                </c:pt>
                <c:pt idx="17">
                  <c:v>2.2536666666666672</c:v>
                </c:pt>
                <c:pt idx="18">
                  <c:v>2.2236666666666669</c:v>
                </c:pt>
                <c:pt idx="19">
                  <c:v>2.2723333333333331</c:v>
                </c:pt>
                <c:pt idx="20">
                  <c:v>2.2656666666666667</c:v>
                </c:pt>
                <c:pt idx="21">
                  <c:v>2.2799999999999998</c:v>
                </c:pt>
                <c:pt idx="22">
                  <c:v>2.311666666666667</c:v>
                </c:pt>
                <c:pt idx="23">
                  <c:v>2.3976666666666664</c:v>
                </c:pt>
                <c:pt idx="24">
                  <c:v>2.4586666666666663</c:v>
                </c:pt>
                <c:pt idx="25">
                  <c:v>2.4573333333333331</c:v>
                </c:pt>
                <c:pt idx="26">
                  <c:v>2.4250000000000003</c:v>
                </c:pt>
                <c:pt idx="27">
                  <c:v>2.4193333333333338</c:v>
                </c:pt>
                <c:pt idx="28">
                  <c:v>2.4023333333333334</c:v>
                </c:pt>
                <c:pt idx="29">
                  <c:v>2.4066666666666667</c:v>
                </c:pt>
                <c:pt idx="30">
                  <c:v>2.3223333333333334</c:v>
                </c:pt>
                <c:pt idx="31">
                  <c:v>2.2583333333333333</c:v>
                </c:pt>
                <c:pt idx="32">
                  <c:v>2.2073333333333331</c:v>
                </c:pt>
                <c:pt idx="33">
                  <c:v>2.238</c:v>
                </c:pt>
                <c:pt idx="34">
                  <c:v>2.2616666666666667</c:v>
                </c:pt>
                <c:pt idx="35">
                  <c:v>2.2646666666666668</c:v>
                </c:pt>
                <c:pt idx="36">
                  <c:v>2.2436666666666665</c:v>
                </c:pt>
                <c:pt idx="37">
                  <c:v>2.2286666666666668</c:v>
                </c:pt>
                <c:pt idx="38">
                  <c:v>2.1279999999999997</c:v>
                </c:pt>
                <c:pt idx="39">
                  <c:v>1.9363333333333335</c:v>
                </c:pt>
                <c:pt idx="40">
                  <c:v>1.6686666666666667</c:v>
                </c:pt>
                <c:pt idx="41">
                  <c:v>1.4666666666666668</c:v>
                </c:pt>
                <c:pt idx="42">
                  <c:v>1.417</c:v>
                </c:pt>
                <c:pt idx="43">
                  <c:v>1.5373333333333334</c:v>
                </c:pt>
                <c:pt idx="44">
                  <c:v>1.7246666666666668</c:v>
                </c:pt>
                <c:pt idx="45">
                  <c:v>1.9393333333333331</c:v>
                </c:pt>
                <c:pt idx="46">
                  <c:v>2.0563333333333333</c:v>
                </c:pt>
                <c:pt idx="47">
                  <c:v>2.2143333333333337</c:v>
                </c:pt>
                <c:pt idx="48">
                  <c:v>2.3106666666666666</c:v>
                </c:pt>
                <c:pt idx="49">
                  <c:v>2.4863333333333331</c:v>
                </c:pt>
                <c:pt idx="50">
                  <c:v>2.6033333333333331</c:v>
                </c:pt>
                <c:pt idx="51">
                  <c:v>2.7739999999999996</c:v>
                </c:pt>
                <c:pt idx="52">
                  <c:v>2.956</c:v>
                </c:pt>
                <c:pt idx="53">
                  <c:v>3.1376666666666666</c:v>
                </c:pt>
                <c:pt idx="54">
                  <c:v>3.2256666666666667</c:v>
                </c:pt>
                <c:pt idx="55">
                  <c:v>3.2073333333333331</c:v>
                </c:pt>
                <c:pt idx="56">
                  <c:v>3.2530000000000001</c:v>
                </c:pt>
                <c:pt idx="57">
                  <c:v>3.5206666666666666</c:v>
                </c:pt>
                <c:pt idx="58">
                  <c:v>3.9493333333333331</c:v>
                </c:pt>
                <c:pt idx="59">
                  <c:v>4.3936666666666664</c:v>
                </c:pt>
                <c:pt idx="60">
                  <c:v>4.6196666666666673</c:v>
                </c:pt>
                <c:pt idx="61">
                  <c:v>4.7596666666666669</c:v>
                </c:pt>
                <c:pt idx="62">
                  <c:v>4.875</c:v>
                </c:pt>
                <c:pt idx="63">
                  <c:v>5.1740000000000004</c:v>
                </c:pt>
                <c:pt idx="64">
                  <c:v>5.5333333333333341</c:v>
                </c:pt>
                <c:pt idx="65">
                  <c:v>5.8539999999999992</c:v>
                </c:pt>
                <c:pt idx="66">
                  <c:v>6.0853333333333337</c:v>
                </c:pt>
                <c:pt idx="67">
                  <c:v>6.2679999999999998</c:v>
                </c:pt>
                <c:pt idx="68">
                  <c:v>6.4420000000000002</c:v>
                </c:pt>
                <c:pt idx="69">
                  <c:v>6.492</c:v>
                </c:pt>
                <c:pt idx="70">
                  <c:v>6.4043333333333337</c:v>
                </c:pt>
                <c:pt idx="71">
                  <c:v>6.1833333333333327</c:v>
                </c:pt>
                <c:pt idx="72">
                  <c:v>5.9653333333333336</c:v>
                </c:pt>
                <c:pt idx="73">
                  <c:v>5.7836666666666661</c:v>
                </c:pt>
                <c:pt idx="74">
                  <c:v>5.644333333333333</c:v>
                </c:pt>
                <c:pt idx="75">
                  <c:v>5.5693333333333328</c:v>
                </c:pt>
                <c:pt idx="76">
                  <c:v>5.5069999999999988</c:v>
                </c:pt>
                <c:pt idx="77">
                  <c:v>5.4479999999999995</c:v>
                </c:pt>
                <c:pt idx="78">
                  <c:v>5.3303333333333329</c:v>
                </c:pt>
                <c:pt idx="79">
                  <c:v>5.1680000000000001</c:v>
                </c:pt>
                <c:pt idx="80">
                  <c:v>5.0013333333333323</c:v>
                </c:pt>
                <c:pt idx="81">
                  <c:v>4.7770000000000001</c:v>
                </c:pt>
                <c:pt idx="82">
                  <c:v>4.5979999999999999</c:v>
                </c:pt>
                <c:pt idx="83">
                  <c:v>4.4513333333333334</c:v>
                </c:pt>
                <c:pt idx="84">
                  <c:v>4.386333333333333</c:v>
                </c:pt>
                <c:pt idx="85">
                  <c:v>4.3313333333333333</c:v>
                </c:pt>
                <c:pt idx="86">
                  <c:v>4.2413333333333334</c:v>
                </c:pt>
                <c:pt idx="87">
                  <c:v>4.133</c:v>
                </c:pt>
                <c:pt idx="88">
                  <c:v>4.0096666666666669</c:v>
                </c:pt>
                <c:pt idx="89">
                  <c:v>3.9293333333333336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'DMP Chart Data'!$D$2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'DMP Chart Data'!$A$3:$A$92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'DMP Chart Data'!$D$3:$D$92</c:f>
              <c:numCache>
                <c:formatCode>0.0</c:formatCode>
                <c:ptCount val="90"/>
                <c:pt idx="66">
                  <c:v>5.5666666666666664</c:v>
                </c:pt>
                <c:pt idx="67">
                  <c:v>5.8666666666666671</c:v>
                </c:pt>
                <c:pt idx="68">
                  <c:v>6.1333333333333329</c:v>
                </c:pt>
                <c:pt idx="69">
                  <c:v>6.333333333333333</c:v>
                </c:pt>
                <c:pt idx="70">
                  <c:v>6.2333333333333334</c:v>
                </c:pt>
                <c:pt idx="71">
                  <c:v>6.2666666666666657</c:v>
                </c:pt>
                <c:pt idx="72">
                  <c:v>6.333333333333333</c:v>
                </c:pt>
                <c:pt idx="73">
                  <c:v>6.5</c:v>
                </c:pt>
                <c:pt idx="74">
                  <c:v>6.4666666666666659</c:v>
                </c:pt>
                <c:pt idx="75">
                  <c:v>6.5666666666666664</c:v>
                </c:pt>
                <c:pt idx="76">
                  <c:v>6.6333333333333329</c:v>
                </c:pt>
                <c:pt idx="77">
                  <c:v>6.833333333333333</c:v>
                </c:pt>
                <c:pt idx="78">
                  <c:v>6.8666666666666663</c:v>
                </c:pt>
                <c:pt idx="79">
                  <c:v>6.9000000000000012</c:v>
                </c:pt>
                <c:pt idx="80">
                  <c:v>6.9000000000000012</c:v>
                </c:pt>
                <c:pt idx="81">
                  <c:v>6.9333333333333336</c:v>
                </c:pt>
                <c:pt idx="82">
                  <c:v>6.9666666666666659</c:v>
                </c:pt>
                <c:pt idx="83">
                  <c:v>6.9333333333333336</c:v>
                </c:pt>
                <c:pt idx="84">
                  <c:v>6.833333333333333</c:v>
                </c:pt>
                <c:pt idx="85">
                  <c:v>6.666666666666667</c:v>
                </c:pt>
                <c:pt idx="86">
                  <c:v>6.3666666666666671</c:v>
                </c:pt>
                <c:pt idx="87">
                  <c:v>6.166666666666667</c:v>
                </c:pt>
                <c:pt idx="88">
                  <c:v>6.0333333333333341</c:v>
                </c:pt>
                <c:pt idx="89">
                  <c:v>5.9666666666666659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'DMP Chart Data'!$E$2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'DMP Chart Data'!$A$3:$A$92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'DMP Chart Data'!$E$3:$E$92</c:f>
              <c:numCache>
                <c:formatCode>0.0</c:formatCode>
                <c:ptCount val="90"/>
                <c:pt idx="66">
                  <c:v>5.0333333333333323</c:v>
                </c:pt>
                <c:pt idx="67">
                  <c:v>5.2666666666666666</c:v>
                </c:pt>
                <c:pt idx="68">
                  <c:v>5.5333333333333341</c:v>
                </c:pt>
                <c:pt idx="69">
                  <c:v>5.7333333333333334</c:v>
                </c:pt>
                <c:pt idx="70">
                  <c:v>5.833333333333333</c:v>
                </c:pt>
                <c:pt idx="71">
                  <c:v>5.9666666666666659</c:v>
                </c:pt>
                <c:pt idx="72">
                  <c:v>5.9333333333333336</c:v>
                </c:pt>
                <c:pt idx="73">
                  <c:v>5.9333333333333336</c:v>
                </c:pt>
                <c:pt idx="74">
                  <c:v>5.7</c:v>
                </c:pt>
                <c:pt idx="75">
                  <c:v>5.5999999999999988</c:v>
                </c:pt>
                <c:pt idx="76">
                  <c:v>5.3999999999999995</c:v>
                </c:pt>
                <c:pt idx="77">
                  <c:v>5.3000000000000007</c:v>
                </c:pt>
                <c:pt idx="78">
                  <c:v>5.166666666666667</c:v>
                </c:pt>
                <c:pt idx="79">
                  <c:v>5.1000000000000005</c:v>
                </c:pt>
                <c:pt idx="80">
                  <c:v>5.0666666666666664</c:v>
                </c:pt>
                <c:pt idx="81">
                  <c:v>5.0999999999999996</c:v>
                </c:pt>
                <c:pt idx="82">
                  <c:v>5.1333333333333337</c:v>
                </c:pt>
                <c:pt idx="83">
                  <c:v>5.2</c:v>
                </c:pt>
                <c:pt idx="84">
                  <c:v>5.2</c:v>
                </c:pt>
                <c:pt idx="85">
                  <c:v>5.1333333333333337</c:v>
                </c:pt>
                <c:pt idx="86">
                  <c:v>4.8999999999999995</c:v>
                </c:pt>
                <c:pt idx="87">
                  <c:v>4.7333333333333334</c:v>
                </c:pt>
                <c:pt idx="88">
                  <c:v>4.4666666666666668</c:v>
                </c:pt>
                <c:pt idx="89">
                  <c:v>4.2333333333333334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5474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454522916179817"/>
          <c:y val="9.031617966205005E-2"/>
          <c:w val="0.61654055067158398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158874666054973E-2"/>
          <c:y val="2.6711185308848081E-2"/>
          <c:w val="0.97072655046343514"/>
          <c:h val="0.926544240400667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'Election chart calculations'!$K$2</c:f>
              <c:strCache>
                <c:ptCount val="1"/>
                <c:pt idx="0">
                  <c:v>xLAB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'Election chart calculations'!$K$3:$K$652</c:f>
              <c:numCache>
                <c:formatCode>0.0</c:formatCode>
                <c:ptCount val="650"/>
                <c:pt idx="0">
                  <c:v>1</c:v>
                </c:pt>
                <c:pt idx="1">
                  <c:v>0.99619469809174555</c:v>
                </c:pt>
                <c:pt idx="2">
                  <c:v>0.98480775301220802</c:v>
                </c:pt>
                <c:pt idx="3">
                  <c:v>0.96592582628906831</c:v>
                </c:pt>
                <c:pt idx="4">
                  <c:v>0.93969262078590843</c:v>
                </c:pt>
                <c:pt idx="5">
                  <c:v>0.90630778703664994</c:v>
                </c:pt>
                <c:pt idx="6">
                  <c:v>0.86602540378443871</c:v>
                </c:pt>
                <c:pt idx="7">
                  <c:v>0.8191520442889918</c:v>
                </c:pt>
                <c:pt idx="8">
                  <c:v>0.76604444311897801</c:v>
                </c:pt>
                <c:pt idx="9">
                  <c:v>0.70710678118654757</c:v>
                </c:pt>
                <c:pt idx="10">
                  <c:v>0.64278760968653936</c:v>
                </c:pt>
                <c:pt idx="11">
                  <c:v>0.57357643635104616</c:v>
                </c:pt>
                <c:pt idx="12">
                  <c:v>0.50000000000000011</c:v>
                </c:pt>
                <c:pt idx="13">
                  <c:v>0.42261826174069944</c:v>
                </c:pt>
                <c:pt idx="14">
                  <c:v>0.34202014332566882</c:v>
                </c:pt>
                <c:pt idx="15">
                  <c:v>0.25881904510252074</c:v>
                </c:pt>
                <c:pt idx="16">
                  <c:v>0.17364817766693041</c:v>
                </c:pt>
                <c:pt idx="17">
                  <c:v>8.715574274765836E-2</c:v>
                </c:pt>
                <c:pt idx="18">
                  <c:v>6.1257422745431001E-17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1.1000000000000001</c:v>
                </c:pt>
                <c:pt idx="38">
                  <c:v>1.0966090671064408</c:v>
                </c:pt>
                <c:pt idx="39">
                  <c:v>1.0864571746546516</c:v>
                </c:pt>
                <c:pt idx="40">
                  <c:v>1.0696069124374443</c:v>
                </c:pt>
                <c:pt idx="41">
                  <c:v>1.0461621679246689</c:v>
                </c:pt>
                <c:pt idx="42">
                  <c:v>1.0162674857624154</c:v>
                </c:pt>
                <c:pt idx="43">
                  <c:v>0.98010717660720481</c:v>
                </c:pt>
                <c:pt idx="44">
                  <c:v>0.93790418078950144</c:v>
                </c:pt>
                <c:pt idx="45">
                  <c:v>0.88991869381244226</c:v>
                </c:pt>
                <c:pt idx="46">
                  <c:v>0.8364465621600341</c:v>
                </c:pt>
                <c:pt idx="47">
                  <c:v>0.77781745930520241</c:v>
                </c:pt>
                <c:pt idx="48">
                  <c:v>0.714392853163202</c:v>
                </c:pt>
                <c:pt idx="49">
                  <c:v>0.64656377752172045</c:v>
                </c:pt>
                <c:pt idx="50">
                  <c:v>0.57474842118754388</c:v>
                </c:pt>
                <c:pt idx="51">
                  <c:v>0.49938954971350152</c:v>
                </c:pt>
                <c:pt idx="52">
                  <c:v>0.42095177560159885</c:v>
                </c:pt>
                <c:pt idx="53">
                  <c:v>0.33991869381244222</c:v>
                </c:pt>
                <c:pt idx="54">
                  <c:v>0.25678990024149606</c:v>
                </c:pt>
                <c:pt idx="55">
                  <c:v>0.17207791154425403</c:v>
                </c:pt>
                <c:pt idx="56">
                  <c:v>8.6305005300629511E-2</c:v>
                </c:pt>
                <c:pt idx="57">
                  <c:v>6.7383165019974101E-17</c:v>
                </c:pt>
                <c:pt idx="58">
                  <c:v>-8.6305005300629373E-2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1.2000000000000002</c:v>
                </c:pt>
                <c:pt idx="79">
                  <c:v>1.1969425375323044</c:v>
                </c:pt>
                <c:pt idx="80">
                  <c:v>1.1877857302571193</c:v>
                </c:pt>
                <c:pt idx="81">
                  <c:v>1.1725762391653916</c:v>
                </c:pt>
                <c:pt idx="82">
                  <c:v>1.151391568337397</c:v>
                </c:pt>
                <c:pt idx="83">
                  <c:v>1.1243396699997141</c:v>
                </c:pt>
                <c:pt idx="84">
                  <c:v>1.0915583944254224</c:v>
                </c:pt>
                <c:pt idx="85">
                  <c:v>1.053214787480707</c:v>
                </c:pt>
                <c:pt idx="86">
                  <c:v>1.0095042393974176</c:v>
                </c:pt>
                <c:pt idx="87">
                  <c:v>0.96064948910923265</c:v>
                </c:pt>
                <c:pt idx="88">
                  <c:v>0.9068994892251101</c:v>
                </c:pt>
                <c:pt idx="89">
                  <c:v>0.84852813742385691</c:v>
                </c:pt>
                <c:pt idx="90">
                  <c:v>0.7858328807343421</c:v>
                </c:pt>
                <c:pt idx="91">
                  <c:v>0.71913319981361623</c:v>
                </c:pt>
                <c:pt idx="92">
                  <c:v>0.64876898094671687</c:v>
                </c:pt>
                <c:pt idx="93">
                  <c:v>0.575098784064068</c:v>
                </c:pt>
                <c:pt idx="94">
                  <c:v>0.49849801560226359</c:v>
                </c:pt>
                <c:pt idx="95">
                  <c:v>0.41935701551891763</c:v>
                </c:pt>
                <c:pt idx="96">
                  <c:v>0.33807906820971562</c:v>
                </c:pt>
                <c:pt idx="97">
                  <c:v>0.25507834746357166</c:v>
                </c:pt>
                <c:pt idx="98">
                  <c:v>0.17077780592794164</c:v>
                </c:pt>
                <c:pt idx="99">
                  <c:v>8.5607019839078299E-2</c:v>
                </c:pt>
                <c:pt idx="100">
                  <c:v>-4.5939814452555802E-16</c:v>
                </c:pt>
                <c:pt idx="101">
                  <c:v>-8.5607019839079493E-2</c:v>
                </c:pt>
                <c:pt idx="102">
                  <c:v>-0.17077780592794281</c:v>
                </c:pt>
                <c:pt idx="103">
                  <c:v>-0.25507834746357261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1.3000000000000003</c:v>
                </c:pt>
                <c:pt idx="124">
                  <c:v>1.2973290105754376</c:v>
                </c:pt>
                <c:pt idx="125">
                  <c:v>1.2893270179702201</c:v>
                </c:pt>
                <c:pt idx="126">
                  <c:v>1.2760269040883851</c:v>
                </c:pt>
                <c:pt idx="127">
                  <c:v>1.2574833219507386</c:v>
                </c:pt>
                <c:pt idx="128">
                  <c:v>1.2337724711138696</c:v>
                </c:pt>
                <c:pt idx="129">
                  <c:v>1.2049917845498286</c:v>
                </c:pt>
                <c:pt idx="130">
                  <c:v>1.1712595282731451</c:v>
                </c:pt>
                <c:pt idx="131">
                  <c:v>1.1327143153604062</c:v>
                </c:pt>
                <c:pt idx="132">
                  <c:v>1.089514536359393</c:v>
                </c:pt>
                <c:pt idx="133">
                  <c:v>1.0418377084283439</c:v>
                </c:pt>
                <c:pt idx="134">
                  <c:v>0.98987974587987493</c:v>
                </c:pt>
                <c:pt idx="135">
                  <c:v>0.93385415512704595</c:v>
                </c:pt>
                <c:pt idx="136">
                  <c:v>0.87399115733971189</c:v>
                </c:pt>
                <c:pt idx="137">
                  <c:v>0.81053674241635343</c:v>
                </c:pt>
                <c:pt idx="138">
                  <c:v>0.74375165815882027</c:v>
                </c:pt>
                <c:pt idx="139">
                  <c:v>0.67391033880368223</c:v>
                </c:pt>
                <c:pt idx="140">
                  <c:v>0.60129977731308537</c:v>
                </c:pt>
                <c:pt idx="141">
                  <c:v>0.52621834605911155</c:v>
                </c:pt>
                <c:pt idx="142">
                  <c:v>0.44897457074769948</c:v>
                </c:pt>
                <c:pt idx="143">
                  <c:v>0.36988586262034173</c:v>
                </c:pt>
                <c:pt idx="144">
                  <c:v>0.28927721414320801</c:v>
                </c:pt>
                <c:pt idx="145">
                  <c:v>0.20747986354339229</c:v>
                </c:pt>
                <c:pt idx="146">
                  <c:v>0.12482993367998532</c:v>
                </c:pt>
                <c:pt idx="147">
                  <c:v>4.1667050843150782E-2</c:v>
                </c:pt>
                <c:pt idx="148">
                  <c:v>-4.1667050843152642E-2</c:v>
                </c:pt>
                <c:pt idx="149">
                  <c:v>-0.12482993367998718</c:v>
                </c:pt>
                <c:pt idx="150">
                  <c:v>-0.20747986354339412</c:v>
                </c:pt>
                <c:pt idx="151">
                  <c:v>-0.28927721414320984</c:v>
                </c:pt>
                <c:pt idx="152">
                  <c:v>-0.36988586262034351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1.4000000000000004</c:v>
                </c:pt>
                <c:pt idx="174">
                  <c:v>1.3976314215797758</c:v>
                </c:pt>
                <c:pt idx="175">
                  <c:v>1.3905337008387206</c:v>
                </c:pt>
                <c:pt idx="176">
                  <c:v>1.3787308542170915</c:v>
                </c:pt>
                <c:pt idx="177">
                  <c:v>1.3622628188117536</c:v>
                </c:pt>
                <c:pt idx="178">
                  <c:v>1.3411853172416848</c:v>
                </c:pt>
                <c:pt idx="179">
                  <c:v>1.3155696691002721</c:v>
                </c:pt>
                <c:pt idx="180">
                  <c:v>1.285502549632384</c:v>
                </c:pt>
                <c:pt idx="181">
                  <c:v>1.2510856964527775</c:v>
                </c:pt>
                <c:pt idx="182">
                  <c:v>1.2124355652982144</c:v>
                </c:pt>
                <c:pt idx="183">
                  <c:v>1.1696829359781113</c:v>
                </c:pt>
                <c:pt idx="184">
                  <c:v>1.1229724698570616</c:v>
                </c:pt>
                <c:pt idx="185">
                  <c:v>1.0724622203665695</c:v>
                </c:pt>
                <c:pt idx="186">
                  <c:v>1.0183230982022684</c:v>
                </c:pt>
                <c:pt idx="187">
                  <c:v>0.96073829301622715</c:v>
                </c:pt>
                <c:pt idx="188">
                  <c:v>0.89990265356115529</c:v>
                </c:pt>
                <c:pt idx="189">
                  <c:v>0.83602202838390072</c:v>
                </c:pt>
                <c:pt idx="190">
                  <c:v>0.7693125692991285</c:v>
                </c:pt>
                <c:pt idx="191">
                  <c:v>0.69999999999999973</c:v>
                </c:pt>
                <c:pt idx="192">
                  <c:v>0.62831885228064677</c:v>
                </c:pt>
                <c:pt idx="193">
                  <c:v>0.55451167245481925</c:v>
                </c:pt>
                <c:pt idx="194">
                  <c:v>0.47882820065593618</c:v>
                </c:pt>
                <c:pt idx="195">
                  <c:v>0.40152452579552633</c:v>
                </c:pt>
                <c:pt idx="196">
                  <c:v>0.32286221903941642</c:v>
                </c:pt>
                <c:pt idx="197">
                  <c:v>0.24310744873370263</c:v>
                </c:pt>
                <c:pt idx="198">
                  <c:v>0.16253007977532277</c:v>
                </c:pt>
                <c:pt idx="199">
                  <c:v>8.1402760474666283E-2</c:v>
                </c:pt>
                <c:pt idx="200">
                  <c:v>3.9662283873864731E-16</c:v>
                </c:pt>
                <c:pt idx="201">
                  <c:v>-8.1402760474665478E-2</c:v>
                </c:pt>
                <c:pt idx="202">
                  <c:v>-0.16253007977532166</c:v>
                </c:pt>
                <c:pt idx="203">
                  <c:v>-0.24310744873370155</c:v>
                </c:pt>
                <c:pt idx="204">
                  <c:v>-0.32286221903941537</c:v>
                </c:pt>
                <c:pt idx="205">
                  <c:v>-0.40152452579552522</c:v>
                </c:pt>
                <c:pt idx="206">
                  <c:v>-0.47882820065593518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1.5000000000000004</c:v>
                </c:pt>
                <c:pt idx="229">
                  <c:v>1.4978740435151434</c:v>
                </c:pt>
                <c:pt idx="230">
                  <c:v>1.4915022003152061</c:v>
                </c:pt>
                <c:pt idx="231">
                  <c:v>1.4809025320820173</c:v>
                </c:pt>
                <c:pt idx="232">
                  <c:v>1.4661050847268005</c:v>
                </c:pt>
                <c:pt idx="233">
                  <c:v>1.4471518032217743</c:v>
                </c:pt>
                <c:pt idx="234">
                  <c:v>1.4240964127025724</c:v>
                </c:pt>
                <c:pt idx="235">
                  <c:v>1.397004266178508</c:v>
                </c:pt>
                <c:pt idx="236">
                  <c:v>1.3659521592823702</c:v>
                </c:pt>
                <c:pt idx="237">
                  <c:v>1.331028112584858</c:v>
                </c:pt>
                <c:pt idx="238">
                  <c:v>1.2923311220907097</c:v>
                </c:pt>
                <c:pt idx="239">
                  <c:v>1.2499708786237729</c:v>
                </c:pt>
                <c:pt idx="240">
                  <c:v>1.204067456896446</c:v>
                </c:pt>
                <c:pt idx="241">
                  <c:v>1.1547509751448597</c:v>
                </c:pt>
                <c:pt idx="242">
                  <c:v>1.1021612262946012</c:v>
                </c:pt>
                <c:pt idx="243">
                  <c:v>1.0464472817024775</c:v>
                </c:pt>
                <c:pt idx="244">
                  <c:v>0.98776706859755814</c:v>
                </c:pt>
                <c:pt idx="245">
                  <c:v>0.92628692241928801</c:v>
                </c:pt>
                <c:pt idx="246">
                  <c:v>0.86218111532161035</c:v>
                </c:pt>
                <c:pt idx="247">
                  <c:v>0.79563136217961372</c:v>
                </c:pt>
                <c:pt idx="248">
                  <c:v>0.72682630549897531</c:v>
                </c:pt>
                <c:pt idx="249">
                  <c:v>0.65596098068828279</c:v>
                </c:pt>
                <c:pt idx="250">
                  <c:v>0.58323626320998101</c:v>
                </c:pt>
                <c:pt idx="251">
                  <c:v>0.50885829917704539</c:v>
                </c:pt>
                <c:pt idx="252">
                  <c:v>0.43303792100943156</c:v>
                </c:pt>
                <c:pt idx="253">
                  <c:v>0.35599004980667259</c:v>
                </c:pt>
                <c:pt idx="254">
                  <c:v>0.27793308613067153</c:v>
                </c:pt>
                <c:pt idx="255">
                  <c:v>0.19908829092558336</c:v>
                </c:pt>
                <c:pt idx="256">
                  <c:v>0.11967915832962536</c:v>
                </c:pt>
                <c:pt idx="257">
                  <c:v>3.9930782156662563E-2</c:v>
                </c:pt>
                <c:pt idx="258">
                  <c:v>-3.9930782156661383E-2</c:v>
                </c:pt>
                <c:pt idx="259">
                  <c:v>-0.11967915832962386</c:v>
                </c:pt>
                <c:pt idx="260">
                  <c:v>-0.19908829092558186</c:v>
                </c:pt>
                <c:pt idx="261">
                  <c:v>-0.27793308613067069</c:v>
                </c:pt>
                <c:pt idx="262">
                  <c:v>-0.35599004980667143</c:v>
                </c:pt>
                <c:pt idx="263">
                  <c:v>-0.43303792100943039</c:v>
                </c:pt>
                <c:pt idx="264">
                  <c:v>-0.50885829917704428</c:v>
                </c:pt>
                <c:pt idx="265">
                  <c:v>-0.58323626320997957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1.6000000000000005</c:v>
                </c:pt>
                <c:pt idx="289">
                  <c:v>1.5980727299282764</c:v>
                </c:pt>
                <c:pt idx="290">
                  <c:v>1.5922955626755155</c:v>
                </c:pt>
                <c:pt idx="291">
                  <c:v>1.5826824159436501</c:v>
                </c:pt>
                <c:pt idx="292">
                  <c:v>1.5692564486451692</c:v>
                </c:pt>
                <c:pt idx="293">
                  <c:v>1.5520500051112709</c:v>
                </c:pt>
                <c:pt idx="294">
                  <c:v>1.5311045371715346</c:v>
                </c:pt>
                <c:pt idx="295">
                  <c:v>1.5064705042928337</c:v>
                </c:pt>
                <c:pt idx="296">
                  <c:v>1.4782072520180594</c:v>
                </c:pt>
                <c:pt idx="297">
                  <c:v>1.4463828689975098</c:v>
                </c:pt>
                <c:pt idx="298">
                  <c:v>1.4110740229573686</c:v>
                </c:pt>
                <c:pt idx="299">
                  <c:v>1.3723657760004357</c:v>
                </c:pt>
                <c:pt idx="300">
                  <c:v>1.3303513796840729</c:v>
                </c:pt>
                <c:pt idx="301">
                  <c:v>1.2851320503690324</c:v>
                </c:pt>
                <c:pt idx="302">
                  <c:v>1.2368167253803797</c:v>
                </c:pt>
                <c:pt idx="303">
                  <c:v>1.1855218005679349</c:v>
                </c:pt>
                <c:pt idx="304">
                  <c:v>1.1313708498984765</c:v>
                </c:pt>
                <c:pt idx="305">
                  <c:v>1.0744943277552297</c:v>
                </c:pt>
                <c:pt idx="306">
                  <c:v>1.0150292546618331</c:v>
                </c:pt>
                <c:pt idx="307">
                  <c:v>0.95311888718789384</c:v>
                </c:pt>
                <c:pt idx="308">
                  <c:v>0.88891237283136393</c:v>
                </c:pt>
                <c:pt idx="309">
                  <c:v>0.82256439070915488</c:v>
                </c:pt>
                <c:pt idx="310">
                  <c:v>0.75423477892159674</c:v>
                </c:pt>
                <c:pt idx="311">
                  <c:v>0.68408814948845176</c:v>
                </c:pt>
                <c:pt idx="312">
                  <c:v>0.61229349178414394</c:v>
                </c:pt>
                <c:pt idx="313">
                  <c:v>0.53902376542755226</c:v>
                </c:pt>
                <c:pt idx="314">
                  <c:v>0.4644554836071399</c:v>
                </c:pt>
                <c:pt idx="315">
                  <c:v>0.38876828784522249</c:v>
                </c:pt>
                <c:pt idx="316">
                  <c:v>0.31214451522580544</c:v>
                </c:pt>
                <c:pt idx="317">
                  <c:v>0.23476875912857886</c:v>
                </c:pt>
                <c:pt idx="318">
                  <c:v>0.15682742452729728</c:v>
                </c:pt>
                <c:pt idx="319">
                  <c:v>7.8508278923869024E-2</c:v>
                </c:pt>
                <c:pt idx="320">
                  <c:v>9.8011876392689638E-17</c:v>
                </c:pt>
                <c:pt idx="321">
                  <c:v>-7.8508278923868843E-2</c:v>
                </c:pt>
                <c:pt idx="322">
                  <c:v>-0.15682742452729709</c:v>
                </c:pt>
                <c:pt idx="323">
                  <c:v>-0.2347687591285787</c:v>
                </c:pt>
                <c:pt idx="324">
                  <c:v>-0.31214451522580522</c:v>
                </c:pt>
                <c:pt idx="325">
                  <c:v>-0.38876828784522233</c:v>
                </c:pt>
                <c:pt idx="326">
                  <c:v>-0.46445548360713962</c:v>
                </c:pt>
                <c:pt idx="327">
                  <c:v>-0.53902376542755204</c:v>
                </c:pt>
                <c:pt idx="328">
                  <c:v>-0.61229349178414372</c:v>
                </c:pt>
                <c:pt idx="329">
                  <c:v>-0.6840881494884512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1.7000000000000006</c:v>
                </c:pt>
                <c:pt idx="354">
                  <c:v>1.6981860571640337</c:v>
                </c:pt>
                <c:pt idx="355">
                  <c:v>1.6927480997015592</c:v>
                </c:pt>
                <c:pt idx="356">
                  <c:v>1.6836977324878495</c:v>
                </c:pt>
                <c:pt idx="357">
                  <c:v>1.6710542694626336</c:v>
                </c:pt>
                <c:pt idx="358">
                  <c:v>1.6548446924131786</c:v>
                </c:pt>
                <c:pt idx="359">
                  <c:v>1.635103593393793</c:v>
                </c:pt>
                <c:pt idx="360">
                  <c:v>1.6118731009046425</c:v>
                </c:pt>
                <c:pt idx="361">
                  <c:v>1.5852027899874055</c:v>
                </c:pt>
                <c:pt idx="362">
                  <c:v>1.5551495764296364</c:v>
                </c:pt>
                <c:pt idx="363">
                  <c:v>1.5217775953036066</c:v>
                </c:pt>
                <c:pt idx="364">
                  <c:v>1.4851580640988289</c:v>
                </c:pt>
                <c:pt idx="365">
                  <c:v>1.4453691307403447</c:v>
                </c:pt>
                <c:pt idx="366">
                  <c:v>1.4024957068171144</c:v>
                </c:pt>
                <c:pt idx="367">
                  <c:v>1.3566292863764076</c:v>
                </c:pt>
                <c:pt idx="368">
                  <c:v>1.3078677506708947</c:v>
                </c:pt>
                <c:pt idx="369">
                  <c:v>1.2563151592751209</c:v>
                </c:pt>
                <c:pt idx="370">
                  <c:v>1.2020815280171309</c:v>
                </c:pt>
                <c:pt idx="371">
                  <c:v>1.1452825941991476</c:v>
                </c:pt>
                <c:pt idx="372">
                  <c:v>1.0860395696083345</c:v>
                </c:pt>
                <c:pt idx="373">
                  <c:v>1.0244788818447361</c:v>
                </c:pt>
                <c:pt idx="374">
                  <c:v>0.96073190451840618</c:v>
                </c:pt>
                <c:pt idx="375">
                  <c:v>0.89493467689150485</c:v>
                </c:pt>
                <c:pt idx="376">
                  <c:v>0.82722761356365548</c:v>
                </c:pt>
                <c:pt idx="377">
                  <c:v>0.75775520482011516</c:v>
                </c:pt>
                <c:pt idx="378">
                  <c:v>0.68666570828222129</c:v>
                </c:pt>
                <c:pt idx="379">
                  <c:v>0.61411083251816012</c:v>
                </c:pt>
                <c:pt idx="380">
                  <c:v>0.54024541328923303</c:v>
                </c:pt>
                <c:pt idx="381">
                  <c:v>0.4652270831225413</c:v>
                </c:pt>
                <c:pt idx="382">
                  <c:v>0.38921593491522855</c:v>
                </c:pt>
                <c:pt idx="383">
                  <c:v>0.31237418028817038</c:v>
                </c:pt>
                <c:pt idx="384">
                  <c:v>0.23486580341820038</c:v>
                </c:pt>
                <c:pt idx="385">
                  <c:v>0.15685621108761461</c:v>
                </c:pt>
                <c:pt idx="386">
                  <c:v>7.8511879697758719E-2</c:v>
                </c:pt>
                <c:pt idx="387">
                  <c:v>1.2365651037848929E-15</c:v>
                </c:pt>
                <c:pt idx="388">
                  <c:v>-7.8511879697755874E-2</c:v>
                </c:pt>
                <c:pt idx="389">
                  <c:v>-0.15685621108761177</c:v>
                </c:pt>
                <c:pt idx="390">
                  <c:v>-0.23486580341819754</c:v>
                </c:pt>
                <c:pt idx="391">
                  <c:v>-0.31237418028816794</c:v>
                </c:pt>
                <c:pt idx="392">
                  <c:v>-0.38921593491522616</c:v>
                </c:pt>
                <c:pt idx="393">
                  <c:v>-0.46522708312253891</c:v>
                </c:pt>
                <c:pt idx="394">
                  <c:v>-0.54024541328923026</c:v>
                </c:pt>
                <c:pt idx="395">
                  <c:v>-0.61411083251815735</c:v>
                </c:pt>
                <c:pt idx="396">
                  <c:v>-0.68666570828221873</c:v>
                </c:pt>
                <c:pt idx="397">
                  <c:v>-0.7577552048201126</c:v>
                </c:pt>
                <c:pt idx="398">
                  <c:v>-0.82722761356365304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1.8000000000000007</c:v>
                </c:pt>
                <c:pt idx="423">
                  <c:v>1.7982867988473448</c:v>
                </c:pt>
                <c:pt idx="424">
                  <c:v>1.7931504565651426</c:v>
                </c:pt>
                <c:pt idx="425">
                  <c:v>1.7846007504728594</c:v>
                </c:pt>
                <c:pt idx="426">
                  <c:v>1.7726539554219751</c:v>
                </c:pt>
                <c:pt idx="427">
                  <c:v>1.7573328128158807</c:v>
                </c:pt>
                <c:pt idx="428">
                  <c:v>1.7386664873203237</c:v>
                </c:pt>
                <c:pt idx="429">
                  <c:v>1.7166905113468092</c:v>
                </c:pt>
                <c:pt idx="430">
                  <c:v>1.6914467174146359</c:v>
                </c:pt>
                <c:pt idx="431">
                  <c:v>1.6629831585203168</c:v>
                </c:pt>
                <c:pt idx="432">
                  <c:v>1.6313540166659706</c:v>
                </c:pt>
                <c:pt idx="433">
                  <c:v>1.5966194997207996</c:v>
                </c:pt>
                <c:pt idx="434">
                  <c:v>1.5588457268119902</c:v>
                </c:pt>
                <c:pt idx="435">
                  <c:v>1.5181046024631948</c:v>
                </c:pt>
                <c:pt idx="436">
                  <c:v>1.4744736797201858</c:v>
                </c:pt>
                <c:pt idx="437">
                  <c:v>1.428036012524224</c:v>
                </c:pt>
                <c:pt idx="438">
                  <c:v>1.378879997614161</c:v>
                </c:pt>
                <c:pt idx="439">
                  <c:v>1.3270992062582239</c:v>
                </c:pt>
                <c:pt idx="440">
                  <c:v>1.2727922061357861</c:v>
                </c:pt>
                <c:pt idx="441">
                  <c:v>1.2160623737081888</c:v>
                </c:pt>
                <c:pt idx="442">
                  <c:v>1.1570176974357713</c:v>
                </c:pt>
                <c:pt idx="443">
                  <c:v>1.0957705722156976</c:v>
                </c:pt>
                <c:pt idx="444">
                  <c:v>1.0324375854318835</c:v>
                </c:pt>
                <c:pt idx="445">
                  <c:v>0.96713929502428342</c:v>
                </c:pt>
                <c:pt idx="446">
                  <c:v>0.90000000000000058</c:v>
                </c:pt>
                <c:pt idx="447">
                  <c:v>0.83114750382306168</c:v>
                </c:pt>
                <c:pt idx="448">
                  <c:v>0.76071287113325925</c:v>
                </c:pt>
                <c:pt idx="449">
                  <c:v>0.68883017825716197</c:v>
                </c:pt>
                <c:pt idx="450">
                  <c:v>0.61563625798620414</c:v>
                </c:pt>
                <c:pt idx="451">
                  <c:v>0.54127043910769168</c:v>
                </c:pt>
                <c:pt idx="452">
                  <c:v>0.4658742811845375</c:v>
                </c:pt>
                <c:pt idx="453">
                  <c:v>0.38959130508858536</c:v>
                </c:pt>
                <c:pt idx="454">
                  <c:v>0.31256671980047485</c:v>
                </c:pt>
                <c:pt idx="455">
                  <c:v>0.23494714599609318</c:v>
                </c:pt>
                <c:pt idx="456">
                  <c:v>0.1568803369457851</c:v>
                </c:pt>
                <c:pt idx="457">
                  <c:v>7.851489725760484E-2</c:v>
                </c:pt>
                <c:pt idx="458">
                  <c:v>1.1026336094177585E-16</c:v>
                </c:pt>
                <c:pt idx="459">
                  <c:v>-7.8514897257604632E-2</c:v>
                </c:pt>
                <c:pt idx="460">
                  <c:v>-0.15688033694578488</c:v>
                </c:pt>
                <c:pt idx="461">
                  <c:v>-0.23494714599609257</c:v>
                </c:pt>
                <c:pt idx="462">
                  <c:v>-0.31256671980047468</c:v>
                </c:pt>
                <c:pt idx="463">
                  <c:v>-0.38959130508858519</c:v>
                </c:pt>
                <c:pt idx="464">
                  <c:v>-0.46587428118453772</c:v>
                </c:pt>
                <c:pt idx="465">
                  <c:v>-0.54127043910769157</c:v>
                </c:pt>
                <c:pt idx="466">
                  <c:v>-0.61563625798620392</c:v>
                </c:pt>
                <c:pt idx="467">
                  <c:v>-0.68883017825716175</c:v>
                </c:pt>
                <c:pt idx="468">
                  <c:v>-0.76071287113325914</c:v>
                </c:pt>
                <c:pt idx="469">
                  <c:v>-0.83114750382306102</c:v>
                </c:pt>
                <c:pt idx="470">
                  <c:v>-0.89999999999999991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1.9000000000000008</c:v>
                </c:pt>
                <c:pt idx="496">
                  <c:v>1.8982880357888956</c:v>
                </c:pt>
                <c:pt idx="497">
                  <c:v>1.8931552282308013</c:v>
                </c:pt>
                <c:pt idx="498">
                  <c:v>1.8846108269918669</c:v>
                </c:pt>
                <c:pt idx="499">
                  <c:v>1.8726702296606468</c:v>
                </c:pt>
                <c:pt idx="500">
                  <c:v>1.8573549540006045</c:v>
                </c:pt>
                <c:pt idx="501">
                  <c:v>1.8386925991736487</c:v>
                </c:pt>
                <c:pt idx="502">
                  <c:v>1.8167167960045776</c:v>
                </c:pt>
                <c:pt idx="503">
                  <c:v>1.7914671463760607</c:v>
                </c:pt>
                <c:pt idx="504">
                  <c:v>1.7629891518633685</c:v>
                </c:pt>
                <c:pt idx="505">
                  <c:v>1.7313341317374586</c:v>
                </c:pt>
                <c:pt idx="506">
                  <c:v>1.6965591304841809</c:v>
                </c:pt>
                <c:pt idx="507">
                  <c:v>1.6587268150062584</c:v>
                </c:pt>
                <c:pt idx="508">
                  <c:v>1.6179053616932924</c:v>
                </c:pt>
                <c:pt idx="509">
                  <c:v>1.5741683335633008</c:v>
                </c:pt>
                <c:pt idx="510">
                  <c:v>1.5275945476971877</c:v>
                </c:pt>
                <c:pt idx="511">
                  <c:v>1.4782679332050357</c:v>
                </c:pt>
                <c:pt idx="512">
                  <c:v>1.4262773799801769</c:v>
                </c:pt>
                <c:pt idx="513">
                  <c:v>1.3717165785135967</c:v>
                </c:pt>
                <c:pt idx="514">
                  <c:v>1.3146838510573382</c:v>
                </c:pt>
                <c:pt idx="515">
                  <c:v>1.255281974441155</c:v>
                </c:pt>
                <c:pt idx="516">
                  <c:v>1.1936179948617205</c:v>
                </c:pt>
                <c:pt idx="517">
                  <c:v>1.1298030349781447</c:v>
                </c:pt>
                <c:pt idx="518">
                  <c:v>1.0639520936614311</c:v>
                </c:pt>
                <c:pt idx="519">
                  <c:v>0.99618383875874017</c:v>
                </c:pt>
                <c:pt idx="520">
                  <c:v>0.92662039324590539</c:v>
                </c:pt>
                <c:pt idx="521">
                  <c:v>0.8553871151535789</c:v>
                </c:pt>
                <c:pt idx="522">
                  <c:v>0.78261237166358544</c:v>
                </c:pt>
                <c:pt idx="523">
                  <c:v>0.70842730778258556</c:v>
                </c:pt>
                <c:pt idx="524">
                  <c:v>0.63296561000990825</c:v>
                </c:pt>
                <c:pt idx="525">
                  <c:v>0.5563632654254449</c:v>
                </c:pt>
                <c:pt idx="526">
                  <c:v>0.47875831663173679</c:v>
                </c:pt>
                <c:pt idx="527">
                  <c:v>0.40029061299187868</c:v>
                </c:pt>
                <c:pt idx="528">
                  <c:v>0.32110155861151168</c:v>
                </c:pt>
                <c:pt idx="529">
                  <c:v>0.24133385751906827</c:v>
                </c:pt>
                <c:pt idx="530">
                  <c:v>0.16113125650346591</c:v>
                </c:pt>
                <c:pt idx="531">
                  <c:v>8.0638286072680004E-2</c:v>
                </c:pt>
                <c:pt idx="532">
                  <c:v>-1.9930346435714793E-15</c:v>
                </c:pt>
                <c:pt idx="533">
                  <c:v>-8.0638286072683557E-2</c:v>
                </c:pt>
                <c:pt idx="534">
                  <c:v>-0.16113125650346988</c:v>
                </c:pt>
                <c:pt idx="535">
                  <c:v>-0.2413338575190718</c:v>
                </c:pt>
                <c:pt idx="536">
                  <c:v>-0.32110155861151524</c:v>
                </c:pt>
                <c:pt idx="537">
                  <c:v>-0.40029061299188257</c:v>
                </c:pt>
                <c:pt idx="538">
                  <c:v>-0.47875831663174029</c:v>
                </c:pt>
                <c:pt idx="539">
                  <c:v>-0.55636326542544789</c:v>
                </c:pt>
                <c:pt idx="540">
                  <c:v>-0.63296561000991203</c:v>
                </c:pt>
                <c:pt idx="541">
                  <c:v>-0.70842730778258889</c:v>
                </c:pt>
                <c:pt idx="542">
                  <c:v>-0.7826123716635891</c:v>
                </c:pt>
                <c:pt idx="543">
                  <c:v>-0.85538711515358201</c:v>
                </c:pt>
                <c:pt idx="544">
                  <c:v>-0.9266203932459085</c:v>
                </c:pt>
                <c:pt idx="545">
                  <c:v>-0.99618383875874328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2.0000000000000009</c:v>
                </c:pt>
                <c:pt idx="571">
                  <c:v>1.9984187944546046</c:v>
                </c:pt>
                <c:pt idx="572">
                  <c:v>1.9936776780293926</c:v>
                </c:pt>
                <c:pt idx="573">
                  <c:v>1.9857841474039477</c:v>
                </c:pt>
                <c:pt idx="574">
                  <c:v>1.9747506838726676</c:v>
                </c:pt>
                <c:pt idx="575">
                  <c:v>1.9605947336092733</c:v>
                </c:pt>
                <c:pt idx="576">
                  <c:v>1.943338680080821</c:v>
                </c:pt>
                <c:pt idx="577">
                  <c:v>1.9230098086548417</c:v>
                </c:pt>
                <c:pt idx="578">
                  <c:v>1.8996402634555662</c:v>
                </c:pt>
                <c:pt idx="579">
                  <c:v>1.8732669965374567</c:v>
                </c:pt>
                <c:pt idx="580">
                  <c:v>1.843931709456414</c:v>
                </c:pt>
                <c:pt idx="581">
                  <c:v>1.8116807873310472</c:v>
                </c:pt>
                <c:pt idx="582">
                  <c:v>1.7765652254982645</c:v>
                </c:pt>
                <c:pt idx="583">
                  <c:v>1.7386405488791656</c:v>
                </c:pt>
                <c:pt idx="584">
                  <c:v>1.6979667241827283</c:v>
                </c:pt>
                <c:pt idx="585">
                  <c:v>1.6546080650861148</c:v>
                </c:pt>
                <c:pt idx="586">
                  <c:v>1.60863313054153</c:v>
                </c:pt>
                <c:pt idx="587">
                  <c:v>1.5601146163704249</c:v>
                </c:pt>
                <c:pt idx="588">
                  <c:v>1.5091292403164609</c:v>
                </c:pt>
                <c:pt idx="589">
                  <c:v>1.4557576207389888</c:v>
                </c:pt>
                <c:pt idx="590">
                  <c:v>1.4000841491388514</c:v>
                </c:pt>
                <c:pt idx="591">
                  <c:v>1.3421968567180744</c:v>
                </c:pt>
                <c:pt idx="592">
                  <c:v>1.282187275184441</c:v>
                </c:pt>
                <c:pt idx="593">
                  <c:v>1.2201502920210494</c:v>
                </c:pt>
                <c:pt idx="594">
                  <c:v>1.1561840004496975</c:v>
                </c:pt>
                <c:pt idx="595">
                  <c:v>1.090389544325336</c:v>
                </c:pt>
                <c:pt idx="596">
                  <c:v>1.0228709582068454</c:v>
                </c:pt>
                <c:pt idx="597">
                  <c:v>0.95373500285701274</c:v>
                </c:pt>
                <c:pt idx="598">
                  <c:v>0.88309099643182498</c:v>
                </c:pt>
                <c:pt idx="599">
                  <c:v>0.81105064162598839</c:v>
                </c:pt>
                <c:pt idx="600">
                  <c:v>0.73772784904801647</c:v>
                </c:pt>
                <c:pt idx="601">
                  <c:v>0.66323855710413604</c:v>
                </c:pt>
                <c:pt idx="602">
                  <c:v>0.58770054867584198</c:v>
                </c:pt>
                <c:pt idx="603">
                  <c:v>0.51123326488094922</c:v>
                </c:pt>
                <c:pt idx="604">
                  <c:v>0.43395761621263612</c:v>
                </c:pt>
                <c:pt idx="605">
                  <c:v>0.35599579135510023</c:v>
                </c:pt>
                <c:pt idx="606">
                  <c:v>0.27747106397813587</c:v>
                </c:pt>
                <c:pt idx="607">
                  <c:v>0.19850759781612229</c:v>
                </c:pt>
                <c:pt idx="608">
                  <c:v>0.11923025033963902</c:v>
                </c:pt>
                <c:pt idx="609">
                  <c:v>3.9764375330138838E-2</c:v>
                </c:pt>
                <c:pt idx="610">
                  <c:v>-3.9764375330141703E-2</c:v>
                </c:pt>
                <c:pt idx="611">
                  <c:v>-0.11923025033964188</c:v>
                </c:pt>
                <c:pt idx="612">
                  <c:v>-0.1985075978161247</c:v>
                </c:pt>
                <c:pt idx="613">
                  <c:v>-0.2774710639781387</c:v>
                </c:pt>
                <c:pt idx="614">
                  <c:v>-0.35599579135510306</c:v>
                </c:pt>
                <c:pt idx="615">
                  <c:v>-0.43395761621263845</c:v>
                </c:pt>
                <c:pt idx="616">
                  <c:v>-0.511233264880952</c:v>
                </c:pt>
                <c:pt idx="617">
                  <c:v>-0.5877005486758442</c:v>
                </c:pt>
                <c:pt idx="618">
                  <c:v>-0.66323855710413837</c:v>
                </c:pt>
                <c:pt idx="619">
                  <c:v>-0.73772784904801914</c:v>
                </c:pt>
                <c:pt idx="620">
                  <c:v>-0.81105064162599061</c:v>
                </c:pt>
                <c:pt idx="621">
                  <c:v>-0.88309099643182676</c:v>
                </c:pt>
                <c:pt idx="622">
                  <c:v>-0.95373500285701607</c:v>
                </c:pt>
                <c:pt idx="623">
                  <c:v>-1.0228709582068478</c:v>
                </c:pt>
                <c:pt idx="624">
                  <c:v>-1.0903895443253389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calculations'!$L$3:$L$652</c:f>
              <c:numCache>
                <c:formatCode>0.0</c:formatCode>
                <c:ptCount val="650"/>
                <c:pt idx="0">
                  <c:v>0</c:v>
                </c:pt>
                <c:pt idx="1">
                  <c:v>8.7155742747658166E-2</c:v>
                </c:pt>
                <c:pt idx="2">
                  <c:v>0.17364817766693033</c:v>
                </c:pt>
                <c:pt idx="3">
                  <c:v>0.25881904510252074</c:v>
                </c:pt>
                <c:pt idx="4">
                  <c:v>0.34202014332566871</c:v>
                </c:pt>
                <c:pt idx="5">
                  <c:v>0.42261826174069944</c:v>
                </c:pt>
                <c:pt idx="6">
                  <c:v>0.49999999999999994</c:v>
                </c:pt>
                <c:pt idx="7">
                  <c:v>0.57357643635104605</c:v>
                </c:pt>
                <c:pt idx="8">
                  <c:v>0.64278760968653925</c:v>
                </c:pt>
                <c:pt idx="9">
                  <c:v>0.70710678118654746</c:v>
                </c:pt>
                <c:pt idx="10">
                  <c:v>0.76604444311897801</c:v>
                </c:pt>
                <c:pt idx="11">
                  <c:v>0.8191520442889918</c:v>
                </c:pt>
                <c:pt idx="12">
                  <c:v>0.8660254037844386</c:v>
                </c:pt>
                <c:pt idx="13">
                  <c:v>0.90630778703664994</c:v>
                </c:pt>
                <c:pt idx="14">
                  <c:v>0.93969262078590832</c:v>
                </c:pt>
                <c:pt idx="15">
                  <c:v>0.96592582628906831</c:v>
                </c:pt>
                <c:pt idx="16">
                  <c:v>0.98480775301220802</c:v>
                </c:pt>
                <c:pt idx="17">
                  <c:v>0.99619469809174555</c:v>
                </c:pt>
                <c:pt idx="18">
                  <c:v>1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</c:v>
                </c:pt>
                <c:pt idx="38">
                  <c:v>8.6305005300629442E-2</c:v>
                </c:pt>
                <c:pt idx="39">
                  <c:v>0.17207791154425398</c:v>
                </c:pt>
                <c:pt idx="40">
                  <c:v>0.25678990024149595</c:v>
                </c:pt>
                <c:pt idx="41">
                  <c:v>0.33991869381244216</c:v>
                </c:pt>
                <c:pt idx="42">
                  <c:v>0.4209517756015988</c:v>
                </c:pt>
                <c:pt idx="43">
                  <c:v>0.49938954971350147</c:v>
                </c:pt>
                <c:pt idx="44">
                  <c:v>0.57474842118754377</c:v>
                </c:pt>
                <c:pt idx="45">
                  <c:v>0.64656377752172045</c:v>
                </c:pt>
                <c:pt idx="46">
                  <c:v>0.71439285316320211</c:v>
                </c:pt>
                <c:pt idx="47">
                  <c:v>0.7778174593052023</c:v>
                </c:pt>
                <c:pt idx="48">
                  <c:v>0.83644656216003421</c:v>
                </c:pt>
                <c:pt idx="49">
                  <c:v>0.88991869381244226</c:v>
                </c:pt>
                <c:pt idx="50">
                  <c:v>0.93790418078950144</c:v>
                </c:pt>
                <c:pt idx="51">
                  <c:v>0.9801071766072047</c:v>
                </c:pt>
                <c:pt idx="52">
                  <c:v>1.0162674857624154</c:v>
                </c:pt>
                <c:pt idx="53">
                  <c:v>1.0461621679246689</c:v>
                </c:pt>
                <c:pt idx="54">
                  <c:v>1.0696069124374443</c:v>
                </c:pt>
                <c:pt idx="55">
                  <c:v>1.0864571746546516</c:v>
                </c:pt>
                <c:pt idx="56">
                  <c:v>1.0966090671064408</c:v>
                </c:pt>
                <c:pt idx="57">
                  <c:v>1.1000000000000001</c:v>
                </c:pt>
                <c:pt idx="58">
                  <c:v>1.0966090671064408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0</c:v>
                </c:pt>
                <c:pt idx="79">
                  <c:v>8.5607019839078827E-2</c:v>
                </c:pt>
                <c:pt idx="80">
                  <c:v>0.1707778059279422</c:v>
                </c:pt>
                <c:pt idx="81">
                  <c:v>0.25507834746357205</c:v>
                </c:pt>
                <c:pt idx="82">
                  <c:v>0.33807906820971567</c:v>
                </c:pt>
                <c:pt idx="83">
                  <c:v>0.41935701551891802</c:v>
                </c:pt>
                <c:pt idx="84">
                  <c:v>0.49849801560226376</c:v>
                </c:pt>
                <c:pt idx="85">
                  <c:v>0.57509878406406811</c:v>
                </c:pt>
                <c:pt idx="86">
                  <c:v>0.6487689809467172</c:v>
                </c:pt>
                <c:pt idx="87">
                  <c:v>0.71913319981361645</c:v>
                </c:pt>
                <c:pt idx="88">
                  <c:v>0.78583288073434221</c:v>
                </c:pt>
                <c:pt idx="89">
                  <c:v>0.84852813742385735</c:v>
                </c:pt>
                <c:pt idx="90">
                  <c:v>0.9068994892251101</c:v>
                </c:pt>
                <c:pt idx="91">
                  <c:v>0.96064948910923276</c:v>
                </c:pt>
                <c:pt idx="92">
                  <c:v>1.0095042393974176</c:v>
                </c:pt>
                <c:pt idx="93">
                  <c:v>1.0532147874807072</c:v>
                </c:pt>
                <c:pt idx="94">
                  <c:v>1.0915583944254224</c:v>
                </c:pt>
                <c:pt idx="95">
                  <c:v>1.1243396699997144</c:v>
                </c:pt>
                <c:pt idx="96">
                  <c:v>1.151391568337397</c:v>
                </c:pt>
                <c:pt idx="97">
                  <c:v>1.1725762391653918</c:v>
                </c:pt>
                <c:pt idx="98">
                  <c:v>1.1877857302571195</c:v>
                </c:pt>
                <c:pt idx="99">
                  <c:v>1.1969425375323046</c:v>
                </c:pt>
                <c:pt idx="100">
                  <c:v>1.2000000000000002</c:v>
                </c:pt>
                <c:pt idx="101">
                  <c:v>1.1969425375323044</c:v>
                </c:pt>
                <c:pt idx="102">
                  <c:v>1.1877857302571193</c:v>
                </c:pt>
                <c:pt idx="103">
                  <c:v>1.1725762391653916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0</c:v>
                </c:pt>
                <c:pt idx="124">
                  <c:v>8.3291285974926826E-2</c:v>
                </c:pt>
                <c:pt idx="125">
                  <c:v>0.16624031018985785</c:v>
                </c:pt>
                <c:pt idx="126">
                  <c:v>0.24850621731178407</c:v>
                </c:pt>
                <c:pt idx="127">
                  <c:v>0.32975095908235968</c:v>
                </c:pt>
                <c:pt idx="128">
                  <c:v>0.40964068343070703</c:v>
                </c:pt>
                <c:pt idx="129">
                  <c:v>0.48784710634318651</c:v>
                </c:pt>
                <c:pt idx="130">
                  <c:v>0.56404886085282568</c:v>
                </c:pt>
                <c:pt idx="131">
                  <c:v>0.63793281760511944</c:v>
                </c:pt>
                <c:pt idx="132">
                  <c:v>0.70919537157371348</c:v>
                </c:pt>
                <c:pt idx="133">
                  <c:v>0.77754368963858111</c:v>
                </c:pt>
                <c:pt idx="134">
                  <c:v>0.84269691390012513</c:v>
                </c:pt>
                <c:pt idx="135">
                  <c:v>0.90438731578453257</c:v>
                </c:pt>
                <c:pt idx="136">
                  <c:v>0.96236139619791061</c:v>
                </c:pt>
                <c:pt idx="137">
                  <c:v>1.0163809272084392</c:v>
                </c:pt>
                <c:pt idx="138">
                  <c:v>1.0662239309760431</c:v>
                </c:pt>
                <c:pt idx="139">
                  <c:v>1.1116855919069504</c:v>
                </c:pt>
                <c:pt idx="140">
                  <c:v>1.1525790982849007</c:v>
                </c:pt>
                <c:pt idx="141">
                  <c:v>1.1887364099205568</c:v>
                </c:pt>
                <c:pt idx="142">
                  <c:v>1.220008948664689</c:v>
                </c:pt>
                <c:pt idx="143">
                  <c:v>1.2462682089476591</c:v>
                </c:pt>
                <c:pt idx="144">
                  <c:v>1.267406285836371</c:v>
                </c:pt>
                <c:pt idx="145">
                  <c:v>1.2833363184387856</c:v>
                </c:pt>
                <c:pt idx="146">
                  <c:v>1.2939928468339579</c:v>
                </c:pt>
                <c:pt idx="147">
                  <c:v>1.2993320810608946</c:v>
                </c:pt>
                <c:pt idx="148">
                  <c:v>1.2993320810608946</c:v>
                </c:pt>
                <c:pt idx="149">
                  <c:v>1.2939928468339579</c:v>
                </c:pt>
                <c:pt idx="150">
                  <c:v>1.2833363184387852</c:v>
                </c:pt>
                <c:pt idx="151">
                  <c:v>1.2674062858363706</c:v>
                </c:pt>
                <c:pt idx="152">
                  <c:v>1.2462682089476587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0</c:v>
                </c:pt>
                <c:pt idx="174">
                  <c:v>8.1402760474666186E-2</c:v>
                </c:pt>
                <c:pt idx="175">
                  <c:v>0.16253007977532238</c:v>
                </c:pt>
                <c:pt idx="176">
                  <c:v>0.24310744873370252</c:v>
                </c:pt>
                <c:pt idx="177">
                  <c:v>0.32286221903941636</c:v>
                </c:pt>
                <c:pt idx="178">
                  <c:v>0.40152452579552644</c:v>
                </c:pt>
                <c:pt idx="179">
                  <c:v>0.47882820065593634</c:v>
                </c:pt>
                <c:pt idx="180">
                  <c:v>0.55451167245481969</c:v>
                </c:pt>
                <c:pt idx="181">
                  <c:v>0.6283188522806471</c:v>
                </c:pt>
                <c:pt idx="182">
                  <c:v>0.70000000000000007</c:v>
                </c:pt>
                <c:pt idx="183">
                  <c:v>0.7693125692991285</c:v>
                </c:pt>
                <c:pt idx="184">
                  <c:v>0.83602202838390083</c:v>
                </c:pt>
                <c:pt idx="185">
                  <c:v>0.89990265356115517</c:v>
                </c:pt>
                <c:pt idx="186">
                  <c:v>0.96073829301622726</c:v>
                </c:pt>
                <c:pt idx="187">
                  <c:v>1.0183230982022684</c:v>
                </c:pt>
                <c:pt idx="188">
                  <c:v>1.0724622203665695</c:v>
                </c:pt>
                <c:pt idx="189">
                  <c:v>1.1229724698570616</c:v>
                </c:pt>
                <c:pt idx="190">
                  <c:v>1.1696829359781113</c:v>
                </c:pt>
                <c:pt idx="191">
                  <c:v>1.2124355652982146</c:v>
                </c:pt>
                <c:pt idx="192">
                  <c:v>1.2510856964527777</c:v>
                </c:pt>
                <c:pt idx="193">
                  <c:v>1.285502549632384</c:v>
                </c:pt>
                <c:pt idx="194">
                  <c:v>1.3155696691002721</c:v>
                </c:pt>
                <c:pt idx="195">
                  <c:v>1.3411853172416848</c:v>
                </c:pt>
                <c:pt idx="196">
                  <c:v>1.3622628188117536</c:v>
                </c:pt>
                <c:pt idx="197">
                  <c:v>1.3787308542170915</c:v>
                </c:pt>
                <c:pt idx="198">
                  <c:v>1.3905337008387204</c:v>
                </c:pt>
                <c:pt idx="199">
                  <c:v>1.3976314215797758</c:v>
                </c:pt>
                <c:pt idx="200">
                  <c:v>1.4000000000000004</c:v>
                </c:pt>
                <c:pt idx="201">
                  <c:v>1.397631421579776</c:v>
                </c:pt>
                <c:pt idx="202">
                  <c:v>1.3905337008387206</c:v>
                </c:pt>
                <c:pt idx="203">
                  <c:v>1.3787308542170917</c:v>
                </c:pt>
                <c:pt idx="204">
                  <c:v>1.362262818811754</c:v>
                </c:pt>
                <c:pt idx="205">
                  <c:v>1.3411853172416852</c:v>
                </c:pt>
                <c:pt idx="206">
                  <c:v>1.3155696691002725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0</c:v>
                </c:pt>
                <c:pt idx="229">
                  <c:v>7.9833262263267993E-2</c:v>
                </c:pt>
                <c:pt idx="230">
                  <c:v>0.15944022847104816</c:v>
                </c:pt>
                <c:pt idx="231">
                  <c:v>0.23859524402860818</c:v>
                </c:pt>
                <c:pt idx="232">
                  <c:v>0.31707393544443657</c:v>
                </c:pt>
                <c:pt idx="233">
                  <c:v>0.39465384634128203</c:v>
                </c:pt>
                <c:pt idx="234">
                  <c:v>0.47111506803292319</c:v>
                </c:pt>
                <c:pt idx="235">
                  <c:v>0.54624086287923324</c:v>
                </c:pt>
                <c:pt idx="236">
                  <c:v>0.61981827865256733</c:v>
                </c:pt>
                <c:pt idx="237">
                  <c:v>0.69163875217398885</c:v>
                </c:pt>
                <c:pt idx="238">
                  <c:v>0.76149870050825996</c:v>
                </c:pt>
                <c:pt idx="239">
                  <c:v>0.82920009804179018</c:v>
                </c:pt>
                <c:pt idx="240">
                  <c:v>0.89455103780775225</c:v>
                </c:pt>
                <c:pt idx="241">
                  <c:v>0.95736627546723041</c:v>
                </c:pt>
                <c:pt idx="242">
                  <c:v>1.0174677544044244</c:v>
                </c:pt>
                <c:pt idx="243">
                  <c:v>1.0746851104474728</c:v>
                </c:pt>
                <c:pt idx="244">
                  <c:v>1.1288561547842082</c:v>
                </c:pt>
                <c:pt idx="245">
                  <c:v>1.1798273337039642</c:v>
                </c:pt>
                <c:pt idx="246">
                  <c:v>1.227454163862254</c:v>
                </c:pt>
                <c:pt idx="247">
                  <c:v>1.2716016418345069</c:v>
                </c:pt>
                <c:pt idx="248">
                  <c:v>1.3121446267979424</c:v>
                </c:pt>
                <c:pt idx="249">
                  <c:v>1.3489681952568295</c:v>
                </c:pt>
                <c:pt idx="250">
                  <c:v>1.38196796680562</c:v>
                </c:pt>
                <c:pt idx="251">
                  <c:v>1.4110504000065505</c:v>
                </c:pt>
                <c:pt idx="252">
                  <c:v>1.4361330575430087</c:v>
                </c:pt>
                <c:pt idx="253">
                  <c:v>1.4571448398970654</c:v>
                </c:pt>
                <c:pt idx="254">
                  <c:v>1.4740261868887818</c:v>
                </c:pt>
                <c:pt idx="255">
                  <c:v>1.4867292465060111</c:v>
                </c:pt>
                <c:pt idx="256">
                  <c:v>1.4952180105461257</c:v>
                </c:pt>
                <c:pt idx="257">
                  <c:v>1.4994684166851793</c:v>
                </c:pt>
                <c:pt idx="258">
                  <c:v>1.4994684166851793</c:v>
                </c:pt>
                <c:pt idx="259">
                  <c:v>1.4952180105461257</c:v>
                </c:pt>
                <c:pt idx="260">
                  <c:v>1.4867292465060113</c:v>
                </c:pt>
                <c:pt idx="261">
                  <c:v>1.4740261868887821</c:v>
                </c:pt>
                <c:pt idx="262">
                  <c:v>1.4571448398970654</c:v>
                </c:pt>
                <c:pt idx="263">
                  <c:v>1.4361330575430089</c:v>
                </c:pt>
                <c:pt idx="264">
                  <c:v>1.4110504000065507</c:v>
                </c:pt>
                <c:pt idx="265">
                  <c:v>1.3819679668056206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0</c:v>
                </c:pt>
                <c:pt idx="289">
                  <c:v>7.8508278923868843E-2</c:v>
                </c:pt>
                <c:pt idx="290">
                  <c:v>0.156827424527297</c:v>
                </c:pt>
                <c:pt idx="291">
                  <c:v>0.23476875912857886</c:v>
                </c:pt>
                <c:pt idx="292">
                  <c:v>0.31214451522580527</c:v>
                </c:pt>
                <c:pt idx="293">
                  <c:v>0.38876828784522233</c:v>
                </c:pt>
                <c:pt idx="294">
                  <c:v>0.4644554836071399</c:v>
                </c:pt>
                <c:pt idx="295">
                  <c:v>0.53902376542755226</c:v>
                </c:pt>
                <c:pt idx="296">
                  <c:v>0.61229349178414383</c:v>
                </c:pt>
                <c:pt idx="297">
                  <c:v>0.68408814948845154</c:v>
                </c:pt>
                <c:pt idx="298">
                  <c:v>0.75423477892159652</c:v>
                </c:pt>
                <c:pt idx="299">
                  <c:v>0.82256439070915488</c:v>
                </c:pt>
                <c:pt idx="300">
                  <c:v>0.88891237283136382</c:v>
                </c:pt>
                <c:pt idx="301">
                  <c:v>0.95311888718789373</c:v>
                </c:pt>
                <c:pt idx="302">
                  <c:v>1.0150292546618331</c:v>
                </c:pt>
                <c:pt idx="303">
                  <c:v>1.0744943277552297</c:v>
                </c:pt>
                <c:pt idx="304">
                  <c:v>1.1313708498984762</c:v>
                </c:pt>
                <c:pt idx="305">
                  <c:v>1.1855218005679349</c:v>
                </c:pt>
                <c:pt idx="306">
                  <c:v>1.2368167253803797</c:v>
                </c:pt>
                <c:pt idx="307">
                  <c:v>1.2851320503690322</c:v>
                </c:pt>
                <c:pt idx="308">
                  <c:v>1.3303513796840729</c:v>
                </c:pt>
                <c:pt idx="309">
                  <c:v>1.3723657760004357</c:v>
                </c:pt>
                <c:pt idx="310">
                  <c:v>1.4110740229573684</c:v>
                </c:pt>
                <c:pt idx="311">
                  <c:v>1.4463828689975098</c:v>
                </c:pt>
                <c:pt idx="312">
                  <c:v>1.4782072520180594</c:v>
                </c:pt>
                <c:pt idx="313">
                  <c:v>1.5064705042928337</c:v>
                </c:pt>
                <c:pt idx="314">
                  <c:v>1.5311045371715348</c:v>
                </c:pt>
                <c:pt idx="315">
                  <c:v>1.5520500051112709</c:v>
                </c:pt>
                <c:pt idx="316">
                  <c:v>1.5692564486451692</c:v>
                </c:pt>
                <c:pt idx="317">
                  <c:v>1.5826824159436501</c:v>
                </c:pt>
                <c:pt idx="318">
                  <c:v>1.5922955626755155</c:v>
                </c:pt>
                <c:pt idx="319">
                  <c:v>1.5980727299282764</c:v>
                </c:pt>
                <c:pt idx="320">
                  <c:v>1.6000000000000005</c:v>
                </c:pt>
                <c:pt idx="321">
                  <c:v>1.5980727299282764</c:v>
                </c:pt>
                <c:pt idx="322">
                  <c:v>1.5922955626755155</c:v>
                </c:pt>
                <c:pt idx="323">
                  <c:v>1.5826824159436501</c:v>
                </c:pt>
                <c:pt idx="324">
                  <c:v>1.5692564486451692</c:v>
                </c:pt>
                <c:pt idx="325">
                  <c:v>1.5520500051112709</c:v>
                </c:pt>
                <c:pt idx="326">
                  <c:v>1.5311045371715348</c:v>
                </c:pt>
                <c:pt idx="327">
                  <c:v>1.5064705042928337</c:v>
                </c:pt>
                <c:pt idx="328">
                  <c:v>1.4782072520180594</c:v>
                </c:pt>
                <c:pt idx="329">
                  <c:v>1.44638286899751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0</c:v>
                </c:pt>
                <c:pt idx="354">
                  <c:v>7.8511879697757331E-2</c:v>
                </c:pt>
                <c:pt idx="355">
                  <c:v>0.15685621108761344</c:v>
                </c:pt>
                <c:pt idx="356">
                  <c:v>0.23486580341819982</c:v>
                </c:pt>
                <c:pt idx="357">
                  <c:v>0.31237418028816971</c:v>
                </c:pt>
                <c:pt idx="358">
                  <c:v>0.38921593491522799</c:v>
                </c:pt>
                <c:pt idx="359">
                  <c:v>0.46522708312254096</c:v>
                </c:pt>
                <c:pt idx="360">
                  <c:v>0.54024541328923292</c:v>
                </c:pt>
                <c:pt idx="361">
                  <c:v>0.61411083251816023</c:v>
                </c:pt>
                <c:pt idx="362">
                  <c:v>0.68666570828222162</c:v>
                </c:pt>
                <c:pt idx="363">
                  <c:v>0.75775520482011527</c:v>
                </c:pt>
                <c:pt idx="364">
                  <c:v>0.82722761356365604</c:v>
                </c:pt>
                <c:pt idx="365">
                  <c:v>0.89493467689150508</c:v>
                </c:pt>
                <c:pt idx="366">
                  <c:v>0.96073190451840651</c:v>
                </c:pt>
                <c:pt idx="367">
                  <c:v>1.0244788818447363</c:v>
                </c:pt>
                <c:pt idx="368">
                  <c:v>1.0860395696083345</c:v>
                </c:pt>
                <c:pt idx="369">
                  <c:v>1.1452825941991478</c:v>
                </c:pt>
                <c:pt idx="370">
                  <c:v>1.2020815280171315</c:v>
                </c:pt>
                <c:pt idx="371">
                  <c:v>1.2563151592751212</c:v>
                </c:pt>
                <c:pt idx="372">
                  <c:v>1.3078677506708949</c:v>
                </c:pt>
                <c:pt idx="373">
                  <c:v>1.3566292863764078</c:v>
                </c:pt>
                <c:pt idx="374">
                  <c:v>1.4024957068171147</c:v>
                </c:pt>
                <c:pt idx="375">
                  <c:v>1.4453691307403447</c:v>
                </c:pt>
                <c:pt idx="376">
                  <c:v>1.4851580640988291</c:v>
                </c:pt>
                <c:pt idx="377">
                  <c:v>1.5217775953036066</c:v>
                </c:pt>
                <c:pt idx="378">
                  <c:v>1.5551495764296364</c:v>
                </c:pt>
                <c:pt idx="379">
                  <c:v>1.5852027899874055</c:v>
                </c:pt>
                <c:pt idx="380">
                  <c:v>1.6118731009046425</c:v>
                </c:pt>
                <c:pt idx="381">
                  <c:v>1.635103593393793</c:v>
                </c:pt>
                <c:pt idx="382">
                  <c:v>1.6548446924131783</c:v>
                </c:pt>
                <c:pt idx="383">
                  <c:v>1.6710542694626334</c:v>
                </c:pt>
                <c:pt idx="384">
                  <c:v>1.6836977324878493</c:v>
                </c:pt>
                <c:pt idx="385">
                  <c:v>1.6927480997015592</c:v>
                </c:pt>
                <c:pt idx="386">
                  <c:v>1.6981860571640337</c:v>
                </c:pt>
                <c:pt idx="387">
                  <c:v>1.7000000000000006</c:v>
                </c:pt>
                <c:pt idx="388">
                  <c:v>1.6981860571640339</c:v>
                </c:pt>
                <c:pt idx="389">
                  <c:v>1.6927480997015594</c:v>
                </c:pt>
                <c:pt idx="390">
                  <c:v>1.6836977324878497</c:v>
                </c:pt>
                <c:pt idx="391">
                  <c:v>1.671054269462634</c:v>
                </c:pt>
                <c:pt idx="392">
                  <c:v>1.6548446924131788</c:v>
                </c:pt>
                <c:pt idx="393">
                  <c:v>1.6351035933937936</c:v>
                </c:pt>
                <c:pt idx="394">
                  <c:v>1.6118731009046434</c:v>
                </c:pt>
                <c:pt idx="395">
                  <c:v>1.5852027899874066</c:v>
                </c:pt>
                <c:pt idx="396">
                  <c:v>1.5551495764296377</c:v>
                </c:pt>
                <c:pt idx="397">
                  <c:v>1.5217775953036079</c:v>
                </c:pt>
                <c:pt idx="398">
                  <c:v>1.4851580640988304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0</c:v>
                </c:pt>
                <c:pt idx="423">
                  <c:v>7.8514897257604827E-2</c:v>
                </c:pt>
                <c:pt idx="424">
                  <c:v>0.15688033694578477</c:v>
                </c:pt>
                <c:pt idx="425">
                  <c:v>0.23494714599609293</c:v>
                </c:pt>
                <c:pt idx="426">
                  <c:v>0.31256671980047473</c:v>
                </c:pt>
                <c:pt idx="427">
                  <c:v>0.3895913050885853</c:v>
                </c:pt>
                <c:pt idx="428">
                  <c:v>0.4658742811845375</c:v>
                </c:pt>
                <c:pt idx="429">
                  <c:v>0.54127043910769179</c:v>
                </c:pt>
                <c:pt idx="430">
                  <c:v>0.61563625798620392</c:v>
                </c:pt>
                <c:pt idx="431">
                  <c:v>0.68883017825716186</c:v>
                </c:pt>
                <c:pt idx="432">
                  <c:v>0.76071287113325925</c:v>
                </c:pt>
                <c:pt idx="433">
                  <c:v>0.83114750382306135</c:v>
                </c:pt>
                <c:pt idx="434">
                  <c:v>0.90000000000000024</c:v>
                </c:pt>
                <c:pt idx="435">
                  <c:v>0.96713929502428342</c:v>
                </c:pt>
                <c:pt idx="436">
                  <c:v>1.0324375854318832</c:v>
                </c:pt>
                <c:pt idx="437">
                  <c:v>1.0957705722156976</c:v>
                </c:pt>
                <c:pt idx="438">
                  <c:v>1.1570176974357711</c:v>
                </c:pt>
                <c:pt idx="439">
                  <c:v>1.2160623737081888</c:v>
                </c:pt>
                <c:pt idx="440">
                  <c:v>1.2727922061357859</c:v>
                </c:pt>
                <c:pt idx="441">
                  <c:v>1.3270992062582239</c:v>
                </c:pt>
                <c:pt idx="442">
                  <c:v>1.378879997614161</c:v>
                </c:pt>
                <c:pt idx="443">
                  <c:v>1.428036012524224</c:v>
                </c:pt>
                <c:pt idx="444">
                  <c:v>1.4744736797201858</c:v>
                </c:pt>
                <c:pt idx="445">
                  <c:v>1.5181046024631948</c:v>
                </c:pt>
                <c:pt idx="446">
                  <c:v>1.5588457268119902</c:v>
                </c:pt>
                <c:pt idx="447">
                  <c:v>1.5966194997207994</c:v>
                </c:pt>
                <c:pt idx="448">
                  <c:v>1.6313540166659706</c:v>
                </c:pt>
                <c:pt idx="449">
                  <c:v>1.6629831585203168</c:v>
                </c:pt>
                <c:pt idx="450">
                  <c:v>1.6914467174146357</c:v>
                </c:pt>
                <c:pt idx="451">
                  <c:v>1.7166905113468092</c:v>
                </c:pt>
                <c:pt idx="452">
                  <c:v>1.7386664873203237</c:v>
                </c:pt>
                <c:pt idx="453">
                  <c:v>1.7573328128158807</c:v>
                </c:pt>
                <c:pt idx="454">
                  <c:v>1.7726539554219751</c:v>
                </c:pt>
                <c:pt idx="455">
                  <c:v>1.7846007504728594</c:v>
                </c:pt>
                <c:pt idx="456">
                  <c:v>1.7931504565651426</c:v>
                </c:pt>
                <c:pt idx="457">
                  <c:v>1.7982867988473448</c:v>
                </c:pt>
                <c:pt idx="458">
                  <c:v>1.8000000000000007</c:v>
                </c:pt>
                <c:pt idx="459">
                  <c:v>1.7982867988473448</c:v>
                </c:pt>
                <c:pt idx="460">
                  <c:v>1.7931504565651426</c:v>
                </c:pt>
                <c:pt idx="461">
                  <c:v>1.7846007504728596</c:v>
                </c:pt>
                <c:pt idx="462">
                  <c:v>1.7726539554219751</c:v>
                </c:pt>
                <c:pt idx="463">
                  <c:v>1.7573328128158807</c:v>
                </c:pt>
                <c:pt idx="464">
                  <c:v>1.7386664873203237</c:v>
                </c:pt>
                <c:pt idx="465">
                  <c:v>1.7166905113468092</c:v>
                </c:pt>
                <c:pt idx="466">
                  <c:v>1.6914467174146359</c:v>
                </c:pt>
                <c:pt idx="467">
                  <c:v>1.6629831585203168</c:v>
                </c:pt>
                <c:pt idx="468">
                  <c:v>1.6313540166659708</c:v>
                </c:pt>
                <c:pt idx="469">
                  <c:v>1.5966194997207999</c:v>
                </c:pt>
                <c:pt idx="470">
                  <c:v>1.5588457268119902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0</c:v>
                </c:pt>
                <c:pt idx="496">
                  <c:v>8.0638286072681822E-2</c:v>
                </c:pt>
                <c:pt idx="497">
                  <c:v>0.16113125650346755</c:v>
                </c:pt>
                <c:pt idx="498">
                  <c:v>0.24133385751906974</c:v>
                </c:pt>
                <c:pt idx="499">
                  <c:v>0.3211015586115134</c:v>
                </c:pt>
                <c:pt idx="500">
                  <c:v>0.40029061299188012</c:v>
                </c:pt>
                <c:pt idx="501">
                  <c:v>0.47875831663173796</c:v>
                </c:pt>
                <c:pt idx="502">
                  <c:v>0.5563632654254459</c:v>
                </c:pt>
                <c:pt idx="503">
                  <c:v>0.63296561000990959</c:v>
                </c:pt>
                <c:pt idx="504">
                  <c:v>0.70842730778258645</c:v>
                </c:pt>
                <c:pt idx="505">
                  <c:v>0.78261237166358633</c:v>
                </c:pt>
                <c:pt idx="506">
                  <c:v>0.85538711515357946</c:v>
                </c:pt>
                <c:pt idx="507">
                  <c:v>0.92662039324590573</c:v>
                </c:pt>
                <c:pt idx="508">
                  <c:v>0.99618383875874039</c:v>
                </c:pt>
                <c:pt idx="509">
                  <c:v>1.0639520936614315</c:v>
                </c:pt>
                <c:pt idx="510">
                  <c:v>1.1298030349781449</c:v>
                </c:pt>
                <c:pt idx="511">
                  <c:v>1.1936179948617209</c:v>
                </c:pt>
                <c:pt idx="512">
                  <c:v>1.2552819744411554</c:v>
                </c:pt>
                <c:pt idx="513">
                  <c:v>1.3146838510573384</c:v>
                </c:pt>
                <c:pt idx="514">
                  <c:v>1.3717165785135972</c:v>
                </c:pt>
                <c:pt idx="515">
                  <c:v>1.4262773799801773</c:v>
                </c:pt>
                <c:pt idx="516">
                  <c:v>1.4782679332050361</c:v>
                </c:pt>
                <c:pt idx="517">
                  <c:v>1.5275945476971879</c:v>
                </c:pt>
                <c:pt idx="518">
                  <c:v>1.574168333563301</c:v>
                </c:pt>
                <c:pt idx="519">
                  <c:v>1.6179053616932924</c:v>
                </c:pt>
                <c:pt idx="520">
                  <c:v>1.6587268150062586</c:v>
                </c:pt>
                <c:pt idx="521">
                  <c:v>1.6965591304841812</c:v>
                </c:pt>
                <c:pt idx="522">
                  <c:v>1.7313341317374589</c:v>
                </c:pt>
                <c:pt idx="523">
                  <c:v>1.7629891518633689</c:v>
                </c:pt>
                <c:pt idx="524">
                  <c:v>1.7914671463760612</c:v>
                </c:pt>
                <c:pt idx="525">
                  <c:v>1.8167167960045778</c:v>
                </c:pt>
                <c:pt idx="526">
                  <c:v>1.8386925991736489</c:v>
                </c:pt>
                <c:pt idx="527">
                  <c:v>1.8573549540006049</c:v>
                </c:pt>
                <c:pt idx="528">
                  <c:v>1.872670229660647</c:v>
                </c:pt>
                <c:pt idx="529">
                  <c:v>1.8846108269918669</c:v>
                </c:pt>
                <c:pt idx="530">
                  <c:v>1.8931552282308013</c:v>
                </c:pt>
                <c:pt idx="531">
                  <c:v>1.8982880357888956</c:v>
                </c:pt>
                <c:pt idx="532">
                  <c:v>1.9000000000000008</c:v>
                </c:pt>
                <c:pt idx="533">
                  <c:v>1.8982880357888954</c:v>
                </c:pt>
                <c:pt idx="534">
                  <c:v>1.8931552282308011</c:v>
                </c:pt>
                <c:pt idx="535">
                  <c:v>1.8846108269918667</c:v>
                </c:pt>
                <c:pt idx="536">
                  <c:v>1.8726702296606466</c:v>
                </c:pt>
                <c:pt idx="537">
                  <c:v>1.857354954000604</c:v>
                </c:pt>
                <c:pt idx="538">
                  <c:v>1.838692599173648</c:v>
                </c:pt>
                <c:pt idx="539">
                  <c:v>1.8167167960045769</c:v>
                </c:pt>
                <c:pt idx="540">
                  <c:v>1.7914671463760599</c:v>
                </c:pt>
                <c:pt idx="541">
                  <c:v>1.7629891518633676</c:v>
                </c:pt>
                <c:pt idx="542">
                  <c:v>1.7313341317374573</c:v>
                </c:pt>
                <c:pt idx="543">
                  <c:v>1.6965591304841796</c:v>
                </c:pt>
                <c:pt idx="544">
                  <c:v>1.6587268150062566</c:v>
                </c:pt>
                <c:pt idx="545">
                  <c:v>1.6179053616932904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0</c:v>
                </c:pt>
                <c:pt idx="571">
                  <c:v>7.9513030193851308E-2</c:v>
                </c:pt>
                <c:pt idx="572">
                  <c:v>0.15890033394342884</c:v>
                </c:pt>
                <c:pt idx="573">
                  <c:v>0.23803638360380971</c:v>
                </c:pt>
                <c:pt idx="574">
                  <c:v>0.31679604881443013</c:v>
                </c:pt>
                <c:pt idx="575">
                  <c:v>0.39505479435590551</c:v>
                </c:pt>
                <c:pt idx="576">
                  <c:v>0.47268887706580998</c:v>
                </c:pt>
                <c:pt idx="577">
                  <c:v>0.54957554150205079</c:v>
                </c:pt>
                <c:pt idx="578">
                  <c:v>0.62559321404445467</c:v>
                </c:pt>
                <c:pt idx="579">
                  <c:v>0.70062169512764894</c:v>
                </c:pt>
                <c:pt idx="580">
                  <c:v>0.77454234930128263</c:v>
                </c:pt>
                <c:pt idx="581">
                  <c:v>0.84723829281705654</c:v>
                </c:pt>
                <c:pt idx="582">
                  <c:v>0.91859457844595638</c:v>
                </c:pt>
                <c:pt idx="583">
                  <c:v>0.98849837723344636</c:v>
                </c:pt>
                <c:pt idx="584">
                  <c:v>1.0568391569052398</c:v>
                </c:pt>
                <c:pt idx="585">
                  <c:v>1.1235088566415425</c:v>
                </c:pt>
                <c:pt idx="586">
                  <c:v>1.1884020579434216</c:v>
                </c:pt>
                <c:pt idx="587">
                  <c:v>1.2514161513211206</c:v>
                </c:pt>
                <c:pt idx="588">
                  <c:v>1.312451498540752</c:v>
                </c:pt>
                <c:pt idx="589">
                  <c:v>1.371411590172827</c:v>
                </c:pt>
                <c:pt idx="590">
                  <c:v>1.4282031981935002</c:v>
                </c:pt>
                <c:pt idx="591">
                  <c:v>1.4827365233972369</c:v>
                </c:pt>
                <c:pt idx="592">
                  <c:v>1.5349253373878164</c:v>
                </c:pt>
                <c:pt idx="593">
                  <c:v>1.5846871189231493</c:v>
                </c:pt>
                <c:pt idx="594">
                  <c:v>1.6319431843983225</c:v>
                </c:pt>
                <c:pt idx="595">
                  <c:v>1.6766188122605536</c:v>
                </c:pt>
                <c:pt idx="596">
                  <c:v>1.7186433611593224</c:v>
                </c:pt>
                <c:pt idx="597">
                  <c:v>1.7579503816448683</c:v>
                </c:pt>
                <c:pt idx="598">
                  <c:v>1.7944777212384249</c:v>
                </c:pt>
                <c:pt idx="599">
                  <c:v>1.8281676227080701</c:v>
                </c:pt>
                <c:pt idx="600">
                  <c:v>1.8589668153947749</c:v>
                </c:pt>
                <c:pt idx="601">
                  <c:v>1.8868265994442699</c:v>
                </c:pt>
                <c:pt idx="602">
                  <c:v>1.9117029228115225</c:v>
                </c:pt>
                <c:pt idx="603">
                  <c:v>1.9335564509160752</c:v>
                </c:pt>
                <c:pt idx="604">
                  <c:v>1.9523526288381026</c:v>
                </c:pt>
                <c:pt idx="605">
                  <c:v>1.9680617359568422</c:v>
                </c:pt>
                <c:pt idx="606">
                  <c:v>1.9806589329450048</c:v>
                </c:pt>
                <c:pt idx="607">
                  <c:v>1.9901243010448559</c:v>
                </c:pt>
                <c:pt idx="608">
                  <c:v>1.9964428735638671</c:v>
                </c:pt>
                <c:pt idx="609">
                  <c:v>1.999604659540132</c:v>
                </c:pt>
                <c:pt idx="610">
                  <c:v>1.999604659540132</c:v>
                </c:pt>
                <c:pt idx="611">
                  <c:v>1.9964428735638668</c:v>
                </c:pt>
                <c:pt idx="612">
                  <c:v>1.9901243010448557</c:v>
                </c:pt>
                <c:pt idx="613">
                  <c:v>1.9806589329450044</c:v>
                </c:pt>
                <c:pt idx="614">
                  <c:v>1.9680617359568418</c:v>
                </c:pt>
                <c:pt idx="615">
                  <c:v>1.9523526288381021</c:v>
                </c:pt>
                <c:pt idx="616">
                  <c:v>1.9335564509160745</c:v>
                </c:pt>
                <c:pt idx="617">
                  <c:v>1.9117029228115219</c:v>
                </c:pt>
                <c:pt idx="618">
                  <c:v>1.8868265994442692</c:v>
                </c:pt>
                <c:pt idx="619">
                  <c:v>1.8589668153947738</c:v>
                </c:pt>
                <c:pt idx="620">
                  <c:v>1.828167622708069</c:v>
                </c:pt>
                <c:pt idx="621">
                  <c:v>1.7944777212384242</c:v>
                </c:pt>
                <c:pt idx="622">
                  <c:v>1.7579503816448665</c:v>
                </c:pt>
                <c:pt idx="623">
                  <c:v>1.718643361159321</c:v>
                </c:pt>
                <c:pt idx="624">
                  <c:v>1.6766188122605516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7-47C2-B44A-DDE77C3DA9F1}"/>
            </c:ext>
          </c:extLst>
        </c:ser>
        <c:ser>
          <c:idx val="1"/>
          <c:order val="1"/>
          <c:tx>
            <c:strRef>
              <c:f>'Election chart calculations'!$M$2</c:f>
              <c:strCache>
                <c:ptCount val="1"/>
                <c:pt idx="0">
                  <c:v>xCon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'Election chart calculations'!$M$3:$M$652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-8.7155742747658235E-2</c:v>
                </c:pt>
                <c:pt idx="20">
                  <c:v>-0.1736481776669303</c:v>
                </c:pt>
                <c:pt idx="21">
                  <c:v>-0.25881904510252085</c:v>
                </c:pt>
                <c:pt idx="22">
                  <c:v>-0.34202014332566871</c:v>
                </c:pt>
                <c:pt idx="23">
                  <c:v>-0.42261826174069933</c:v>
                </c:pt>
                <c:pt idx="24">
                  <c:v>-0.49999999999999978</c:v>
                </c:pt>
                <c:pt idx="25">
                  <c:v>-0.57357643635104583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-0.17207791154425414</c:v>
                </c:pt>
                <c:pt idx="60">
                  <c:v>-0.25678990024149567</c:v>
                </c:pt>
                <c:pt idx="61">
                  <c:v>-0.33991869381244211</c:v>
                </c:pt>
                <c:pt idx="62">
                  <c:v>-0.42095177560159874</c:v>
                </c:pt>
                <c:pt idx="63">
                  <c:v>-0.49938954971350141</c:v>
                </c:pt>
                <c:pt idx="64">
                  <c:v>-0.57474842118754377</c:v>
                </c:pt>
                <c:pt idx="65">
                  <c:v>-0.64656377752172034</c:v>
                </c:pt>
                <c:pt idx="66">
                  <c:v>-0.714392853163202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-0.33807906820971645</c:v>
                </c:pt>
                <c:pt idx="105">
                  <c:v>-0.4193570155189188</c:v>
                </c:pt>
                <c:pt idx="106">
                  <c:v>-0.49849801560226442</c:v>
                </c:pt>
                <c:pt idx="107">
                  <c:v>-0.57509878406406933</c:v>
                </c:pt>
                <c:pt idx="108">
                  <c:v>-0.64876898094671809</c:v>
                </c:pt>
                <c:pt idx="109">
                  <c:v>-0.71913319981361723</c:v>
                </c:pt>
                <c:pt idx="110">
                  <c:v>-0.78583288073434288</c:v>
                </c:pt>
                <c:pt idx="111">
                  <c:v>-0.84852813742385791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-0.4489745707477012</c:v>
                </c:pt>
                <c:pt idx="154">
                  <c:v>-0.52621834605911344</c:v>
                </c:pt>
                <c:pt idx="155">
                  <c:v>-0.60129977731308726</c:v>
                </c:pt>
                <c:pt idx="156">
                  <c:v>-0.67391033880368412</c:v>
                </c:pt>
                <c:pt idx="157">
                  <c:v>-0.74375165815882227</c:v>
                </c:pt>
                <c:pt idx="158">
                  <c:v>-0.81053674241635454</c:v>
                </c:pt>
                <c:pt idx="159">
                  <c:v>-0.873991157339713</c:v>
                </c:pt>
                <c:pt idx="160">
                  <c:v>-0.93385415512704661</c:v>
                </c:pt>
                <c:pt idx="161">
                  <c:v>-0.98987974587987537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-0.55451167245481825</c:v>
                </c:pt>
                <c:pt idx="208">
                  <c:v>-0.62831885228064543</c:v>
                </c:pt>
                <c:pt idx="209">
                  <c:v>-0.69999999999999885</c:v>
                </c:pt>
                <c:pt idx="210">
                  <c:v>-0.76931256929912772</c:v>
                </c:pt>
                <c:pt idx="211">
                  <c:v>-0.83602202838389961</c:v>
                </c:pt>
                <c:pt idx="212">
                  <c:v>-0.89990265356115395</c:v>
                </c:pt>
                <c:pt idx="213">
                  <c:v>-0.96073829301622615</c:v>
                </c:pt>
                <c:pt idx="214">
                  <c:v>-1.0183230982022675</c:v>
                </c:pt>
                <c:pt idx="215">
                  <c:v>-1.072462220366569</c:v>
                </c:pt>
                <c:pt idx="216">
                  <c:v>-1.1229724698570611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-0.65596098068828146</c:v>
                </c:pt>
                <c:pt idx="267">
                  <c:v>-0.7268263054989742</c:v>
                </c:pt>
                <c:pt idx="268">
                  <c:v>-0.79563136217961217</c:v>
                </c:pt>
                <c:pt idx="269">
                  <c:v>-0.86218111532160879</c:v>
                </c:pt>
                <c:pt idx="270">
                  <c:v>-0.92628692241928634</c:v>
                </c:pt>
                <c:pt idx="271">
                  <c:v>-0.98776706859755659</c:v>
                </c:pt>
                <c:pt idx="272">
                  <c:v>-1.0464472817024761</c:v>
                </c:pt>
                <c:pt idx="273">
                  <c:v>-1.1021612262946001</c:v>
                </c:pt>
                <c:pt idx="274">
                  <c:v>-1.154750975144859</c:v>
                </c:pt>
                <c:pt idx="275">
                  <c:v>-1.2040674568964456</c:v>
                </c:pt>
                <c:pt idx="276">
                  <c:v>-1.2499708786237722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-0.75423477892159652</c:v>
                </c:pt>
                <c:pt idx="331">
                  <c:v>-0.82256439070915488</c:v>
                </c:pt>
                <c:pt idx="332">
                  <c:v>-0.88891237283136337</c:v>
                </c:pt>
                <c:pt idx="333">
                  <c:v>-0.95311888718789373</c:v>
                </c:pt>
                <c:pt idx="334">
                  <c:v>-1.0150292546618329</c:v>
                </c:pt>
                <c:pt idx="335">
                  <c:v>-1.0744943277552299</c:v>
                </c:pt>
                <c:pt idx="336">
                  <c:v>-1.1313708498984762</c:v>
                </c:pt>
                <c:pt idx="337">
                  <c:v>-1.1855218005679347</c:v>
                </c:pt>
                <c:pt idx="338">
                  <c:v>-1.2368167253803797</c:v>
                </c:pt>
                <c:pt idx="339">
                  <c:v>-1.2851320503690322</c:v>
                </c:pt>
                <c:pt idx="340">
                  <c:v>-1.3303513796840729</c:v>
                </c:pt>
                <c:pt idx="341">
                  <c:v>-1.3723657760004357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-0.89493467689150219</c:v>
                </c:pt>
                <c:pt idx="400">
                  <c:v>-0.96073190451840351</c:v>
                </c:pt>
                <c:pt idx="401">
                  <c:v>-1.024478881844733</c:v>
                </c:pt>
                <c:pt idx="402">
                  <c:v>-1.086039569608332</c:v>
                </c:pt>
                <c:pt idx="403">
                  <c:v>-1.1452825941991451</c:v>
                </c:pt>
                <c:pt idx="404">
                  <c:v>-1.2020815280171284</c:v>
                </c:pt>
                <c:pt idx="405">
                  <c:v>-1.2563151592751187</c:v>
                </c:pt>
                <c:pt idx="406">
                  <c:v>-1.3078677506708927</c:v>
                </c:pt>
                <c:pt idx="407">
                  <c:v>-1.3566292863764058</c:v>
                </c:pt>
                <c:pt idx="408">
                  <c:v>-1.4024957068171129</c:v>
                </c:pt>
                <c:pt idx="409">
                  <c:v>-1.4453691307403436</c:v>
                </c:pt>
                <c:pt idx="410">
                  <c:v>-1.485158064098828</c:v>
                </c:pt>
                <c:pt idx="411">
                  <c:v>-1.5217775953036057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-0.96713929502428353</c:v>
                </c:pt>
                <c:pt idx="472">
                  <c:v>-1.0324375854318828</c:v>
                </c:pt>
                <c:pt idx="473">
                  <c:v>-1.0957705722156976</c:v>
                </c:pt>
                <c:pt idx="474">
                  <c:v>-1.1570176974357713</c:v>
                </c:pt>
                <c:pt idx="475">
                  <c:v>-1.2160623737081888</c:v>
                </c:pt>
                <c:pt idx="476">
                  <c:v>-1.2727922061357859</c:v>
                </c:pt>
                <c:pt idx="477">
                  <c:v>-1.3270992062582236</c:v>
                </c:pt>
                <c:pt idx="478">
                  <c:v>-1.3788799976141608</c:v>
                </c:pt>
                <c:pt idx="479">
                  <c:v>-1.4280360125242237</c:v>
                </c:pt>
                <c:pt idx="480">
                  <c:v>-1.4744736797201861</c:v>
                </c:pt>
                <c:pt idx="481">
                  <c:v>-1.5181046024631946</c:v>
                </c:pt>
                <c:pt idx="482">
                  <c:v>-1.5588457268119902</c:v>
                </c:pt>
                <c:pt idx="483">
                  <c:v>-1.5966194997207996</c:v>
                </c:pt>
                <c:pt idx="484">
                  <c:v>-1.6313540166659706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-1.0639520936614344</c:v>
                </c:pt>
                <c:pt idx="547">
                  <c:v>-1.1298030349781478</c:v>
                </c:pt>
                <c:pt idx="548">
                  <c:v>-1.1936179948617238</c:v>
                </c:pt>
                <c:pt idx="549">
                  <c:v>-1.2552819744411574</c:v>
                </c:pt>
                <c:pt idx="550">
                  <c:v>-1.31468385105734</c:v>
                </c:pt>
                <c:pt idx="551">
                  <c:v>-1.3717165785135987</c:v>
                </c:pt>
                <c:pt idx="552">
                  <c:v>-1.426277379980178</c:v>
                </c:pt>
                <c:pt idx="553">
                  <c:v>-1.4782679332050364</c:v>
                </c:pt>
                <c:pt idx="554">
                  <c:v>-1.5275945476971886</c:v>
                </c:pt>
                <c:pt idx="555">
                  <c:v>-1.574168333563301</c:v>
                </c:pt>
                <c:pt idx="556">
                  <c:v>-1.6179053616932921</c:v>
                </c:pt>
                <c:pt idx="557">
                  <c:v>-1.6587268150062582</c:v>
                </c:pt>
                <c:pt idx="558">
                  <c:v>-1.6965591304841807</c:v>
                </c:pt>
                <c:pt idx="559">
                  <c:v>-1.7313341317374582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-1.1561840004497004</c:v>
                </c:pt>
                <c:pt idx="626">
                  <c:v>-1.2201502920210525</c:v>
                </c:pt>
                <c:pt idx="627">
                  <c:v>-1.2821872751844436</c:v>
                </c:pt>
                <c:pt idx="628">
                  <c:v>-1.3421968567180771</c:v>
                </c:pt>
                <c:pt idx="629">
                  <c:v>-1.4000841491388545</c:v>
                </c:pt>
                <c:pt idx="630">
                  <c:v>-1.455757620738992</c:v>
                </c:pt>
                <c:pt idx="631">
                  <c:v>-1.509129240316464</c:v>
                </c:pt>
                <c:pt idx="632">
                  <c:v>-1.5601146163704276</c:v>
                </c:pt>
                <c:pt idx="633">
                  <c:v>-1.6086331305415333</c:v>
                </c:pt>
                <c:pt idx="634">
                  <c:v>-1.6546080650861184</c:v>
                </c:pt>
                <c:pt idx="635">
                  <c:v>-1.697966724182731</c:v>
                </c:pt>
                <c:pt idx="636">
                  <c:v>-1.7386405488791683</c:v>
                </c:pt>
                <c:pt idx="637">
                  <c:v>-1.7765652254982671</c:v>
                </c:pt>
                <c:pt idx="638">
                  <c:v>-1.8116807873310496</c:v>
                </c:pt>
                <c:pt idx="639">
                  <c:v>-1.8439317094564165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calculations'!$N$3:$N$652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0.99619469809174555</c:v>
                </c:pt>
                <c:pt idx="20">
                  <c:v>0.98480775301220802</c:v>
                </c:pt>
                <c:pt idx="21">
                  <c:v>0.96592582628906831</c:v>
                </c:pt>
                <c:pt idx="22">
                  <c:v>0.93969262078590843</c:v>
                </c:pt>
                <c:pt idx="23">
                  <c:v>0.90630778703665005</c:v>
                </c:pt>
                <c:pt idx="24">
                  <c:v>0.86602540378443871</c:v>
                </c:pt>
                <c:pt idx="25">
                  <c:v>0.81915204428899202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1.0864571746546514</c:v>
                </c:pt>
                <c:pt idx="60">
                  <c:v>1.0696069124374443</c:v>
                </c:pt>
                <c:pt idx="61">
                  <c:v>1.0461621679246691</c:v>
                </c:pt>
                <c:pt idx="62">
                  <c:v>1.0162674857624154</c:v>
                </c:pt>
                <c:pt idx="63">
                  <c:v>0.98010717660720481</c:v>
                </c:pt>
                <c:pt idx="64">
                  <c:v>0.93790418078950155</c:v>
                </c:pt>
                <c:pt idx="65">
                  <c:v>0.88991869381244226</c:v>
                </c:pt>
                <c:pt idx="66">
                  <c:v>0.83644656216003421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1.151391568337397</c:v>
                </c:pt>
                <c:pt idx="105">
                  <c:v>1.1243396699997139</c:v>
                </c:pt>
                <c:pt idx="106">
                  <c:v>1.0915583944254219</c:v>
                </c:pt>
                <c:pt idx="107">
                  <c:v>1.0532147874807063</c:v>
                </c:pt>
                <c:pt idx="108">
                  <c:v>1.009504239397417</c:v>
                </c:pt>
                <c:pt idx="109">
                  <c:v>0.96064948910923198</c:v>
                </c:pt>
                <c:pt idx="110">
                  <c:v>0.90689948922510943</c:v>
                </c:pt>
                <c:pt idx="111">
                  <c:v>0.84852813742385647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1.2200089486646883</c:v>
                </c:pt>
                <c:pt idx="154">
                  <c:v>1.188736409920556</c:v>
                </c:pt>
                <c:pt idx="155">
                  <c:v>1.1525790982848996</c:v>
                </c:pt>
                <c:pt idx="156">
                  <c:v>1.1116855919069495</c:v>
                </c:pt>
                <c:pt idx="157">
                  <c:v>1.0662239309760417</c:v>
                </c:pt>
                <c:pt idx="158">
                  <c:v>1.0163809272084383</c:v>
                </c:pt>
                <c:pt idx="159">
                  <c:v>0.9623613961979095</c:v>
                </c:pt>
                <c:pt idx="160">
                  <c:v>0.9043873157845318</c:v>
                </c:pt>
                <c:pt idx="161">
                  <c:v>0.84269691390012469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1.2855025496323846</c:v>
                </c:pt>
                <c:pt idx="208">
                  <c:v>1.2510856964527783</c:v>
                </c:pt>
                <c:pt idx="209">
                  <c:v>1.2124355652982151</c:v>
                </c:pt>
                <c:pt idx="210">
                  <c:v>1.169682935978112</c:v>
                </c:pt>
                <c:pt idx="211">
                  <c:v>1.1229724698570624</c:v>
                </c:pt>
                <c:pt idx="212">
                  <c:v>1.0724622203665708</c:v>
                </c:pt>
                <c:pt idx="213">
                  <c:v>1.0183230982022695</c:v>
                </c:pt>
                <c:pt idx="214">
                  <c:v>0.96073829301622826</c:v>
                </c:pt>
                <c:pt idx="215">
                  <c:v>0.89990265356115595</c:v>
                </c:pt>
                <c:pt idx="216">
                  <c:v>0.83602202838390138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1.3489681952568302</c:v>
                </c:pt>
                <c:pt idx="267">
                  <c:v>1.3121446267979429</c:v>
                </c:pt>
                <c:pt idx="268">
                  <c:v>1.271601641834508</c:v>
                </c:pt>
                <c:pt idx="269">
                  <c:v>1.2274541638622551</c:v>
                </c:pt>
                <c:pt idx="270">
                  <c:v>1.1798273337039653</c:v>
                </c:pt>
                <c:pt idx="271">
                  <c:v>1.1288561547842095</c:v>
                </c:pt>
                <c:pt idx="272">
                  <c:v>1.0746851104474742</c:v>
                </c:pt>
                <c:pt idx="273">
                  <c:v>1.0174677544044257</c:v>
                </c:pt>
                <c:pt idx="274">
                  <c:v>0.95736627546723119</c:v>
                </c:pt>
                <c:pt idx="275">
                  <c:v>0.89455103780775269</c:v>
                </c:pt>
                <c:pt idx="276">
                  <c:v>0.82920009804179118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1.4110740229573686</c:v>
                </c:pt>
                <c:pt idx="331">
                  <c:v>1.3723657760004357</c:v>
                </c:pt>
                <c:pt idx="332">
                  <c:v>1.3303513796840731</c:v>
                </c:pt>
                <c:pt idx="333">
                  <c:v>1.2851320503690324</c:v>
                </c:pt>
                <c:pt idx="334">
                  <c:v>1.2368167253803797</c:v>
                </c:pt>
                <c:pt idx="335">
                  <c:v>1.1855218005679349</c:v>
                </c:pt>
                <c:pt idx="336">
                  <c:v>1.1313708498984765</c:v>
                </c:pt>
                <c:pt idx="337">
                  <c:v>1.0744943277552301</c:v>
                </c:pt>
                <c:pt idx="338">
                  <c:v>1.0150292546618331</c:v>
                </c:pt>
                <c:pt idx="339">
                  <c:v>0.95311888718789384</c:v>
                </c:pt>
                <c:pt idx="340">
                  <c:v>0.88891237283136382</c:v>
                </c:pt>
                <c:pt idx="341">
                  <c:v>0.8225643907091551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1.4453691307403465</c:v>
                </c:pt>
                <c:pt idx="400">
                  <c:v>1.4024957068171164</c:v>
                </c:pt>
                <c:pt idx="401">
                  <c:v>1.35662928637641</c:v>
                </c:pt>
                <c:pt idx="402">
                  <c:v>1.3078677506708969</c:v>
                </c:pt>
                <c:pt idx="403">
                  <c:v>1.2563151592751234</c:v>
                </c:pt>
                <c:pt idx="404">
                  <c:v>1.202081528017134</c:v>
                </c:pt>
                <c:pt idx="405">
                  <c:v>1.14528259419915</c:v>
                </c:pt>
                <c:pt idx="406">
                  <c:v>1.0860395696083369</c:v>
                </c:pt>
                <c:pt idx="407">
                  <c:v>1.0244788818447388</c:v>
                </c:pt>
                <c:pt idx="408">
                  <c:v>0.96073190451840862</c:v>
                </c:pt>
                <c:pt idx="409">
                  <c:v>0.89493467689150696</c:v>
                </c:pt>
                <c:pt idx="410">
                  <c:v>0.82722761356365737</c:v>
                </c:pt>
                <c:pt idx="411">
                  <c:v>0.75775520482011693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1.5181046024631948</c:v>
                </c:pt>
                <c:pt idx="472">
                  <c:v>1.4744736797201863</c:v>
                </c:pt>
                <c:pt idx="473">
                  <c:v>1.428036012524224</c:v>
                </c:pt>
                <c:pt idx="474">
                  <c:v>1.378879997614161</c:v>
                </c:pt>
                <c:pt idx="475">
                  <c:v>1.3270992062582239</c:v>
                </c:pt>
                <c:pt idx="476">
                  <c:v>1.2727922061357861</c:v>
                </c:pt>
                <c:pt idx="477">
                  <c:v>1.216062373708189</c:v>
                </c:pt>
                <c:pt idx="478">
                  <c:v>1.1570176974357715</c:v>
                </c:pt>
                <c:pt idx="479">
                  <c:v>1.0957705722156981</c:v>
                </c:pt>
                <c:pt idx="480">
                  <c:v>1.032437585431883</c:v>
                </c:pt>
                <c:pt idx="481">
                  <c:v>0.96713929502428375</c:v>
                </c:pt>
                <c:pt idx="482">
                  <c:v>0.90000000000000024</c:v>
                </c:pt>
                <c:pt idx="483">
                  <c:v>0.83114750382306135</c:v>
                </c:pt>
                <c:pt idx="484">
                  <c:v>0.76071287113325936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1.574168333563299</c:v>
                </c:pt>
                <c:pt idx="547">
                  <c:v>1.5275945476971855</c:v>
                </c:pt>
                <c:pt idx="548">
                  <c:v>1.4782679332050335</c:v>
                </c:pt>
                <c:pt idx="549">
                  <c:v>1.4262773799801749</c:v>
                </c:pt>
                <c:pt idx="550">
                  <c:v>1.3717165785135954</c:v>
                </c:pt>
                <c:pt idx="551">
                  <c:v>1.3146838510573366</c:v>
                </c:pt>
                <c:pt idx="552">
                  <c:v>1.2552819744411539</c:v>
                </c:pt>
                <c:pt idx="553">
                  <c:v>1.19361799486172</c:v>
                </c:pt>
                <c:pt idx="554">
                  <c:v>1.1298030349781438</c:v>
                </c:pt>
                <c:pt idx="555">
                  <c:v>1.0639520936614311</c:v>
                </c:pt>
                <c:pt idx="556">
                  <c:v>0.99618383875874061</c:v>
                </c:pt>
                <c:pt idx="557">
                  <c:v>0.92662039324590595</c:v>
                </c:pt>
                <c:pt idx="558">
                  <c:v>0.85538711515358012</c:v>
                </c:pt>
                <c:pt idx="559">
                  <c:v>0.78261237166358755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1.6319431843983203</c:v>
                </c:pt>
                <c:pt idx="626">
                  <c:v>1.5846871189231466</c:v>
                </c:pt>
                <c:pt idx="627">
                  <c:v>1.5349253373878142</c:v>
                </c:pt>
                <c:pt idx="628">
                  <c:v>1.4827365233972343</c:v>
                </c:pt>
                <c:pt idx="629">
                  <c:v>1.4282031981934973</c:v>
                </c:pt>
                <c:pt idx="630">
                  <c:v>1.3714115901728239</c:v>
                </c:pt>
                <c:pt idx="631">
                  <c:v>1.3124514985407483</c:v>
                </c:pt>
                <c:pt idx="632">
                  <c:v>1.2514161513211173</c:v>
                </c:pt>
                <c:pt idx="633">
                  <c:v>1.1884020579434171</c:v>
                </c:pt>
                <c:pt idx="634">
                  <c:v>1.1235088566415377</c:v>
                </c:pt>
                <c:pt idx="635">
                  <c:v>1.0568391569052353</c:v>
                </c:pt>
                <c:pt idx="636">
                  <c:v>0.98849837723344169</c:v>
                </c:pt>
                <c:pt idx="637">
                  <c:v>0.91859457844595138</c:v>
                </c:pt>
                <c:pt idx="638">
                  <c:v>0.84723829281705132</c:v>
                </c:pt>
                <c:pt idx="639">
                  <c:v>0.77454234930127686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E7-47C2-B44A-DDE77C3DA9F1}"/>
            </c:ext>
          </c:extLst>
        </c:ser>
        <c:ser>
          <c:idx val="2"/>
          <c:order val="2"/>
          <c:tx>
            <c:strRef>
              <c:f>'Election chart calculations'!$O$2</c:f>
              <c:strCache>
                <c:ptCount val="1"/>
                <c:pt idx="0">
                  <c:v>xLD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'Election chart calculations'!$O$3:$O$652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-0.64278760968653936</c:v>
                </c:pt>
                <c:pt idx="27">
                  <c:v>-0.70710678118654746</c:v>
                </c:pt>
                <c:pt idx="28">
                  <c:v>-0.7660444431189779</c:v>
                </c:pt>
                <c:pt idx="29">
                  <c:v>-0.81915204428899191</c:v>
                </c:pt>
                <c:pt idx="30">
                  <c:v>-0.86602540378443871</c:v>
                </c:pt>
                <c:pt idx="31">
                  <c:v>-0.90630778703664994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-0.7778174593052023</c:v>
                </c:pt>
                <c:pt idx="68">
                  <c:v>-0.8364465621600341</c:v>
                </c:pt>
                <c:pt idx="69">
                  <c:v>-0.88991869381244215</c:v>
                </c:pt>
                <c:pt idx="70">
                  <c:v>-0.93790418078950144</c:v>
                </c:pt>
                <c:pt idx="71">
                  <c:v>-0.9801071766072047</c:v>
                </c:pt>
                <c:pt idx="72">
                  <c:v>-1.0162674857624154</c:v>
                </c:pt>
                <c:pt idx="73">
                  <c:v>-1.0461621679246689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-0.90689948922511077</c:v>
                </c:pt>
                <c:pt idx="113">
                  <c:v>-0.9606494891092332</c:v>
                </c:pt>
                <c:pt idx="114">
                  <c:v>-1.0095042393974183</c:v>
                </c:pt>
                <c:pt idx="115">
                  <c:v>-1.0532147874807074</c:v>
                </c:pt>
                <c:pt idx="116">
                  <c:v>-1.0915583944254228</c:v>
                </c:pt>
                <c:pt idx="117">
                  <c:v>-1.1243396699997148</c:v>
                </c:pt>
                <c:pt idx="118">
                  <c:v>-1.1513915683373976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-1.0418377084283441</c:v>
                </c:pt>
                <c:pt idx="163">
                  <c:v>-1.0895145363593934</c:v>
                </c:pt>
                <c:pt idx="164">
                  <c:v>-1.1327143153604065</c:v>
                </c:pt>
                <c:pt idx="165">
                  <c:v>-1.1712595282731451</c:v>
                </c:pt>
                <c:pt idx="166">
                  <c:v>-1.2049917845498284</c:v>
                </c:pt>
                <c:pt idx="167">
                  <c:v>-1.2337724711138693</c:v>
                </c:pt>
                <c:pt idx="168">
                  <c:v>-1.2574833219507382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-1.1696829359781111</c:v>
                </c:pt>
                <c:pt idx="218">
                  <c:v>-1.2124355652982144</c:v>
                </c:pt>
                <c:pt idx="219">
                  <c:v>-1.2510856964527775</c:v>
                </c:pt>
                <c:pt idx="220">
                  <c:v>-1.285502549632384</c:v>
                </c:pt>
                <c:pt idx="221">
                  <c:v>-1.3155696691002721</c:v>
                </c:pt>
                <c:pt idx="222">
                  <c:v>-1.341185317241685</c:v>
                </c:pt>
                <c:pt idx="223">
                  <c:v>-1.362262818811754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-1.2923311220907092</c:v>
                </c:pt>
                <c:pt idx="278">
                  <c:v>-1.3310281125848575</c:v>
                </c:pt>
                <c:pt idx="279">
                  <c:v>-1.3659521592823702</c:v>
                </c:pt>
                <c:pt idx="280">
                  <c:v>-1.397004266178508</c:v>
                </c:pt>
                <c:pt idx="281">
                  <c:v>-1.4240964127025726</c:v>
                </c:pt>
                <c:pt idx="282">
                  <c:v>-1.4471518032217745</c:v>
                </c:pt>
                <c:pt idx="283">
                  <c:v>-1.4661050847268007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-1.4110740229573684</c:v>
                </c:pt>
                <c:pt idx="343">
                  <c:v>-1.4463828689975098</c:v>
                </c:pt>
                <c:pt idx="344">
                  <c:v>-1.4782072520180594</c:v>
                </c:pt>
                <c:pt idx="345">
                  <c:v>-1.5064705042928337</c:v>
                </c:pt>
                <c:pt idx="346">
                  <c:v>-1.5311045371715346</c:v>
                </c:pt>
                <c:pt idx="347">
                  <c:v>-1.5520500051112709</c:v>
                </c:pt>
                <c:pt idx="348">
                  <c:v>-1.5692564486451692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-1.5551495764296355</c:v>
                </c:pt>
                <c:pt idx="413">
                  <c:v>-1.5852027899874048</c:v>
                </c:pt>
                <c:pt idx="414">
                  <c:v>-1.6118731009046423</c:v>
                </c:pt>
                <c:pt idx="415">
                  <c:v>-1.6351035933937927</c:v>
                </c:pt>
                <c:pt idx="416">
                  <c:v>-1.6548446924131783</c:v>
                </c:pt>
                <c:pt idx="417">
                  <c:v>-1.6710542694626336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-1.6629831585203168</c:v>
                </c:pt>
                <c:pt idx="486">
                  <c:v>-1.6914467174146357</c:v>
                </c:pt>
                <c:pt idx="487">
                  <c:v>-1.7166905113468089</c:v>
                </c:pt>
                <c:pt idx="488">
                  <c:v>-1.7386664873203235</c:v>
                </c:pt>
                <c:pt idx="489">
                  <c:v>-1.7573328128158807</c:v>
                </c:pt>
                <c:pt idx="490">
                  <c:v>-1.7726539554219751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-1.762989151863368</c:v>
                </c:pt>
                <c:pt idx="561">
                  <c:v>-1.7914671463760601</c:v>
                </c:pt>
                <c:pt idx="562">
                  <c:v>-1.8167167960045769</c:v>
                </c:pt>
                <c:pt idx="563">
                  <c:v>-1.838692599173648</c:v>
                </c:pt>
                <c:pt idx="564">
                  <c:v>-1.857354954000604</c:v>
                </c:pt>
                <c:pt idx="565">
                  <c:v>-1.8726702296606461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-1.8732669965374589</c:v>
                </c:pt>
                <c:pt idx="641">
                  <c:v>-1.8996402634555682</c:v>
                </c:pt>
                <c:pt idx="642">
                  <c:v>-1.9230098086548437</c:v>
                </c:pt>
                <c:pt idx="643">
                  <c:v>-1.9433386800808226</c:v>
                </c:pt>
                <c:pt idx="644">
                  <c:v>-1.9605947336092744</c:v>
                </c:pt>
                <c:pt idx="645">
                  <c:v>-1.9747506838726689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calculations'!$P$3:$P$652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0.76604444311897801</c:v>
                </c:pt>
                <c:pt idx="27">
                  <c:v>0.70710678118654757</c:v>
                </c:pt>
                <c:pt idx="28">
                  <c:v>0.64278760968653947</c:v>
                </c:pt>
                <c:pt idx="29">
                  <c:v>0.57357643635104594</c:v>
                </c:pt>
                <c:pt idx="30">
                  <c:v>0.49999999999999994</c:v>
                </c:pt>
                <c:pt idx="31">
                  <c:v>0.4226182617406995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0.77781745930520241</c:v>
                </c:pt>
                <c:pt idx="68">
                  <c:v>0.71439285316320222</c:v>
                </c:pt>
                <c:pt idx="69">
                  <c:v>0.64656377752172067</c:v>
                </c:pt>
                <c:pt idx="70">
                  <c:v>0.57474842118754388</c:v>
                </c:pt>
                <c:pt idx="71">
                  <c:v>0.49938954971350158</c:v>
                </c:pt>
                <c:pt idx="72">
                  <c:v>0.42095177560159891</c:v>
                </c:pt>
                <c:pt idx="73">
                  <c:v>0.33991869381244227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0.78583288073434154</c:v>
                </c:pt>
                <c:pt idx="113">
                  <c:v>0.71913319981361579</c:v>
                </c:pt>
                <c:pt idx="114">
                  <c:v>0.64876898094671609</c:v>
                </c:pt>
                <c:pt idx="115">
                  <c:v>0.57509878406406711</c:v>
                </c:pt>
                <c:pt idx="116">
                  <c:v>0.49849801560226265</c:v>
                </c:pt>
                <c:pt idx="117">
                  <c:v>0.41935701551891646</c:v>
                </c:pt>
                <c:pt idx="118">
                  <c:v>0.33807906820971412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0.77754368963858067</c:v>
                </c:pt>
                <c:pt idx="163">
                  <c:v>0.70919537157371304</c:v>
                </c:pt>
                <c:pt idx="164">
                  <c:v>0.63793281760511922</c:v>
                </c:pt>
                <c:pt idx="165">
                  <c:v>0.5640488608528258</c:v>
                </c:pt>
                <c:pt idx="166">
                  <c:v>0.4878471063431869</c:v>
                </c:pt>
                <c:pt idx="167">
                  <c:v>0.40964068343070775</c:v>
                </c:pt>
                <c:pt idx="168">
                  <c:v>0.3297509590823608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0.76931256929912895</c:v>
                </c:pt>
                <c:pt idx="218">
                  <c:v>0.70000000000000007</c:v>
                </c:pt>
                <c:pt idx="219">
                  <c:v>0.62831885228064743</c:v>
                </c:pt>
                <c:pt idx="220">
                  <c:v>0.55451167245481969</c:v>
                </c:pt>
                <c:pt idx="221">
                  <c:v>0.47882820065593601</c:v>
                </c:pt>
                <c:pt idx="222">
                  <c:v>0.40152452579552578</c:v>
                </c:pt>
                <c:pt idx="223">
                  <c:v>0.32286221903941531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0.76149870050826063</c:v>
                </c:pt>
                <c:pt idx="278">
                  <c:v>0.69163875217398951</c:v>
                </c:pt>
                <c:pt idx="279">
                  <c:v>0.61981827865256733</c:v>
                </c:pt>
                <c:pt idx="280">
                  <c:v>0.54624086287923335</c:v>
                </c:pt>
                <c:pt idx="281">
                  <c:v>0.47111506803292269</c:v>
                </c:pt>
                <c:pt idx="282">
                  <c:v>0.39465384634128137</c:v>
                </c:pt>
                <c:pt idx="283">
                  <c:v>0.3170739354444353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0.75423477892159685</c:v>
                </c:pt>
                <c:pt idx="343">
                  <c:v>0.68408814948845142</c:v>
                </c:pt>
                <c:pt idx="344">
                  <c:v>0.61229349178414405</c:v>
                </c:pt>
                <c:pt idx="345">
                  <c:v>0.5390237654275527</c:v>
                </c:pt>
                <c:pt idx="346">
                  <c:v>0.46445548360713995</c:v>
                </c:pt>
                <c:pt idx="347">
                  <c:v>0.38876828784522266</c:v>
                </c:pt>
                <c:pt idx="348">
                  <c:v>0.31214451522580589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0.68666570828222351</c:v>
                </c:pt>
                <c:pt idx="413">
                  <c:v>0.61411083251816156</c:v>
                </c:pt>
                <c:pt idx="414">
                  <c:v>0.54024541328923381</c:v>
                </c:pt>
                <c:pt idx="415">
                  <c:v>0.46522708312254213</c:v>
                </c:pt>
                <c:pt idx="416">
                  <c:v>0.38921593491522866</c:v>
                </c:pt>
                <c:pt idx="417">
                  <c:v>0.31237418028816977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0.68883017825716208</c:v>
                </c:pt>
                <c:pt idx="486">
                  <c:v>0.61563625798620425</c:v>
                </c:pt>
                <c:pt idx="487">
                  <c:v>0.54127043910769224</c:v>
                </c:pt>
                <c:pt idx="488">
                  <c:v>0.465874281184538</c:v>
                </c:pt>
                <c:pt idx="489">
                  <c:v>0.38959130508858508</c:v>
                </c:pt>
                <c:pt idx="490">
                  <c:v>0.31256671980047535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0.70842730778258767</c:v>
                </c:pt>
                <c:pt idx="561">
                  <c:v>0.63296561000991125</c:v>
                </c:pt>
                <c:pt idx="562">
                  <c:v>0.55636326542544812</c:v>
                </c:pt>
                <c:pt idx="563">
                  <c:v>0.47875831663174018</c:v>
                </c:pt>
                <c:pt idx="564">
                  <c:v>0.40029061299188295</c:v>
                </c:pt>
                <c:pt idx="565">
                  <c:v>0.32110155861151679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0.70062169512764305</c:v>
                </c:pt>
                <c:pt idx="641">
                  <c:v>0.62559321404444845</c:v>
                </c:pt>
                <c:pt idx="642">
                  <c:v>0.54957554150204435</c:v>
                </c:pt>
                <c:pt idx="643">
                  <c:v>0.47268887706580315</c:v>
                </c:pt>
                <c:pt idx="644">
                  <c:v>0.39505479435589924</c:v>
                </c:pt>
                <c:pt idx="645">
                  <c:v>0.31679604881442264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E7-47C2-B44A-DDE77C3DA9F1}"/>
            </c:ext>
          </c:extLst>
        </c:ser>
        <c:ser>
          <c:idx val="3"/>
          <c:order val="3"/>
          <c:tx>
            <c:strRef>
              <c:f>'Election chart calculations'!$Q$2</c:f>
              <c:strCache>
                <c:ptCount val="1"/>
                <c:pt idx="0">
                  <c:v>xSNP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'Election chart calculations'!$Q$3:$Q$652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-0.93969262078590832</c:v>
                </c:pt>
                <c:pt idx="33">
                  <c:v>-0.9659258262890682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-1.0696069124374443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-1.172576239165392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-1.2760269040883849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-1.378730854217092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-1.4809025320820175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-1.5826824159436501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-1.6836977324878493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xVal>
          <c:yVal>
            <c:numRef>
              <c:f>'Election chart calculations'!$R$3:$R$652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0.34202014332566888</c:v>
                </c:pt>
                <c:pt idx="33">
                  <c:v>0.25881904510252102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0.25678990024149612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0.2550783474635705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0.24850621731178546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0.24310744873370121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0.23859524402860691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0.23476875912857897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0.2348658034182001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E7-47C2-B44A-DDE77C3DA9F1}"/>
            </c:ext>
          </c:extLst>
        </c:ser>
        <c:ser>
          <c:idx val="4"/>
          <c:order val="4"/>
          <c:tx>
            <c:strRef>
              <c:f>'Election chart calculations'!$S$2</c:f>
              <c:strCache>
                <c:ptCount val="1"/>
                <c:pt idx="0">
                  <c:v>xOth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'Election chart calculations'!$S$3:$S$652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-0.98480775301220802</c:v>
                </c:pt>
                <c:pt idx="35">
                  <c:v>-0.99619469809174555</c:v>
                </c:pt>
                <c:pt idx="36">
                  <c:v>-1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-1.0864571746546514</c:v>
                </c:pt>
                <c:pt idx="76">
                  <c:v>-1.0966090671064408</c:v>
                </c:pt>
                <c:pt idx="77">
                  <c:v>-1.1000000000000001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-1.1877857302571198</c:v>
                </c:pt>
                <c:pt idx="121">
                  <c:v>-1.1969425375323046</c:v>
                </c:pt>
                <c:pt idx="122">
                  <c:v>-1.2000000000000002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-1.2893270179702201</c:v>
                </c:pt>
                <c:pt idx="171">
                  <c:v>-1.2973290105754374</c:v>
                </c:pt>
                <c:pt idx="172">
                  <c:v>-1.3000000000000003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-1.3905337008387206</c:v>
                </c:pt>
                <c:pt idx="226">
                  <c:v>-1.397631421579776</c:v>
                </c:pt>
                <c:pt idx="227">
                  <c:v>-1.4000000000000004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-1.4915022003152063</c:v>
                </c:pt>
                <c:pt idx="286">
                  <c:v>-1.4978740435151434</c:v>
                </c:pt>
                <c:pt idx="287">
                  <c:v>-1.5000000000000004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-1.5922955626755155</c:v>
                </c:pt>
                <c:pt idx="351">
                  <c:v>-1.5980727299282764</c:v>
                </c:pt>
                <c:pt idx="352">
                  <c:v>-1.6000000000000005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-1.6927480997015594</c:v>
                </c:pt>
                <c:pt idx="420">
                  <c:v>-1.6981860571640337</c:v>
                </c:pt>
                <c:pt idx="421">
                  <c:v>-1.7000000000000006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-1.7846007504728594</c:v>
                </c:pt>
                <c:pt idx="492">
                  <c:v>-1.7931504565651426</c:v>
                </c:pt>
                <c:pt idx="493">
                  <c:v>-1.7982867988473448</c:v>
                </c:pt>
                <c:pt idx="494">
                  <c:v>-1.8000000000000007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-1.8846108269918664</c:v>
                </c:pt>
                <c:pt idx="567">
                  <c:v>-1.8931552282308008</c:v>
                </c:pt>
                <c:pt idx="568">
                  <c:v>-1.8982880357888954</c:v>
                </c:pt>
                <c:pt idx="569">
                  <c:v>-1.9000000000000008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-1.9857841474039486</c:v>
                </c:pt>
                <c:pt idx="647">
                  <c:v>-1.9936776780293932</c:v>
                </c:pt>
                <c:pt idx="648">
                  <c:v>-1.998418794454605</c:v>
                </c:pt>
                <c:pt idx="649">
                  <c:v>-2.0000000000000009</c:v>
                </c:pt>
              </c:numCache>
            </c:numRef>
          </c:xVal>
          <c:yVal>
            <c:numRef>
              <c:f>'Election chart calculations'!$T$3:$T$652</c:f>
              <c:numCache>
                <c:formatCode>0.0</c:formatCode>
                <c:ptCount val="6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0.17364817766693069</c:v>
                </c:pt>
                <c:pt idx="35">
                  <c:v>8.7155742747658194E-2</c:v>
                </c:pt>
                <c:pt idx="36">
                  <c:v>1.22514845490862E-16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0.17207791154425409</c:v>
                </c:pt>
                <c:pt idx="76">
                  <c:v>8.6305005300629581E-2</c:v>
                </c:pt>
                <c:pt idx="77">
                  <c:v>1.347663300399482E-16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0.17077780592794067</c:v>
                </c:pt>
                <c:pt idx="121">
                  <c:v>8.5607019839077328E-2</c:v>
                </c:pt>
                <c:pt idx="122">
                  <c:v>-1.4517033408711913E-15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0.16624031018985963</c:v>
                </c:pt>
                <c:pt idx="171">
                  <c:v>8.329128597492895E-2</c:v>
                </c:pt>
                <c:pt idx="172">
                  <c:v>1.8912172175533654E-15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0.16253007977532069</c:v>
                </c:pt>
                <c:pt idx="226">
                  <c:v>8.1402760474664188E-2</c:v>
                </c:pt>
                <c:pt idx="227">
                  <c:v>-1.6936538976830567E-15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0.15944022847104694</c:v>
                </c:pt>
                <c:pt idx="286">
                  <c:v>7.9833262263266161E-2</c:v>
                </c:pt>
                <c:pt idx="287">
                  <c:v>-1.8146291760889892E-15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0.15682742452729737</c:v>
                </c:pt>
                <c:pt idx="351">
                  <c:v>7.8508278923868774E-2</c:v>
                </c:pt>
                <c:pt idx="352">
                  <c:v>1.9602375278537928E-16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0.15685621108761319</c:v>
                </c:pt>
                <c:pt idx="420">
                  <c:v>7.8511879697756567E-2</c:v>
                </c:pt>
                <c:pt idx="421">
                  <c:v>-1.301628076155748E-15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0.23494714599609293</c:v>
                </c:pt>
                <c:pt idx="492">
                  <c:v>0.15688033694578482</c:v>
                </c:pt>
                <c:pt idx="493">
                  <c:v>7.8514897257604951E-2</c:v>
                </c:pt>
                <c:pt idx="494">
                  <c:v>2.205267218835517E-16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0.24133385751907302</c:v>
                </c:pt>
                <c:pt idx="567">
                  <c:v>0.16113125650347149</c:v>
                </c:pt>
                <c:pt idx="568">
                  <c:v>8.063828607268643E-2</c:v>
                </c:pt>
                <c:pt idx="569">
                  <c:v>4.4516257000082342E-15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0.23803638360380278</c:v>
                </c:pt>
                <c:pt idx="647">
                  <c:v>0.15890033394342162</c:v>
                </c:pt>
                <c:pt idx="648">
                  <c:v>7.9513030193843828E-2</c:v>
                </c:pt>
                <c:pt idx="649">
                  <c:v>-7.7485760863194062E-15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E7-47C2-B44A-DDE77C3DA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559984"/>
        <c:axId val="1436063616"/>
      </c:scatterChart>
      <c:valAx>
        <c:axId val="1512559984"/>
        <c:scaling>
          <c:orientation val="minMax"/>
          <c:max val="2"/>
          <c:min val="-2"/>
        </c:scaling>
        <c:delete val="1"/>
        <c:axPos val="b"/>
        <c:numFmt formatCode="0.0" sourceLinked="1"/>
        <c:majorTickMark val="none"/>
        <c:minorTickMark val="none"/>
        <c:tickLblPos val="nextTo"/>
        <c:crossAx val="1436063616"/>
        <c:crosses val="autoZero"/>
        <c:crossBetween val="midCat"/>
      </c:valAx>
      <c:valAx>
        <c:axId val="1436063616"/>
        <c:scaling>
          <c:orientation val="minMax"/>
          <c:max val="2"/>
          <c:min val="0"/>
        </c:scaling>
        <c:delete val="1"/>
        <c:axPos val="l"/>
        <c:numFmt formatCode="0.0" sourceLinked="1"/>
        <c:majorTickMark val="none"/>
        <c:minorTickMark val="none"/>
        <c:tickLblPos val="nextTo"/>
        <c:crossAx val="151255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30E880-E736-4A4D-94B7-4F0516CE982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013514-9281-4CDD-93A6-3349091C5B5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39345-0438-1B0D-1731-C9C1446AE4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0.94568</cdr:y>
    </cdr:from>
    <cdr:to>
      <cdr:x>0.75795</cdr:x>
      <cdr:y>0.99791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3723BA5-B8E8-1A6C-4443-FF8777692355}"/>
            </a:ext>
          </a:extLst>
        </cdr:cNvPr>
        <cdr:cNvSpPr/>
      </cdr:nvSpPr>
      <cdr:spPr>
        <a:xfrm xmlns:a="http://schemas.openxmlformats.org/drawingml/2006/main">
          <a:off x="50800" y="5748042"/>
          <a:ext cx="6997319" cy="317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BBC</a:t>
          </a:r>
        </a:p>
      </cdr:txBody>
    </cdr:sp>
  </cdr:relSizeAnchor>
  <cdr:relSizeAnchor xmlns:cdr="http://schemas.openxmlformats.org/drawingml/2006/chartDrawing">
    <cdr:from>
      <cdr:x>0.00603</cdr:x>
      <cdr:y>0.00755</cdr:y>
    </cdr:from>
    <cdr:to>
      <cdr:x>0.962</cdr:x>
      <cdr:y>0.09117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DF8476-E958-3892-D956-AD314807245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058890" cy="562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2024 General Election result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0C4D7-CE32-CF30-5E12-C7D4682E73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540717-7AA5-0F44-4A1E-A1AD9171ACB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Decision Maker Panel - price and wage growth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7F91FD5-5D12-6F5A-D1C1-5F0C71555D1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Decision Maker Panel</a:t>
          </a:r>
        </a:p>
      </cdr:txBody>
    </cdr:sp>
  </cdr:relSizeAnchor>
  <cdr:relSizeAnchor xmlns:cdr="http://schemas.openxmlformats.org/drawingml/2006/chartDrawing">
    <cdr:from>
      <cdr:x>0.00791</cdr:x>
      <cdr:y>0.07124</cdr:y>
    </cdr:from>
    <cdr:to>
      <cdr:x>0.23276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34DCEFD-BA33-F4A6-A406-421843AFC111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8954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year, 3mma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320549</xdr:colOff>
      <xdr:row>21</xdr:row>
      <xdr:rowOff>6350</xdr:rowOff>
    </xdr:from>
    <xdr:to>
      <xdr:col>34</xdr:col>
      <xdr:colOff>333375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16C25-1B70-459E-B3C4-E6C99A64F09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D375-BE4A-4A0C-B8BE-67532951BC9E}">
  <dimension ref="A1:B10"/>
  <sheetViews>
    <sheetView workbookViewId="0">
      <selection activeCell="A4" sqref="A4"/>
    </sheetView>
  </sheetViews>
  <sheetFormatPr defaultRowHeight="15" x14ac:dyDescent="0.25"/>
  <cols>
    <col min="1" max="1" width="15" bestFit="1" customWidth="1"/>
  </cols>
  <sheetData>
    <row r="1" spans="1:2" x14ac:dyDescent="0.25">
      <c r="A1" s="1" t="s">
        <v>6</v>
      </c>
    </row>
    <row r="3" spans="1:2" x14ac:dyDescent="0.25">
      <c r="B3" t="s">
        <v>7</v>
      </c>
    </row>
    <row r="4" spans="1:2" x14ac:dyDescent="0.25">
      <c r="A4" t="s">
        <v>0</v>
      </c>
      <c r="B4" s="2">
        <v>412</v>
      </c>
    </row>
    <row r="5" spans="1:2" x14ac:dyDescent="0.25">
      <c r="A5" t="s">
        <v>1</v>
      </c>
      <c r="B5" s="2">
        <v>121</v>
      </c>
    </row>
    <row r="6" spans="1:2" x14ac:dyDescent="0.25">
      <c r="A6" t="s">
        <v>2</v>
      </c>
      <c r="B6" s="2">
        <v>72</v>
      </c>
    </row>
    <row r="7" spans="1:2" x14ac:dyDescent="0.25">
      <c r="A7" t="s">
        <v>3</v>
      </c>
      <c r="B7" s="2">
        <v>9</v>
      </c>
    </row>
    <row r="8" spans="1:2" x14ac:dyDescent="0.25">
      <c r="A8" t="s">
        <v>4</v>
      </c>
      <c r="B8" s="2">
        <f>650-B4-B5-B6-B7</f>
        <v>36</v>
      </c>
    </row>
    <row r="10" spans="1:2" x14ac:dyDescent="0.25">
      <c r="A10" t="s">
        <v>5</v>
      </c>
      <c r="B10" s="2">
        <f t="shared" ref="B10" si="0">(B4-(650/2))*2</f>
        <v>174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8721-E0E6-416F-BB25-425BE08098D1}">
  <dimension ref="A1:AW652"/>
  <sheetViews>
    <sheetView topLeftCell="Z1" zoomScaleNormal="100" workbookViewId="0">
      <selection activeCell="AL27" sqref="AL27"/>
    </sheetView>
  </sheetViews>
  <sheetFormatPr defaultColWidth="12.140625" defaultRowHeight="15" x14ac:dyDescent="0.25"/>
  <cols>
    <col min="6" max="6" width="12.140625" style="3"/>
    <col min="11" max="20" width="12.140625" style="4"/>
    <col min="22" max="30" width="12.7109375" customWidth="1"/>
    <col min="31" max="31" width="12.42578125" customWidth="1"/>
    <col min="35" max="35" width="15.5703125" customWidth="1"/>
  </cols>
  <sheetData>
    <row r="1" spans="1:49" ht="15.75" x14ac:dyDescent="0.25">
      <c r="V1" s="5" t="s">
        <v>8</v>
      </c>
      <c r="W1" s="5" t="s">
        <v>9</v>
      </c>
      <c r="X1" s="5" t="s">
        <v>10</v>
      </c>
      <c r="Y1" s="5" t="s">
        <v>11</v>
      </c>
      <c r="Z1" s="5" t="s">
        <v>8</v>
      </c>
      <c r="AA1" s="5" t="s">
        <v>12</v>
      </c>
      <c r="AB1" s="5" t="s">
        <v>13</v>
      </c>
      <c r="AC1" s="5" t="s">
        <v>14</v>
      </c>
      <c r="AD1" s="5" t="s">
        <v>15</v>
      </c>
      <c r="AE1" s="4"/>
      <c r="AF1" s="27" t="s">
        <v>16</v>
      </c>
      <c r="AG1" s="27"/>
      <c r="AH1" s="27"/>
      <c r="AI1" s="27"/>
      <c r="AJ1" s="27"/>
      <c r="AK1" s="23"/>
      <c r="AL1" s="23"/>
      <c r="AU1" s="27" t="s">
        <v>17</v>
      </c>
      <c r="AV1" s="27"/>
    </row>
    <row r="2" spans="1:49" ht="15.75" x14ac:dyDescent="0.25">
      <c r="A2" s="6" t="s">
        <v>18</v>
      </c>
      <c r="B2" s="6" t="s">
        <v>8</v>
      </c>
      <c r="C2" s="6" t="s">
        <v>13</v>
      </c>
      <c r="D2" s="6" t="s">
        <v>14</v>
      </c>
      <c r="E2" s="6" t="s">
        <v>19</v>
      </c>
      <c r="F2" s="7" t="s">
        <v>20</v>
      </c>
      <c r="G2" s="6" t="s">
        <v>21</v>
      </c>
      <c r="H2" s="8" t="s">
        <v>22</v>
      </c>
      <c r="I2" s="8" t="s">
        <v>23</v>
      </c>
      <c r="J2" s="9" t="s">
        <v>24</v>
      </c>
      <c r="K2" s="10" t="s">
        <v>41</v>
      </c>
      <c r="L2" s="10" t="s">
        <v>42</v>
      </c>
      <c r="M2" s="10" t="s">
        <v>43</v>
      </c>
      <c r="N2" s="10" t="s">
        <v>44</v>
      </c>
      <c r="O2" s="10" t="s">
        <v>45</v>
      </c>
      <c r="P2" s="10" t="s">
        <v>46</v>
      </c>
      <c r="Q2" s="10" t="s">
        <v>47</v>
      </c>
      <c r="R2" s="10" t="s">
        <v>48</v>
      </c>
      <c r="S2" s="10" t="s">
        <v>49</v>
      </c>
      <c r="T2" s="10" t="s">
        <v>50</v>
      </c>
      <c r="U2" s="4"/>
      <c r="V2" s="4">
        <v>0</v>
      </c>
      <c r="W2" s="4">
        <v>0</v>
      </c>
      <c r="X2" s="4">
        <v>0</v>
      </c>
      <c r="Y2" s="4">
        <v>0</v>
      </c>
      <c r="Z2" s="4">
        <v>1</v>
      </c>
      <c r="AB2" s="4"/>
      <c r="AC2" s="4"/>
      <c r="AD2">
        <v>0</v>
      </c>
      <c r="AF2" s="11" t="s">
        <v>8</v>
      </c>
      <c r="AG2" s="11" t="s">
        <v>25</v>
      </c>
      <c r="AH2" s="11" t="s">
        <v>0</v>
      </c>
      <c r="AI2" s="11" t="s">
        <v>51</v>
      </c>
      <c r="AJ2" s="11" t="s">
        <v>2</v>
      </c>
      <c r="AK2" s="11" t="s">
        <v>3</v>
      </c>
      <c r="AL2" s="11" t="s">
        <v>4</v>
      </c>
      <c r="AN2" s="11" t="s">
        <v>8</v>
      </c>
      <c r="AO2" s="11" t="s">
        <v>26</v>
      </c>
      <c r="AP2" s="11" t="s">
        <v>27</v>
      </c>
      <c r="AQ2" s="11" t="s">
        <v>28</v>
      </c>
      <c r="AR2" s="12" t="s">
        <v>26</v>
      </c>
      <c r="AS2" s="13"/>
      <c r="AT2" s="14" t="s">
        <v>0</v>
      </c>
      <c r="AU2" s="14" t="s">
        <v>37</v>
      </c>
      <c r="AV2" s="14">
        <f>COUNTIF($J$3:$J$652,AU2)</f>
        <v>412</v>
      </c>
      <c r="AW2" s="2">
        <f>'Election result'!B4</f>
        <v>412</v>
      </c>
    </row>
    <row r="3" spans="1:49" ht="15.75" x14ac:dyDescent="0.25">
      <c r="A3">
        <v>1</v>
      </c>
      <c r="B3">
        <f t="shared" ref="B3:B66" si="0">VLOOKUP(A3,$Y$2:$Z$13,2,1)</f>
        <v>1</v>
      </c>
      <c r="C3">
        <f>VLOOKUP(B3,$V$2:$AC$13,7,0)</f>
        <v>1</v>
      </c>
      <c r="D3" s="15">
        <f t="shared" ref="D3:D66" si="1">VLOOKUP(B3,$V$2:$AC$13,8,0)</f>
        <v>5</v>
      </c>
      <c r="E3" s="16">
        <v>0</v>
      </c>
      <c r="F3" s="17">
        <v>0</v>
      </c>
      <c r="G3" s="3">
        <f>(F3/180)*PI()</f>
        <v>0</v>
      </c>
      <c r="H3" s="18">
        <f>C3*COS(G3)</f>
        <v>1</v>
      </c>
      <c r="I3" s="3">
        <f>C3*SIN(G3)</f>
        <v>0</v>
      </c>
      <c r="J3" s="19" t="str">
        <f t="shared" ref="J3:J66" si="2">VLOOKUP(A3,$AQ$3:$AR$58,2,1)</f>
        <v>L</v>
      </c>
      <c r="K3" s="20">
        <f>IF(J3="L",H3,NA())</f>
        <v>1</v>
      </c>
      <c r="L3" s="20">
        <f>IF(J3="l",I3,NA())</f>
        <v>0</v>
      </c>
      <c r="M3" s="20" t="e">
        <f>IF(J3="C",H3,NA())</f>
        <v>#N/A</v>
      </c>
      <c r="N3" s="20" t="e">
        <f>IF(J3="C",I3,NA())</f>
        <v>#N/A</v>
      </c>
      <c r="O3" s="20" t="e">
        <f>IF(J3="LD",H3,NA())</f>
        <v>#N/A</v>
      </c>
      <c r="P3" s="20" t="e">
        <f>IF(J3="LD",I3,NA())</f>
        <v>#N/A</v>
      </c>
      <c r="Q3" s="20" t="e">
        <f>IF(J3="SNP",H3,NA())</f>
        <v>#N/A</v>
      </c>
      <c r="R3" s="20" t="e">
        <f>IF(J3="SNP",I3,NA())</f>
        <v>#N/A</v>
      </c>
      <c r="S3" s="20" t="e">
        <f>IF(J3="Oth",H3,NA())</f>
        <v>#N/A</v>
      </c>
      <c r="T3" s="20" t="e">
        <f>IF(J3="oth",I3,NA())</f>
        <v>#N/A</v>
      </c>
      <c r="U3" s="3"/>
      <c r="V3">
        <v>1</v>
      </c>
      <c r="W3" s="16">
        <v>37</v>
      </c>
      <c r="X3" s="16">
        <f>W3+1</f>
        <v>38</v>
      </c>
      <c r="Y3">
        <f>X3</f>
        <v>38</v>
      </c>
      <c r="Z3">
        <f>Z2+1</f>
        <v>2</v>
      </c>
      <c r="AA3" s="4">
        <f>COUNTIF($B$3:$B$652,Z2)-X3</f>
        <v>-1</v>
      </c>
      <c r="AB3" s="3">
        <v>1</v>
      </c>
      <c r="AC3" s="3">
        <f>180/(W3-1)</f>
        <v>5</v>
      </c>
      <c r="AD3">
        <v>0</v>
      </c>
      <c r="AF3">
        <v>1</v>
      </c>
      <c r="AG3" s="16">
        <v>37</v>
      </c>
      <c r="AH3" s="22">
        <v>20</v>
      </c>
      <c r="AI3" s="17">
        <f>AG3-AH3-AJ3-AK3-AL3+1</f>
        <v>7</v>
      </c>
      <c r="AJ3">
        <v>6</v>
      </c>
      <c r="AK3">
        <v>2</v>
      </c>
      <c r="AL3">
        <v>3</v>
      </c>
      <c r="AN3">
        <v>1</v>
      </c>
      <c r="AO3" t="s">
        <v>0</v>
      </c>
      <c r="AP3">
        <f t="shared" ref="AP3" si="3">HLOOKUP(AO3,$AH$2:$AL$13,AN3+1)</f>
        <v>20</v>
      </c>
      <c r="AQ3" s="16">
        <v>0</v>
      </c>
      <c r="AR3" t="s">
        <v>37</v>
      </c>
      <c r="AT3" s="14" t="s">
        <v>51</v>
      </c>
      <c r="AU3" s="14" t="s">
        <v>38</v>
      </c>
      <c r="AV3" s="14">
        <f>COUNTIF($J$3:$J$652,AU3)</f>
        <v>121</v>
      </c>
      <c r="AW3" s="2">
        <f>'Election result'!B5</f>
        <v>121</v>
      </c>
    </row>
    <row r="4" spans="1:49" x14ac:dyDescent="0.25">
      <c r="A4">
        <v>2</v>
      </c>
      <c r="B4">
        <f t="shared" si="0"/>
        <v>1</v>
      </c>
      <c r="C4">
        <f t="shared" ref="C4:C67" si="4">VLOOKUP(B4,$V$2:$AB$14,7,0)</f>
        <v>1</v>
      </c>
      <c r="D4" s="15">
        <f t="shared" si="1"/>
        <v>5</v>
      </c>
      <c r="E4">
        <f t="shared" ref="E4:E67" si="5">IF(OR(A4=$Y$3,A4=$Y$4,A4=$Y$5,A4=$Y$6,A4=$Y$7,A4=$Y$8,A4=$Y$9,A4=$Y$10,A4=$Y$11,A4=$Y$12,A4=$Y$12),0,1)</f>
        <v>1</v>
      </c>
      <c r="F4" s="3">
        <f>IF(E4=0,0,D4+F3)</f>
        <v>5</v>
      </c>
      <c r="G4" s="3">
        <f>(F4/180)*PI()</f>
        <v>8.7266462599716474E-2</v>
      </c>
      <c r="H4" s="18">
        <f t="shared" ref="H4:H67" si="6">C4*COS(G4)</f>
        <v>0.99619469809174555</v>
      </c>
      <c r="I4" s="3">
        <f t="shared" ref="I4:I67" si="7">C4*SIN(G4)</f>
        <v>8.7155742747658166E-2</v>
      </c>
      <c r="J4" s="19" t="str">
        <f t="shared" si="2"/>
        <v>L</v>
      </c>
      <c r="K4" s="20">
        <f t="shared" ref="K4:K67" si="8">IF(J4="L",H4,NA())</f>
        <v>0.99619469809174555</v>
      </c>
      <c r="L4" s="20">
        <f t="shared" ref="L4:L67" si="9">IF(J4="l",I4,NA())</f>
        <v>8.7155742747658166E-2</v>
      </c>
      <c r="M4" s="20" t="e">
        <f t="shared" ref="M4:M67" si="10">IF(J4="C",H4,NA())</f>
        <v>#N/A</v>
      </c>
      <c r="N4" s="20" t="e">
        <f t="shared" ref="N4:N67" si="11">IF(J4="C",I4,NA())</f>
        <v>#N/A</v>
      </c>
      <c r="O4" s="20" t="e">
        <f t="shared" ref="O4:O67" si="12">IF(J4="LD",H4,NA())</f>
        <v>#N/A</v>
      </c>
      <c r="P4" s="20" t="e">
        <f t="shared" ref="P4:P67" si="13">IF(J4="LD",I4,NA())</f>
        <v>#N/A</v>
      </c>
      <c r="Q4" s="20" t="e">
        <f t="shared" ref="Q4:Q67" si="14">IF(J4="SNP",H4,NA())</f>
        <v>#N/A</v>
      </c>
      <c r="R4" s="20" t="e">
        <f t="shared" ref="R4:R67" si="15">IF(J4="SNP",I4,NA())</f>
        <v>#N/A</v>
      </c>
      <c r="S4" s="20" t="e">
        <f t="shared" ref="S4:S67" si="16">IF(J4="Oth",H4,NA())</f>
        <v>#N/A</v>
      </c>
      <c r="T4" s="20" t="e">
        <f t="shared" ref="T4:T67" si="17">IF(J4="oth",I4,NA())</f>
        <v>#N/A</v>
      </c>
      <c r="U4" s="3"/>
      <c r="V4">
        <v>2</v>
      </c>
      <c r="W4">
        <v>41</v>
      </c>
      <c r="X4">
        <f>W4</f>
        <v>41</v>
      </c>
      <c r="Y4">
        <f>Y3+X4</f>
        <v>79</v>
      </c>
      <c r="Z4">
        <f t="shared" ref="Z4:Z13" si="18">Z3+1</f>
        <v>3</v>
      </c>
      <c r="AA4" s="4">
        <f t="shared" ref="AA4:AA13" si="19">COUNTIF($B$3:$B$652,Z3)-X4</f>
        <v>0</v>
      </c>
      <c r="AB4" s="3">
        <f>AB3+0.1</f>
        <v>1.1000000000000001</v>
      </c>
      <c r="AC4" s="3">
        <f>180/(W4-1)</f>
        <v>4.5</v>
      </c>
      <c r="AD4">
        <v>0</v>
      </c>
      <c r="AF4">
        <v>2</v>
      </c>
      <c r="AG4">
        <v>41</v>
      </c>
      <c r="AH4" s="3">
        <v>22</v>
      </c>
      <c r="AI4" s="3">
        <f>AG4-AH4-AJ4-AK4-AL4</f>
        <v>8</v>
      </c>
      <c r="AJ4">
        <v>7</v>
      </c>
      <c r="AK4">
        <v>1</v>
      </c>
      <c r="AL4">
        <v>3</v>
      </c>
      <c r="AN4">
        <v>1</v>
      </c>
      <c r="AO4" t="s">
        <v>51</v>
      </c>
      <c r="AP4">
        <f>HLOOKUP(AO4,$AH$2:$AL$13,AN4+1,)</f>
        <v>7</v>
      </c>
      <c r="AQ4" s="3">
        <f>AQ3+AP3</f>
        <v>20</v>
      </c>
      <c r="AR4" s="3" t="s">
        <v>38</v>
      </c>
      <c r="AS4" s="3"/>
      <c r="AT4" s="14" t="s">
        <v>2</v>
      </c>
      <c r="AU4" s="14" t="s">
        <v>39</v>
      </c>
      <c r="AV4" s="14">
        <f>COUNTIF($J$3:$J$652,AU4)</f>
        <v>72</v>
      </c>
      <c r="AW4" s="2">
        <f>'Election result'!B6</f>
        <v>72</v>
      </c>
    </row>
    <row r="5" spans="1:49" x14ac:dyDescent="0.25">
      <c r="A5">
        <v>3</v>
      </c>
      <c r="B5">
        <f t="shared" si="0"/>
        <v>1</v>
      </c>
      <c r="C5">
        <f t="shared" si="4"/>
        <v>1</v>
      </c>
      <c r="D5" s="15">
        <f t="shared" si="1"/>
        <v>5</v>
      </c>
      <c r="E5">
        <f t="shared" si="5"/>
        <v>1</v>
      </c>
      <c r="F5" s="3">
        <f>IF(E5=0,0,D5+F4)</f>
        <v>10</v>
      </c>
      <c r="G5" s="3">
        <f>(F5/180)*PI()</f>
        <v>0.17453292519943295</v>
      </c>
      <c r="H5" s="18">
        <f>C5*COS(G5)</f>
        <v>0.98480775301220802</v>
      </c>
      <c r="I5" s="3">
        <f t="shared" si="7"/>
        <v>0.17364817766693033</v>
      </c>
      <c r="J5" s="19" t="str">
        <f t="shared" si="2"/>
        <v>L</v>
      </c>
      <c r="K5" s="20">
        <f t="shared" si="8"/>
        <v>0.98480775301220802</v>
      </c>
      <c r="L5" s="20">
        <f t="shared" si="9"/>
        <v>0.17364817766693033</v>
      </c>
      <c r="M5" s="20" t="e">
        <f t="shared" si="10"/>
        <v>#N/A</v>
      </c>
      <c r="N5" s="20" t="e">
        <f t="shared" si="11"/>
        <v>#N/A</v>
      </c>
      <c r="O5" s="20" t="e">
        <f t="shared" si="12"/>
        <v>#N/A</v>
      </c>
      <c r="P5" s="20" t="e">
        <f t="shared" si="13"/>
        <v>#N/A</v>
      </c>
      <c r="Q5" s="20" t="e">
        <f t="shared" si="14"/>
        <v>#N/A</v>
      </c>
      <c r="R5" s="20" t="e">
        <f t="shared" si="15"/>
        <v>#N/A</v>
      </c>
      <c r="S5" s="20" t="e">
        <f t="shared" si="16"/>
        <v>#N/A</v>
      </c>
      <c r="T5" s="20" t="e">
        <f t="shared" si="17"/>
        <v>#N/A</v>
      </c>
      <c r="U5" s="3"/>
      <c r="V5">
        <v>3</v>
      </c>
      <c r="W5">
        <v>45</v>
      </c>
      <c r="X5">
        <f t="shared" ref="X5:X13" si="20">W5</f>
        <v>45</v>
      </c>
      <c r="Y5">
        <f t="shared" ref="Y5:Y13" si="21">Y4+X5</f>
        <v>124</v>
      </c>
      <c r="Z5">
        <f t="shared" si="18"/>
        <v>4</v>
      </c>
      <c r="AA5" s="4">
        <f t="shared" si="19"/>
        <v>0</v>
      </c>
      <c r="AB5" s="3">
        <f t="shared" ref="AB5:AB13" si="22">AB4+0.1</f>
        <v>1.2000000000000002</v>
      </c>
      <c r="AC5" s="3">
        <f t="shared" ref="AC5:AC13" si="23">180/(W5-1)</f>
        <v>4.0909090909090908</v>
      </c>
      <c r="AD5">
        <v>0</v>
      </c>
      <c r="AF5">
        <v>3</v>
      </c>
      <c r="AG5">
        <v>45</v>
      </c>
      <c r="AH5" s="3">
        <v>26</v>
      </c>
      <c r="AI5" s="3">
        <f t="shared" ref="AI5:AI13" si="24">AG5-AH5-AJ5-AK5-AL5</f>
        <v>8</v>
      </c>
      <c r="AJ5">
        <v>7</v>
      </c>
      <c r="AK5">
        <v>1</v>
      </c>
      <c r="AL5">
        <v>3</v>
      </c>
      <c r="AN5">
        <v>1</v>
      </c>
      <c r="AO5" t="s">
        <v>2</v>
      </c>
      <c r="AP5">
        <f t="shared" ref="AP5:AP57" si="25">HLOOKUP(AO5,$AH$2:$AL$13,AN5+1,)</f>
        <v>6</v>
      </c>
      <c r="AQ5" s="3">
        <f t="shared" ref="AQ5:AQ58" si="26">AQ4+AP4</f>
        <v>27</v>
      </c>
      <c r="AR5" t="s">
        <v>39</v>
      </c>
      <c r="AT5" s="14" t="s">
        <v>3</v>
      </c>
      <c r="AU5" s="14" t="s">
        <v>3</v>
      </c>
      <c r="AV5" s="14">
        <f t="shared" ref="AV5:AV6" si="27">COUNTIF($J$3:$J$652,AU5)</f>
        <v>9</v>
      </c>
      <c r="AW5" s="2">
        <f>'Election result'!B7</f>
        <v>9</v>
      </c>
    </row>
    <row r="6" spans="1:49" x14ac:dyDescent="0.25">
      <c r="A6">
        <v>4</v>
      </c>
      <c r="B6">
        <f t="shared" si="0"/>
        <v>1</v>
      </c>
      <c r="C6">
        <f t="shared" si="4"/>
        <v>1</v>
      </c>
      <c r="D6" s="15">
        <f t="shared" si="1"/>
        <v>5</v>
      </c>
      <c r="E6">
        <f t="shared" si="5"/>
        <v>1</v>
      </c>
      <c r="F6" s="3">
        <f t="shared" ref="F6:F69" si="28">IF(E6=0,0,D6+F5)</f>
        <v>15</v>
      </c>
      <c r="G6" s="3">
        <f t="shared" ref="G6:G69" si="29">(F6/180)*PI()</f>
        <v>0.26179938779914941</v>
      </c>
      <c r="H6" s="18">
        <f t="shared" si="6"/>
        <v>0.96592582628906831</v>
      </c>
      <c r="I6" s="3">
        <f t="shared" si="7"/>
        <v>0.25881904510252074</v>
      </c>
      <c r="J6" s="19" t="str">
        <f t="shared" si="2"/>
        <v>L</v>
      </c>
      <c r="K6" s="20">
        <f t="shared" si="8"/>
        <v>0.96592582628906831</v>
      </c>
      <c r="L6" s="20">
        <f t="shared" si="9"/>
        <v>0.25881904510252074</v>
      </c>
      <c r="M6" s="20" t="e">
        <f t="shared" si="10"/>
        <v>#N/A</v>
      </c>
      <c r="N6" s="20" t="e">
        <f t="shared" si="11"/>
        <v>#N/A</v>
      </c>
      <c r="O6" s="20" t="e">
        <f t="shared" si="12"/>
        <v>#N/A</v>
      </c>
      <c r="P6" s="20" t="e">
        <f t="shared" si="13"/>
        <v>#N/A</v>
      </c>
      <c r="Q6" s="20" t="e">
        <f t="shared" si="14"/>
        <v>#N/A</v>
      </c>
      <c r="R6" s="20" t="e">
        <f t="shared" si="15"/>
        <v>#N/A</v>
      </c>
      <c r="S6" s="20" t="e">
        <f t="shared" si="16"/>
        <v>#N/A</v>
      </c>
      <c r="T6" s="20" t="e">
        <f t="shared" si="17"/>
        <v>#N/A</v>
      </c>
      <c r="U6" s="3"/>
      <c r="V6">
        <v>4</v>
      </c>
      <c r="W6">
        <v>50</v>
      </c>
      <c r="X6">
        <f t="shared" si="20"/>
        <v>50</v>
      </c>
      <c r="Y6">
        <f t="shared" si="21"/>
        <v>174</v>
      </c>
      <c r="Z6">
        <f t="shared" si="18"/>
        <v>5</v>
      </c>
      <c r="AA6" s="4">
        <f t="shared" si="19"/>
        <v>0</v>
      </c>
      <c r="AB6" s="3">
        <f t="shared" si="22"/>
        <v>1.3000000000000003</v>
      </c>
      <c r="AC6" s="3">
        <f t="shared" si="23"/>
        <v>3.6734693877551021</v>
      </c>
      <c r="AD6">
        <v>0</v>
      </c>
      <c r="AF6">
        <v>4</v>
      </c>
      <c r="AG6">
        <v>50</v>
      </c>
      <c r="AH6" s="3">
        <v>30</v>
      </c>
      <c r="AI6" s="3">
        <f t="shared" si="24"/>
        <v>9</v>
      </c>
      <c r="AJ6">
        <v>7</v>
      </c>
      <c r="AK6">
        <v>1</v>
      </c>
      <c r="AL6">
        <v>3</v>
      </c>
      <c r="AN6">
        <v>1</v>
      </c>
      <c r="AO6" t="s">
        <v>3</v>
      </c>
      <c r="AP6">
        <f t="shared" si="25"/>
        <v>2</v>
      </c>
      <c r="AQ6" s="3">
        <f t="shared" si="26"/>
        <v>33</v>
      </c>
      <c r="AR6" t="s">
        <v>3</v>
      </c>
      <c r="AT6" s="14" t="s">
        <v>4</v>
      </c>
      <c r="AU6" s="14" t="s">
        <v>40</v>
      </c>
      <c r="AV6" s="14">
        <f t="shared" si="27"/>
        <v>36</v>
      </c>
      <c r="AW6" s="2">
        <f>'Election result'!B8</f>
        <v>36</v>
      </c>
    </row>
    <row r="7" spans="1:49" x14ac:dyDescent="0.25">
      <c r="A7">
        <v>5</v>
      </c>
      <c r="B7">
        <f t="shared" si="0"/>
        <v>1</v>
      </c>
      <c r="C7">
        <f t="shared" si="4"/>
        <v>1</v>
      </c>
      <c r="D7" s="15">
        <f t="shared" si="1"/>
        <v>5</v>
      </c>
      <c r="E7">
        <f t="shared" si="5"/>
        <v>1</v>
      </c>
      <c r="F7" s="3">
        <f>IF(E7=0,0,D7+F6)</f>
        <v>20</v>
      </c>
      <c r="G7" s="3">
        <f t="shared" si="29"/>
        <v>0.3490658503988659</v>
      </c>
      <c r="H7" s="18">
        <f t="shared" si="6"/>
        <v>0.93969262078590843</v>
      </c>
      <c r="I7" s="3">
        <f t="shared" si="7"/>
        <v>0.34202014332566871</v>
      </c>
      <c r="J7" s="19" t="str">
        <f t="shared" si="2"/>
        <v>L</v>
      </c>
      <c r="K7" s="20">
        <f t="shared" si="8"/>
        <v>0.93969262078590843</v>
      </c>
      <c r="L7" s="20">
        <f t="shared" si="9"/>
        <v>0.34202014332566871</v>
      </c>
      <c r="M7" s="20" t="e">
        <f t="shared" si="10"/>
        <v>#N/A</v>
      </c>
      <c r="N7" s="20" t="e">
        <f t="shared" si="11"/>
        <v>#N/A</v>
      </c>
      <c r="O7" s="20" t="e">
        <f t="shared" si="12"/>
        <v>#N/A</v>
      </c>
      <c r="P7" s="20" t="e">
        <f t="shared" si="13"/>
        <v>#N/A</v>
      </c>
      <c r="Q7" s="20" t="e">
        <f t="shared" si="14"/>
        <v>#N/A</v>
      </c>
      <c r="R7" s="20" t="e">
        <f t="shared" si="15"/>
        <v>#N/A</v>
      </c>
      <c r="S7" s="20" t="e">
        <f t="shared" si="16"/>
        <v>#N/A</v>
      </c>
      <c r="T7" s="20" t="e">
        <f t="shared" si="17"/>
        <v>#N/A</v>
      </c>
      <c r="U7" s="3"/>
      <c r="V7">
        <v>5</v>
      </c>
      <c r="W7">
        <v>55</v>
      </c>
      <c r="X7">
        <f t="shared" si="20"/>
        <v>55</v>
      </c>
      <c r="Y7">
        <f t="shared" si="21"/>
        <v>229</v>
      </c>
      <c r="Z7">
        <f t="shared" si="18"/>
        <v>6</v>
      </c>
      <c r="AA7" s="4">
        <f t="shared" si="19"/>
        <v>0</v>
      </c>
      <c r="AB7" s="3">
        <f t="shared" si="22"/>
        <v>1.4000000000000004</v>
      </c>
      <c r="AC7" s="3">
        <f t="shared" si="23"/>
        <v>3.3333333333333335</v>
      </c>
      <c r="AD7">
        <v>0</v>
      </c>
      <c r="AF7">
        <v>5</v>
      </c>
      <c r="AG7">
        <v>55</v>
      </c>
      <c r="AH7" s="22">
        <v>34</v>
      </c>
      <c r="AI7" s="3">
        <f t="shared" si="24"/>
        <v>10</v>
      </c>
      <c r="AJ7">
        <v>7</v>
      </c>
      <c r="AK7">
        <v>1</v>
      </c>
      <c r="AL7">
        <v>3</v>
      </c>
      <c r="AN7">
        <v>1</v>
      </c>
      <c r="AO7" t="s">
        <v>4</v>
      </c>
      <c r="AP7">
        <f t="shared" si="25"/>
        <v>3</v>
      </c>
      <c r="AQ7" s="3">
        <f t="shared" si="26"/>
        <v>35</v>
      </c>
      <c r="AR7" t="s">
        <v>40</v>
      </c>
      <c r="AT7" s="14"/>
      <c r="AU7" s="14" t="s">
        <v>29</v>
      </c>
      <c r="AV7" s="14">
        <f>SUM(AV2:AV6)</f>
        <v>650</v>
      </c>
    </row>
    <row r="8" spans="1:49" x14ac:dyDescent="0.25">
      <c r="A8">
        <v>6</v>
      </c>
      <c r="B8">
        <f t="shared" si="0"/>
        <v>1</v>
      </c>
      <c r="C8">
        <f t="shared" si="4"/>
        <v>1</v>
      </c>
      <c r="D8" s="15">
        <f t="shared" si="1"/>
        <v>5</v>
      </c>
      <c r="E8">
        <f t="shared" si="5"/>
        <v>1</v>
      </c>
      <c r="F8" s="3">
        <f t="shared" si="28"/>
        <v>25</v>
      </c>
      <c r="G8" s="3">
        <f t="shared" si="29"/>
        <v>0.43633231299858238</v>
      </c>
      <c r="H8" s="18">
        <f t="shared" si="6"/>
        <v>0.90630778703664994</v>
      </c>
      <c r="I8" s="3">
        <f t="shared" si="7"/>
        <v>0.42261826174069944</v>
      </c>
      <c r="J8" s="19" t="str">
        <f t="shared" si="2"/>
        <v>L</v>
      </c>
      <c r="K8" s="20">
        <f t="shared" si="8"/>
        <v>0.90630778703664994</v>
      </c>
      <c r="L8" s="20">
        <f t="shared" si="9"/>
        <v>0.42261826174069944</v>
      </c>
      <c r="M8" s="20" t="e">
        <f t="shared" si="10"/>
        <v>#N/A</v>
      </c>
      <c r="N8" s="20" t="e">
        <f t="shared" si="11"/>
        <v>#N/A</v>
      </c>
      <c r="O8" s="20" t="e">
        <f t="shared" si="12"/>
        <v>#N/A</v>
      </c>
      <c r="P8" s="20" t="e">
        <f t="shared" si="13"/>
        <v>#N/A</v>
      </c>
      <c r="Q8" s="20" t="e">
        <f t="shared" si="14"/>
        <v>#N/A</v>
      </c>
      <c r="R8" s="20" t="e">
        <f t="shared" si="15"/>
        <v>#N/A</v>
      </c>
      <c r="S8" s="20" t="e">
        <f t="shared" si="16"/>
        <v>#N/A</v>
      </c>
      <c r="T8" s="20" t="e">
        <f t="shared" si="17"/>
        <v>#N/A</v>
      </c>
      <c r="U8" s="3"/>
      <c r="V8">
        <v>6</v>
      </c>
      <c r="W8">
        <v>60</v>
      </c>
      <c r="X8">
        <f t="shared" si="20"/>
        <v>60</v>
      </c>
      <c r="Y8">
        <f t="shared" si="21"/>
        <v>289</v>
      </c>
      <c r="Z8">
        <f t="shared" si="18"/>
        <v>7</v>
      </c>
      <c r="AA8" s="4">
        <f t="shared" si="19"/>
        <v>0</v>
      </c>
      <c r="AB8" s="3">
        <f t="shared" si="22"/>
        <v>1.5000000000000004</v>
      </c>
      <c r="AC8" s="3">
        <f t="shared" si="23"/>
        <v>3.0508474576271185</v>
      </c>
      <c r="AD8">
        <v>0</v>
      </c>
      <c r="AF8">
        <v>6</v>
      </c>
      <c r="AG8">
        <v>60</v>
      </c>
      <c r="AH8" s="22">
        <v>38</v>
      </c>
      <c r="AI8" s="3">
        <f t="shared" si="24"/>
        <v>11</v>
      </c>
      <c r="AJ8">
        <v>7</v>
      </c>
      <c r="AK8">
        <v>1</v>
      </c>
      <c r="AL8">
        <v>3</v>
      </c>
      <c r="AN8">
        <v>2</v>
      </c>
      <c r="AO8" t="str">
        <f>AO3</f>
        <v>Labour</v>
      </c>
      <c r="AP8">
        <f t="shared" si="25"/>
        <v>22</v>
      </c>
      <c r="AQ8" s="3">
        <f t="shared" si="26"/>
        <v>38</v>
      </c>
      <c r="AR8" t="str">
        <f>AR3</f>
        <v>L</v>
      </c>
    </row>
    <row r="9" spans="1:49" ht="15.75" x14ac:dyDescent="0.25">
      <c r="A9">
        <v>7</v>
      </c>
      <c r="B9">
        <f t="shared" si="0"/>
        <v>1</v>
      </c>
      <c r="C9">
        <f t="shared" si="4"/>
        <v>1</v>
      </c>
      <c r="D9" s="15">
        <f t="shared" si="1"/>
        <v>5</v>
      </c>
      <c r="E9">
        <f t="shared" si="5"/>
        <v>1</v>
      </c>
      <c r="F9" s="3">
        <f t="shared" si="28"/>
        <v>30</v>
      </c>
      <c r="G9" s="3">
        <f t="shared" si="29"/>
        <v>0.52359877559829882</v>
      </c>
      <c r="H9" s="18">
        <f t="shared" si="6"/>
        <v>0.86602540378443871</v>
      </c>
      <c r="I9" s="3">
        <f t="shared" si="7"/>
        <v>0.49999999999999994</v>
      </c>
      <c r="J9" s="19" t="str">
        <f t="shared" si="2"/>
        <v>L</v>
      </c>
      <c r="K9" s="20">
        <f t="shared" si="8"/>
        <v>0.86602540378443871</v>
      </c>
      <c r="L9" s="20">
        <f t="shared" si="9"/>
        <v>0.49999999999999994</v>
      </c>
      <c r="M9" s="20" t="e">
        <f t="shared" si="10"/>
        <v>#N/A</v>
      </c>
      <c r="N9" s="20" t="e">
        <f t="shared" si="11"/>
        <v>#N/A</v>
      </c>
      <c r="O9" s="20" t="e">
        <f t="shared" si="12"/>
        <v>#N/A</v>
      </c>
      <c r="P9" s="20" t="e">
        <f t="shared" si="13"/>
        <v>#N/A</v>
      </c>
      <c r="Q9" s="20" t="e">
        <f t="shared" si="14"/>
        <v>#N/A</v>
      </c>
      <c r="R9" s="20" t="e">
        <f t="shared" si="15"/>
        <v>#N/A</v>
      </c>
      <c r="S9" s="20" t="e">
        <f t="shared" si="16"/>
        <v>#N/A</v>
      </c>
      <c r="T9" s="20" t="e">
        <f t="shared" si="17"/>
        <v>#N/A</v>
      </c>
      <c r="U9" s="3"/>
      <c r="V9">
        <v>7</v>
      </c>
      <c r="W9">
        <v>65</v>
      </c>
      <c r="X9">
        <f t="shared" si="20"/>
        <v>65</v>
      </c>
      <c r="Y9">
        <f t="shared" si="21"/>
        <v>354</v>
      </c>
      <c r="Z9">
        <f t="shared" si="18"/>
        <v>8</v>
      </c>
      <c r="AA9" s="4">
        <f t="shared" si="19"/>
        <v>0</v>
      </c>
      <c r="AB9" s="3">
        <f t="shared" si="22"/>
        <v>1.6000000000000005</v>
      </c>
      <c r="AC9" s="3">
        <f t="shared" si="23"/>
        <v>2.8125</v>
      </c>
      <c r="AD9">
        <v>0</v>
      </c>
      <c r="AF9">
        <v>7</v>
      </c>
      <c r="AG9">
        <v>65</v>
      </c>
      <c r="AH9" s="22">
        <v>42</v>
      </c>
      <c r="AI9" s="3">
        <f t="shared" si="24"/>
        <v>12</v>
      </c>
      <c r="AJ9">
        <v>7</v>
      </c>
      <c r="AK9">
        <v>1</v>
      </c>
      <c r="AL9">
        <v>3</v>
      </c>
      <c r="AN9">
        <v>2</v>
      </c>
      <c r="AO9" t="str">
        <f t="shared" ref="AO9:AO57" si="30">AO4</f>
        <v>Conservatives</v>
      </c>
      <c r="AP9">
        <f t="shared" si="25"/>
        <v>8</v>
      </c>
      <c r="AQ9" s="3">
        <f t="shared" si="26"/>
        <v>60</v>
      </c>
      <c r="AR9" t="str">
        <f t="shared" ref="AR9:AR58" si="31">AR4</f>
        <v>C</v>
      </c>
      <c r="AU9" s="28" t="s">
        <v>52</v>
      </c>
      <c r="AV9" s="28"/>
    </row>
    <row r="10" spans="1:49" x14ac:dyDescent="0.25">
      <c r="A10">
        <v>8</v>
      </c>
      <c r="B10">
        <f t="shared" si="0"/>
        <v>1</v>
      </c>
      <c r="C10">
        <f t="shared" si="4"/>
        <v>1</v>
      </c>
      <c r="D10" s="15">
        <f t="shared" si="1"/>
        <v>5</v>
      </c>
      <c r="E10">
        <f t="shared" si="5"/>
        <v>1</v>
      </c>
      <c r="F10" s="3">
        <f t="shared" si="28"/>
        <v>35</v>
      </c>
      <c r="G10" s="3">
        <f t="shared" si="29"/>
        <v>0.6108652381980153</v>
      </c>
      <c r="H10" s="18">
        <f t="shared" si="6"/>
        <v>0.8191520442889918</v>
      </c>
      <c r="I10" s="3">
        <f t="shared" si="7"/>
        <v>0.57357643635104605</v>
      </c>
      <c r="J10" s="19" t="str">
        <f t="shared" si="2"/>
        <v>L</v>
      </c>
      <c r="K10" s="20">
        <f t="shared" si="8"/>
        <v>0.8191520442889918</v>
      </c>
      <c r="L10" s="20">
        <f t="shared" si="9"/>
        <v>0.57357643635104605</v>
      </c>
      <c r="M10" s="20" t="e">
        <f t="shared" si="10"/>
        <v>#N/A</v>
      </c>
      <c r="N10" s="20" t="e">
        <f t="shared" si="11"/>
        <v>#N/A</v>
      </c>
      <c r="O10" s="20" t="e">
        <f t="shared" si="12"/>
        <v>#N/A</v>
      </c>
      <c r="P10" s="20" t="e">
        <f t="shared" si="13"/>
        <v>#N/A</v>
      </c>
      <c r="Q10" s="20" t="e">
        <f t="shared" si="14"/>
        <v>#N/A</v>
      </c>
      <c r="R10" s="20" t="e">
        <f t="shared" si="15"/>
        <v>#N/A</v>
      </c>
      <c r="S10" s="20" t="e">
        <f t="shared" si="16"/>
        <v>#N/A</v>
      </c>
      <c r="T10" s="20" t="e">
        <f t="shared" si="17"/>
        <v>#N/A</v>
      </c>
      <c r="U10" s="3"/>
      <c r="V10">
        <v>8</v>
      </c>
      <c r="W10">
        <v>69</v>
      </c>
      <c r="X10">
        <f t="shared" si="20"/>
        <v>69</v>
      </c>
      <c r="Y10">
        <f t="shared" si="21"/>
        <v>423</v>
      </c>
      <c r="Z10">
        <f>Z9+1</f>
        <v>9</v>
      </c>
      <c r="AA10" s="4">
        <f t="shared" si="19"/>
        <v>0</v>
      </c>
      <c r="AB10" s="3">
        <f t="shared" si="22"/>
        <v>1.7000000000000006</v>
      </c>
      <c r="AC10" s="3">
        <f t="shared" si="23"/>
        <v>2.6470588235294117</v>
      </c>
      <c r="AD10">
        <v>0</v>
      </c>
      <c r="AF10">
        <v>8</v>
      </c>
      <c r="AG10">
        <v>69</v>
      </c>
      <c r="AH10" s="22">
        <v>46</v>
      </c>
      <c r="AI10" s="3">
        <f t="shared" si="24"/>
        <v>13</v>
      </c>
      <c r="AJ10">
        <v>6</v>
      </c>
      <c r="AK10">
        <v>1</v>
      </c>
      <c r="AL10">
        <v>3</v>
      </c>
      <c r="AN10">
        <v>2</v>
      </c>
      <c r="AO10" t="str">
        <f t="shared" si="30"/>
        <v>Lib Dem</v>
      </c>
      <c r="AP10">
        <f t="shared" si="25"/>
        <v>7</v>
      </c>
      <c r="AQ10" s="3">
        <f t="shared" si="26"/>
        <v>68</v>
      </c>
      <c r="AR10" t="str">
        <f t="shared" si="31"/>
        <v>LD</v>
      </c>
      <c r="AU10" t="str">
        <f>AT2</f>
        <v>Labour</v>
      </c>
      <c r="AV10" s="2" t="str">
        <f>AT2&amp;" "&amp;""&amp;AV2</f>
        <v>Labour 412</v>
      </c>
    </row>
    <row r="11" spans="1:49" x14ac:dyDescent="0.25">
      <c r="A11">
        <v>9</v>
      </c>
      <c r="B11">
        <f t="shared" si="0"/>
        <v>1</v>
      </c>
      <c r="C11">
        <f t="shared" si="4"/>
        <v>1</v>
      </c>
      <c r="D11" s="15">
        <f t="shared" si="1"/>
        <v>5</v>
      </c>
      <c r="E11">
        <f t="shared" si="5"/>
        <v>1</v>
      </c>
      <c r="F11" s="3">
        <f t="shared" si="28"/>
        <v>40</v>
      </c>
      <c r="G11" s="3">
        <f t="shared" si="29"/>
        <v>0.69813170079773179</v>
      </c>
      <c r="H11" s="18">
        <f t="shared" si="6"/>
        <v>0.76604444311897801</v>
      </c>
      <c r="I11" s="3">
        <f t="shared" si="7"/>
        <v>0.64278760968653925</v>
      </c>
      <c r="J11" s="19" t="str">
        <f t="shared" si="2"/>
        <v>L</v>
      </c>
      <c r="K11" s="20">
        <f t="shared" si="8"/>
        <v>0.76604444311897801</v>
      </c>
      <c r="L11" s="20">
        <f t="shared" si="9"/>
        <v>0.64278760968653925</v>
      </c>
      <c r="M11" s="20" t="e">
        <f t="shared" si="10"/>
        <v>#N/A</v>
      </c>
      <c r="N11" s="20" t="e">
        <f t="shared" si="11"/>
        <v>#N/A</v>
      </c>
      <c r="O11" s="20" t="e">
        <f t="shared" si="12"/>
        <v>#N/A</v>
      </c>
      <c r="P11" s="20" t="e">
        <f t="shared" si="13"/>
        <v>#N/A</v>
      </c>
      <c r="Q11" s="20" t="e">
        <f t="shared" si="14"/>
        <v>#N/A</v>
      </c>
      <c r="R11" s="20" t="e">
        <f t="shared" si="15"/>
        <v>#N/A</v>
      </c>
      <c r="S11" s="20" t="e">
        <f t="shared" si="16"/>
        <v>#N/A</v>
      </c>
      <c r="T11" s="20" t="e">
        <f t="shared" si="17"/>
        <v>#N/A</v>
      </c>
      <c r="U11" s="3"/>
      <c r="V11">
        <v>9</v>
      </c>
      <c r="W11">
        <v>73</v>
      </c>
      <c r="X11">
        <f t="shared" si="20"/>
        <v>73</v>
      </c>
      <c r="Y11">
        <f t="shared" si="21"/>
        <v>496</v>
      </c>
      <c r="Z11">
        <f t="shared" si="18"/>
        <v>10</v>
      </c>
      <c r="AA11" s="4">
        <f t="shared" si="19"/>
        <v>0</v>
      </c>
      <c r="AB11" s="3">
        <f t="shared" si="22"/>
        <v>1.8000000000000007</v>
      </c>
      <c r="AC11" s="3">
        <f t="shared" si="23"/>
        <v>2.5</v>
      </c>
      <c r="AD11">
        <v>0</v>
      </c>
      <c r="AF11">
        <v>9</v>
      </c>
      <c r="AG11">
        <v>73</v>
      </c>
      <c r="AH11" s="3">
        <v>49</v>
      </c>
      <c r="AI11" s="3">
        <f t="shared" si="24"/>
        <v>14</v>
      </c>
      <c r="AJ11">
        <v>6</v>
      </c>
      <c r="AK11">
        <v>0</v>
      </c>
      <c r="AL11">
        <v>4</v>
      </c>
      <c r="AN11">
        <v>2</v>
      </c>
      <c r="AO11" t="str">
        <f t="shared" si="30"/>
        <v>SNP</v>
      </c>
      <c r="AP11">
        <f t="shared" si="25"/>
        <v>1</v>
      </c>
      <c r="AQ11" s="3">
        <f t="shared" si="26"/>
        <v>75</v>
      </c>
      <c r="AR11" t="str">
        <f t="shared" si="31"/>
        <v>SNP</v>
      </c>
      <c r="AU11" t="s">
        <v>22</v>
      </c>
      <c r="AV11">
        <v>0</v>
      </c>
    </row>
    <row r="12" spans="1:49" x14ac:dyDescent="0.25">
      <c r="A12">
        <v>10</v>
      </c>
      <c r="B12">
        <f t="shared" si="0"/>
        <v>1</v>
      </c>
      <c r="C12">
        <f t="shared" si="4"/>
        <v>1</v>
      </c>
      <c r="D12" s="15">
        <f t="shared" si="1"/>
        <v>5</v>
      </c>
      <c r="E12">
        <f t="shared" si="5"/>
        <v>1</v>
      </c>
      <c r="F12" s="3">
        <f t="shared" si="28"/>
        <v>45</v>
      </c>
      <c r="G12" s="3">
        <f t="shared" si="29"/>
        <v>0.78539816339744828</v>
      </c>
      <c r="H12" s="18">
        <f t="shared" si="6"/>
        <v>0.70710678118654757</v>
      </c>
      <c r="I12" s="3">
        <f t="shared" si="7"/>
        <v>0.70710678118654746</v>
      </c>
      <c r="J12" s="19" t="str">
        <f t="shared" si="2"/>
        <v>L</v>
      </c>
      <c r="K12" s="20">
        <f t="shared" si="8"/>
        <v>0.70710678118654757</v>
      </c>
      <c r="L12" s="20">
        <f t="shared" si="9"/>
        <v>0.70710678118654746</v>
      </c>
      <c r="M12" s="20" t="e">
        <f t="shared" si="10"/>
        <v>#N/A</v>
      </c>
      <c r="N12" s="20" t="e">
        <f t="shared" si="11"/>
        <v>#N/A</v>
      </c>
      <c r="O12" s="20" t="e">
        <f t="shared" si="12"/>
        <v>#N/A</v>
      </c>
      <c r="P12" s="20" t="e">
        <f t="shared" si="13"/>
        <v>#N/A</v>
      </c>
      <c r="Q12" s="20" t="e">
        <f t="shared" si="14"/>
        <v>#N/A</v>
      </c>
      <c r="R12" s="20" t="e">
        <f t="shared" si="15"/>
        <v>#N/A</v>
      </c>
      <c r="S12" s="20" t="e">
        <f t="shared" si="16"/>
        <v>#N/A</v>
      </c>
      <c r="T12" s="20" t="e">
        <f t="shared" si="17"/>
        <v>#N/A</v>
      </c>
      <c r="U12" s="3"/>
      <c r="V12">
        <v>10</v>
      </c>
      <c r="W12">
        <v>75</v>
      </c>
      <c r="X12">
        <f t="shared" si="20"/>
        <v>75</v>
      </c>
      <c r="Y12">
        <f t="shared" si="21"/>
        <v>571</v>
      </c>
      <c r="Z12">
        <f t="shared" si="18"/>
        <v>11</v>
      </c>
      <c r="AA12" s="4">
        <f t="shared" si="19"/>
        <v>0</v>
      </c>
      <c r="AB12" s="3">
        <f t="shared" si="22"/>
        <v>1.9000000000000008</v>
      </c>
      <c r="AC12" s="3">
        <f t="shared" si="23"/>
        <v>2.4324324324324325</v>
      </c>
      <c r="AD12">
        <v>0</v>
      </c>
      <c r="AF12">
        <v>10</v>
      </c>
      <c r="AG12">
        <v>75</v>
      </c>
      <c r="AH12" s="3">
        <v>51</v>
      </c>
      <c r="AI12" s="3">
        <f t="shared" si="24"/>
        <v>14</v>
      </c>
      <c r="AJ12">
        <v>6</v>
      </c>
      <c r="AK12">
        <v>0</v>
      </c>
      <c r="AL12">
        <v>4</v>
      </c>
      <c r="AN12">
        <v>2</v>
      </c>
      <c r="AO12" t="str">
        <f t="shared" si="30"/>
        <v>Other</v>
      </c>
      <c r="AP12">
        <f t="shared" si="25"/>
        <v>3</v>
      </c>
      <c r="AQ12" s="3">
        <f t="shared" si="26"/>
        <v>76</v>
      </c>
      <c r="AR12" t="str">
        <f t="shared" si="31"/>
        <v>Oth</v>
      </c>
      <c r="AU12" t="s">
        <v>23</v>
      </c>
      <c r="AV12" s="18">
        <f>0.75*SIN(90/180)</f>
        <v>0.35956915395315225</v>
      </c>
    </row>
    <row r="13" spans="1:49" x14ac:dyDescent="0.25">
      <c r="A13">
        <v>11</v>
      </c>
      <c r="B13">
        <f t="shared" si="0"/>
        <v>1</v>
      </c>
      <c r="C13">
        <f t="shared" si="4"/>
        <v>1</v>
      </c>
      <c r="D13" s="15">
        <f t="shared" si="1"/>
        <v>5</v>
      </c>
      <c r="E13">
        <f t="shared" si="5"/>
        <v>1</v>
      </c>
      <c r="F13" s="3">
        <f t="shared" si="28"/>
        <v>50</v>
      </c>
      <c r="G13" s="3">
        <f t="shared" si="29"/>
        <v>0.87266462599716477</v>
      </c>
      <c r="H13" s="18">
        <f t="shared" si="6"/>
        <v>0.64278760968653936</v>
      </c>
      <c r="I13" s="3">
        <f t="shared" si="7"/>
        <v>0.76604444311897801</v>
      </c>
      <c r="J13" s="19" t="str">
        <f t="shared" si="2"/>
        <v>L</v>
      </c>
      <c r="K13" s="20">
        <f t="shared" si="8"/>
        <v>0.64278760968653936</v>
      </c>
      <c r="L13" s="20">
        <f t="shared" si="9"/>
        <v>0.76604444311897801</v>
      </c>
      <c r="M13" s="20" t="e">
        <f t="shared" si="10"/>
        <v>#N/A</v>
      </c>
      <c r="N13" s="20" t="e">
        <f t="shared" si="11"/>
        <v>#N/A</v>
      </c>
      <c r="O13" s="20" t="e">
        <f t="shared" si="12"/>
        <v>#N/A</v>
      </c>
      <c r="P13" s="20" t="e">
        <f t="shared" si="13"/>
        <v>#N/A</v>
      </c>
      <c r="Q13" s="20" t="e">
        <f t="shared" si="14"/>
        <v>#N/A</v>
      </c>
      <c r="R13" s="20" t="e">
        <f t="shared" si="15"/>
        <v>#N/A</v>
      </c>
      <c r="S13" s="20" t="e">
        <f t="shared" si="16"/>
        <v>#N/A</v>
      </c>
      <c r="T13" s="20" t="e">
        <f t="shared" si="17"/>
        <v>#N/A</v>
      </c>
      <c r="U13" s="3"/>
      <c r="V13">
        <v>11</v>
      </c>
      <c r="W13">
        <v>80</v>
      </c>
      <c r="X13">
        <f t="shared" si="20"/>
        <v>80</v>
      </c>
      <c r="Y13">
        <f t="shared" si="21"/>
        <v>651</v>
      </c>
      <c r="Z13">
        <f t="shared" si="18"/>
        <v>12</v>
      </c>
      <c r="AA13" s="4">
        <f t="shared" si="19"/>
        <v>0</v>
      </c>
      <c r="AB13" s="3">
        <f t="shared" si="22"/>
        <v>2.0000000000000009</v>
      </c>
      <c r="AC13" s="3">
        <f t="shared" si="23"/>
        <v>2.278481012658228</v>
      </c>
      <c r="AD13">
        <v>0</v>
      </c>
      <c r="AF13">
        <v>11</v>
      </c>
      <c r="AG13">
        <v>80</v>
      </c>
      <c r="AH13" s="3">
        <v>55</v>
      </c>
      <c r="AI13" s="3">
        <f t="shared" si="24"/>
        <v>15</v>
      </c>
      <c r="AJ13">
        <v>6</v>
      </c>
      <c r="AK13">
        <v>0</v>
      </c>
      <c r="AL13">
        <v>4</v>
      </c>
      <c r="AN13">
        <v>3</v>
      </c>
      <c r="AO13" t="str">
        <f t="shared" si="30"/>
        <v>Labour</v>
      </c>
      <c r="AP13">
        <f t="shared" si="25"/>
        <v>26</v>
      </c>
      <c r="AQ13" s="3">
        <f t="shared" si="26"/>
        <v>79</v>
      </c>
      <c r="AR13" t="str">
        <f t="shared" si="31"/>
        <v>L</v>
      </c>
    </row>
    <row r="14" spans="1:49" x14ac:dyDescent="0.25">
      <c r="A14">
        <f>A13+1</f>
        <v>12</v>
      </c>
      <c r="B14">
        <f t="shared" si="0"/>
        <v>1</v>
      </c>
      <c r="C14">
        <f t="shared" si="4"/>
        <v>1</v>
      </c>
      <c r="D14" s="15">
        <f t="shared" si="1"/>
        <v>5</v>
      </c>
      <c r="E14">
        <f t="shared" si="5"/>
        <v>1</v>
      </c>
      <c r="F14" s="3">
        <f t="shared" si="28"/>
        <v>55</v>
      </c>
      <c r="G14" s="3">
        <f t="shared" si="29"/>
        <v>0.95993108859688125</v>
      </c>
      <c r="H14" s="18">
        <f t="shared" si="6"/>
        <v>0.57357643635104616</v>
      </c>
      <c r="I14" s="3">
        <f t="shared" si="7"/>
        <v>0.8191520442889918</v>
      </c>
      <c r="J14" s="19" t="str">
        <f t="shared" si="2"/>
        <v>L</v>
      </c>
      <c r="K14" s="20">
        <f t="shared" si="8"/>
        <v>0.57357643635104616</v>
      </c>
      <c r="L14" s="20">
        <f t="shared" si="9"/>
        <v>0.8191520442889918</v>
      </c>
      <c r="M14" s="20" t="e">
        <f t="shared" si="10"/>
        <v>#N/A</v>
      </c>
      <c r="N14" s="20" t="e">
        <f t="shared" si="11"/>
        <v>#N/A</v>
      </c>
      <c r="O14" s="20" t="e">
        <f t="shared" si="12"/>
        <v>#N/A</v>
      </c>
      <c r="P14" s="20" t="e">
        <f t="shared" si="13"/>
        <v>#N/A</v>
      </c>
      <c r="Q14" s="20" t="e">
        <f t="shared" si="14"/>
        <v>#N/A</v>
      </c>
      <c r="R14" s="20" t="e">
        <f t="shared" si="15"/>
        <v>#N/A</v>
      </c>
      <c r="S14" s="20" t="e">
        <f t="shared" si="16"/>
        <v>#N/A</v>
      </c>
      <c r="T14" s="20" t="e">
        <f t="shared" si="17"/>
        <v>#N/A</v>
      </c>
      <c r="U14" s="3"/>
      <c r="V14" s="4" t="s">
        <v>30</v>
      </c>
      <c r="W14">
        <f>SUM(W3:W13)</f>
        <v>650</v>
      </c>
      <c r="X14">
        <f>SUM(X3:X13)</f>
        <v>651</v>
      </c>
      <c r="Z14" s="4"/>
      <c r="AA14" s="4"/>
      <c r="AG14" s="21" t="s">
        <v>31</v>
      </c>
      <c r="AH14" s="3">
        <f>SUM(AH3:AH13)</f>
        <v>413</v>
      </c>
      <c r="AI14" s="3">
        <f>SUM(AI3:AI13)</f>
        <v>121</v>
      </c>
      <c r="AJ14" s="3">
        <f>SUM(AJ3:AJ13)</f>
        <v>72</v>
      </c>
      <c r="AK14" s="3">
        <f t="shared" ref="AK14:AL14" si="32">SUM(AK3:AK13)</f>
        <v>9</v>
      </c>
      <c r="AL14" s="3">
        <f t="shared" si="32"/>
        <v>36</v>
      </c>
      <c r="AM14" s="3"/>
      <c r="AN14">
        <v>3</v>
      </c>
      <c r="AO14" t="str">
        <f t="shared" si="30"/>
        <v>Conservatives</v>
      </c>
      <c r="AP14">
        <f t="shared" si="25"/>
        <v>8</v>
      </c>
      <c r="AQ14" s="3">
        <f t="shared" si="26"/>
        <v>105</v>
      </c>
      <c r="AR14" t="str">
        <f t="shared" si="31"/>
        <v>C</v>
      </c>
      <c r="AU14" t="str">
        <f>AT3</f>
        <v>Conservatives</v>
      </c>
      <c r="AV14" s="2" t="str">
        <f>AT3&amp;" "&amp;""&amp;AV3</f>
        <v>Conservatives 121</v>
      </c>
    </row>
    <row r="15" spans="1:49" x14ac:dyDescent="0.25">
      <c r="A15">
        <f t="shared" ref="A15:A78" si="33">A14+1</f>
        <v>13</v>
      </c>
      <c r="B15">
        <f t="shared" si="0"/>
        <v>1</v>
      </c>
      <c r="C15">
        <f t="shared" si="4"/>
        <v>1</v>
      </c>
      <c r="D15" s="15">
        <f t="shared" si="1"/>
        <v>5</v>
      </c>
      <c r="E15">
        <f t="shared" si="5"/>
        <v>1</v>
      </c>
      <c r="F15" s="3">
        <f t="shared" si="28"/>
        <v>60</v>
      </c>
      <c r="G15" s="3">
        <f t="shared" si="29"/>
        <v>1.0471975511965976</v>
      </c>
      <c r="H15" s="18">
        <f t="shared" si="6"/>
        <v>0.50000000000000011</v>
      </c>
      <c r="I15" s="3">
        <f t="shared" si="7"/>
        <v>0.8660254037844386</v>
      </c>
      <c r="J15" s="19" t="str">
        <f t="shared" si="2"/>
        <v>L</v>
      </c>
      <c r="K15" s="20">
        <f t="shared" si="8"/>
        <v>0.50000000000000011</v>
      </c>
      <c r="L15" s="20">
        <f t="shared" si="9"/>
        <v>0.8660254037844386</v>
      </c>
      <c r="M15" s="20" t="e">
        <f t="shared" si="10"/>
        <v>#N/A</v>
      </c>
      <c r="N15" s="20" t="e">
        <f t="shared" si="11"/>
        <v>#N/A</v>
      </c>
      <c r="O15" s="20" t="e">
        <f t="shared" si="12"/>
        <v>#N/A</v>
      </c>
      <c r="P15" s="20" t="e">
        <f t="shared" si="13"/>
        <v>#N/A</v>
      </c>
      <c r="Q15" s="20" t="e">
        <f t="shared" si="14"/>
        <v>#N/A</v>
      </c>
      <c r="R15" s="20" t="e">
        <f t="shared" si="15"/>
        <v>#N/A</v>
      </c>
      <c r="S15" s="20" t="e">
        <f t="shared" si="16"/>
        <v>#N/A</v>
      </c>
      <c r="T15" s="20" t="e">
        <f t="shared" si="17"/>
        <v>#N/A</v>
      </c>
      <c r="U15" s="3"/>
      <c r="AA15" s="4"/>
      <c r="AG15" s="21" t="b">
        <v>1</v>
      </c>
      <c r="AH15" s="22">
        <f>'Election result'!B4</f>
        <v>412</v>
      </c>
      <c r="AI15" s="22">
        <f>'Election result'!B5</f>
        <v>121</v>
      </c>
      <c r="AJ15" s="22">
        <f>'Election result'!B6</f>
        <v>72</v>
      </c>
      <c r="AK15" s="22">
        <f>'Election result'!B7</f>
        <v>9</v>
      </c>
      <c r="AL15" s="22">
        <f>'Election result'!B8</f>
        <v>36</v>
      </c>
      <c r="AM15" s="3"/>
      <c r="AN15">
        <v>3</v>
      </c>
      <c r="AO15" t="str">
        <f t="shared" si="30"/>
        <v>Lib Dem</v>
      </c>
      <c r="AP15">
        <f t="shared" si="25"/>
        <v>7</v>
      </c>
      <c r="AQ15" s="3">
        <f t="shared" si="26"/>
        <v>113</v>
      </c>
      <c r="AR15" t="str">
        <f t="shared" si="31"/>
        <v>LD</v>
      </c>
      <c r="AU15" t="s">
        <v>22</v>
      </c>
      <c r="AV15">
        <v>0</v>
      </c>
    </row>
    <row r="16" spans="1:49" x14ac:dyDescent="0.25">
      <c r="A16">
        <f t="shared" si="33"/>
        <v>14</v>
      </c>
      <c r="B16">
        <f t="shared" si="0"/>
        <v>1</v>
      </c>
      <c r="C16">
        <f t="shared" si="4"/>
        <v>1</v>
      </c>
      <c r="D16" s="15">
        <f t="shared" si="1"/>
        <v>5</v>
      </c>
      <c r="E16">
        <f t="shared" si="5"/>
        <v>1</v>
      </c>
      <c r="F16" s="3">
        <f t="shared" si="28"/>
        <v>65</v>
      </c>
      <c r="G16" s="3">
        <f t="shared" si="29"/>
        <v>1.1344640137963142</v>
      </c>
      <c r="H16" s="18">
        <f t="shared" si="6"/>
        <v>0.42261826174069944</v>
      </c>
      <c r="I16" s="3">
        <f t="shared" si="7"/>
        <v>0.90630778703664994</v>
      </c>
      <c r="J16" s="19" t="str">
        <f t="shared" si="2"/>
        <v>L</v>
      </c>
      <c r="K16" s="20">
        <f t="shared" si="8"/>
        <v>0.42261826174069944</v>
      </c>
      <c r="L16" s="20">
        <f t="shared" si="9"/>
        <v>0.90630778703664994</v>
      </c>
      <c r="M16" s="20" t="e">
        <f t="shared" si="10"/>
        <v>#N/A</v>
      </c>
      <c r="N16" s="20" t="e">
        <f t="shared" si="11"/>
        <v>#N/A</v>
      </c>
      <c r="O16" s="20" t="e">
        <f t="shared" si="12"/>
        <v>#N/A</v>
      </c>
      <c r="P16" s="20" t="e">
        <f t="shared" si="13"/>
        <v>#N/A</v>
      </c>
      <c r="Q16" s="20" t="e">
        <f t="shared" si="14"/>
        <v>#N/A</v>
      </c>
      <c r="R16" s="20" t="e">
        <f t="shared" si="15"/>
        <v>#N/A</v>
      </c>
      <c r="S16" s="20" t="e">
        <f t="shared" si="16"/>
        <v>#N/A</v>
      </c>
      <c r="T16" s="20" t="e">
        <f t="shared" si="17"/>
        <v>#N/A</v>
      </c>
      <c r="U16" s="3"/>
      <c r="AA16" s="4"/>
      <c r="AG16" s="21" t="s">
        <v>17</v>
      </c>
      <c r="AH16" s="3">
        <f>AH14-AH15</f>
        <v>1</v>
      </c>
      <c r="AI16" s="3">
        <f>AI14-AI15</f>
        <v>0</v>
      </c>
      <c r="AJ16" s="3">
        <f>AJ14-AJ15</f>
        <v>0</v>
      </c>
      <c r="AK16" s="3">
        <f t="shared" ref="AK16:AL16" si="34">AK14-AK15</f>
        <v>0</v>
      </c>
      <c r="AL16" s="3">
        <f t="shared" si="34"/>
        <v>0</v>
      </c>
      <c r="AM16" s="3"/>
      <c r="AN16">
        <v>3</v>
      </c>
      <c r="AO16" t="str">
        <f t="shared" si="30"/>
        <v>SNP</v>
      </c>
      <c r="AP16">
        <f t="shared" si="25"/>
        <v>1</v>
      </c>
      <c r="AQ16" s="3">
        <f t="shared" si="26"/>
        <v>120</v>
      </c>
      <c r="AR16" t="str">
        <f t="shared" si="31"/>
        <v>SNP</v>
      </c>
      <c r="AU16" t="s">
        <v>23</v>
      </c>
      <c r="AV16" s="18">
        <f>0.75*SIN(90/180)</f>
        <v>0.35956915395315225</v>
      </c>
    </row>
    <row r="17" spans="1:48" x14ac:dyDescent="0.25">
      <c r="A17">
        <f t="shared" si="33"/>
        <v>15</v>
      </c>
      <c r="B17">
        <f t="shared" si="0"/>
        <v>1</v>
      </c>
      <c r="C17">
        <f t="shared" si="4"/>
        <v>1</v>
      </c>
      <c r="D17" s="15">
        <f t="shared" si="1"/>
        <v>5</v>
      </c>
      <c r="E17">
        <f t="shared" si="5"/>
        <v>1</v>
      </c>
      <c r="F17" s="3">
        <f t="shared" si="28"/>
        <v>70</v>
      </c>
      <c r="G17" s="3">
        <f t="shared" si="29"/>
        <v>1.2217304763960306</v>
      </c>
      <c r="H17" s="18">
        <f t="shared" si="6"/>
        <v>0.34202014332566882</v>
      </c>
      <c r="I17" s="3">
        <f t="shared" si="7"/>
        <v>0.93969262078590832</v>
      </c>
      <c r="J17" s="19" t="str">
        <f t="shared" si="2"/>
        <v>L</v>
      </c>
      <c r="K17" s="20">
        <f t="shared" si="8"/>
        <v>0.34202014332566882</v>
      </c>
      <c r="L17" s="20">
        <f t="shared" si="9"/>
        <v>0.93969262078590832</v>
      </c>
      <c r="M17" s="20" t="e">
        <f t="shared" si="10"/>
        <v>#N/A</v>
      </c>
      <c r="N17" s="20" t="e">
        <f t="shared" si="11"/>
        <v>#N/A</v>
      </c>
      <c r="O17" s="20" t="e">
        <f t="shared" si="12"/>
        <v>#N/A</v>
      </c>
      <c r="P17" s="20" t="e">
        <f t="shared" si="13"/>
        <v>#N/A</v>
      </c>
      <c r="Q17" s="20" t="e">
        <f t="shared" si="14"/>
        <v>#N/A</v>
      </c>
      <c r="R17" s="20" t="e">
        <f t="shared" si="15"/>
        <v>#N/A</v>
      </c>
      <c r="S17" s="20" t="e">
        <f t="shared" si="16"/>
        <v>#N/A</v>
      </c>
      <c r="T17" s="20" t="e">
        <f t="shared" si="17"/>
        <v>#N/A</v>
      </c>
      <c r="U17" s="3"/>
      <c r="V17" t="s">
        <v>32</v>
      </c>
      <c r="AA17" s="4"/>
      <c r="AG17" s="21" t="s">
        <v>33</v>
      </c>
      <c r="AH17" s="3">
        <f>SUM(AH14:AL14)</f>
        <v>651</v>
      </c>
      <c r="AN17">
        <v>3</v>
      </c>
      <c r="AO17" t="str">
        <f t="shared" si="30"/>
        <v>Other</v>
      </c>
      <c r="AP17">
        <f t="shared" si="25"/>
        <v>3</v>
      </c>
      <c r="AQ17" s="3">
        <f t="shared" si="26"/>
        <v>121</v>
      </c>
      <c r="AR17" t="str">
        <f t="shared" si="31"/>
        <v>Oth</v>
      </c>
    </row>
    <row r="18" spans="1:48" x14ac:dyDescent="0.25">
      <c r="A18">
        <f t="shared" si="33"/>
        <v>16</v>
      </c>
      <c r="B18">
        <f t="shared" si="0"/>
        <v>1</v>
      </c>
      <c r="C18">
        <f t="shared" si="4"/>
        <v>1</v>
      </c>
      <c r="D18" s="15">
        <f t="shared" si="1"/>
        <v>5</v>
      </c>
      <c r="E18">
        <f t="shared" si="5"/>
        <v>1</v>
      </c>
      <c r="F18" s="3">
        <f t="shared" si="28"/>
        <v>75</v>
      </c>
      <c r="G18" s="3">
        <f t="shared" si="29"/>
        <v>1.3089969389957472</v>
      </c>
      <c r="H18" s="18">
        <f t="shared" si="6"/>
        <v>0.25881904510252074</v>
      </c>
      <c r="I18" s="3">
        <f t="shared" si="7"/>
        <v>0.96592582628906831</v>
      </c>
      <c r="J18" s="19" t="str">
        <f t="shared" si="2"/>
        <v>L</v>
      </c>
      <c r="K18" s="20">
        <f t="shared" si="8"/>
        <v>0.25881904510252074</v>
      </c>
      <c r="L18" s="20">
        <f t="shared" si="9"/>
        <v>0.96592582628906831</v>
      </c>
      <c r="M18" s="20" t="e">
        <f t="shared" si="10"/>
        <v>#N/A</v>
      </c>
      <c r="N18" s="20" t="e">
        <f t="shared" si="11"/>
        <v>#N/A</v>
      </c>
      <c r="O18" s="20" t="e">
        <f t="shared" si="12"/>
        <v>#N/A</v>
      </c>
      <c r="P18" s="20" t="e">
        <f t="shared" si="13"/>
        <v>#N/A</v>
      </c>
      <c r="Q18" s="20" t="e">
        <f t="shared" si="14"/>
        <v>#N/A</v>
      </c>
      <c r="R18" s="20" t="e">
        <f t="shared" si="15"/>
        <v>#N/A</v>
      </c>
      <c r="S18" s="20" t="e">
        <f t="shared" si="16"/>
        <v>#N/A</v>
      </c>
      <c r="T18" s="20" t="e">
        <f t="shared" si="17"/>
        <v>#N/A</v>
      </c>
      <c r="U18" s="3"/>
      <c r="V18" t="s">
        <v>34</v>
      </c>
      <c r="AA18" s="4"/>
      <c r="AG18" s="21" t="s">
        <v>17</v>
      </c>
      <c r="AH18" s="3">
        <f>SUM(AH15:AL15)</f>
        <v>650</v>
      </c>
      <c r="AN18">
        <f t="shared" ref="AN18:AN57" si="35">AN13+1</f>
        <v>4</v>
      </c>
      <c r="AO18" t="str">
        <f t="shared" si="30"/>
        <v>Labour</v>
      </c>
      <c r="AP18">
        <f t="shared" si="25"/>
        <v>30</v>
      </c>
      <c r="AQ18" s="3">
        <f t="shared" si="26"/>
        <v>124</v>
      </c>
      <c r="AR18" t="str">
        <f t="shared" si="31"/>
        <v>L</v>
      </c>
      <c r="AU18" t="str">
        <f>AT4</f>
        <v>Lib Dem</v>
      </c>
      <c r="AV18" s="2" t="str">
        <f>AT4&amp;" "&amp;""&amp;AV4</f>
        <v>Lib Dem 72</v>
      </c>
    </row>
    <row r="19" spans="1:48" x14ac:dyDescent="0.25">
      <c r="A19">
        <f t="shared" si="33"/>
        <v>17</v>
      </c>
      <c r="B19">
        <f t="shared" si="0"/>
        <v>1</v>
      </c>
      <c r="C19">
        <f t="shared" si="4"/>
        <v>1</v>
      </c>
      <c r="D19" s="15">
        <f t="shared" si="1"/>
        <v>5</v>
      </c>
      <c r="E19">
        <f t="shared" si="5"/>
        <v>1</v>
      </c>
      <c r="F19" s="3">
        <f t="shared" si="28"/>
        <v>80</v>
      </c>
      <c r="G19" s="3">
        <f t="shared" si="29"/>
        <v>1.3962634015954636</v>
      </c>
      <c r="H19" s="18">
        <f t="shared" si="6"/>
        <v>0.17364817766693041</v>
      </c>
      <c r="I19" s="3">
        <f t="shared" si="7"/>
        <v>0.98480775301220802</v>
      </c>
      <c r="J19" s="19" t="str">
        <f t="shared" si="2"/>
        <v>L</v>
      </c>
      <c r="K19" s="20">
        <f t="shared" si="8"/>
        <v>0.17364817766693041</v>
      </c>
      <c r="L19" s="20">
        <f t="shared" si="9"/>
        <v>0.98480775301220802</v>
      </c>
      <c r="M19" s="20" t="e">
        <f t="shared" si="10"/>
        <v>#N/A</v>
      </c>
      <c r="N19" s="20" t="e">
        <f t="shared" si="11"/>
        <v>#N/A</v>
      </c>
      <c r="O19" s="20" t="e">
        <f t="shared" si="12"/>
        <v>#N/A</v>
      </c>
      <c r="P19" s="20" t="e">
        <f t="shared" si="13"/>
        <v>#N/A</v>
      </c>
      <c r="Q19" s="20" t="e">
        <f t="shared" si="14"/>
        <v>#N/A</v>
      </c>
      <c r="R19" s="20" t="e">
        <f t="shared" si="15"/>
        <v>#N/A</v>
      </c>
      <c r="S19" s="20" t="e">
        <f t="shared" si="16"/>
        <v>#N/A</v>
      </c>
      <c r="T19" s="20" t="e">
        <f t="shared" si="17"/>
        <v>#N/A</v>
      </c>
      <c r="U19" s="3"/>
      <c r="V19" t="s">
        <v>35</v>
      </c>
      <c r="AA19" s="4"/>
      <c r="AN19">
        <f t="shared" si="35"/>
        <v>4</v>
      </c>
      <c r="AO19" t="str">
        <f t="shared" si="30"/>
        <v>Conservatives</v>
      </c>
      <c r="AP19">
        <f t="shared" si="25"/>
        <v>9</v>
      </c>
      <c r="AQ19" s="3">
        <f t="shared" si="26"/>
        <v>154</v>
      </c>
      <c r="AR19" t="str">
        <f t="shared" si="31"/>
        <v>C</v>
      </c>
      <c r="AU19" t="s">
        <v>22</v>
      </c>
      <c r="AV19">
        <v>0</v>
      </c>
    </row>
    <row r="20" spans="1:48" x14ac:dyDescent="0.25">
      <c r="A20">
        <f t="shared" si="33"/>
        <v>18</v>
      </c>
      <c r="B20">
        <f t="shared" si="0"/>
        <v>1</v>
      </c>
      <c r="C20">
        <f t="shared" si="4"/>
        <v>1</v>
      </c>
      <c r="D20" s="15">
        <f t="shared" si="1"/>
        <v>5</v>
      </c>
      <c r="E20">
        <f t="shared" si="5"/>
        <v>1</v>
      </c>
      <c r="F20" s="3">
        <f t="shared" si="28"/>
        <v>85</v>
      </c>
      <c r="G20" s="3">
        <f t="shared" si="29"/>
        <v>1.48352986419518</v>
      </c>
      <c r="H20" s="18">
        <f t="shared" si="6"/>
        <v>8.715574274765836E-2</v>
      </c>
      <c r="I20" s="3">
        <f t="shared" si="7"/>
        <v>0.99619469809174555</v>
      </c>
      <c r="J20" s="19" t="str">
        <f t="shared" si="2"/>
        <v>L</v>
      </c>
      <c r="K20" s="20">
        <f t="shared" si="8"/>
        <v>8.715574274765836E-2</v>
      </c>
      <c r="L20" s="20">
        <f t="shared" si="9"/>
        <v>0.99619469809174555</v>
      </c>
      <c r="M20" s="20" t="e">
        <f t="shared" si="10"/>
        <v>#N/A</v>
      </c>
      <c r="N20" s="20" t="e">
        <f t="shared" si="11"/>
        <v>#N/A</v>
      </c>
      <c r="O20" s="20" t="e">
        <f t="shared" si="12"/>
        <v>#N/A</v>
      </c>
      <c r="P20" s="20" t="e">
        <f t="shared" si="13"/>
        <v>#N/A</v>
      </c>
      <c r="Q20" s="20" t="e">
        <f t="shared" si="14"/>
        <v>#N/A</v>
      </c>
      <c r="R20" s="20" t="e">
        <f t="shared" si="15"/>
        <v>#N/A</v>
      </c>
      <c r="S20" s="20" t="e">
        <f t="shared" si="16"/>
        <v>#N/A</v>
      </c>
      <c r="T20" s="20" t="e">
        <f t="shared" si="17"/>
        <v>#N/A</v>
      </c>
      <c r="U20" s="3"/>
      <c r="V20" t="s">
        <v>36</v>
      </c>
      <c r="AA20" s="4"/>
      <c r="AN20">
        <f t="shared" si="35"/>
        <v>4</v>
      </c>
      <c r="AO20" t="str">
        <f t="shared" si="30"/>
        <v>Lib Dem</v>
      </c>
      <c r="AP20">
        <f t="shared" si="25"/>
        <v>7</v>
      </c>
      <c r="AQ20" s="3">
        <f t="shared" si="26"/>
        <v>163</v>
      </c>
      <c r="AR20" t="str">
        <f t="shared" si="31"/>
        <v>LD</v>
      </c>
      <c r="AU20" t="s">
        <v>23</v>
      </c>
      <c r="AV20" s="18">
        <f>0.75*SIN(90/180)</f>
        <v>0.35956915395315225</v>
      </c>
    </row>
    <row r="21" spans="1:48" x14ac:dyDescent="0.25">
      <c r="A21">
        <f t="shared" si="33"/>
        <v>19</v>
      </c>
      <c r="B21">
        <f t="shared" si="0"/>
        <v>1</v>
      </c>
      <c r="C21">
        <f t="shared" si="4"/>
        <v>1</v>
      </c>
      <c r="D21" s="15">
        <f t="shared" si="1"/>
        <v>5</v>
      </c>
      <c r="E21">
        <f t="shared" si="5"/>
        <v>1</v>
      </c>
      <c r="F21" s="3">
        <f t="shared" si="28"/>
        <v>90</v>
      </c>
      <c r="G21" s="3">
        <f t="shared" si="29"/>
        <v>1.5707963267948966</v>
      </c>
      <c r="H21" s="18">
        <f t="shared" si="6"/>
        <v>6.1257422745431001E-17</v>
      </c>
      <c r="I21" s="3">
        <f t="shared" si="7"/>
        <v>1</v>
      </c>
      <c r="J21" s="19" t="str">
        <f t="shared" si="2"/>
        <v>L</v>
      </c>
      <c r="K21" s="20">
        <f t="shared" si="8"/>
        <v>6.1257422745431001E-17</v>
      </c>
      <c r="L21" s="20">
        <f t="shared" si="9"/>
        <v>1</v>
      </c>
      <c r="M21" s="20" t="e">
        <f t="shared" si="10"/>
        <v>#N/A</v>
      </c>
      <c r="N21" s="20" t="e">
        <f t="shared" si="11"/>
        <v>#N/A</v>
      </c>
      <c r="O21" s="20" t="e">
        <f t="shared" si="12"/>
        <v>#N/A</v>
      </c>
      <c r="P21" s="20" t="e">
        <f t="shared" si="13"/>
        <v>#N/A</v>
      </c>
      <c r="Q21" s="20" t="e">
        <f t="shared" si="14"/>
        <v>#N/A</v>
      </c>
      <c r="R21" s="20" t="e">
        <f t="shared" si="15"/>
        <v>#N/A</v>
      </c>
      <c r="S21" s="20" t="e">
        <f t="shared" si="16"/>
        <v>#N/A</v>
      </c>
      <c r="T21" s="20" t="e">
        <f t="shared" si="17"/>
        <v>#N/A</v>
      </c>
      <c r="U21" s="3"/>
      <c r="AA21" s="4"/>
      <c r="AN21">
        <f t="shared" si="35"/>
        <v>4</v>
      </c>
      <c r="AO21" t="str">
        <f t="shared" si="30"/>
        <v>SNP</v>
      </c>
      <c r="AP21">
        <f t="shared" si="25"/>
        <v>1</v>
      </c>
      <c r="AQ21" s="3">
        <f t="shared" si="26"/>
        <v>170</v>
      </c>
      <c r="AR21" t="str">
        <f t="shared" si="31"/>
        <v>SNP</v>
      </c>
    </row>
    <row r="22" spans="1:48" x14ac:dyDescent="0.25">
      <c r="A22">
        <f t="shared" si="33"/>
        <v>20</v>
      </c>
      <c r="B22">
        <f t="shared" si="0"/>
        <v>1</v>
      </c>
      <c r="C22">
        <f t="shared" si="4"/>
        <v>1</v>
      </c>
      <c r="D22" s="15">
        <f t="shared" si="1"/>
        <v>5</v>
      </c>
      <c r="E22">
        <f t="shared" si="5"/>
        <v>1</v>
      </c>
      <c r="F22" s="3">
        <f t="shared" si="28"/>
        <v>95</v>
      </c>
      <c r="G22" s="3">
        <f t="shared" si="29"/>
        <v>1.6580627893946132</v>
      </c>
      <c r="H22" s="18">
        <f t="shared" si="6"/>
        <v>-8.7155742747658235E-2</v>
      </c>
      <c r="I22" s="3">
        <f t="shared" si="7"/>
        <v>0.99619469809174555</v>
      </c>
      <c r="J22" s="19" t="str">
        <f t="shared" si="2"/>
        <v>C</v>
      </c>
      <c r="K22" s="20" t="e">
        <f t="shared" si="8"/>
        <v>#N/A</v>
      </c>
      <c r="L22" s="20" t="e">
        <f t="shared" si="9"/>
        <v>#N/A</v>
      </c>
      <c r="M22" s="20">
        <f t="shared" si="10"/>
        <v>-8.7155742747658235E-2</v>
      </c>
      <c r="N22" s="20">
        <f t="shared" si="11"/>
        <v>0.99619469809174555</v>
      </c>
      <c r="O22" s="20" t="e">
        <f t="shared" si="12"/>
        <v>#N/A</v>
      </c>
      <c r="P22" s="20" t="e">
        <f t="shared" si="13"/>
        <v>#N/A</v>
      </c>
      <c r="Q22" s="20" t="e">
        <f t="shared" si="14"/>
        <v>#N/A</v>
      </c>
      <c r="R22" s="20" t="e">
        <f t="shared" si="15"/>
        <v>#N/A</v>
      </c>
      <c r="S22" s="20" t="e">
        <f t="shared" si="16"/>
        <v>#N/A</v>
      </c>
      <c r="T22" s="20" t="e">
        <f t="shared" si="17"/>
        <v>#N/A</v>
      </c>
      <c r="U22" s="3"/>
      <c r="AA22" s="4"/>
      <c r="AN22">
        <f t="shared" si="35"/>
        <v>4</v>
      </c>
      <c r="AO22" t="str">
        <f t="shared" si="30"/>
        <v>Other</v>
      </c>
      <c r="AP22">
        <f t="shared" si="25"/>
        <v>3</v>
      </c>
      <c r="AQ22" s="3">
        <f t="shared" si="26"/>
        <v>171</v>
      </c>
      <c r="AR22" t="str">
        <f t="shared" si="31"/>
        <v>Oth</v>
      </c>
      <c r="AU22" t="str">
        <f>AT5</f>
        <v>SNP</v>
      </c>
      <c r="AV22" s="2" t="str">
        <f>AT5&amp;" "&amp;""&amp;AV5</f>
        <v>SNP 9</v>
      </c>
    </row>
    <row r="23" spans="1:48" x14ac:dyDescent="0.25">
      <c r="A23">
        <f t="shared" si="33"/>
        <v>21</v>
      </c>
      <c r="B23">
        <f t="shared" si="0"/>
        <v>1</v>
      </c>
      <c r="C23">
        <f t="shared" si="4"/>
        <v>1</v>
      </c>
      <c r="D23" s="15">
        <f t="shared" si="1"/>
        <v>5</v>
      </c>
      <c r="E23">
        <f t="shared" si="5"/>
        <v>1</v>
      </c>
      <c r="F23" s="3">
        <f t="shared" si="28"/>
        <v>100</v>
      </c>
      <c r="G23" s="3">
        <f t="shared" si="29"/>
        <v>1.7453292519943295</v>
      </c>
      <c r="H23" s="18">
        <f t="shared" si="6"/>
        <v>-0.1736481776669303</v>
      </c>
      <c r="I23" s="3">
        <f t="shared" si="7"/>
        <v>0.98480775301220802</v>
      </c>
      <c r="J23" s="19" t="str">
        <f t="shared" si="2"/>
        <v>C</v>
      </c>
      <c r="K23" s="20" t="e">
        <f t="shared" si="8"/>
        <v>#N/A</v>
      </c>
      <c r="L23" s="20" t="e">
        <f t="shared" si="9"/>
        <v>#N/A</v>
      </c>
      <c r="M23" s="20">
        <f t="shared" si="10"/>
        <v>-0.1736481776669303</v>
      </c>
      <c r="N23" s="20">
        <f t="shared" si="11"/>
        <v>0.98480775301220802</v>
      </c>
      <c r="O23" s="20" t="e">
        <f t="shared" si="12"/>
        <v>#N/A</v>
      </c>
      <c r="P23" s="20" t="e">
        <f t="shared" si="13"/>
        <v>#N/A</v>
      </c>
      <c r="Q23" s="20" t="e">
        <f t="shared" si="14"/>
        <v>#N/A</v>
      </c>
      <c r="R23" s="20" t="e">
        <f t="shared" si="15"/>
        <v>#N/A</v>
      </c>
      <c r="S23" s="20" t="e">
        <f t="shared" si="16"/>
        <v>#N/A</v>
      </c>
      <c r="T23" s="20" t="e">
        <f t="shared" si="17"/>
        <v>#N/A</v>
      </c>
      <c r="U23" s="3"/>
      <c r="AA23" s="4"/>
      <c r="AN23">
        <f t="shared" si="35"/>
        <v>5</v>
      </c>
      <c r="AO23" t="str">
        <f t="shared" si="30"/>
        <v>Labour</v>
      </c>
      <c r="AP23">
        <f t="shared" si="25"/>
        <v>34</v>
      </c>
      <c r="AQ23" s="3">
        <f t="shared" si="26"/>
        <v>174</v>
      </c>
      <c r="AR23" t="str">
        <f t="shared" si="31"/>
        <v>L</v>
      </c>
      <c r="AU23" t="s">
        <v>22</v>
      </c>
      <c r="AV23">
        <v>0</v>
      </c>
    </row>
    <row r="24" spans="1:48" x14ac:dyDescent="0.25">
      <c r="A24">
        <f t="shared" si="33"/>
        <v>22</v>
      </c>
      <c r="B24">
        <f t="shared" si="0"/>
        <v>1</v>
      </c>
      <c r="C24">
        <f t="shared" si="4"/>
        <v>1</v>
      </c>
      <c r="D24" s="15">
        <f t="shared" si="1"/>
        <v>5</v>
      </c>
      <c r="E24">
        <f t="shared" si="5"/>
        <v>1</v>
      </c>
      <c r="F24" s="3">
        <f t="shared" si="28"/>
        <v>105</v>
      </c>
      <c r="G24" s="3">
        <f t="shared" si="29"/>
        <v>1.8325957145940461</v>
      </c>
      <c r="H24" s="18">
        <f t="shared" si="6"/>
        <v>-0.25881904510252085</v>
      </c>
      <c r="I24" s="3">
        <f t="shared" si="7"/>
        <v>0.96592582628906831</v>
      </c>
      <c r="J24" s="19" t="str">
        <f t="shared" si="2"/>
        <v>C</v>
      </c>
      <c r="K24" s="20" t="e">
        <f t="shared" si="8"/>
        <v>#N/A</v>
      </c>
      <c r="L24" s="20" t="e">
        <f t="shared" si="9"/>
        <v>#N/A</v>
      </c>
      <c r="M24" s="20">
        <f t="shared" si="10"/>
        <v>-0.25881904510252085</v>
      </c>
      <c r="N24" s="20">
        <f t="shared" si="11"/>
        <v>0.96592582628906831</v>
      </c>
      <c r="O24" s="20" t="e">
        <f t="shared" si="12"/>
        <v>#N/A</v>
      </c>
      <c r="P24" s="20" t="e">
        <f t="shared" si="13"/>
        <v>#N/A</v>
      </c>
      <c r="Q24" s="20" t="e">
        <f t="shared" si="14"/>
        <v>#N/A</v>
      </c>
      <c r="R24" s="20" t="e">
        <f t="shared" si="15"/>
        <v>#N/A</v>
      </c>
      <c r="S24" s="20" t="e">
        <f t="shared" si="16"/>
        <v>#N/A</v>
      </c>
      <c r="T24" s="20" t="e">
        <f t="shared" si="17"/>
        <v>#N/A</v>
      </c>
      <c r="U24" s="3"/>
      <c r="AA24" s="4"/>
      <c r="AN24">
        <f t="shared" si="35"/>
        <v>5</v>
      </c>
      <c r="AO24" t="str">
        <f t="shared" si="30"/>
        <v>Conservatives</v>
      </c>
      <c r="AP24">
        <f t="shared" si="25"/>
        <v>10</v>
      </c>
      <c r="AQ24" s="3">
        <f t="shared" si="26"/>
        <v>208</v>
      </c>
      <c r="AR24" t="str">
        <f t="shared" si="31"/>
        <v>C</v>
      </c>
      <c r="AU24" t="s">
        <v>23</v>
      </c>
      <c r="AV24" s="18">
        <f>0.75*SIN(90/180)</f>
        <v>0.35956915395315225</v>
      </c>
    </row>
    <row r="25" spans="1:48" x14ac:dyDescent="0.25">
      <c r="A25">
        <f t="shared" si="33"/>
        <v>23</v>
      </c>
      <c r="B25">
        <f t="shared" si="0"/>
        <v>1</v>
      </c>
      <c r="C25">
        <f t="shared" si="4"/>
        <v>1</v>
      </c>
      <c r="D25" s="15">
        <f t="shared" si="1"/>
        <v>5</v>
      </c>
      <c r="E25">
        <f t="shared" si="5"/>
        <v>1</v>
      </c>
      <c r="F25" s="3">
        <f t="shared" si="28"/>
        <v>110</v>
      </c>
      <c r="G25" s="3">
        <f t="shared" si="29"/>
        <v>1.9198621771937625</v>
      </c>
      <c r="H25" s="18">
        <f t="shared" si="6"/>
        <v>-0.34202014332566871</v>
      </c>
      <c r="I25" s="3">
        <f t="shared" si="7"/>
        <v>0.93969262078590843</v>
      </c>
      <c r="J25" s="19" t="str">
        <f t="shared" si="2"/>
        <v>C</v>
      </c>
      <c r="K25" s="20" t="e">
        <f t="shared" si="8"/>
        <v>#N/A</v>
      </c>
      <c r="L25" s="20" t="e">
        <f t="shared" si="9"/>
        <v>#N/A</v>
      </c>
      <c r="M25" s="20">
        <f t="shared" si="10"/>
        <v>-0.34202014332566871</v>
      </c>
      <c r="N25" s="20">
        <f t="shared" si="11"/>
        <v>0.93969262078590843</v>
      </c>
      <c r="O25" s="20" t="e">
        <f t="shared" si="12"/>
        <v>#N/A</v>
      </c>
      <c r="P25" s="20" t="e">
        <f t="shared" si="13"/>
        <v>#N/A</v>
      </c>
      <c r="Q25" s="20" t="e">
        <f t="shared" si="14"/>
        <v>#N/A</v>
      </c>
      <c r="R25" s="20" t="e">
        <f t="shared" si="15"/>
        <v>#N/A</v>
      </c>
      <c r="S25" s="20" t="e">
        <f t="shared" si="16"/>
        <v>#N/A</v>
      </c>
      <c r="T25" s="20" t="e">
        <f t="shared" si="17"/>
        <v>#N/A</v>
      </c>
      <c r="U25" s="3"/>
      <c r="AA25" s="4"/>
      <c r="AN25">
        <f t="shared" si="35"/>
        <v>5</v>
      </c>
      <c r="AO25" t="str">
        <f t="shared" si="30"/>
        <v>Lib Dem</v>
      </c>
      <c r="AP25">
        <f t="shared" si="25"/>
        <v>7</v>
      </c>
      <c r="AQ25" s="3">
        <f t="shared" si="26"/>
        <v>218</v>
      </c>
      <c r="AR25" t="str">
        <f t="shared" si="31"/>
        <v>LD</v>
      </c>
    </row>
    <row r="26" spans="1:48" x14ac:dyDescent="0.25">
      <c r="A26">
        <f t="shared" si="33"/>
        <v>24</v>
      </c>
      <c r="B26">
        <f t="shared" si="0"/>
        <v>1</v>
      </c>
      <c r="C26">
        <f t="shared" si="4"/>
        <v>1</v>
      </c>
      <c r="D26" s="15">
        <f t="shared" si="1"/>
        <v>5</v>
      </c>
      <c r="E26">
        <f t="shared" si="5"/>
        <v>1</v>
      </c>
      <c r="F26" s="3">
        <f t="shared" si="28"/>
        <v>115</v>
      </c>
      <c r="G26" s="3">
        <f t="shared" si="29"/>
        <v>2.0071286397934789</v>
      </c>
      <c r="H26" s="18">
        <f t="shared" si="6"/>
        <v>-0.42261826174069933</v>
      </c>
      <c r="I26" s="3">
        <f t="shared" si="7"/>
        <v>0.90630778703665005</v>
      </c>
      <c r="J26" s="19" t="str">
        <f t="shared" si="2"/>
        <v>C</v>
      </c>
      <c r="K26" s="20" t="e">
        <f t="shared" si="8"/>
        <v>#N/A</v>
      </c>
      <c r="L26" s="20" t="e">
        <f t="shared" si="9"/>
        <v>#N/A</v>
      </c>
      <c r="M26" s="20">
        <f t="shared" si="10"/>
        <v>-0.42261826174069933</v>
      </c>
      <c r="N26" s="20">
        <f t="shared" si="11"/>
        <v>0.90630778703665005</v>
      </c>
      <c r="O26" s="20" t="e">
        <f t="shared" si="12"/>
        <v>#N/A</v>
      </c>
      <c r="P26" s="20" t="e">
        <f t="shared" si="13"/>
        <v>#N/A</v>
      </c>
      <c r="Q26" s="20" t="e">
        <f t="shared" si="14"/>
        <v>#N/A</v>
      </c>
      <c r="R26" s="20" t="e">
        <f t="shared" si="15"/>
        <v>#N/A</v>
      </c>
      <c r="S26" s="20" t="e">
        <f t="shared" si="16"/>
        <v>#N/A</v>
      </c>
      <c r="T26" s="20" t="e">
        <f t="shared" si="17"/>
        <v>#N/A</v>
      </c>
      <c r="U26" s="3"/>
      <c r="AA26" s="4"/>
      <c r="AN26">
        <f t="shared" si="35"/>
        <v>5</v>
      </c>
      <c r="AO26" t="str">
        <f t="shared" si="30"/>
        <v>SNP</v>
      </c>
      <c r="AP26">
        <f t="shared" si="25"/>
        <v>1</v>
      </c>
      <c r="AQ26" s="3">
        <f t="shared" si="26"/>
        <v>225</v>
      </c>
      <c r="AR26" t="str">
        <f t="shared" si="31"/>
        <v>SNP</v>
      </c>
      <c r="AU26" t="str">
        <f>AT6</f>
        <v>Other</v>
      </c>
      <c r="AV26" s="2" t="str">
        <f>AT6&amp;" "&amp;""&amp;AV6</f>
        <v>Other 36</v>
      </c>
    </row>
    <row r="27" spans="1:48" x14ac:dyDescent="0.25">
      <c r="A27">
        <f t="shared" si="33"/>
        <v>25</v>
      </c>
      <c r="B27">
        <f t="shared" si="0"/>
        <v>1</v>
      </c>
      <c r="C27">
        <f t="shared" si="4"/>
        <v>1</v>
      </c>
      <c r="D27" s="15">
        <f t="shared" si="1"/>
        <v>5</v>
      </c>
      <c r="E27">
        <f t="shared" si="5"/>
        <v>1</v>
      </c>
      <c r="F27" s="3">
        <f t="shared" si="28"/>
        <v>120</v>
      </c>
      <c r="G27" s="3">
        <f t="shared" si="29"/>
        <v>2.0943951023931953</v>
      </c>
      <c r="H27" s="18">
        <f t="shared" si="6"/>
        <v>-0.49999999999999978</v>
      </c>
      <c r="I27" s="3">
        <f t="shared" si="7"/>
        <v>0.86602540378443871</v>
      </c>
      <c r="J27" s="19" t="str">
        <f t="shared" si="2"/>
        <v>C</v>
      </c>
      <c r="K27" s="20" t="e">
        <f t="shared" si="8"/>
        <v>#N/A</v>
      </c>
      <c r="L27" s="20" t="e">
        <f t="shared" si="9"/>
        <v>#N/A</v>
      </c>
      <c r="M27" s="20">
        <f t="shared" si="10"/>
        <v>-0.49999999999999978</v>
      </c>
      <c r="N27" s="20">
        <f t="shared" si="11"/>
        <v>0.86602540378443871</v>
      </c>
      <c r="O27" s="20" t="e">
        <f t="shared" si="12"/>
        <v>#N/A</v>
      </c>
      <c r="P27" s="20" t="e">
        <f t="shared" si="13"/>
        <v>#N/A</v>
      </c>
      <c r="Q27" s="20" t="e">
        <f t="shared" si="14"/>
        <v>#N/A</v>
      </c>
      <c r="R27" s="20" t="e">
        <f t="shared" si="15"/>
        <v>#N/A</v>
      </c>
      <c r="S27" s="20" t="e">
        <f t="shared" si="16"/>
        <v>#N/A</v>
      </c>
      <c r="T27" s="20" t="e">
        <f t="shared" si="17"/>
        <v>#N/A</v>
      </c>
      <c r="U27" s="3"/>
      <c r="AA27" s="4"/>
      <c r="AN27">
        <f t="shared" si="35"/>
        <v>5</v>
      </c>
      <c r="AO27" t="str">
        <f t="shared" si="30"/>
        <v>Other</v>
      </c>
      <c r="AP27">
        <f t="shared" si="25"/>
        <v>3</v>
      </c>
      <c r="AQ27" s="3">
        <f t="shared" si="26"/>
        <v>226</v>
      </c>
      <c r="AR27" t="str">
        <f t="shared" si="31"/>
        <v>Oth</v>
      </c>
      <c r="AU27" t="s">
        <v>22</v>
      </c>
      <c r="AV27">
        <v>0</v>
      </c>
    </row>
    <row r="28" spans="1:48" x14ac:dyDescent="0.25">
      <c r="A28">
        <f t="shared" si="33"/>
        <v>26</v>
      </c>
      <c r="B28">
        <f t="shared" si="0"/>
        <v>1</v>
      </c>
      <c r="C28">
        <f t="shared" si="4"/>
        <v>1</v>
      </c>
      <c r="D28" s="15">
        <f t="shared" si="1"/>
        <v>5</v>
      </c>
      <c r="E28">
        <f t="shared" si="5"/>
        <v>1</v>
      </c>
      <c r="F28" s="3">
        <f t="shared" si="28"/>
        <v>125</v>
      </c>
      <c r="G28" s="3">
        <f t="shared" si="29"/>
        <v>2.1816615649929116</v>
      </c>
      <c r="H28" s="18">
        <f t="shared" si="6"/>
        <v>-0.57357643635104583</v>
      </c>
      <c r="I28" s="3">
        <f t="shared" si="7"/>
        <v>0.81915204428899202</v>
      </c>
      <c r="J28" s="19" t="str">
        <f t="shared" si="2"/>
        <v>C</v>
      </c>
      <c r="K28" s="20" t="e">
        <f t="shared" si="8"/>
        <v>#N/A</v>
      </c>
      <c r="L28" s="20" t="e">
        <f t="shared" si="9"/>
        <v>#N/A</v>
      </c>
      <c r="M28" s="20">
        <f t="shared" si="10"/>
        <v>-0.57357643635104583</v>
      </c>
      <c r="N28" s="20">
        <f t="shared" si="11"/>
        <v>0.81915204428899202</v>
      </c>
      <c r="O28" s="20" t="e">
        <f t="shared" si="12"/>
        <v>#N/A</v>
      </c>
      <c r="P28" s="20" t="e">
        <f t="shared" si="13"/>
        <v>#N/A</v>
      </c>
      <c r="Q28" s="20" t="e">
        <f t="shared" si="14"/>
        <v>#N/A</v>
      </c>
      <c r="R28" s="20" t="e">
        <f t="shared" si="15"/>
        <v>#N/A</v>
      </c>
      <c r="S28" s="20" t="e">
        <f t="shared" si="16"/>
        <v>#N/A</v>
      </c>
      <c r="T28" s="20" t="e">
        <f t="shared" si="17"/>
        <v>#N/A</v>
      </c>
      <c r="U28" s="3"/>
      <c r="AA28" s="4"/>
      <c r="AN28">
        <f t="shared" si="35"/>
        <v>6</v>
      </c>
      <c r="AO28" t="str">
        <f t="shared" si="30"/>
        <v>Labour</v>
      </c>
      <c r="AP28">
        <f t="shared" si="25"/>
        <v>38</v>
      </c>
      <c r="AQ28" s="3">
        <f t="shared" si="26"/>
        <v>229</v>
      </c>
      <c r="AR28" t="str">
        <f t="shared" si="31"/>
        <v>L</v>
      </c>
      <c r="AU28" t="s">
        <v>23</v>
      </c>
      <c r="AV28" s="18">
        <f>0.75*SIN(90/180)</f>
        <v>0.35956915395315225</v>
      </c>
    </row>
    <row r="29" spans="1:48" x14ac:dyDescent="0.25">
      <c r="A29">
        <f t="shared" si="33"/>
        <v>27</v>
      </c>
      <c r="B29">
        <f t="shared" si="0"/>
        <v>1</v>
      </c>
      <c r="C29">
        <f t="shared" si="4"/>
        <v>1</v>
      </c>
      <c r="D29" s="15">
        <f t="shared" si="1"/>
        <v>5</v>
      </c>
      <c r="E29">
        <f t="shared" si="5"/>
        <v>1</v>
      </c>
      <c r="F29" s="3">
        <f t="shared" si="28"/>
        <v>130</v>
      </c>
      <c r="G29" s="3">
        <f t="shared" si="29"/>
        <v>2.2689280275926285</v>
      </c>
      <c r="H29" s="18">
        <f t="shared" si="6"/>
        <v>-0.64278760968653936</v>
      </c>
      <c r="I29" s="3">
        <f t="shared" si="7"/>
        <v>0.76604444311897801</v>
      </c>
      <c r="J29" s="19" t="str">
        <f t="shared" si="2"/>
        <v>LD</v>
      </c>
      <c r="K29" s="20" t="e">
        <f t="shared" si="8"/>
        <v>#N/A</v>
      </c>
      <c r="L29" s="20" t="e">
        <f t="shared" si="9"/>
        <v>#N/A</v>
      </c>
      <c r="M29" s="20" t="e">
        <f t="shared" si="10"/>
        <v>#N/A</v>
      </c>
      <c r="N29" s="20" t="e">
        <f t="shared" si="11"/>
        <v>#N/A</v>
      </c>
      <c r="O29" s="20">
        <f t="shared" si="12"/>
        <v>-0.64278760968653936</v>
      </c>
      <c r="P29" s="20">
        <f t="shared" si="13"/>
        <v>0.76604444311897801</v>
      </c>
      <c r="Q29" s="20" t="e">
        <f t="shared" si="14"/>
        <v>#N/A</v>
      </c>
      <c r="R29" s="20" t="e">
        <f t="shared" si="15"/>
        <v>#N/A</v>
      </c>
      <c r="S29" s="20" t="e">
        <f t="shared" si="16"/>
        <v>#N/A</v>
      </c>
      <c r="T29" s="20" t="e">
        <f t="shared" si="17"/>
        <v>#N/A</v>
      </c>
      <c r="U29" s="3"/>
      <c r="AA29" s="4"/>
      <c r="AN29">
        <f t="shared" si="35"/>
        <v>6</v>
      </c>
      <c r="AO29" t="str">
        <f t="shared" si="30"/>
        <v>Conservatives</v>
      </c>
      <c r="AP29">
        <f t="shared" si="25"/>
        <v>11</v>
      </c>
      <c r="AQ29" s="3">
        <f t="shared" si="26"/>
        <v>267</v>
      </c>
      <c r="AR29" t="str">
        <f t="shared" si="31"/>
        <v>C</v>
      </c>
    </row>
    <row r="30" spans="1:48" x14ac:dyDescent="0.25">
      <c r="A30">
        <f t="shared" si="33"/>
        <v>28</v>
      </c>
      <c r="B30">
        <f t="shared" si="0"/>
        <v>1</v>
      </c>
      <c r="C30">
        <f t="shared" si="4"/>
        <v>1</v>
      </c>
      <c r="D30" s="15">
        <f t="shared" si="1"/>
        <v>5</v>
      </c>
      <c r="E30">
        <f t="shared" si="5"/>
        <v>1</v>
      </c>
      <c r="F30" s="3">
        <f t="shared" si="28"/>
        <v>135</v>
      </c>
      <c r="G30" s="3">
        <f t="shared" si="29"/>
        <v>2.3561944901923448</v>
      </c>
      <c r="H30" s="18">
        <f t="shared" si="6"/>
        <v>-0.70710678118654746</v>
      </c>
      <c r="I30" s="3">
        <f t="shared" si="7"/>
        <v>0.70710678118654757</v>
      </c>
      <c r="J30" s="19" t="str">
        <f t="shared" si="2"/>
        <v>LD</v>
      </c>
      <c r="K30" s="20" t="e">
        <f t="shared" si="8"/>
        <v>#N/A</v>
      </c>
      <c r="L30" s="20" t="e">
        <f t="shared" si="9"/>
        <v>#N/A</v>
      </c>
      <c r="M30" s="20" t="e">
        <f t="shared" si="10"/>
        <v>#N/A</v>
      </c>
      <c r="N30" s="20" t="e">
        <f t="shared" si="11"/>
        <v>#N/A</v>
      </c>
      <c r="O30" s="20">
        <f t="shared" si="12"/>
        <v>-0.70710678118654746</v>
      </c>
      <c r="P30" s="20">
        <f t="shared" si="13"/>
        <v>0.70710678118654757</v>
      </c>
      <c r="Q30" s="20" t="e">
        <f t="shared" si="14"/>
        <v>#N/A</v>
      </c>
      <c r="R30" s="20" t="e">
        <f t="shared" si="15"/>
        <v>#N/A</v>
      </c>
      <c r="S30" s="20" t="e">
        <f t="shared" si="16"/>
        <v>#N/A</v>
      </c>
      <c r="T30" s="20" t="e">
        <f t="shared" si="17"/>
        <v>#N/A</v>
      </c>
      <c r="U30" s="3"/>
      <c r="AA30" s="4"/>
      <c r="AN30">
        <f t="shared" si="35"/>
        <v>6</v>
      </c>
      <c r="AO30" t="str">
        <f t="shared" si="30"/>
        <v>Lib Dem</v>
      </c>
      <c r="AP30">
        <f t="shared" si="25"/>
        <v>7</v>
      </c>
      <c r="AQ30" s="3">
        <f t="shared" si="26"/>
        <v>278</v>
      </c>
      <c r="AR30" t="str">
        <f t="shared" si="31"/>
        <v>LD</v>
      </c>
    </row>
    <row r="31" spans="1:48" x14ac:dyDescent="0.25">
      <c r="A31">
        <f t="shared" si="33"/>
        <v>29</v>
      </c>
      <c r="B31">
        <f t="shared" si="0"/>
        <v>1</v>
      </c>
      <c r="C31">
        <f t="shared" si="4"/>
        <v>1</v>
      </c>
      <c r="D31" s="15">
        <f t="shared" si="1"/>
        <v>5</v>
      </c>
      <c r="E31">
        <f t="shared" si="5"/>
        <v>1</v>
      </c>
      <c r="F31" s="3">
        <f t="shared" si="28"/>
        <v>140</v>
      </c>
      <c r="G31" s="3">
        <f t="shared" si="29"/>
        <v>2.4434609527920612</v>
      </c>
      <c r="H31" s="18">
        <f t="shared" si="6"/>
        <v>-0.7660444431189779</v>
      </c>
      <c r="I31" s="3">
        <f t="shared" si="7"/>
        <v>0.64278760968653947</v>
      </c>
      <c r="J31" s="19" t="str">
        <f t="shared" si="2"/>
        <v>LD</v>
      </c>
      <c r="K31" s="20" t="e">
        <f t="shared" si="8"/>
        <v>#N/A</v>
      </c>
      <c r="L31" s="20" t="e">
        <f t="shared" si="9"/>
        <v>#N/A</v>
      </c>
      <c r="M31" s="20" t="e">
        <f t="shared" si="10"/>
        <v>#N/A</v>
      </c>
      <c r="N31" s="20" t="e">
        <f t="shared" si="11"/>
        <v>#N/A</v>
      </c>
      <c r="O31" s="20">
        <f t="shared" si="12"/>
        <v>-0.7660444431189779</v>
      </c>
      <c r="P31" s="20">
        <f t="shared" si="13"/>
        <v>0.64278760968653947</v>
      </c>
      <c r="Q31" s="20" t="e">
        <f t="shared" si="14"/>
        <v>#N/A</v>
      </c>
      <c r="R31" s="20" t="e">
        <f t="shared" si="15"/>
        <v>#N/A</v>
      </c>
      <c r="S31" s="20" t="e">
        <f t="shared" si="16"/>
        <v>#N/A</v>
      </c>
      <c r="T31" s="20" t="e">
        <f t="shared" si="17"/>
        <v>#N/A</v>
      </c>
      <c r="U31" s="3"/>
      <c r="AA31" s="4"/>
      <c r="AN31">
        <f t="shared" si="35"/>
        <v>6</v>
      </c>
      <c r="AO31" t="str">
        <f t="shared" si="30"/>
        <v>SNP</v>
      </c>
      <c r="AP31">
        <f t="shared" si="25"/>
        <v>1</v>
      </c>
      <c r="AQ31" s="3">
        <f t="shared" si="26"/>
        <v>285</v>
      </c>
      <c r="AR31" t="str">
        <f t="shared" si="31"/>
        <v>SNP</v>
      </c>
    </row>
    <row r="32" spans="1:48" x14ac:dyDescent="0.25">
      <c r="A32">
        <f t="shared" si="33"/>
        <v>30</v>
      </c>
      <c r="B32">
        <f t="shared" si="0"/>
        <v>1</v>
      </c>
      <c r="C32">
        <f t="shared" si="4"/>
        <v>1</v>
      </c>
      <c r="D32" s="15">
        <f t="shared" si="1"/>
        <v>5</v>
      </c>
      <c r="E32">
        <f t="shared" si="5"/>
        <v>1</v>
      </c>
      <c r="F32" s="3">
        <f t="shared" si="28"/>
        <v>145</v>
      </c>
      <c r="G32" s="3">
        <f t="shared" si="29"/>
        <v>2.530727415391778</v>
      </c>
      <c r="H32" s="18">
        <f t="shared" si="6"/>
        <v>-0.81915204428899191</v>
      </c>
      <c r="I32" s="3">
        <f t="shared" si="7"/>
        <v>0.57357643635104594</v>
      </c>
      <c r="J32" s="19" t="str">
        <f t="shared" si="2"/>
        <v>LD</v>
      </c>
      <c r="K32" s="20" t="e">
        <f t="shared" si="8"/>
        <v>#N/A</v>
      </c>
      <c r="L32" s="20" t="e">
        <f t="shared" si="9"/>
        <v>#N/A</v>
      </c>
      <c r="M32" s="20" t="e">
        <f t="shared" si="10"/>
        <v>#N/A</v>
      </c>
      <c r="N32" s="20" t="e">
        <f t="shared" si="11"/>
        <v>#N/A</v>
      </c>
      <c r="O32" s="20">
        <f t="shared" si="12"/>
        <v>-0.81915204428899191</v>
      </c>
      <c r="P32" s="20">
        <f t="shared" si="13"/>
        <v>0.57357643635104594</v>
      </c>
      <c r="Q32" s="20" t="e">
        <f t="shared" si="14"/>
        <v>#N/A</v>
      </c>
      <c r="R32" s="20" t="e">
        <f t="shared" si="15"/>
        <v>#N/A</v>
      </c>
      <c r="S32" s="20" t="e">
        <f t="shared" si="16"/>
        <v>#N/A</v>
      </c>
      <c r="T32" s="20" t="e">
        <f t="shared" si="17"/>
        <v>#N/A</v>
      </c>
      <c r="U32" s="3"/>
      <c r="AA32" s="4"/>
      <c r="AN32">
        <f t="shared" si="35"/>
        <v>6</v>
      </c>
      <c r="AO32" t="str">
        <f t="shared" si="30"/>
        <v>Other</v>
      </c>
      <c r="AP32">
        <f t="shared" si="25"/>
        <v>3</v>
      </c>
      <c r="AQ32" s="3">
        <f t="shared" si="26"/>
        <v>286</v>
      </c>
      <c r="AR32" t="str">
        <f t="shared" si="31"/>
        <v>Oth</v>
      </c>
    </row>
    <row r="33" spans="1:44" x14ac:dyDescent="0.25">
      <c r="A33">
        <f t="shared" si="33"/>
        <v>31</v>
      </c>
      <c r="B33">
        <f t="shared" si="0"/>
        <v>1</v>
      </c>
      <c r="C33">
        <f t="shared" si="4"/>
        <v>1</v>
      </c>
      <c r="D33" s="15">
        <f t="shared" si="1"/>
        <v>5</v>
      </c>
      <c r="E33">
        <f t="shared" si="5"/>
        <v>1</v>
      </c>
      <c r="F33" s="3">
        <f t="shared" si="28"/>
        <v>150</v>
      </c>
      <c r="G33" s="3">
        <f t="shared" si="29"/>
        <v>2.6179938779914944</v>
      </c>
      <c r="H33" s="18">
        <f t="shared" si="6"/>
        <v>-0.86602540378443871</v>
      </c>
      <c r="I33" s="3">
        <f t="shared" si="7"/>
        <v>0.49999999999999994</v>
      </c>
      <c r="J33" s="19" t="str">
        <f t="shared" si="2"/>
        <v>LD</v>
      </c>
      <c r="K33" s="20" t="e">
        <f t="shared" si="8"/>
        <v>#N/A</v>
      </c>
      <c r="L33" s="20" t="e">
        <f t="shared" si="9"/>
        <v>#N/A</v>
      </c>
      <c r="M33" s="20" t="e">
        <f t="shared" si="10"/>
        <v>#N/A</v>
      </c>
      <c r="N33" s="20" t="e">
        <f t="shared" si="11"/>
        <v>#N/A</v>
      </c>
      <c r="O33" s="20">
        <f t="shared" si="12"/>
        <v>-0.86602540378443871</v>
      </c>
      <c r="P33" s="20">
        <f t="shared" si="13"/>
        <v>0.49999999999999994</v>
      </c>
      <c r="Q33" s="20" t="e">
        <f t="shared" si="14"/>
        <v>#N/A</v>
      </c>
      <c r="R33" s="20" t="e">
        <f t="shared" si="15"/>
        <v>#N/A</v>
      </c>
      <c r="S33" s="20" t="e">
        <f t="shared" si="16"/>
        <v>#N/A</v>
      </c>
      <c r="T33" s="20" t="e">
        <f t="shared" si="17"/>
        <v>#N/A</v>
      </c>
      <c r="U33" s="3"/>
      <c r="AA33" s="4"/>
      <c r="AN33">
        <f t="shared" si="35"/>
        <v>7</v>
      </c>
      <c r="AO33" t="str">
        <f t="shared" si="30"/>
        <v>Labour</v>
      </c>
      <c r="AP33">
        <f t="shared" si="25"/>
        <v>42</v>
      </c>
      <c r="AQ33" s="3">
        <f t="shared" si="26"/>
        <v>289</v>
      </c>
      <c r="AR33" t="str">
        <f t="shared" si="31"/>
        <v>L</v>
      </c>
    </row>
    <row r="34" spans="1:44" x14ac:dyDescent="0.25">
      <c r="A34">
        <f t="shared" si="33"/>
        <v>32</v>
      </c>
      <c r="B34">
        <f t="shared" si="0"/>
        <v>1</v>
      </c>
      <c r="C34">
        <f t="shared" si="4"/>
        <v>1</v>
      </c>
      <c r="D34" s="15">
        <f t="shared" si="1"/>
        <v>5</v>
      </c>
      <c r="E34">
        <f t="shared" si="5"/>
        <v>1</v>
      </c>
      <c r="F34" s="3">
        <f t="shared" si="28"/>
        <v>155</v>
      </c>
      <c r="G34" s="3">
        <f t="shared" si="29"/>
        <v>2.7052603405912108</v>
      </c>
      <c r="H34" s="18">
        <f t="shared" si="6"/>
        <v>-0.90630778703664994</v>
      </c>
      <c r="I34" s="3">
        <f t="shared" si="7"/>
        <v>0.4226182617406995</v>
      </c>
      <c r="J34" s="19" t="str">
        <f t="shared" si="2"/>
        <v>LD</v>
      </c>
      <c r="K34" s="20" t="e">
        <f t="shared" si="8"/>
        <v>#N/A</v>
      </c>
      <c r="L34" s="20" t="e">
        <f t="shared" si="9"/>
        <v>#N/A</v>
      </c>
      <c r="M34" s="20" t="e">
        <f t="shared" si="10"/>
        <v>#N/A</v>
      </c>
      <c r="N34" s="20" t="e">
        <f t="shared" si="11"/>
        <v>#N/A</v>
      </c>
      <c r="O34" s="20">
        <f t="shared" si="12"/>
        <v>-0.90630778703664994</v>
      </c>
      <c r="P34" s="20">
        <f t="shared" si="13"/>
        <v>0.4226182617406995</v>
      </c>
      <c r="Q34" s="20" t="e">
        <f t="shared" si="14"/>
        <v>#N/A</v>
      </c>
      <c r="R34" s="20" t="e">
        <f t="shared" si="15"/>
        <v>#N/A</v>
      </c>
      <c r="S34" s="20" t="e">
        <f t="shared" si="16"/>
        <v>#N/A</v>
      </c>
      <c r="T34" s="20" t="e">
        <f t="shared" si="17"/>
        <v>#N/A</v>
      </c>
      <c r="U34" s="3"/>
      <c r="AA34" s="4"/>
      <c r="AN34">
        <f t="shared" si="35"/>
        <v>7</v>
      </c>
      <c r="AO34" t="str">
        <f t="shared" si="30"/>
        <v>Conservatives</v>
      </c>
      <c r="AP34">
        <f t="shared" si="25"/>
        <v>12</v>
      </c>
      <c r="AQ34" s="3">
        <f t="shared" si="26"/>
        <v>331</v>
      </c>
      <c r="AR34" t="str">
        <f t="shared" si="31"/>
        <v>C</v>
      </c>
    </row>
    <row r="35" spans="1:44" x14ac:dyDescent="0.25">
      <c r="A35">
        <f t="shared" si="33"/>
        <v>33</v>
      </c>
      <c r="B35">
        <f t="shared" si="0"/>
        <v>1</v>
      </c>
      <c r="C35">
        <f t="shared" si="4"/>
        <v>1</v>
      </c>
      <c r="D35" s="15">
        <f t="shared" si="1"/>
        <v>5</v>
      </c>
      <c r="E35">
        <f t="shared" si="5"/>
        <v>1</v>
      </c>
      <c r="F35" s="3">
        <f t="shared" si="28"/>
        <v>160</v>
      </c>
      <c r="G35" s="3">
        <f t="shared" si="29"/>
        <v>2.7925268031909272</v>
      </c>
      <c r="H35" s="18">
        <f t="shared" si="6"/>
        <v>-0.93969262078590832</v>
      </c>
      <c r="I35" s="3">
        <f t="shared" si="7"/>
        <v>0.34202014332566888</v>
      </c>
      <c r="J35" s="19" t="str">
        <f t="shared" si="2"/>
        <v>SNP</v>
      </c>
      <c r="K35" s="20" t="e">
        <f t="shared" si="8"/>
        <v>#N/A</v>
      </c>
      <c r="L35" s="20" t="e">
        <f t="shared" si="9"/>
        <v>#N/A</v>
      </c>
      <c r="M35" s="20" t="e">
        <f t="shared" si="10"/>
        <v>#N/A</v>
      </c>
      <c r="N35" s="20" t="e">
        <f t="shared" si="11"/>
        <v>#N/A</v>
      </c>
      <c r="O35" s="20" t="e">
        <f t="shared" si="12"/>
        <v>#N/A</v>
      </c>
      <c r="P35" s="20" t="e">
        <f t="shared" si="13"/>
        <v>#N/A</v>
      </c>
      <c r="Q35" s="20">
        <f t="shared" si="14"/>
        <v>-0.93969262078590832</v>
      </c>
      <c r="R35" s="20">
        <f t="shared" si="15"/>
        <v>0.34202014332566888</v>
      </c>
      <c r="S35" s="20" t="e">
        <f t="shared" si="16"/>
        <v>#N/A</v>
      </c>
      <c r="T35" s="20" t="e">
        <f t="shared" si="17"/>
        <v>#N/A</v>
      </c>
      <c r="U35" s="3"/>
      <c r="AA35" s="4"/>
      <c r="AN35">
        <f t="shared" si="35"/>
        <v>7</v>
      </c>
      <c r="AO35" t="str">
        <f t="shared" si="30"/>
        <v>Lib Dem</v>
      </c>
      <c r="AP35">
        <f t="shared" si="25"/>
        <v>7</v>
      </c>
      <c r="AQ35" s="3">
        <f t="shared" si="26"/>
        <v>343</v>
      </c>
      <c r="AR35" t="str">
        <f t="shared" si="31"/>
        <v>LD</v>
      </c>
    </row>
    <row r="36" spans="1:44" x14ac:dyDescent="0.25">
      <c r="A36">
        <f t="shared" si="33"/>
        <v>34</v>
      </c>
      <c r="B36">
        <f t="shared" si="0"/>
        <v>1</v>
      </c>
      <c r="C36">
        <f t="shared" si="4"/>
        <v>1</v>
      </c>
      <c r="D36" s="15">
        <f t="shared" si="1"/>
        <v>5</v>
      </c>
      <c r="E36">
        <f t="shared" si="5"/>
        <v>1</v>
      </c>
      <c r="F36" s="3">
        <f t="shared" si="28"/>
        <v>165</v>
      </c>
      <c r="G36" s="3">
        <f t="shared" si="29"/>
        <v>2.8797932657906435</v>
      </c>
      <c r="H36" s="18">
        <f t="shared" si="6"/>
        <v>-0.9659258262890682</v>
      </c>
      <c r="I36" s="3">
        <f t="shared" si="7"/>
        <v>0.25881904510252102</v>
      </c>
      <c r="J36" s="19" t="str">
        <f t="shared" si="2"/>
        <v>SNP</v>
      </c>
      <c r="K36" s="20" t="e">
        <f t="shared" si="8"/>
        <v>#N/A</v>
      </c>
      <c r="L36" s="20" t="e">
        <f t="shared" si="9"/>
        <v>#N/A</v>
      </c>
      <c r="M36" s="20" t="e">
        <f t="shared" si="10"/>
        <v>#N/A</v>
      </c>
      <c r="N36" s="20" t="e">
        <f t="shared" si="11"/>
        <v>#N/A</v>
      </c>
      <c r="O36" s="20" t="e">
        <f t="shared" si="12"/>
        <v>#N/A</v>
      </c>
      <c r="P36" s="20" t="e">
        <f t="shared" si="13"/>
        <v>#N/A</v>
      </c>
      <c r="Q36" s="20">
        <f t="shared" si="14"/>
        <v>-0.9659258262890682</v>
      </c>
      <c r="R36" s="20">
        <f t="shared" si="15"/>
        <v>0.25881904510252102</v>
      </c>
      <c r="S36" s="20" t="e">
        <f t="shared" si="16"/>
        <v>#N/A</v>
      </c>
      <c r="T36" s="20" t="e">
        <f t="shared" si="17"/>
        <v>#N/A</v>
      </c>
      <c r="U36" s="3"/>
      <c r="AA36" s="4"/>
      <c r="AN36">
        <f t="shared" si="35"/>
        <v>7</v>
      </c>
      <c r="AO36" t="str">
        <f t="shared" si="30"/>
        <v>SNP</v>
      </c>
      <c r="AP36">
        <f t="shared" si="25"/>
        <v>1</v>
      </c>
      <c r="AQ36" s="3">
        <f t="shared" si="26"/>
        <v>350</v>
      </c>
      <c r="AR36" t="str">
        <f t="shared" si="31"/>
        <v>SNP</v>
      </c>
    </row>
    <row r="37" spans="1:44" x14ac:dyDescent="0.25">
      <c r="A37">
        <f t="shared" si="33"/>
        <v>35</v>
      </c>
      <c r="B37">
        <f t="shared" si="0"/>
        <v>1</v>
      </c>
      <c r="C37">
        <f t="shared" si="4"/>
        <v>1</v>
      </c>
      <c r="D37" s="15">
        <f t="shared" si="1"/>
        <v>5</v>
      </c>
      <c r="E37">
        <f t="shared" si="5"/>
        <v>1</v>
      </c>
      <c r="F37" s="3">
        <f t="shared" si="28"/>
        <v>170</v>
      </c>
      <c r="G37" s="3">
        <f t="shared" si="29"/>
        <v>2.9670597283903599</v>
      </c>
      <c r="H37" s="18">
        <f t="shared" si="6"/>
        <v>-0.98480775301220802</v>
      </c>
      <c r="I37" s="3">
        <f t="shared" si="7"/>
        <v>0.17364817766693069</v>
      </c>
      <c r="J37" s="19" t="str">
        <f t="shared" si="2"/>
        <v>Oth</v>
      </c>
      <c r="K37" s="20" t="e">
        <f t="shared" si="8"/>
        <v>#N/A</v>
      </c>
      <c r="L37" s="20" t="e">
        <f t="shared" si="9"/>
        <v>#N/A</v>
      </c>
      <c r="M37" s="20" t="e">
        <f t="shared" si="10"/>
        <v>#N/A</v>
      </c>
      <c r="N37" s="20" t="e">
        <f t="shared" si="11"/>
        <v>#N/A</v>
      </c>
      <c r="O37" s="20" t="e">
        <f t="shared" si="12"/>
        <v>#N/A</v>
      </c>
      <c r="P37" s="20" t="e">
        <f t="shared" si="13"/>
        <v>#N/A</v>
      </c>
      <c r="Q37" s="20" t="e">
        <f t="shared" si="14"/>
        <v>#N/A</v>
      </c>
      <c r="R37" s="20" t="e">
        <f t="shared" si="15"/>
        <v>#N/A</v>
      </c>
      <c r="S37" s="20">
        <f t="shared" si="16"/>
        <v>-0.98480775301220802</v>
      </c>
      <c r="T37" s="20">
        <f t="shared" si="17"/>
        <v>0.17364817766693069</v>
      </c>
      <c r="U37" s="3"/>
      <c r="AA37" s="4"/>
      <c r="AN37">
        <f t="shared" si="35"/>
        <v>7</v>
      </c>
      <c r="AO37" t="str">
        <f t="shared" si="30"/>
        <v>Other</v>
      </c>
      <c r="AP37">
        <f t="shared" si="25"/>
        <v>3</v>
      </c>
      <c r="AQ37" s="3">
        <f t="shared" si="26"/>
        <v>351</v>
      </c>
      <c r="AR37" t="str">
        <f t="shared" si="31"/>
        <v>Oth</v>
      </c>
    </row>
    <row r="38" spans="1:44" x14ac:dyDescent="0.25">
      <c r="A38">
        <f t="shared" si="33"/>
        <v>36</v>
      </c>
      <c r="B38">
        <f t="shared" si="0"/>
        <v>1</v>
      </c>
      <c r="C38">
        <f t="shared" si="4"/>
        <v>1</v>
      </c>
      <c r="D38" s="15">
        <f t="shared" si="1"/>
        <v>5</v>
      </c>
      <c r="E38">
        <f t="shared" si="5"/>
        <v>1</v>
      </c>
      <c r="F38" s="3">
        <f t="shared" si="28"/>
        <v>175</v>
      </c>
      <c r="G38" s="3">
        <f t="shared" si="29"/>
        <v>3.0543261909900767</v>
      </c>
      <c r="H38" s="18">
        <f t="shared" si="6"/>
        <v>-0.99619469809174555</v>
      </c>
      <c r="I38" s="3">
        <f t="shared" si="7"/>
        <v>8.7155742747658194E-2</v>
      </c>
      <c r="J38" s="19" t="str">
        <f t="shared" si="2"/>
        <v>Oth</v>
      </c>
      <c r="K38" s="20" t="e">
        <f t="shared" si="8"/>
        <v>#N/A</v>
      </c>
      <c r="L38" s="20" t="e">
        <f t="shared" si="9"/>
        <v>#N/A</v>
      </c>
      <c r="M38" s="20" t="e">
        <f t="shared" si="10"/>
        <v>#N/A</v>
      </c>
      <c r="N38" s="20" t="e">
        <f t="shared" si="11"/>
        <v>#N/A</v>
      </c>
      <c r="O38" s="20" t="e">
        <f t="shared" si="12"/>
        <v>#N/A</v>
      </c>
      <c r="P38" s="20" t="e">
        <f t="shared" si="13"/>
        <v>#N/A</v>
      </c>
      <c r="Q38" s="20" t="e">
        <f t="shared" si="14"/>
        <v>#N/A</v>
      </c>
      <c r="R38" s="20" t="e">
        <f t="shared" si="15"/>
        <v>#N/A</v>
      </c>
      <c r="S38" s="20">
        <f t="shared" si="16"/>
        <v>-0.99619469809174555</v>
      </c>
      <c r="T38" s="20">
        <f t="shared" si="17"/>
        <v>8.7155742747658194E-2</v>
      </c>
      <c r="U38" s="3"/>
      <c r="AA38" s="4"/>
      <c r="AN38">
        <f t="shared" si="35"/>
        <v>8</v>
      </c>
      <c r="AO38" t="str">
        <f t="shared" si="30"/>
        <v>Labour</v>
      </c>
      <c r="AP38">
        <f t="shared" si="25"/>
        <v>46</v>
      </c>
      <c r="AQ38" s="3">
        <f t="shared" si="26"/>
        <v>354</v>
      </c>
      <c r="AR38" t="str">
        <f t="shared" si="31"/>
        <v>L</v>
      </c>
    </row>
    <row r="39" spans="1:44" x14ac:dyDescent="0.25">
      <c r="A39">
        <f t="shared" si="33"/>
        <v>37</v>
      </c>
      <c r="B39">
        <f t="shared" si="0"/>
        <v>1</v>
      </c>
      <c r="C39">
        <f t="shared" si="4"/>
        <v>1</v>
      </c>
      <c r="D39" s="15">
        <f t="shared" si="1"/>
        <v>5</v>
      </c>
      <c r="E39">
        <f t="shared" si="5"/>
        <v>1</v>
      </c>
      <c r="F39" s="3">
        <f t="shared" si="28"/>
        <v>180</v>
      </c>
      <c r="G39" s="3">
        <f t="shared" si="29"/>
        <v>3.1415926535897931</v>
      </c>
      <c r="H39" s="18">
        <f t="shared" si="6"/>
        <v>-1</v>
      </c>
      <c r="I39" s="3">
        <f t="shared" si="7"/>
        <v>1.22514845490862E-16</v>
      </c>
      <c r="J39" s="19" t="str">
        <f t="shared" si="2"/>
        <v>Oth</v>
      </c>
      <c r="K39" s="20" t="e">
        <f t="shared" si="8"/>
        <v>#N/A</v>
      </c>
      <c r="L39" s="20" t="e">
        <f t="shared" si="9"/>
        <v>#N/A</v>
      </c>
      <c r="M39" s="20" t="e">
        <f t="shared" si="10"/>
        <v>#N/A</v>
      </c>
      <c r="N39" s="20" t="e">
        <f t="shared" si="11"/>
        <v>#N/A</v>
      </c>
      <c r="O39" s="20" t="e">
        <f t="shared" si="12"/>
        <v>#N/A</v>
      </c>
      <c r="P39" s="20" t="e">
        <f t="shared" si="13"/>
        <v>#N/A</v>
      </c>
      <c r="Q39" s="20" t="e">
        <f t="shared" si="14"/>
        <v>#N/A</v>
      </c>
      <c r="R39" s="20" t="e">
        <f t="shared" si="15"/>
        <v>#N/A</v>
      </c>
      <c r="S39" s="20">
        <f t="shared" si="16"/>
        <v>-1</v>
      </c>
      <c r="T39" s="20">
        <f t="shared" si="17"/>
        <v>1.22514845490862E-16</v>
      </c>
      <c r="U39" s="3"/>
      <c r="AA39" s="4"/>
      <c r="AN39">
        <f t="shared" si="35"/>
        <v>8</v>
      </c>
      <c r="AO39" t="str">
        <f t="shared" si="30"/>
        <v>Conservatives</v>
      </c>
      <c r="AP39">
        <f t="shared" si="25"/>
        <v>13</v>
      </c>
      <c r="AQ39" s="3">
        <f t="shared" si="26"/>
        <v>400</v>
      </c>
      <c r="AR39" t="str">
        <f t="shared" si="31"/>
        <v>C</v>
      </c>
    </row>
    <row r="40" spans="1:44" x14ac:dyDescent="0.25">
      <c r="A40">
        <f t="shared" si="33"/>
        <v>38</v>
      </c>
      <c r="B40">
        <f t="shared" si="0"/>
        <v>2</v>
      </c>
      <c r="C40">
        <f t="shared" si="4"/>
        <v>1.1000000000000001</v>
      </c>
      <c r="D40" s="15">
        <f t="shared" si="1"/>
        <v>4.5</v>
      </c>
      <c r="E40">
        <f t="shared" si="5"/>
        <v>0</v>
      </c>
      <c r="F40" s="3">
        <f t="shared" si="28"/>
        <v>0</v>
      </c>
      <c r="G40" s="3">
        <f t="shared" si="29"/>
        <v>0</v>
      </c>
      <c r="H40" s="18">
        <f t="shared" si="6"/>
        <v>1.1000000000000001</v>
      </c>
      <c r="I40" s="3">
        <f t="shared" si="7"/>
        <v>0</v>
      </c>
      <c r="J40" s="19" t="str">
        <f t="shared" si="2"/>
        <v>L</v>
      </c>
      <c r="K40" s="20">
        <f t="shared" si="8"/>
        <v>1.1000000000000001</v>
      </c>
      <c r="L40" s="20">
        <f t="shared" si="9"/>
        <v>0</v>
      </c>
      <c r="M40" s="20" t="e">
        <f t="shared" si="10"/>
        <v>#N/A</v>
      </c>
      <c r="N40" s="20" t="e">
        <f t="shared" si="11"/>
        <v>#N/A</v>
      </c>
      <c r="O40" s="20" t="e">
        <f t="shared" si="12"/>
        <v>#N/A</v>
      </c>
      <c r="P40" s="20" t="e">
        <f t="shared" si="13"/>
        <v>#N/A</v>
      </c>
      <c r="Q40" s="20" t="e">
        <f t="shared" si="14"/>
        <v>#N/A</v>
      </c>
      <c r="R40" s="20" t="e">
        <f t="shared" si="15"/>
        <v>#N/A</v>
      </c>
      <c r="S40" s="20" t="e">
        <f t="shared" si="16"/>
        <v>#N/A</v>
      </c>
      <c r="T40" s="20" t="e">
        <f t="shared" si="17"/>
        <v>#N/A</v>
      </c>
      <c r="U40" s="3"/>
      <c r="AA40" s="4"/>
      <c r="AN40">
        <f t="shared" si="35"/>
        <v>8</v>
      </c>
      <c r="AO40" t="str">
        <f t="shared" si="30"/>
        <v>Lib Dem</v>
      </c>
      <c r="AP40">
        <f t="shared" si="25"/>
        <v>6</v>
      </c>
      <c r="AQ40" s="3">
        <f t="shared" si="26"/>
        <v>413</v>
      </c>
      <c r="AR40" t="str">
        <f t="shared" si="31"/>
        <v>LD</v>
      </c>
    </row>
    <row r="41" spans="1:44" x14ac:dyDescent="0.25">
      <c r="A41">
        <f t="shared" si="33"/>
        <v>39</v>
      </c>
      <c r="B41">
        <f t="shared" si="0"/>
        <v>2</v>
      </c>
      <c r="C41">
        <f t="shared" si="4"/>
        <v>1.1000000000000001</v>
      </c>
      <c r="D41" s="15">
        <f t="shared" si="1"/>
        <v>4.5</v>
      </c>
      <c r="E41">
        <f t="shared" si="5"/>
        <v>1</v>
      </c>
      <c r="F41" s="3">
        <f t="shared" si="28"/>
        <v>4.5</v>
      </c>
      <c r="G41" s="3">
        <f t="shared" si="29"/>
        <v>7.8539816339744828E-2</v>
      </c>
      <c r="H41" s="18">
        <f t="shared" si="6"/>
        <v>1.0966090671064408</v>
      </c>
      <c r="I41" s="3">
        <f t="shared" si="7"/>
        <v>8.6305005300629442E-2</v>
      </c>
      <c r="J41" s="19" t="str">
        <f t="shared" si="2"/>
        <v>L</v>
      </c>
      <c r="K41" s="20">
        <f t="shared" si="8"/>
        <v>1.0966090671064408</v>
      </c>
      <c r="L41" s="20">
        <f t="shared" si="9"/>
        <v>8.6305005300629442E-2</v>
      </c>
      <c r="M41" s="20" t="e">
        <f t="shared" si="10"/>
        <v>#N/A</v>
      </c>
      <c r="N41" s="20" t="e">
        <f t="shared" si="11"/>
        <v>#N/A</v>
      </c>
      <c r="O41" s="20" t="e">
        <f t="shared" si="12"/>
        <v>#N/A</v>
      </c>
      <c r="P41" s="20" t="e">
        <f t="shared" si="13"/>
        <v>#N/A</v>
      </c>
      <c r="Q41" s="20" t="e">
        <f t="shared" si="14"/>
        <v>#N/A</v>
      </c>
      <c r="R41" s="20" t="e">
        <f t="shared" si="15"/>
        <v>#N/A</v>
      </c>
      <c r="S41" s="20" t="e">
        <f t="shared" si="16"/>
        <v>#N/A</v>
      </c>
      <c r="T41" s="20" t="e">
        <f t="shared" si="17"/>
        <v>#N/A</v>
      </c>
      <c r="U41" s="3"/>
      <c r="AA41" s="4"/>
      <c r="AN41">
        <f t="shared" si="35"/>
        <v>8</v>
      </c>
      <c r="AO41" t="str">
        <f t="shared" si="30"/>
        <v>SNP</v>
      </c>
      <c r="AP41">
        <f t="shared" si="25"/>
        <v>1</v>
      </c>
      <c r="AQ41" s="3">
        <f t="shared" si="26"/>
        <v>419</v>
      </c>
      <c r="AR41" t="str">
        <f t="shared" si="31"/>
        <v>SNP</v>
      </c>
    </row>
    <row r="42" spans="1:44" x14ac:dyDescent="0.25">
      <c r="A42">
        <f t="shared" si="33"/>
        <v>40</v>
      </c>
      <c r="B42">
        <f t="shared" si="0"/>
        <v>2</v>
      </c>
      <c r="C42">
        <f t="shared" si="4"/>
        <v>1.1000000000000001</v>
      </c>
      <c r="D42" s="15">
        <f t="shared" si="1"/>
        <v>4.5</v>
      </c>
      <c r="E42">
        <f t="shared" si="5"/>
        <v>1</v>
      </c>
      <c r="F42" s="3">
        <f t="shared" si="28"/>
        <v>9</v>
      </c>
      <c r="G42" s="3">
        <f t="shared" si="29"/>
        <v>0.15707963267948966</v>
      </c>
      <c r="H42" s="18">
        <f t="shared" si="6"/>
        <v>1.0864571746546516</v>
      </c>
      <c r="I42" s="3">
        <f t="shared" si="7"/>
        <v>0.17207791154425398</v>
      </c>
      <c r="J42" s="19" t="str">
        <f t="shared" si="2"/>
        <v>L</v>
      </c>
      <c r="K42" s="20">
        <f t="shared" si="8"/>
        <v>1.0864571746546516</v>
      </c>
      <c r="L42" s="20">
        <f t="shared" si="9"/>
        <v>0.17207791154425398</v>
      </c>
      <c r="M42" s="20" t="e">
        <f t="shared" si="10"/>
        <v>#N/A</v>
      </c>
      <c r="N42" s="20" t="e">
        <f t="shared" si="11"/>
        <v>#N/A</v>
      </c>
      <c r="O42" s="20" t="e">
        <f t="shared" si="12"/>
        <v>#N/A</v>
      </c>
      <c r="P42" s="20" t="e">
        <f t="shared" si="13"/>
        <v>#N/A</v>
      </c>
      <c r="Q42" s="20" t="e">
        <f t="shared" si="14"/>
        <v>#N/A</v>
      </c>
      <c r="R42" s="20" t="e">
        <f t="shared" si="15"/>
        <v>#N/A</v>
      </c>
      <c r="S42" s="20" t="e">
        <f t="shared" si="16"/>
        <v>#N/A</v>
      </c>
      <c r="T42" s="20" t="e">
        <f t="shared" si="17"/>
        <v>#N/A</v>
      </c>
      <c r="U42" s="3"/>
      <c r="AA42" s="4"/>
      <c r="AN42">
        <f t="shared" si="35"/>
        <v>8</v>
      </c>
      <c r="AO42" t="str">
        <f t="shared" si="30"/>
        <v>Other</v>
      </c>
      <c r="AP42">
        <f t="shared" si="25"/>
        <v>3</v>
      </c>
      <c r="AQ42" s="3">
        <f t="shared" si="26"/>
        <v>420</v>
      </c>
      <c r="AR42" t="str">
        <f t="shared" si="31"/>
        <v>Oth</v>
      </c>
    </row>
    <row r="43" spans="1:44" x14ac:dyDescent="0.25">
      <c r="A43">
        <f t="shared" si="33"/>
        <v>41</v>
      </c>
      <c r="B43">
        <f t="shared" si="0"/>
        <v>2</v>
      </c>
      <c r="C43">
        <f t="shared" si="4"/>
        <v>1.1000000000000001</v>
      </c>
      <c r="D43" s="15">
        <f t="shared" si="1"/>
        <v>4.5</v>
      </c>
      <c r="E43">
        <f t="shared" si="5"/>
        <v>1</v>
      </c>
      <c r="F43" s="3">
        <f t="shared" si="28"/>
        <v>13.5</v>
      </c>
      <c r="G43" s="3">
        <f t="shared" si="29"/>
        <v>0.23561944901923448</v>
      </c>
      <c r="H43" s="18">
        <f t="shared" si="6"/>
        <v>1.0696069124374443</v>
      </c>
      <c r="I43" s="3">
        <f t="shared" si="7"/>
        <v>0.25678990024149595</v>
      </c>
      <c r="J43" s="19" t="str">
        <f t="shared" si="2"/>
        <v>L</v>
      </c>
      <c r="K43" s="20">
        <f t="shared" si="8"/>
        <v>1.0696069124374443</v>
      </c>
      <c r="L43" s="20">
        <f t="shared" si="9"/>
        <v>0.25678990024149595</v>
      </c>
      <c r="M43" s="20" t="e">
        <f t="shared" si="10"/>
        <v>#N/A</v>
      </c>
      <c r="N43" s="20" t="e">
        <f t="shared" si="11"/>
        <v>#N/A</v>
      </c>
      <c r="O43" s="20" t="e">
        <f t="shared" si="12"/>
        <v>#N/A</v>
      </c>
      <c r="P43" s="20" t="e">
        <f t="shared" si="13"/>
        <v>#N/A</v>
      </c>
      <c r="Q43" s="20" t="e">
        <f t="shared" si="14"/>
        <v>#N/A</v>
      </c>
      <c r="R43" s="20" t="e">
        <f t="shared" si="15"/>
        <v>#N/A</v>
      </c>
      <c r="S43" s="20" t="e">
        <f t="shared" si="16"/>
        <v>#N/A</v>
      </c>
      <c r="T43" s="20" t="e">
        <f t="shared" si="17"/>
        <v>#N/A</v>
      </c>
      <c r="U43" s="3"/>
      <c r="AA43" s="4"/>
      <c r="AN43">
        <f t="shared" si="35"/>
        <v>9</v>
      </c>
      <c r="AO43" t="str">
        <f t="shared" si="30"/>
        <v>Labour</v>
      </c>
      <c r="AP43">
        <f t="shared" si="25"/>
        <v>49</v>
      </c>
      <c r="AQ43" s="3">
        <f t="shared" si="26"/>
        <v>423</v>
      </c>
      <c r="AR43" t="str">
        <f t="shared" si="31"/>
        <v>L</v>
      </c>
    </row>
    <row r="44" spans="1:44" x14ac:dyDescent="0.25">
      <c r="A44">
        <f t="shared" si="33"/>
        <v>42</v>
      </c>
      <c r="B44">
        <f t="shared" si="0"/>
        <v>2</v>
      </c>
      <c r="C44">
        <f t="shared" si="4"/>
        <v>1.1000000000000001</v>
      </c>
      <c r="D44" s="15">
        <f t="shared" si="1"/>
        <v>4.5</v>
      </c>
      <c r="E44">
        <f t="shared" si="5"/>
        <v>1</v>
      </c>
      <c r="F44" s="3">
        <f t="shared" si="28"/>
        <v>18</v>
      </c>
      <c r="G44" s="3">
        <f t="shared" si="29"/>
        <v>0.31415926535897931</v>
      </c>
      <c r="H44" s="18">
        <f t="shared" si="6"/>
        <v>1.0461621679246689</v>
      </c>
      <c r="I44" s="3">
        <f t="shared" si="7"/>
        <v>0.33991869381244216</v>
      </c>
      <c r="J44" s="19" t="str">
        <f t="shared" si="2"/>
        <v>L</v>
      </c>
      <c r="K44" s="20">
        <f t="shared" si="8"/>
        <v>1.0461621679246689</v>
      </c>
      <c r="L44" s="20">
        <f t="shared" si="9"/>
        <v>0.33991869381244216</v>
      </c>
      <c r="M44" s="20" t="e">
        <f t="shared" si="10"/>
        <v>#N/A</v>
      </c>
      <c r="N44" s="20" t="e">
        <f t="shared" si="11"/>
        <v>#N/A</v>
      </c>
      <c r="O44" s="20" t="e">
        <f t="shared" si="12"/>
        <v>#N/A</v>
      </c>
      <c r="P44" s="20" t="e">
        <f t="shared" si="13"/>
        <v>#N/A</v>
      </c>
      <c r="Q44" s="20" t="e">
        <f t="shared" si="14"/>
        <v>#N/A</v>
      </c>
      <c r="R44" s="20" t="e">
        <f t="shared" si="15"/>
        <v>#N/A</v>
      </c>
      <c r="S44" s="20" t="e">
        <f t="shared" si="16"/>
        <v>#N/A</v>
      </c>
      <c r="T44" s="20" t="e">
        <f t="shared" si="17"/>
        <v>#N/A</v>
      </c>
      <c r="U44" s="3"/>
      <c r="AA44" s="4"/>
      <c r="AN44">
        <f t="shared" si="35"/>
        <v>9</v>
      </c>
      <c r="AO44" t="str">
        <f t="shared" si="30"/>
        <v>Conservatives</v>
      </c>
      <c r="AP44">
        <f t="shared" si="25"/>
        <v>14</v>
      </c>
      <c r="AQ44" s="3">
        <f t="shared" si="26"/>
        <v>472</v>
      </c>
      <c r="AR44" t="str">
        <f t="shared" si="31"/>
        <v>C</v>
      </c>
    </row>
    <row r="45" spans="1:44" x14ac:dyDescent="0.25">
      <c r="A45">
        <f t="shared" si="33"/>
        <v>43</v>
      </c>
      <c r="B45">
        <f t="shared" si="0"/>
        <v>2</v>
      </c>
      <c r="C45">
        <f t="shared" si="4"/>
        <v>1.1000000000000001</v>
      </c>
      <c r="D45" s="15">
        <f t="shared" si="1"/>
        <v>4.5</v>
      </c>
      <c r="E45">
        <f t="shared" si="5"/>
        <v>1</v>
      </c>
      <c r="F45" s="3">
        <f t="shared" si="28"/>
        <v>22.5</v>
      </c>
      <c r="G45" s="3">
        <f t="shared" si="29"/>
        <v>0.39269908169872414</v>
      </c>
      <c r="H45" s="18">
        <f t="shared" si="6"/>
        <v>1.0162674857624154</v>
      </c>
      <c r="I45" s="3">
        <f t="shared" si="7"/>
        <v>0.4209517756015988</v>
      </c>
      <c r="J45" s="19" t="str">
        <f t="shared" si="2"/>
        <v>L</v>
      </c>
      <c r="K45" s="20">
        <f t="shared" si="8"/>
        <v>1.0162674857624154</v>
      </c>
      <c r="L45" s="20">
        <f t="shared" si="9"/>
        <v>0.4209517756015988</v>
      </c>
      <c r="M45" s="20" t="e">
        <f t="shared" si="10"/>
        <v>#N/A</v>
      </c>
      <c r="N45" s="20" t="e">
        <f t="shared" si="11"/>
        <v>#N/A</v>
      </c>
      <c r="O45" s="20" t="e">
        <f t="shared" si="12"/>
        <v>#N/A</v>
      </c>
      <c r="P45" s="20" t="e">
        <f t="shared" si="13"/>
        <v>#N/A</v>
      </c>
      <c r="Q45" s="20" t="e">
        <f t="shared" si="14"/>
        <v>#N/A</v>
      </c>
      <c r="R45" s="20" t="e">
        <f t="shared" si="15"/>
        <v>#N/A</v>
      </c>
      <c r="S45" s="20" t="e">
        <f t="shared" si="16"/>
        <v>#N/A</v>
      </c>
      <c r="T45" s="20" t="e">
        <f t="shared" si="17"/>
        <v>#N/A</v>
      </c>
      <c r="U45" s="3"/>
      <c r="AA45" s="4"/>
      <c r="AN45">
        <f t="shared" si="35"/>
        <v>9</v>
      </c>
      <c r="AO45" t="str">
        <f t="shared" si="30"/>
        <v>Lib Dem</v>
      </c>
      <c r="AP45">
        <f t="shared" si="25"/>
        <v>6</v>
      </c>
      <c r="AQ45" s="3">
        <f t="shared" si="26"/>
        <v>486</v>
      </c>
      <c r="AR45" t="str">
        <f t="shared" si="31"/>
        <v>LD</v>
      </c>
    </row>
    <row r="46" spans="1:44" x14ac:dyDescent="0.25">
      <c r="A46">
        <f t="shared" si="33"/>
        <v>44</v>
      </c>
      <c r="B46">
        <f t="shared" si="0"/>
        <v>2</v>
      </c>
      <c r="C46">
        <f t="shared" si="4"/>
        <v>1.1000000000000001</v>
      </c>
      <c r="D46" s="15">
        <f t="shared" si="1"/>
        <v>4.5</v>
      </c>
      <c r="E46">
        <f t="shared" si="5"/>
        <v>1</v>
      </c>
      <c r="F46" s="3">
        <f t="shared" si="28"/>
        <v>27</v>
      </c>
      <c r="G46" s="3">
        <f t="shared" si="29"/>
        <v>0.47123889803846897</v>
      </c>
      <c r="H46" s="18">
        <f t="shared" si="6"/>
        <v>0.98010717660720481</v>
      </c>
      <c r="I46" s="3">
        <f t="shared" si="7"/>
        <v>0.49938954971350147</v>
      </c>
      <c r="J46" s="19" t="str">
        <f t="shared" si="2"/>
        <v>L</v>
      </c>
      <c r="K46" s="20">
        <f t="shared" si="8"/>
        <v>0.98010717660720481</v>
      </c>
      <c r="L46" s="20">
        <f t="shared" si="9"/>
        <v>0.49938954971350147</v>
      </c>
      <c r="M46" s="20" t="e">
        <f t="shared" si="10"/>
        <v>#N/A</v>
      </c>
      <c r="N46" s="20" t="e">
        <f t="shared" si="11"/>
        <v>#N/A</v>
      </c>
      <c r="O46" s="20" t="e">
        <f t="shared" si="12"/>
        <v>#N/A</v>
      </c>
      <c r="P46" s="20" t="e">
        <f t="shared" si="13"/>
        <v>#N/A</v>
      </c>
      <c r="Q46" s="20" t="e">
        <f t="shared" si="14"/>
        <v>#N/A</v>
      </c>
      <c r="R46" s="20" t="e">
        <f t="shared" si="15"/>
        <v>#N/A</v>
      </c>
      <c r="S46" s="20" t="e">
        <f t="shared" si="16"/>
        <v>#N/A</v>
      </c>
      <c r="T46" s="20" t="e">
        <f t="shared" si="17"/>
        <v>#N/A</v>
      </c>
      <c r="U46" s="3"/>
      <c r="AA46" s="4"/>
      <c r="AN46">
        <f t="shared" si="35"/>
        <v>9</v>
      </c>
      <c r="AO46" t="str">
        <f t="shared" si="30"/>
        <v>SNP</v>
      </c>
      <c r="AP46">
        <f t="shared" si="25"/>
        <v>0</v>
      </c>
      <c r="AQ46" s="3">
        <f t="shared" si="26"/>
        <v>492</v>
      </c>
      <c r="AR46" t="str">
        <f t="shared" si="31"/>
        <v>SNP</v>
      </c>
    </row>
    <row r="47" spans="1:44" x14ac:dyDescent="0.25">
      <c r="A47">
        <f t="shared" si="33"/>
        <v>45</v>
      </c>
      <c r="B47">
        <f t="shared" si="0"/>
        <v>2</v>
      </c>
      <c r="C47">
        <f t="shared" si="4"/>
        <v>1.1000000000000001</v>
      </c>
      <c r="D47" s="15">
        <f t="shared" si="1"/>
        <v>4.5</v>
      </c>
      <c r="E47">
        <f t="shared" si="5"/>
        <v>1</v>
      </c>
      <c r="F47" s="3">
        <f t="shared" si="28"/>
        <v>31.5</v>
      </c>
      <c r="G47" s="3">
        <f t="shared" si="29"/>
        <v>0.5497787143782138</v>
      </c>
      <c r="H47" s="18">
        <f t="shared" si="6"/>
        <v>0.93790418078950144</v>
      </c>
      <c r="I47" s="3">
        <f t="shared" si="7"/>
        <v>0.57474842118754377</v>
      </c>
      <c r="J47" s="19" t="str">
        <f t="shared" si="2"/>
        <v>L</v>
      </c>
      <c r="K47" s="20">
        <f t="shared" si="8"/>
        <v>0.93790418078950144</v>
      </c>
      <c r="L47" s="20">
        <f t="shared" si="9"/>
        <v>0.57474842118754377</v>
      </c>
      <c r="M47" s="20" t="e">
        <f t="shared" si="10"/>
        <v>#N/A</v>
      </c>
      <c r="N47" s="20" t="e">
        <f t="shared" si="11"/>
        <v>#N/A</v>
      </c>
      <c r="O47" s="20" t="e">
        <f t="shared" si="12"/>
        <v>#N/A</v>
      </c>
      <c r="P47" s="20" t="e">
        <f t="shared" si="13"/>
        <v>#N/A</v>
      </c>
      <c r="Q47" s="20" t="e">
        <f t="shared" si="14"/>
        <v>#N/A</v>
      </c>
      <c r="R47" s="20" t="e">
        <f t="shared" si="15"/>
        <v>#N/A</v>
      </c>
      <c r="S47" s="20" t="e">
        <f t="shared" si="16"/>
        <v>#N/A</v>
      </c>
      <c r="T47" s="20" t="e">
        <f t="shared" si="17"/>
        <v>#N/A</v>
      </c>
      <c r="U47" s="3"/>
      <c r="AA47" s="4"/>
      <c r="AN47">
        <f t="shared" si="35"/>
        <v>9</v>
      </c>
      <c r="AO47" t="str">
        <f t="shared" si="30"/>
        <v>Other</v>
      </c>
      <c r="AP47">
        <f t="shared" si="25"/>
        <v>4</v>
      </c>
      <c r="AQ47" s="3">
        <f t="shared" si="26"/>
        <v>492</v>
      </c>
      <c r="AR47" t="str">
        <f t="shared" si="31"/>
        <v>Oth</v>
      </c>
    </row>
    <row r="48" spans="1:44" x14ac:dyDescent="0.25">
      <c r="A48">
        <f t="shared" si="33"/>
        <v>46</v>
      </c>
      <c r="B48">
        <f t="shared" si="0"/>
        <v>2</v>
      </c>
      <c r="C48">
        <f t="shared" si="4"/>
        <v>1.1000000000000001</v>
      </c>
      <c r="D48" s="15">
        <f t="shared" si="1"/>
        <v>4.5</v>
      </c>
      <c r="E48">
        <f t="shared" si="5"/>
        <v>1</v>
      </c>
      <c r="F48" s="3">
        <f t="shared" si="28"/>
        <v>36</v>
      </c>
      <c r="G48" s="3">
        <f t="shared" si="29"/>
        <v>0.62831853071795862</v>
      </c>
      <c r="H48" s="18">
        <f t="shared" si="6"/>
        <v>0.88991869381244226</v>
      </c>
      <c r="I48" s="3">
        <f t="shared" si="7"/>
        <v>0.64656377752172045</v>
      </c>
      <c r="J48" s="19" t="str">
        <f t="shared" si="2"/>
        <v>L</v>
      </c>
      <c r="K48" s="20">
        <f t="shared" si="8"/>
        <v>0.88991869381244226</v>
      </c>
      <c r="L48" s="20">
        <f t="shared" si="9"/>
        <v>0.64656377752172045</v>
      </c>
      <c r="M48" s="20" t="e">
        <f t="shared" si="10"/>
        <v>#N/A</v>
      </c>
      <c r="N48" s="20" t="e">
        <f t="shared" si="11"/>
        <v>#N/A</v>
      </c>
      <c r="O48" s="20" t="e">
        <f t="shared" si="12"/>
        <v>#N/A</v>
      </c>
      <c r="P48" s="20" t="e">
        <f t="shared" si="13"/>
        <v>#N/A</v>
      </c>
      <c r="Q48" s="20" t="e">
        <f t="shared" si="14"/>
        <v>#N/A</v>
      </c>
      <c r="R48" s="20" t="e">
        <f t="shared" si="15"/>
        <v>#N/A</v>
      </c>
      <c r="S48" s="20" t="e">
        <f t="shared" si="16"/>
        <v>#N/A</v>
      </c>
      <c r="T48" s="20" t="e">
        <f t="shared" si="17"/>
        <v>#N/A</v>
      </c>
      <c r="U48" s="3"/>
      <c r="AA48" s="4"/>
      <c r="AN48">
        <f t="shared" si="35"/>
        <v>10</v>
      </c>
      <c r="AO48" t="str">
        <f t="shared" si="30"/>
        <v>Labour</v>
      </c>
      <c r="AP48">
        <f t="shared" si="25"/>
        <v>51</v>
      </c>
      <c r="AQ48" s="3">
        <f t="shared" si="26"/>
        <v>496</v>
      </c>
      <c r="AR48" t="str">
        <f t="shared" si="31"/>
        <v>L</v>
      </c>
    </row>
    <row r="49" spans="1:44" x14ac:dyDescent="0.25">
      <c r="A49">
        <f t="shared" si="33"/>
        <v>47</v>
      </c>
      <c r="B49">
        <f t="shared" si="0"/>
        <v>2</v>
      </c>
      <c r="C49">
        <f t="shared" si="4"/>
        <v>1.1000000000000001</v>
      </c>
      <c r="D49" s="15">
        <f t="shared" si="1"/>
        <v>4.5</v>
      </c>
      <c r="E49">
        <f t="shared" si="5"/>
        <v>1</v>
      </c>
      <c r="F49" s="3">
        <f t="shared" si="28"/>
        <v>40.5</v>
      </c>
      <c r="G49" s="3">
        <f t="shared" si="29"/>
        <v>0.70685834705770345</v>
      </c>
      <c r="H49" s="18">
        <f t="shared" si="6"/>
        <v>0.8364465621600341</v>
      </c>
      <c r="I49" s="3">
        <f t="shared" si="7"/>
        <v>0.71439285316320211</v>
      </c>
      <c r="J49" s="19" t="str">
        <f t="shared" si="2"/>
        <v>L</v>
      </c>
      <c r="K49" s="20">
        <f t="shared" si="8"/>
        <v>0.8364465621600341</v>
      </c>
      <c r="L49" s="20">
        <f t="shared" si="9"/>
        <v>0.71439285316320211</v>
      </c>
      <c r="M49" s="20" t="e">
        <f t="shared" si="10"/>
        <v>#N/A</v>
      </c>
      <c r="N49" s="20" t="e">
        <f t="shared" si="11"/>
        <v>#N/A</v>
      </c>
      <c r="O49" s="20" t="e">
        <f t="shared" si="12"/>
        <v>#N/A</v>
      </c>
      <c r="P49" s="20" t="e">
        <f t="shared" si="13"/>
        <v>#N/A</v>
      </c>
      <c r="Q49" s="20" t="e">
        <f t="shared" si="14"/>
        <v>#N/A</v>
      </c>
      <c r="R49" s="20" t="e">
        <f t="shared" si="15"/>
        <v>#N/A</v>
      </c>
      <c r="S49" s="20" t="e">
        <f t="shared" si="16"/>
        <v>#N/A</v>
      </c>
      <c r="T49" s="20" t="e">
        <f t="shared" si="17"/>
        <v>#N/A</v>
      </c>
      <c r="U49" s="3"/>
      <c r="AA49" s="4"/>
      <c r="AN49">
        <f t="shared" si="35"/>
        <v>10</v>
      </c>
      <c r="AO49" t="str">
        <f t="shared" si="30"/>
        <v>Conservatives</v>
      </c>
      <c r="AP49">
        <f t="shared" si="25"/>
        <v>14</v>
      </c>
      <c r="AQ49" s="3">
        <f t="shared" si="26"/>
        <v>547</v>
      </c>
      <c r="AR49" t="str">
        <f t="shared" si="31"/>
        <v>C</v>
      </c>
    </row>
    <row r="50" spans="1:44" x14ac:dyDescent="0.25">
      <c r="A50">
        <f t="shared" si="33"/>
        <v>48</v>
      </c>
      <c r="B50">
        <f t="shared" si="0"/>
        <v>2</v>
      </c>
      <c r="C50">
        <f t="shared" si="4"/>
        <v>1.1000000000000001</v>
      </c>
      <c r="D50" s="15">
        <f t="shared" si="1"/>
        <v>4.5</v>
      </c>
      <c r="E50">
        <f t="shared" si="5"/>
        <v>1</v>
      </c>
      <c r="F50" s="3">
        <f t="shared" si="28"/>
        <v>45</v>
      </c>
      <c r="G50" s="3">
        <f t="shared" si="29"/>
        <v>0.78539816339744828</v>
      </c>
      <c r="H50" s="18">
        <f t="shared" si="6"/>
        <v>0.77781745930520241</v>
      </c>
      <c r="I50" s="3">
        <f t="shared" si="7"/>
        <v>0.7778174593052023</v>
      </c>
      <c r="J50" s="19" t="str">
        <f t="shared" si="2"/>
        <v>L</v>
      </c>
      <c r="K50" s="20">
        <f t="shared" si="8"/>
        <v>0.77781745930520241</v>
      </c>
      <c r="L50" s="20">
        <f t="shared" si="9"/>
        <v>0.7778174593052023</v>
      </c>
      <c r="M50" s="20" t="e">
        <f t="shared" si="10"/>
        <v>#N/A</v>
      </c>
      <c r="N50" s="20" t="e">
        <f t="shared" si="11"/>
        <v>#N/A</v>
      </c>
      <c r="O50" s="20" t="e">
        <f t="shared" si="12"/>
        <v>#N/A</v>
      </c>
      <c r="P50" s="20" t="e">
        <f t="shared" si="13"/>
        <v>#N/A</v>
      </c>
      <c r="Q50" s="20" t="e">
        <f t="shared" si="14"/>
        <v>#N/A</v>
      </c>
      <c r="R50" s="20" t="e">
        <f t="shared" si="15"/>
        <v>#N/A</v>
      </c>
      <c r="S50" s="20" t="e">
        <f t="shared" si="16"/>
        <v>#N/A</v>
      </c>
      <c r="T50" s="20" t="e">
        <f t="shared" si="17"/>
        <v>#N/A</v>
      </c>
      <c r="U50" s="3"/>
      <c r="AA50" s="4"/>
      <c r="AN50">
        <f t="shared" si="35"/>
        <v>10</v>
      </c>
      <c r="AO50" t="str">
        <f t="shared" si="30"/>
        <v>Lib Dem</v>
      </c>
      <c r="AP50">
        <f t="shared" si="25"/>
        <v>6</v>
      </c>
      <c r="AQ50" s="3">
        <f t="shared" si="26"/>
        <v>561</v>
      </c>
      <c r="AR50" t="str">
        <f t="shared" si="31"/>
        <v>LD</v>
      </c>
    </row>
    <row r="51" spans="1:44" x14ac:dyDescent="0.25">
      <c r="A51">
        <f t="shared" si="33"/>
        <v>49</v>
      </c>
      <c r="B51">
        <f t="shared" si="0"/>
        <v>2</v>
      </c>
      <c r="C51">
        <f t="shared" si="4"/>
        <v>1.1000000000000001</v>
      </c>
      <c r="D51" s="15">
        <f t="shared" si="1"/>
        <v>4.5</v>
      </c>
      <c r="E51">
        <f t="shared" si="5"/>
        <v>1</v>
      </c>
      <c r="F51" s="3">
        <f t="shared" si="28"/>
        <v>49.5</v>
      </c>
      <c r="G51" s="3">
        <f t="shared" si="29"/>
        <v>0.86393797973719322</v>
      </c>
      <c r="H51" s="18">
        <f t="shared" si="6"/>
        <v>0.714392853163202</v>
      </c>
      <c r="I51" s="3">
        <f t="shared" si="7"/>
        <v>0.83644656216003421</v>
      </c>
      <c r="J51" s="19" t="str">
        <f t="shared" si="2"/>
        <v>L</v>
      </c>
      <c r="K51" s="20">
        <f t="shared" si="8"/>
        <v>0.714392853163202</v>
      </c>
      <c r="L51" s="20">
        <f t="shared" si="9"/>
        <v>0.83644656216003421</v>
      </c>
      <c r="M51" s="20" t="e">
        <f t="shared" si="10"/>
        <v>#N/A</v>
      </c>
      <c r="N51" s="20" t="e">
        <f t="shared" si="11"/>
        <v>#N/A</v>
      </c>
      <c r="O51" s="20" t="e">
        <f t="shared" si="12"/>
        <v>#N/A</v>
      </c>
      <c r="P51" s="20" t="e">
        <f t="shared" si="13"/>
        <v>#N/A</v>
      </c>
      <c r="Q51" s="20" t="e">
        <f t="shared" si="14"/>
        <v>#N/A</v>
      </c>
      <c r="R51" s="20" t="e">
        <f t="shared" si="15"/>
        <v>#N/A</v>
      </c>
      <c r="S51" s="20" t="e">
        <f t="shared" si="16"/>
        <v>#N/A</v>
      </c>
      <c r="T51" s="20" t="e">
        <f t="shared" si="17"/>
        <v>#N/A</v>
      </c>
      <c r="U51" s="3"/>
      <c r="AA51" s="4"/>
      <c r="AN51">
        <f t="shared" si="35"/>
        <v>10</v>
      </c>
      <c r="AO51" t="str">
        <f t="shared" si="30"/>
        <v>SNP</v>
      </c>
      <c r="AP51">
        <f t="shared" si="25"/>
        <v>0</v>
      </c>
      <c r="AQ51" s="3">
        <f t="shared" si="26"/>
        <v>567</v>
      </c>
      <c r="AR51" t="str">
        <f t="shared" si="31"/>
        <v>SNP</v>
      </c>
    </row>
    <row r="52" spans="1:44" x14ac:dyDescent="0.25">
      <c r="A52">
        <f t="shared" si="33"/>
        <v>50</v>
      </c>
      <c r="B52">
        <f t="shared" si="0"/>
        <v>2</v>
      </c>
      <c r="C52">
        <f t="shared" si="4"/>
        <v>1.1000000000000001</v>
      </c>
      <c r="D52" s="15">
        <f t="shared" si="1"/>
        <v>4.5</v>
      </c>
      <c r="E52">
        <f t="shared" si="5"/>
        <v>1</v>
      </c>
      <c r="F52" s="3">
        <f t="shared" si="28"/>
        <v>54</v>
      </c>
      <c r="G52" s="3">
        <f t="shared" si="29"/>
        <v>0.94247779607693793</v>
      </c>
      <c r="H52" s="18">
        <f t="shared" si="6"/>
        <v>0.64656377752172045</v>
      </c>
      <c r="I52" s="3">
        <f t="shared" si="7"/>
        <v>0.88991869381244226</v>
      </c>
      <c r="J52" s="19" t="str">
        <f t="shared" si="2"/>
        <v>L</v>
      </c>
      <c r="K52" s="20">
        <f t="shared" si="8"/>
        <v>0.64656377752172045</v>
      </c>
      <c r="L52" s="20">
        <f t="shared" si="9"/>
        <v>0.88991869381244226</v>
      </c>
      <c r="M52" s="20" t="e">
        <f t="shared" si="10"/>
        <v>#N/A</v>
      </c>
      <c r="N52" s="20" t="e">
        <f t="shared" si="11"/>
        <v>#N/A</v>
      </c>
      <c r="O52" s="20" t="e">
        <f t="shared" si="12"/>
        <v>#N/A</v>
      </c>
      <c r="P52" s="20" t="e">
        <f t="shared" si="13"/>
        <v>#N/A</v>
      </c>
      <c r="Q52" s="20" t="e">
        <f t="shared" si="14"/>
        <v>#N/A</v>
      </c>
      <c r="R52" s="20" t="e">
        <f t="shared" si="15"/>
        <v>#N/A</v>
      </c>
      <c r="S52" s="20" t="e">
        <f t="shared" si="16"/>
        <v>#N/A</v>
      </c>
      <c r="T52" s="20" t="e">
        <f t="shared" si="17"/>
        <v>#N/A</v>
      </c>
      <c r="U52" s="3"/>
      <c r="AA52" s="4"/>
      <c r="AN52">
        <f t="shared" si="35"/>
        <v>10</v>
      </c>
      <c r="AO52" t="str">
        <f t="shared" si="30"/>
        <v>Other</v>
      </c>
      <c r="AP52">
        <f t="shared" si="25"/>
        <v>4</v>
      </c>
      <c r="AQ52" s="3">
        <f t="shared" si="26"/>
        <v>567</v>
      </c>
      <c r="AR52" t="str">
        <f t="shared" si="31"/>
        <v>Oth</v>
      </c>
    </row>
    <row r="53" spans="1:44" x14ac:dyDescent="0.25">
      <c r="A53">
        <f t="shared" si="33"/>
        <v>51</v>
      </c>
      <c r="B53">
        <f t="shared" si="0"/>
        <v>2</v>
      </c>
      <c r="C53">
        <f t="shared" si="4"/>
        <v>1.1000000000000001</v>
      </c>
      <c r="D53" s="15">
        <f t="shared" si="1"/>
        <v>4.5</v>
      </c>
      <c r="E53">
        <f t="shared" si="5"/>
        <v>1</v>
      </c>
      <c r="F53" s="3">
        <f t="shared" si="28"/>
        <v>58.5</v>
      </c>
      <c r="G53" s="3">
        <f t="shared" si="29"/>
        <v>1.0210176124166828</v>
      </c>
      <c r="H53" s="18">
        <f t="shared" si="6"/>
        <v>0.57474842118754388</v>
      </c>
      <c r="I53" s="3">
        <f t="shared" si="7"/>
        <v>0.93790418078950144</v>
      </c>
      <c r="J53" s="19" t="str">
        <f t="shared" si="2"/>
        <v>L</v>
      </c>
      <c r="K53" s="20">
        <f t="shared" si="8"/>
        <v>0.57474842118754388</v>
      </c>
      <c r="L53" s="20">
        <f t="shared" si="9"/>
        <v>0.93790418078950144</v>
      </c>
      <c r="M53" s="20" t="e">
        <f t="shared" si="10"/>
        <v>#N/A</v>
      </c>
      <c r="N53" s="20" t="e">
        <f t="shared" si="11"/>
        <v>#N/A</v>
      </c>
      <c r="O53" s="20" t="e">
        <f t="shared" si="12"/>
        <v>#N/A</v>
      </c>
      <c r="P53" s="20" t="e">
        <f t="shared" si="13"/>
        <v>#N/A</v>
      </c>
      <c r="Q53" s="20" t="e">
        <f t="shared" si="14"/>
        <v>#N/A</v>
      </c>
      <c r="R53" s="20" t="e">
        <f t="shared" si="15"/>
        <v>#N/A</v>
      </c>
      <c r="S53" s="20" t="e">
        <f t="shared" si="16"/>
        <v>#N/A</v>
      </c>
      <c r="T53" s="20" t="e">
        <f t="shared" si="17"/>
        <v>#N/A</v>
      </c>
      <c r="U53" s="3"/>
      <c r="AA53" s="4"/>
      <c r="AN53">
        <f t="shared" si="35"/>
        <v>11</v>
      </c>
      <c r="AO53" t="str">
        <f t="shared" si="30"/>
        <v>Labour</v>
      </c>
      <c r="AP53">
        <f t="shared" si="25"/>
        <v>55</v>
      </c>
      <c r="AQ53" s="3">
        <f t="shared" si="26"/>
        <v>571</v>
      </c>
      <c r="AR53" t="str">
        <f t="shared" si="31"/>
        <v>L</v>
      </c>
    </row>
    <row r="54" spans="1:44" x14ac:dyDescent="0.25">
      <c r="A54">
        <f t="shared" si="33"/>
        <v>52</v>
      </c>
      <c r="B54">
        <f t="shared" si="0"/>
        <v>2</v>
      </c>
      <c r="C54">
        <f t="shared" si="4"/>
        <v>1.1000000000000001</v>
      </c>
      <c r="D54" s="15">
        <f t="shared" si="1"/>
        <v>4.5</v>
      </c>
      <c r="E54">
        <f t="shared" si="5"/>
        <v>1</v>
      </c>
      <c r="F54" s="3">
        <f t="shared" si="28"/>
        <v>63</v>
      </c>
      <c r="G54" s="3">
        <f t="shared" si="29"/>
        <v>1.0995574287564276</v>
      </c>
      <c r="H54" s="18">
        <f t="shared" si="6"/>
        <v>0.49938954971350152</v>
      </c>
      <c r="I54" s="3">
        <f t="shared" si="7"/>
        <v>0.9801071766072047</v>
      </c>
      <c r="J54" s="19" t="str">
        <f t="shared" si="2"/>
        <v>L</v>
      </c>
      <c r="K54" s="20">
        <f t="shared" si="8"/>
        <v>0.49938954971350152</v>
      </c>
      <c r="L54" s="20">
        <f t="shared" si="9"/>
        <v>0.9801071766072047</v>
      </c>
      <c r="M54" s="20" t="e">
        <f t="shared" si="10"/>
        <v>#N/A</v>
      </c>
      <c r="N54" s="20" t="e">
        <f t="shared" si="11"/>
        <v>#N/A</v>
      </c>
      <c r="O54" s="20" t="e">
        <f t="shared" si="12"/>
        <v>#N/A</v>
      </c>
      <c r="P54" s="20" t="e">
        <f t="shared" si="13"/>
        <v>#N/A</v>
      </c>
      <c r="Q54" s="20" t="e">
        <f t="shared" si="14"/>
        <v>#N/A</v>
      </c>
      <c r="R54" s="20" t="e">
        <f t="shared" si="15"/>
        <v>#N/A</v>
      </c>
      <c r="S54" s="20" t="e">
        <f t="shared" si="16"/>
        <v>#N/A</v>
      </c>
      <c r="T54" s="20" t="e">
        <f t="shared" si="17"/>
        <v>#N/A</v>
      </c>
      <c r="U54" s="3"/>
      <c r="AA54" s="4"/>
      <c r="AN54">
        <f t="shared" si="35"/>
        <v>11</v>
      </c>
      <c r="AO54" t="str">
        <f t="shared" si="30"/>
        <v>Conservatives</v>
      </c>
      <c r="AP54">
        <f t="shared" si="25"/>
        <v>15</v>
      </c>
      <c r="AQ54" s="3">
        <f t="shared" si="26"/>
        <v>626</v>
      </c>
      <c r="AR54" t="str">
        <f t="shared" si="31"/>
        <v>C</v>
      </c>
    </row>
    <row r="55" spans="1:44" x14ac:dyDescent="0.25">
      <c r="A55">
        <f t="shared" si="33"/>
        <v>53</v>
      </c>
      <c r="B55">
        <f t="shared" si="0"/>
        <v>2</v>
      </c>
      <c r="C55">
        <f t="shared" si="4"/>
        <v>1.1000000000000001</v>
      </c>
      <c r="D55" s="15">
        <f t="shared" si="1"/>
        <v>4.5</v>
      </c>
      <c r="E55">
        <f t="shared" si="5"/>
        <v>1</v>
      </c>
      <c r="F55" s="3">
        <f t="shared" si="28"/>
        <v>67.5</v>
      </c>
      <c r="G55" s="3">
        <f t="shared" si="29"/>
        <v>1.1780972450961724</v>
      </c>
      <c r="H55" s="18">
        <f t="shared" si="6"/>
        <v>0.42095177560159885</v>
      </c>
      <c r="I55" s="3">
        <f t="shared" si="7"/>
        <v>1.0162674857624154</v>
      </c>
      <c r="J55" s="19" t="str">
        <f t="shared" si="2"/>
        <v>L</v>
      </c>
      <c r="K55" s="20">
        <f t="shared" si="8"/>
        <v>0.42095177560159885</v>
      </c>
      <c r="L55" s="20">
        <f t="shared" si="9"/>
        <v>1.0162674857624154</v>
      </c>
      <c r="M55" s="20" t="e">
        <f t="shared" si="10"/>
        <v>#N/A</v>
      </c>
      <c r="N55" s="20" t="e">
        <f t="shared" si="11"/>
        <v>#N/A</v>
      </c>
      <c r="O55" s="20" t="e">
        <f t="shared" si="12"/>
        <v>#N/A</v>
      </c>
      <c r="P55" s="20" t="e">
        <f t="shared" si="13"/>
        <v>#N/A</v>
      </c>
      <c r="Q55" s="20" t="e">
        <f t="shared" si="14"/>
        <v>#N/A</v>
      </c>
      <c r="R55" s="20" t="e">
        <f t="shared" si="15"/>
        <v>#N/A</v>
      </c>
      <c r="S55" s="20" t="e">
        <f t="shared" si="16"/>
        <v>#N/A</v>
      </c>
      <c r="T55" s="20" t="e">
        <f t="shared" si="17"/>
        <v>#N/A</v>
      </c>
      <c r="U55" s="3"/>
      <c r="AA55" s="4"/>
      <c r="AN55">
        <f t="shared" si="35"/>
        <v>11</v>
      </c>
      <c r="AO55" t="str">
        <f t="shared" si="30"/>
        <v>Lib Dem</v>
      </c>
      <c r="AP55">
        <f t="shared" si="25"/>
        <v>6</v>
      </c>
      <c r="AQ55" s="3">
        <f t="shared" si="26"/>
        <v>641</v>
      </c>
      <c r="AR55" t="str">
        <f t="shared" si="31"/>
        <v>LD</v>
      </c>
    </row>
    <row r="56" spans="1:44" x14ac:dyDescent="0.25">
      <c r="A56">
        <f t="shared" si="33"/>
        <v>54</v>
      </c>
      <c r="B56">
        <f t="shared" si="0"/>
        <v>2</v>
      </c>
      <c r="C56">
        <f t="shared" si="4"/>
        <v>1.1000000000000001</v>
      </c>
      <c r="D56" s="15">
        <f t="shared" si="1"/>
        <v>4.5</v>
      </c>
      <c r="E56">
        <f t="shared" si="5"/>
        <v>1</v>
      </c>
      <c r="F56" s="3">
        <f t="shared" si="28"/>
        <v>72</v>
      </c>
      <c r="G56" s="3">
        <f t="shared" si="29"/>
        <v>1.2566370614359172</v>
      </c>
      <c r="H56" s="18">
        <f t="shared" si="6"/>
        <v>0.33991869381244222</v>
      </c>
      <c r="I56" s="3">
        <f t="shared" si="7"/>
        <v>1.0461621679246689</v>
      </c>
      <c r="J56" s="19" t="str">
        <f t="shared" si="2"/>
        <v>L</v>
      </c>
      <c r="K56" s="20">
        <f t="shared" si="8"/>
        <v>0.33991869381244222</v>
      </c>
      <c r="L56" s="20">
        <f t="shared" si="9"/>
        <v>1.0461621679246689</v>
      </c>
      <c r="M56" s="20" t="e">
        <f t="shared" si="10"/>
        <v>#N/A</v>
      </c>
      <c r="N56" s="20" t="e">
        <f t="shared" si="11"/>
        <v>#N/A</v>
      </c>
      <c r="O56" s="20" t="e">
        <f t="shared" si="12"/>
        <v>#N/A</v>
      </c>
      <c r="P56" s="20" t="e">
        <f t="shared" si="13"/>
        <v>#N/A</v>
      </c>
      <c r="Q56" s="20" t="e">
        <f t="shared" si="14"/>
        <v>#N/A</v>
      </c>
      <c r="R56" s="20" t="e">
        <f t="shared" si="15"/>
        <v>#N/A</v>
      </c>
      <c r="S56" s="20" t="e">
        <f t="shared" si="16"/>
        <v>#N/A</v>
      </c>
      <c r="T56" s="20" t="e">
        <f t="shared" si="17"/>
        <v>#N/A</v>
      </c>
      <c r="U56" s="3"/>
      <c r="AA56" s="4"/>
      <c r="AN56">
        <f t="shared" si="35"/>
        <v>11</v>
      </c>
      <c r="AO56" t="str">
        <f t="shared" si="30"/>
        <v>SNP</v>
      </c>
      <c r="AP56">
        <f t="shared" si="25"/>
        <v>0</v>
      </c>
      <c r="AQ56" s="3">
        <f t="shared" si="26"/>
        <v>647</v>
      </c>
      <c r="AR56" t="str">
        <f t="shared" si="31"/>
        <v>SNP</v>
      </c>
    </row>
    <row r="57" spans="1:44" x14ac:dyDescent="0.25">
      <c r="A57">
        <f t="shared" si="33"/>
        <v>55</v>
      </c>
      <c r="B57">
        <f t="shared" si="0"/>
        <v>2</v>
      </c>
      <c r="C57">
        <f t="shared" si="4"/>
        <v>1.1000000000000001</v>
      </c>
      <c r="D57" s="15">
        <f t="shared" si="1"/>
        <v>4.5</v>
      </c>
      <c r="E57">
        <f t="shared" si="5"/>
        <v>1</v>
      </c>
      <c r="F57" s="3">
        <f t="shared" si="28"/>
        <v>76.5</v>
      </c>
      <c r="G57" s="3">
        <f t="shared" si="29"/>
        <v>1.3351768777756621</v>
      </c>
      <c r="H57" s="18">
        <f t="shared" si="6"/>
        <v>0.25678990024149606</v>
      </c>
      <c r="I57" s="3">
        <f t="shared" si="7"/>
        <v>1.0696069124374443</v>
      </c>
      <c r="J57" s="19" t="str">
        <f t="shared" si="2"/>
        <v>L</v>
      </c>
      <c r="K57" s="20">
        <f t="shared" si="8"/>
        <v>0.25678990024149606</v>
      </c>
      <c r="L57" s="20">
        <f t="shared" si="9"/>
        <v>1.0696069124374443</v>
      </c>
      <c r="M57" s="20" t="e">
        <f t="shared" si="10"/>
        <v>#N/A</v>
      </c>
      <c r="N57" s="20" t="e">
        <f t="shared" si="11"/>
        <v>#N/A</v>
      </c>
      <c r="O57" s="20" t="e">
        <f t="shared" si="12"/>
        <v>#N/A</v>
      </c>
      <c r="P57" s="20" t="e">
        <f t="shared" si="13"/>
        <v>#N/A</v>
      </c>
      <c r="Q57" s="20" t="e">
        <f t="shared" si="14"/>
        <v>#N/A</v>
      </c>
      <c r="R57" s="20" t="e">
        <f t="shared" si="15"/>
        <v>#N/A</v>
      </c>
      <c r="S57" s="20" t="e">
        <f t="shared" si="16"/>
        <v>#N/A</v>
      </c>
      <c r="T57" s="20" t="e">
        <f t="shared" si="17"/>
        <v>#N/A</v>
      </c>
      <c r="U57" s="3"/>
      <c r="AA57" s="4"/>
      <c r="AN57">
        <f t="shared" si="35"/>
        <v>11</v>
      </c>
      <c r="AO57" t="str">
        <f t="shared" si="30"/>
        <v>Other</v>
      </c>
      <c r="AP57">
        <f t="shared" si="25"/>
        <v>4</v>
      </c>
      <c r="AQ57" s="3">
        <f t="shared" si="26"/>
        <v>647</v>
      </c>
      <c r="AR57" t="str">
        <f t="shared" si="31"/>
        <v>Oth</v>
      </c>
    </row>
    <row r="58" spans="1:44" x14ac:dyDescent="0.25">
      <c r="A58">
        <f t="shared" si="33"/>
        <v>56</v>
      </c>
      <c r="B58">
        <f t="shared" si="0"/>
        <v>2</v>
      </c>
      <c r="C58">
        <f t="shared" si="4"/>
        <v>1.1000000000000001</v>
      </c>
      <c r="D58" s="15">
        <f t="shared" si="1"/>
        <v>4.5</v>
      </c>
      <c r="E58">
        <f t="shared" si="5"/>
        <v>1</v>
      </c>
      <c r="F58" s="3">
        <f t="shared" si="28"/>
        <v>81</v>
      </c>
      <c r="G58" s="3">
        <f t="shared" si="29"/>
        <v>1.4137166941154069</v>
      </c>
      <c r="H58" s="18">
        <f t="shared" si="6"/>
        <v>0.17207791154425403</v>
      </c>
      <c r="I58" s="3">
        <f t="shared" si="7"/>
        <v>1.0864571746546516</v>
      </c>
      <c r="J58" s="19" t="str">
        <f t="shared" si="2"/>
        <v>L</v>
      </c>
      <c r="K58" s="20">
        <f t="shared" si="8"/>
        <v>0.17207791154425403</v>
      </c>
      <c r="L58" s="20">
        <f t="shared" si="9"/>
        <v>1.0864571746546516</v>
      </c>
      <c r="M58" s="20" t="e">
        <f t="shared" si="10"/>
        <v>#N/A</v>
      </c>
      <c r="N58" s="20" t="e">
        <f t="shared" si="11"/>
        <v>#N/A</v>
      </c>
      <c r="O58" s="20" t="e">
        <f t="shared" si="12"/>
        <v>#N/A</v>
      </c>
      <c r="P58" s="20" t="e">
        <f t="shared" si="13"/>
        <v>#N/A</v>
      </c>
      <c r="Q58" s="20" t="e">
        <f t="shared" si="14"/>
        <v>#N/A</v>
      </c>
      <c r="R58" s="20" t="e">
        <f t="shared" si="15"/>
        <v>#N/A</v>
      </c>
      <c r="S58" s="20" t="e">
        <f t="shared" si="16"/>
        <v>#N/A</v>
      </c>
      <c r="T58" s="20" t="e">
        <f t="shared" si="17"/>
        <v>#N/A</v>
      </c>
      <c r="U58" s="3"/>
      <c r="AA58" s="4"/>
      <c r="AQ58" s="3">
        <f t="shared" si="26"/>
        <v>651</v>
      </c>
      <c r="AR58" t="str">
        <f t="shared" si="31"/>
        <v>L</v>
      </c>
    </row>
    <row r="59" spans="1:44" x14ac:dyDescent="0.25">
      <c r="A59">
        <f t="shared" si="33"/>
        <v>57</v>
      </c>
      <c r="B59">
        <f t="shared" si="0"/>
        <v>2</v>
      </c>
      <c r="C59">
        <f t="shared" si="4"/>
        <v>1.1000000000000001</v>
      </c>
      <c r="D59" s="15">
        <f t="shared" si="1"/>
        <v>4.5</v>
      </c>
      <c r="E59">
        <f t="shared" si="5"/>
        <v>1</v>
      </c>
      <c r="F59" s="3">
        <f t="shared" si="28"/>
        <v>85.5</v>
      </c>
      <c r="G59" s="3">
        <f t="shared" si="29"/>
        <v>1.4922565104551517</v>
      </c>
      <c r="H59" s="18">
        <f t="shared" si="6"/>
        <v>8.6305005300629511E-2</v>
      </c>
      <c r="I59" s="3">
        <f t="shared" si="7"/>
        <v>1.0966090671064408</v>
      </c>
      <c r="J59" s="19" t="str">
        <f t="shared" si="2"/>
        <v>L</v>
      </c>
      <c r="K59" s="20">
        <f t="shared" si="8"/>
        <v>8.6305005300629511E-2</v>
      </c>
      <c r="L59" s="20">
        <f t="shared" si="9"/>
        <v>1.0966090671064408</v>
      </c>
      <c r="M59" s="20" t="e">
        <f t="shared" si="10"/>
        <v>#N/A</v>
      </c>
      <c r="N59" s="20" t="e">
        <f t="shared" si="11"/>
        <v>#N/A</v>
      </c>
      <c r="O59" s="20" t="e">
        <f t="shared" si="12"/>
        <v>#N/A</v>
      </c>
      <c r="P59" s="20" t="e">
        <f t="shared" si="13"/>
        <v>#N/A</v>
      </c>
      <c r="Q59" s="20" t="e">
        <f t="shared" si="14"/>
        <v>#N/A</v>
      </c>
      <c r="R59" s="20" t="e">
        <f t="shared" si="15"/>
        <v>#N/A</v>
      </c>
      <c r="S59" s="20" t="e">
        <f t="shared" si="16"/>
        <v>#N/A</v>
      </c>
      <c r="T59" s="20" t="e">
        <f t="shared" si="17"/>
        <v>#N/A</v>
      </c>
      <c r="U59" s="3"/>
      <c r="AA59" s="4"/>
    </row>
    <row r="60" spans="1:44" x14ac:dyDescent="0.25">
      <c r="A60">
        <f t="shared" si="33"/>
        <v>58</v>
      </c>
      <c r="B60">
        <f t="shared" si="0"/>
        <v>2</v>
      </c>
      <c r="C60">
        <f t="shared" si="4"/>
        <v>1.1000000000000001</v>
      </c>
      <c r="D60" s="15">
        <f t="shared" si="1"/>
        <v>4.5</v>
      </c>
      <c r="E60">
        <f t="shared" si="5"/>
        <v>1</v>
      </c>
      <c r="F60" s="3">
        <f t="shared" si="28"/>
        <v>90</v>
      </c>
      <c r="G60" s="3">
        <f t="shared" si="29"/>
        <v>1.5707963267948966</v>
      </c>
      <c r="H60" s="18">
        <f t="shared" si="6"/>
        <v>6.7383165019974101E-17</v>
      </c>
      <c r="I60" s="3">
        <f t="shared" si="7"/>
        <v>1.1000000000000001</v>
      </c>
      <c r="J60" s="19" t="str">
        <f t="shared" si="2"/>
        <v>L</v>
      </c>
      <c r="K60" s="20">
        <f t="shared" si="8"/>
        <v>6.7383165019974101E-17</v>
      </c>
      <c r="L60" s="20">
        <f t="shared" si="9"/>
        <v>1.1000000000000001</v>
      </c>
      <c r="M60" s="20" t="e">
        <f t="shared" si="10"/>
        <v>#N/A</v>
      </c>
      <c r="N60" s="20" t="e">
        <f t="shared" si="11"/>
        <v>#N/A</v>
      </c>
      <c r="O60" s="20" t="e">
        <f t="shared" si="12"/>
        <v>#N/A</v>
      </c>
      <c r="P60" s="20" t="e">
        <f t="shared" si="13"/>
        <v>#N/A</v>
      </c>
      <c r="Q60" s="20" t="e">
        <f t="shared" si="14"/>
        <v>#N/A</v>
      </c>
      <c r="R60" s="20" t="e">
        <f t="shared" si="15"/>
        <v>#N/A</v>
      </c>
      <c r="S60" s="20" t="e">
        <f t="shared" si="16"/>
        <v>#N/A</v>
      </c>
      <c r="T60" s="20" t="e">
        <f t="shared" si="17"/>
        <v>#N/A</v>
      </c>
      <c r="U60" s="3"/>
      <c r="AA60" s="4"/>
    </row>
    <row r="61" spans="1:44" x14ac:dyDescent="0.25">
      <c r="A61">
        <f t="shared" si="33"/>
        <v>59</v>
      </c>
      <c r="B61">
        <f t="shared" si="0"/>
        <v>2</v>
      </c>
      <c r="C61">
        <f t="shared" si="4"/>
        <v>1.1000000000000001</v>
      </c>
      <c r="D61" s="15">
        <f t="shared" si="1"/>
        <v>4.5</v>
      </c>
      <c r="E61">
        <f t="shared" si="5"/>
        <v>1</v>
      </c>
      <c r="F61" s="3">
        <f t="shared" si="28"/>
        <v>94.5</v>
      </c>
      <c r="G61" s="3">
        <f t="shared" si="29"/>
        <v>1.6493361431346414</v>
      </c>
      <c r="H61" s="18">
        <f t="shared" si="6"/>
        <v>-8.6305005300629373E-2</v>
      </c>
      <c r="I61" s="3">
        <f t="shared" si="7"/>
        <v>1.0966090671064408</v>
      </c>
      <c r="J61" s="19" t="str">
        <f t="shared" si="2"/>
        <v>L</v>
      </c>
      <c r="K61" s="20">
        <f t="shared" si="8"/>
        <v>-8.6305005300629373E-2</v>
      </c>
      <c r="L61" s="20">
        <f t="shared" si="9"/>
        <v>1.0966090671064408</v>
      </c>
      <c r="M61" s="20" t="e">
        <f t="shared" si="10"/>
        <v>#N/A</v>
      </c>
      <c r="N61" s="20" t="e">
        <f t="shared" si="11"/>
        <v>#N/A</v>
      </c>
      <c r="O61" s="20" t="e">
        <f t="shared" si="12"/>
        <v>#N/A</v>
      </c>
      <c r="P61" s="20" t="e">
        <f t="shared" si="13"/>
        <v>#N/A</v>
      </c>
      <c r="Q61" s="20" t="e">
        <f t="shared" si="14"/>
        <v>#N/A</v>
      </c>
      <c r="R61" s="20" t="e">
        <f t="shared" si="15"/>
        <v>#N/A</v>
      </c>
      <c r="S61" s="20" t="e">
        <f t="shared" si="16"/>
        <v>#N/A</v>
      </c>
      <c r="T61" s="20" t="e">
        <f t="shared" si="17"/>
        <v>#N/A</v>
      </c>
      <c r="U61" s="3"/>
      <c r="AA61" s="4"/>
    </row>
    <row r="62" spans="1:44" x14ac:dyDescent="0.25">
      <c r="A62">
        <f t="shared" si="33"/>
        <v>60</v>
      </c>
      <c r="B62">
        <f t="shared" si="0"/>
        <v>2</v>
      </c>
      <c r="C62">
        <f t="shared" si="4"/>
        <v>1.1000000000000001</v>
      </c>
      <c r="D62" s="15">
        <f t="shared" si="1"/>
        <v>4.5</v>
      </c>
      <c r="E62">
        <f t="shared" si="5"/>
        <v>1</v>
      </c>
      <c r="F62" s="3">
        <f t="shared" si="28"/>
        <v>99</v>
      </c>
      <c r="G62" s="3">
        <f t="shared" si="29"/>
        <v>1.7278759594743864</v>
      </c>
      <c r="H62" s="18">
        <f t="shared" si="6"/>
        <v>-0.17207791154425414</v>
      </c>
      <c r="I62" s="3">
        <f t="shared" si="7"/>
        <v>1.0864571746546514</v>
      </c>
      <c r="J62" s="19" t="str">
        <f t="shared" si="2"/>
        <v>C</v>
      </c>
      <c r="K62" s="20" t="e">
        <f t="shared" si="8"/>
        <v>#N/A</v>
      </c>
      <c r="L62" s="20" t="e">
        <f t="shared" si="9"/>
        <v>#N/A</v>
      </c>
      <c r="M62" s="20">
        <f t="shared" si="10"/>
        <v>-0.17207791154425414</v>
      </c>
      <c r="N62" s="20">
        <f t="shared" si="11"/>
        <v>1.0864571746546514</v>
      </c>
      <c r="O62" s="20" t="e">
        <f t="shared" si="12"/>
        <v>#N/A</v>
      </c>
      <c r="P62" s="20" t="e">
        <f t="shared" si="13"/>
        <v>#N/A</v>
      </c>
      <c r="Q62" s="20" t="e">
        <f t="shared" si="14"/>
        <v>#N/A</v>
      </c>
      <c r="R62" s="20" t="e">
        <f t="shared" si="15"/>
        <v>#N/A</v>
      </c>
      <c r="S62" s="20" t="e">
        <f t="shared" si="16"/>
        <v>#N/A</v>
      </c>
      <c r="T62" s="20" t="e">
        <f t="shared" si="17"/>
        <v>#N/A</v>
      </c>
      <c r="U62" s="3"/>
      <c r="AA62" s="4"/>
    </row>
    <row r="63" spans="1:44" x14ac:dyDescent="0.25">
      <c r="A63">
        <f t="shared" si="33"/>
        <v>61</v>
      </c>
      <c r="B63">
        <f t="shared" si="0"/>
        <v>2</v>
      </c>
      <c r="C63">
        <f t="shared" si="4"/>
        <v>1.1000000000000001</v>
      </c>
      <c r="D63" s="15">
        <f t="shared" si="1"/>
        <v>4.5</v>
      </c>
      <c r="E63">
        <f t="shared" si="5"/>
        <v>1</v>
      </c>
      <c r="F63" s="3">
        <f t="shared" si="28"/>
        <v>103.5</v>
      </c>
      <c r="G63" s="3">
        <f t="shared" si="29"/>
        <v>1.8064157758141308</v>
      </c>
      <c r="H63" s="18">
        <f t="shared" si="6"/>
        <v>-0.25678990024149567</v>
      </c>
      <c r="I63" s="3">
        <f t="shared" si="7"/>
        <v>1.0696069124374443</v>
      </c>
      <c r="J63" s="19" t="str">
        <f t="shared" si="2"/>
        <v>C</v>
      </c>
      <c r="K63" s="20" t="e">
        <f t="shared" si="8"/>
        <v>#N/A</v>
      </c>
      <c r="L63" s="20" t="e">
        <f t="shared" si="9"/>
        <v>#N/A</v>
      </c>
      <c r="M63" s="20">
        <f t="shared" si="10"/>
        <v>-0.25678990024149567</v>
      </c>
      <c r="N63" s="20">
        <f t="shared" si="11"/>
        <v>1.0696069124374443</v>
      </c>
      <c r="O63" s="20" t="e">
        <f t="shared" si="12"/>
        <v>#N/A</v>
      </c>
      <c r="P63" s="20" t="e">
        <f t="shared" si="13"/>
        <v>#N/A</v>
      </c>
      <c r="Q63" s="20" t="e">
        <f t="shared" si="14"/>
        <v>#N/A</v>
      </c>
      <c r="R63" s="20" t="e">
        <f t="shared" si="15"/>
        <v>#N/A</v>
      </c>
      <c r="S63" s="20" t="e">
        <f t="shared" si="16"/>
        <v>#N/A</v>
      </c>
      <c r="T63" s="20" t="e">
        <f t="shared" si="17"/>
        <v>#N/A</v>
      </c>
      <c r="U63" s="3"/>
      <c r="AA63" s="4"/>
    </row>
    <row r="64" spans="1:44" x14ac:dyDescent="0.25">
      <c r="A64">
        <f t="shared" si="33"/>
        <v>62</v>
      </c>
      <c r="B64">
        <f t="shared" si="0"/>
        <v>2</v>
      </c>
      <c r="C64">
        <f t="shared" si="4"/>
        <v>1.1000000000000001</v>
      </c>
      <c r="D64" s="15">
        <f t="shared" si="1"/>
        <v>4.5</v>
      </c>
      <c r="E64">
        <f t="shared" si="5"/>
        <v>1</v>
      </c>
      <c r="F64" s="3">
        <f t="shared" si="28"/>
        <v>108</v>
      </c>
      <c r="G64" s="3">
        <f t="shared" si="29"/>
        <v>1.8849555921538759</v>
      </c>
      <c r="H64" s="18">
        <f t="shared" si="6"/>
        <v>-0.33991869381244211</v>
      </c>
      <c r="I64" s="3">
        <f t="shared" si="7"/>
        <v>1.0461621679246691</v>
      </c>
      <c r="J64" s="19" t="str">
        <f t="shared" si="2"/>
        <v>C</v>
      </c>
      <c r="K64" s="20" t="e">
        <f t="shared" si="8"/>
        <v>#N/A</v>
      </c>
      <c r="L64" s="20" t="e">
        <f t="shared" si="9"/>
        <v>#N/A</v>
      </c>
      <c r="M64" s="20">
        <f t="shared" si="10"/>
        <v>-0.33991869381244211</v>
      </c>
      <c r="N64" s="20">
        <f t="shared" si="11"/>
        <v>1.0461621679246691</v>
      </c>
      <c r="O64" s="20" t="e">
        <f t="shared" si="12"/>
        <v>#N/A</v>
      </c>
      <c r="P64" s="20" t="e">
        <f t="shared" si="13"/>
        <v>#N/A</v>
      </c>
      <c r="Q64" s="20" t="e">
        <f t="shared" si="14"/>
        <v>#N/A</v>
      </c>
      <c r="R64" s="20" t="e">
        <f t="shared" si="15"/>
        <v>#N/A</v>
      </c>
      <c r="S64" s="20" t="e">
        <f t="shared" si="16"/>
        <v>#N/A</v>
      </c>
      <c r="T64" s="20" t="e">
        <f t="shared" si="17"/>
        <v>#N/A</v>
      </c>
      <c r="U64" s="3"/>
      <c r="AA64" s="4"/>
    </row>
    <row r="65" spans="1:27" x14ac:dyDescent="0.25">
      <c r="A65">
        <f t="shared" si="33"/>
        <v>63</v>
      </c>
      <c r="B65">
        <f t="shared" si="0"/>
        <v>2</v>
      </c>
      <c r="C65">
        <f t="shared" si="4"/>
        <v>1.1000000000000001</v>
      </c>
      <c r="D65" s="15">
        <f t="shared" si="1"/>
        <v>4.5</v>
      </c>
      <c r="E65">
        <f t="shared" si="5"/>
        <v>1</v>
      </c>
      <c r="F65" s="3">
        <f t="shared" si="28"/>
        <v>112.5</v>
      </c>
      <c r="G65" s="3">
        <f t="shared" si="29"/>
        <v>1.9634954084936207</v>
      </c>
      <c r="H65" s="18">
        <f t="shared" si="6"/>
        <v>-0.42095177560159874</v>
      </c>
      <c r="I65" s="3">
        <f t="shared" si="7"/>
        <v>1.0162674857624154</v>
      </c>
      <c r="J65" s="19" t="str">
        <f t="shared" si="2"/>
        <v>C</v>
      </c>
      <c r="K65" s="20" t="e">
        <f t="shared" si="8"/>
        <v>#N/A</v>
      </c>
      <c r="L65" s="20" t="e">
        <f t="shared" si="9"/>
        <v>#N/A</v>
      </c>
      <c r="M65" s="20">
        <f t="shared" si="10"/>
        <v>-0.42095177560159874</v>
      </c>
      <c r="N65" s="20">
        <f t="shared" si="11"/>
        <v>1.0162674857624154</v>
      </c>
      <c r="O65" s="20" t="e">
        <f t="shared" si="12"/>
        <v>#N/A</v>
      </c>
      <c r="P65" s="20" t="e">
        <f t="shared" si="13"/>
        <v>#N/A</v>
      </c>
      <c r="Q65" s="20" t="e">
        <f t="shared" si="14"/>
        <v>#N/A</v>
      </c>
      <c r="R65" s="20" t="e">
        <f t="shared" si="15"/>
        <v>#N/A</v>
      </c>
      <c r="S65" s="20" t="e">
        <f t="shared" si="16"/>
        <v>#N/A</v>
      </c>
      <c r="T65" s="20" t="e">
        <f t="shared" si="17"/>
        <v>#N/A</v>
      </c>
      <c r="U65" s="3"/>
      <c r="AA65" s="4"/>
    </row>
    <row r="66" spans="1:27" x14ac:dyDescent="0.25">
      <c r="A66">
        <f t="shared" si="33"/>
        <v>64</v>
      </c>
      <c r="B66">
        <f t="shared" si="0"/>
        <v>2</v>
      </c>
      <c r="C66">
        <f t="shared" si="4"/>
        <v>1.1000000000000001</v>
      </c>
      <c r="D66" s="15">
        <f t="shared" si="1"/>
        <v>4.5</v>
      </c>
      <c r="E66">
        <f t="shared" si="5"/>
        <v>1</v>
      </c>
      <c r="F66" s="3">
        <f t="shared" si="28"/>
        <v>117</v>
      </c>
      <c r="G66" s="3">
        <f t="shared" si="29"/>
        <v>2.0420352248333655</v>
      </c>
      <c r="H66" s="18">
        <f t="shared" si="6"/>
        <v>-0.49938954971350141</v>
      </c>
      <c r="I66" s="3">
        <f t="shared" si="7"/>
        <v>0.98010717660720481</v>
      </c>
      <c r="J66" s="19" t="str">
        <f t="shared" si="2"/>
        <v>C</v>
      </c>
      <c r="K66" s="20" t="e">
        <f t="shared" si="8"/>
        <v>#N/A</v>
      </c>
      <c r="L66" s="20" t="e">
        <f t="shared" si="9"/>
        <v>#N/A</v>
      </c>
      <c r="M66" s="20">
        <f t="shared" si="10"/>
        <v>-0.49938954971350141</v>
      </c>
      <c r="N66" s="20">
        <f t="shared" si="11"/>
        <v>0.98010717660720481</v>
      </c>
      <c r="O66" s="20" t="e">
        <f t="shared" si="12"/>
        <v>#N/A</v>
      </c>
      <c r="P66" s="20" t="e">
        <f t="shared" si="13"/>
        <v>#N/A</v>
      </c>
      <c r="Q66" s="20" t="e">
        <f t="shared" si="14"/>
        <v>#N/A</v>
      </c>
      <c r="R66" s="20" t="e">
        <f t="shared" si="15"/>
        <v>#N/A</v>
      </c>
      <c r="S66" s="20" t="e">
        <f t="shared" si="16"/>
        <v>#N/A</v>
      </c>
      <c r="T66" s="20" t="e">
        <f t="shared" si="17"/>
        <v>#N/A</v>
      </c>
      <c r="U66" s="3"/>
      <c r="AA66" s="4"/>
    </row>
    <row r="67" spans="1:27" x14ac:dyDescent="0.25">
      <c r="A67">
        <f t="shared" si="33"/>
        <v>65</v>
      </c>
      <c r="B67">
        <f t="shared" ref="B67:B130" si="36">VLOOKUP(A67,$Y$2:$Z$13,2,1)</f>
        <v>2</v>
      </c>
      <c r="C67">
        <f t="shared" si="4"/>
        <v>1.1000000000000001</v>
      </c>
      <c r="D67" s="15">
        <f t="shared" ref="D67:D130" si="37">VLOOKUP(B67,$V$2:$AC$13,8,0)</f>
        <v>4.5</v>
      </c>
      <c r="E67">
        <f t="shared" si="5"/>
        <v>1</v>
      </c>
      <c r="F67" s="3">
        <f t="shared" si="28"/>
        <v>121.5</v>
      </c>
      <c r="G67" s="3">
        <f t="shared" si="29"/>
        <v>2.1205750411731104</v>
      </c>
      <c r="H67" s="18">
        <f t="shared" si="6"/>
        <v>-0.57474842118754377</v>
      </c>
      <c r="I67" s="3">
        <f t="shared" si="7"/>
        <v>0.93790418078950155</v>
      </c>
      <c r="J67" s="19" t="str">
        <f t="shared" ref="J67:J130" si="38">VLOOKUP(A67,$AQ$3:$AR$58,2,1)</f>
        <v>C</v>
      </c>
      <c r="K67" s="20" t="e">
        <f t="shared" si="8"/>
        <v>#N/A</v>
      </c>
      <c r="L67" s="20" t="e">
        <f t="shared" si="9"/>
        <v>#N/A</v>
      </c>
      <c r="M67" s="20">
        <f t="shared" si="10"/>
        <v>-0.57474842118754377</v>
      </c>
      <c r="N67" s="20">
        <f t="shared" si="11"/>
        <v>0.93790418078950155</v>
      </c>
      <c r="O67" s="20" t="e">
        <f t="shared" si="12"/>
        <v>#N/A</v>
      </c>
      <c r="P67" s="20" t="e">
        <f t="shared" si="13"/>
        <v>#N/A</v>
      </c>
      <c r="Q67" s="20" t="e">
        <f t="shared" si="14"/>
        <v>#N/A</v>
      </c>
      <c r="R67" s="20" t="e">
        <f t="shared" si="15"/>
        <v>#N/A</v>
      </c>
      <c r="S67" s="20" t="e">
        <f t="shared" si="16"/>
        <v>#N/A</v>
      </c>
      <c r="T67" s="20" t="e">
        <f t="shared" si="17"/>
        <v>#N/A</v>
      </c>
      <c r="U67" s="3"/>
      <c r="AA67" s="4"/>
    </row>
    <row r="68" spans="1:27" x14ac:dyDescent="0.25">
      <c r="A68">
        <f t="shared" si="33"/>
        <v>66</v>
      </c>
      <c r="B68">
        <f t="shared" si="36"/>
        <v>2</v>
      </c>
      <c r="C68">
        <f t="shared" ref="C68:C131" si="39">VLOOKUP(B68,$V$2:$AB$14,7,0)</f>
        <v>1.1000000000000001</v>
      </c>
      <c r="D68" s="15">
        <f t="shared" si="37"/>
        <v>4.5</v>
      </c>
      <c r="E68">
        <f t="shared" ref="E68:E131" si="40">IF(OR(A68=$Y$3,A68=$Y$4,A68=$Y$5,A68=$Y$6,A68=$Y$7,A68=$Y$8,A68=$Y$9,A68=$Y$10,A68=$Y$11,A68=$Y$12,A68=$Y$12),0,1)</f>
        <v>1</v>
      </c>
      <c r="F68" s="3">
        <f t="shared" si="28"/>
        <v>126</v>
      </c>
      <c r="G68" s="3">
        <f t="shared" si="29"/>
        <v>2.1991148575128552</v>
      </c>
      <c r="H68" s="18">
        <f t="shared" ref="H68:H131" si="41">C68*COS(G68)</f>
        <v>-0.64656377752172034</v>
      </c>
      <c r="I68" s="3">
        <f t="shared" ref="I68:I131" si="42">C68*SIN(G68)</f>
        <v>0.88991869381244226</v>
      </c>
      <c r="J68" s="19" t="str">
        <f t="shared" si="38"/>
        <v>C</v>
      </c>
      <c r="K68" s="20" t="e">
        <f t="shared" ref="K68:K131" si="43">IF(J68="L",H68,NA())</f>
        <v>#N/A</v>
      </c>
      <c r="L68" s="20" t="e">
        <f t="shared" ref="L68:L131" si="44">IF(J68="l",I68,NA())</f>
        <v>#N/A</v>
      </c>
      <c r="M68" s="20">
        <f t="shared" ref="M68:M131" si="45">IF(J68="C",H68,NA())</f>
        <v>-0.64656377752172034</v>
      </c>
      <c r="N68" s="20">
        <f t="shared" ref="N68:N131" si="46">IF(J68="C",I68,NA())</f>
        <v>0.88991869381244226</v>
      </c>
      <c r="O68" s="20" t="e">
        <f t="shared" ref="O68:O131" si="47">IF(J68="LD",H68,NA())</f>
        <v>#N/A</v>
      </c>
      <c r="P68" s="20" t="e">
        <f t="shared" ref="P68:P131" si="48">IF(J68="LD",I68,NA())</f>
        <v>#N/A</v>
      </c>
      <c r="Q68" s="20" t="e">
        <f t="shared" ref="Q68:Q131" si="49">IF(J68="SNP",H68,NA())</f>
        <v>#N/A</v>
      </c>
      <c r="R68" s="20" t="e">
        <f t="shared" ref="R68:R131" si="50">IF(J68="SNP",I68,NA())</f>
        <v>#N/A</v>
      </c>
      <c r="S68" s="20" t="e">
        <f t="shared" ref="S68:S131" si="51">IF(J68="Oth",H68,NA())</f>
        <v>#N/A</v>
      </c>
      <c r="T68" s="20" t="e">
        <f t="shared" ref="T68:T131" si="52">IF(J68="oth",I68,NA())</f>
        <v>#N/A</v>
      </c>
      <c r="U68" s="3"/>
      <c r="AA68" s="4"/>
    </row>
    <row r="69" spans="1:27" x14ac:dyDescent="0.25">
      <c r="A69">
        <f t="shared" si="33"/>
        <v>67</v>
      </c>
      <c r="B69">
        <f t="shared" si="36"/>
        <v>2</v>
      </c>
      <c r="C69">
        <f t="shared" si="39"/>
        <v>1.1000000000000001</v>
      </c>
      <c r="D69" s="15">
        <f t="shared" si="37"/>
        <v>4.5</v>
      </c>
      <c r="E69">
        <f t="shared" si="40"/>
        <v>1</v>
      </c>
      <c r="F69" s="3">
        <f t="shared" si="28"/>
        <v>130.5</v>
      </c>
      <c r="G69" s="3">
        <f t="shared" si="29"/>
        <v>2.2776546738526</v>
      </c>
      <c r="H69" s="18">
        <f t="shared" si="41"/>
        <v>-0.714392853163202</v>
      </c>
      <c r="I69" s="3">
        <f t="shared" si="42"/>
        <v>0.83644656216003421</v>
      </c>
      <c r="J69" s="19" t="str">
        <f t="shared" si="38"/>
        <v>C</v>
      </c>
      <c r="K69" s="20" t="e">
        <f t="shared" si="43"/>
        <v>#N/A</v>
      </c>
      <c r="L69" s="20" t="e">
        <f t="shared" si="44"/>
        <v>#N/A</v>
      </c>
      <c r="M69" s="20">
        <f t="shared" si="45"/>
        <v>-0.714392853163202</v>
      </c>
      <c r="N69" s="20">
        <f t="shared" si="46"/>
        <v>0.83644656216003421</v>
      </c>
      <c r="O69" s="20" t="e">
        <f t="shared" si="47"/>
        <v>#N/A</v>
      </c>
      <c r="P69" s="20" t="e">
        <f t="shared" si="48"/>
        <v>#N/A</v>
      </c>
      <c r="Q69" s="20" t="e">
        <f t="shared" si="49"/>
        <v>#N/A</v>
      </c>
      <c r="R69" s="20" t="e">
        <f t="shared" si="50"/>
        <v>#N/A</v>
      </c>
      <c r="S69" s="20" t="e">
        <f t="shared" si="51"/>
        <v>#N/A</v>
      </c>
      <c r="T69" s="20" t="e">
        <f t="shared" si="52"/>
        <v>#N/A</v>
      </c>
      <c r="U69" s="3"/>
      <c r="AA69" s="4"/>
    </row>
    <row r="70" spans="1:27" x14ac:dyDescent="0.25">
      <c r="A70">
        <f t="shared" si="33"/>
        <v>68</v>
      </c>
      <c r="B70">
        <f t="shared" si="36"/>
        <v>2</v>
      </c>
      <c r="C70">
        <f t="shared" si="39"/>
        <v>1.1000000000000001</v>
      </c>
      <c r="D70" s="15">
        <f t="shared" si="37"/>
        <v>4.5</v>
      </c>
      <c r="E70">
        <f t="shared" si="40"/>
        <v>1</v>
      </c>
      <c r="F70" s="3">
        <f t="shared" ref="F70:F133" si="53">IF(E70=0,0,D70+F69)</f>
        <v>135</v>
      </c>
      <c r="G70" s="3">
        <f t="shared" ref="G70:G133" si="54">(F70/180)*PI()</f>
        <v>2.3561944901923448</v>
      </c>
      <c r="H70" s="18">
        <f t="shared" si="41"/>
        <v>-0.7778174593052023</v>
      </c>
      <c r="I70" s="3">
        <f t="shared" si="42"/>
        <v>0.77781745930520241</v>
      </c>
      <c r="J70" s="19" t="str">
        <f t="shared" si="38"/>
        <v>LD</v>
      </c>
      <c r="K70" s="20" t="e">
        <f t="shared" si="43"/>
        <v>#N/A</v>
      </c>
      <c r="L70" s="20" t="e">
        <f t="shared" si="44"/>
        <v>#N/A</v>
      </c>
      <c r="M70" s="20" t="e">
        <f t="shared" si="45"/>
        <v>#N/A</v>
      </c>
      <c r="N70" s="20" t="e">
        <f t="shared" si="46"/>
        <v>#N/A</v>
      </c>
      <c r="O70" s="20">
        <f t="shared" si="47"/>
        <v>-0.7778174593052023</v>
      </c>
      <c r="P70" s="20">
        <f t="shared" si="48"/>
        <v>0.77781745930520241</v>
      </c>
      <c r="Q70" s="20" t="e">
        <f t="shared" si="49"/>
        <v>#N/A</v>
      </c>
      <c r="R70" s="20" t="e">
        <f t="shared" si="50"/>
        <v>#N/A</v>
      </c>
      <c r="S70" s="20" t="e">
        <f t="shared" si="51"/>
        <v>#N/A</v>
      </c>
      <c r="T70" s="20" t="e">
        <f t="shared" si="52"/>
        <v>#N/A</v>
      </c>
      <c r="U70" s="3"/>
      <c r="AA70" s="4"/>
    </row>
    <row r="71" spans="1:27" x14ac:dyDescent="0.25">
      <c r="A71">
        <f t="shared" si="33"/>
        <v>69</v>
      </c>
      <c r="B71">
        <f t="shared" si="36"/>
        <v>2</v>
      </c>
      <c r="C71">
        <f t="shared" si="39"/>
        <v>1.1000000000000001</v>
      </c>
      <c r="D71" s="15">
        <f t="shared" si="37"/>
        <v>4.5</v>
      </c>
      <c r="E71">
        <f t="shared" si="40"/>
        <v>1</v>
      </c>
      <c r="F71" s="3">
        <f t="shared" si="53"/>
        <v>139.5</v>
      </c>
      <c r="G71" s="3">
        <f t="shared" si="54"/>
        <v>2.4347343065320897</v>
      </c>
      <c r="H71" s="18">
        <f t="shared" si="41"/>
        <v>-0.8364465621600341</v>
      </c>
      <c r="I71" s="3">
        <f t="shared" si="42"/>
        <v>0.71439285316320222</v>
      </c>
      <c r="J71" s="19" t="str">
        <f t="shared" si="38"/>
        <v>LD</v>
      </c>
      <c r="K71" s="20" t="e">
        <f t="shared" si="43"/>
        <v>#N/A</v>
      </c>
      <c r="L71" s="20" t="e">
        <f t="shared" si="44"/>
        <v>#N/A</v>
      </c>
      <c r="M71" s="20" t="e">
        <f t="shared" si="45"/>
        <v>#N/A</v>
      </c>
      <c r="N71" s="20" t="e">
        <f t="shared" si="46"/>
        <v>#N/A</v>
      </c>
      <c r="O71" s="20">
        <f t="shared" si="47"/>
        <v>-0.8364465621600341</v>
      </c>
      <c r="P71" s="20">
        <f t="shared" si="48"/>
        <v>0.71439285316320222</v>
      </c>
      <c r="Q71" s="20" t="e">
        <f t="shared" si="49"/>
        <v>#N/A</v>
      </c>
      <c r="R71" s="20" t="e">
        <f t="shared" si="50"/>
        <v>#N/A</v>
      </c>
      <c r="S71" s="20" t="e">
        <f t="shared" si="51"/>
        <v>#N/A</v>
      </c>
      <c r="T71" s="20" t="e">
        <f t="shared" si="52"/>
        <v>#N/A</v>
      </c>
      <c r="U71" s="3"/>
      <c r="AA71" s="4"/>
    </row>
    <row r="72" spans="1:27" x14ac:dyDescent="0.25">
      <c r="A72">
        <f t="shared" si="33"/>
        <v>70</v>
      </c>
      <c r="B72">
        <f t="shared" si="36"/>
        <v>2</v>
      </c>
      <c r="C72">
        <f t="shared" si="39"/>
        <v>1.1000000000000001</v>
      </c>
      <c r="D72" s="15">
        <f t="shared" si="37"/>
        <v>4.5</v>
      </c>
      <c r="E72">
        <f t="shared" si="40"/>
        <v>1</v>
      </c>
      <c r="F72" s="3">
        <f t="shared" si="53"/>
        <v>144</v>
      </c>
      <c r="G72" s="3">
        <f t="shared" si="54"/>
        <v>2.5132741228718345</v>
      </c>
      <c r="H72" s="18">
        <f t="shared" si="41"/>
        <v>-0.88991869381244215</v>
      </c>
      <c r="I72" s="3">
        <f t="shared" si="42"/>
        <v>0.64656377752172067</v>
      </c>
      <c r="J72" s="19" t="str">
        <f t="shared" si="38"/>
        <v>LD</v>
      </c>
      <c r="K72" s="20" t="e">
        <f t="shared" si="43"/>
        <v>#N/A</v>
      </c>
      <c r="L72" s="20" t="e">
        <f t="shared" si="44"/>
        <v>#N/A</v>
      </c>
      <c r="M72" s="20" t="e">
        <f t="shared" si="45"/>
        <v>#N/A</v>
      </c>
      <c r="N72" s="20" t="e">
        <f t="shared" si="46"/>
        <v>#N/A</v>
      </c>
      <c r="O72" s="20">
        <f t="shared" si="47"/>
        <v>-0.88991869381244215</v>
      </c>
      <c r="P72" s="20">
        <f t="shared" si="48"/>
        <v>0.64656377752172067</v>
      </c>
      <c r="Q72" s="20" t="e">
        <f t="shared" si="49"/>
        <v>#N/A</v>
      </c>
      <c r="R72" s="20" t="e">
        <f t="shared" si="50"/>
        <v>#N/A</v>
      </c>
      <c r="S72" s="20" t="e">
        <f t="shared" si="51"/>
        <v>#N/A</v>
      </c>
      <c r="T72" s="20" t="e">
        <f t="shared" si="52"/>
        <v>#N/A</v>
      </c>
      <c r="U72" s="3"/>
      <c r="AA72" s="4"/>
    </row>
    <row r="73" spans="1:27" x14ac:dyDescent="0.25">
      <c r="A73">
        <f t="shared" si="33"/>
        <v>71</v>
      </c>
      <c r="B73">
        <f t="shared" si="36"/>
        <v>2</v>
      </c>
      <c r="C73">
        <f t="shared" si="39"/>
        <v>1.1000000000000001</v>
      </c>
      <c r="D73" s="15">
        <f t="shared" si="37"/>
        <v>4.5</v>
      </c>
      <c r="E73">
        <f t="shared" si="40"/>
        <v>1</v>
      </c>
      <c r="F73" s="3">
        <f t="shared" si="53"/>
        <v>148.5</v>
      </c>
      <c r="G73" s="3">
        <f t="shared" si="54"/>
        <v>2.5918139392115793</v>
      </c>
      <c r="H73" s="18">
        <f t="shared" si="41"/>
        <v>-0.93790418078950144</v>
      </c>
      <c r="I73" s="3">
        <f t="shared" si="42"/>
        <v>0.57474842118754388</v>
      </c>
      <c r="J73" s="19" t="str">
        <f t="shared" si="38"/>
        <v>LD</v>
      </c>
      <c r="K73" s="20" t="e">
        <f t="shared" si="43"/>
        <v>#N/A</v>
      </c>
      <c r="L73" s="20" t="e">
        <f t="shared" si="44"/>
        <v>#N/A</v>
      </c>
      <c r="M73" s="20" t="e">
        <f t="shared" si="45"/>
        <v>#N/A</v>
      </c>
      <c r="N73" s="20" t="e">
        <f t="shared" si="46"/>
        <v>#N/A</v>
      </c>
      <c r="O73" s="20">
        <f t="shared" si="47"/>
        <v>-0.93790418078950144</v>
      </c>
      <c r="P73" s="20">
        <f t="shared" si="48"/>
        <v>0.57474842118754388</v>
      </c>
      <c r="Q73" s="20" t="e">
        <f t="shared" si="49"/>
        <v>#N/A</v>
      </c>
      <c r="R73" s="20" t="e">
        <f t="shared" si="50"/>
        <v>#N/A</v>
      </c>
      <c r="S73" s="20" t="e">
        <f t="shared" si="51"/>
        <v>#N/A</v>
      </c>
      <c r="T73" s="20" t="e">
        <f t="shared" si="52"/>
        <v>#N/A</v>
      </c>
      <c r="U73" s="3"/>
      <c r="AA73" s="4"/>
    </row>
    <row r="74" spans="1:27" x14ac:dyDescent="0.25">
      <c r="A74">
        <f t="shared" si="33"/>
        <v>72</v>
      </c>
      <c r="B74">
        <f t="shared" si="36"/>
        <v>2</v>
      </c>
      <c r="C74">
        <f t="shared" si="39"/>
        <v>1.1000000000000001</v>
      </c>
      <c r="D74" s="15">
        <f t="shared" si="37"/>
        <v>4.5</v>
      </c>
      <c r="E74">
        <f t="shared" si="40"/>
        <v>1</v>
      </c>
      <c r="F74" s="3">
        <f t="shared" si="53"/>
        <v>153</v>
      </c>
      <c r="G74" s="3">
        <f t="shared" si="54"/>
        <v>2.6703537555513241</v>
      </c>
      <c r="H74" s="18">
        <f t="shared" si="41"/>
        <v>-0.9801071766072047</v>
      </c>
      <c r="I74" s="3">
        <f t="shared" si="42"/>
        <v>0.49938954971350158</v>
      </c>
      <c r="J74" s="19" t="str">
        <f t="shared" si="38"/>
        <v>LD</v>
      </c>
      <c r="K74" s="20" t="e">
        <f t="shared" si="43"/>
        <v>#N/A</v>
      </c>
      <c r="L74" s="20" t="e">
        <f t="shared" si="44"/>
        <v>#N/A</v>
      </c>
      <c r="M74" s="20" t="e">
        <f t="shared" si="45"/>
        <v>#N/A</v>
      </c>
      <c r="N74" s="20" t="e">
        <f t="shared" si="46"/>
        <v>#N/A</v>
      </c>
      <c r="O74" s="20">
        <f t="shared" si="47"/>
        <v>-0.9801071766072047</v>
      </c>
      <c r="P74" s="20">
        <f t="shared" si="48"/>
        <v>0.49938954971350158</v>
      </c>
      <c r="Q74" s="20" t="e">
        <f t="shared" si="49"/>
        <v>#N/A</v>
      </c>
      <c r="R74" s="20" t="e">
        <f t="shared" si="50"/>
        <v>#N/A</v>
      </c>
      <c r="S74" s="20" t="e">
        <f t="shared" si="51"/>
        <v>#N/A</v>
      </c>
      <c r="T74" s="20" t="e">
        <f t="shared" si="52"/>
        <v>#N/A</v>
      </c>
      <c r="U74" s="3"/>
      <c r="AA74" s="4"/>
    </row>
    <row r="75" spans="1:27" x14ac:dyDescent="0.25">
      <c r="A75">
        <f t="shared" si="33"/>
        <v>73</v>
      </c>
      <c r="B75">
        <f t="shared" si="36"/>
        <v>2</v>
      </c>
      <c r="C75">
        <f t="shared" si="39"/>
        <v>1.1000000000000001</v>
      </c>
      <c r="D75" s="15">
        <f t="shared" si="37"/>
        <v>4.5</v>
      </c>
      <c r="E75">
        <f t="shared" si="40"/>
        <v>1</v>
      </c>
      <c r="F75" s="3">
        <f t="shared" si="53"/>
        <v>157.5</v>
      </c>
      <c r="G75" s="3">
        <f t="shared" si="54"/>
        <v>2.748893571891069</v>
      </c>
      <c r="H75" s="18">
        <f t="shared" si="41"/>
        <v>-1.0162674857624154</v>
      </c>
      <c r="I75" s="3">
        <f t="shared" si="42"/>
        <v>0.42095177560159891</v>
      </c>
      <c r="J75" s="19" t="str">
        <f t="shared" si="38"/>
        <v>LD</v>
      </c>
      <c r="K75" s="20" t="e">
        <f t="shared" si="43"/>
        <v>#N/A</v>
      </c>
      <c r="L75" s="20" t="e">
        <f t="shared" si="44"/>
        <v>#N/A</v>
      </c>
      <c r="M75" s="20" t="e">
        <f t="shared" si="45"/>
        <v>#N/A</v>
      </c>
      <c r="N75" s="20" t="e">
        <f t="shared" si="46"/>
        <v>#N/A</v>
      </c>
      <c r="O75" s="20">
        <f t="shared" si="47"/>
        <v>-1.0162674857624154</v>
      </c>
      <c r="P75" s="20">
        <f t="shared" si="48"/>
        <v>0.42095177560159891</v>
      </c>
      <c r="Q75" s="20" t="e">
        <f t="shared" si="49"/>
        <v>#N/A</v>
      </c>
      <c r="R75" s="20" t="e">
        <f t="shared" si="50"/>
        <v>#N/A</v>
      </c>
      <c r="S75" s="20" t="e">
        <f t="shared" si="51"/>
        <v>#N/A</v>
      </c>
      <c r="T75" s="20" t="e">
        <f t="shared" si="52"/>
        <v>#N/A</v>
      </c>
      <c r="U75" s="3"/>
      <c r="AA75" s="4"/>
    </row>
    <row r="76" spans="1:27" x14ac:dyDescent="0.25">
      <c r="A76">
        <f t="shared" si="33"/>
        <v>74</v>
      </c>
      <c r="B76">
        <f t="shared" si="36"/>
        <v>2</v>
      </c>
      <c r="C76">
        <f t="shared" si="39"/>
        <v>1.1000000000000001</v>
      </c>
      <c r="D76" s="15">
        <f t="shared" si="37"/>
        <v>4.5</v>
      </c>
      <c r="E76">
        <f t="shared" si="40"/>
        <v>1</v>
      </c>
      <c r="F76" s="3">
        <f t="shared" si="53"/>
        <v>162</v>
      </c>
      <c r="G76" s="3">
        <f t="shared" si="54"/>
        <v>2.8274333882308138</v>
      </c>
      <c r="H76" s="18">
        <f t="shared" si="41"/>
        <v>-1.0461621679246689</v>
      </c>
      <c r="I76" s="3">
        <f t="shared" si="42"/>
        <v>0.33991869381244227</v>
      </c>
      <c r="J76" s="19" t="str">
        <f t="shared" si="38"/>
        <v>LD</v>
      </c>
      <c r="K76" s="20" t="e">
        <f t="shared" si="43"/>
        <v>#N/A</v>
      </c>
      <c r="L76" s="20" t="e">
        <f t="shared" si="44"/>
        <v>#N/A</v>
      </c>
      <c r="M76" s="20" t="e">
        <f t="shared" si="45"/>
        <v>#N/A</v>
      </c>
      <c r="N76" s="20" t="e">
        <f t="shared" si="46"/>
        <v>#N/A</v>
      </c>
      <c r="O76" s="20">
        <f t="shared" si="47"/>
        <v>-1.0461621679246689</v>
      </c>
      <c r="P76" s="20">
        <f t="shared" si="48"/>
        <v>0.33991869381244227</v>
      </c>
      <c r="Q76" s="20" t="e">
        <f t="shared" si="49"/>
        <v>#N/A</v>
      </c>
      <c r="R76" s="20" t="e">
        <f t="shared" si="50"/>
        <v>#N/A</v>
      </c>
      <c r="S76" s="20" t="e">
        <f t="shared" si="51"/>
        <v>#N/A</v>
      </c>
      <c r="T76" s="20" t="e">
        <f t="shared" si="52"/>
        <v>#N/A</v>
      </c>
      <c r="U76" s="3"/>
      <c r="AA76" s="4"/>
    </row>
    <row r="77" spans="1:27" x14ac:dyDescent="0.25">
      <c r="A77">
        <f t="shared" si="33"/>
        <v>75</v>
      </c>
      <c r="B77">
        <f t="shared" si="36"/>
        <v>2</v>
      </c>
      <c r="C77">
        <f t="shared" si="39"/>
        <v>1.1000000000000001</v>
      </c>
      <c r="D77" s="15">
        <f t="shared" si="37"/>
        <v>4.5</v>
      </c>
      <c r="E77">
        <f t="shared" si="40"/>
        <v>1</v>
      </c>
      <c r="F77" s="3">
        <f t="shared" si="53"/>
        <v>166.5</v>
      </c>
      <c r="G77" s="3">
        <f t="shared" si="54"/>
        <v>2.9059732045705586</v>
      </c>
      <c r="H77" s="18">
        <f t="shared" si="41"/>
        <v>-1.0696069124374443</v>
      </c>
      <c r="I77" s="3">
        <f t="shared" si="42"/>
        <v>0.25678990024149612</v>
      </c>
      <c r="J77" s="19" t="str">
        <f t="shared" si="38"/>
        <v>SNP</v>
      </c>
      <c r="K77" s="20" t="e">
        <f t="shared" si="43"/>
        <v>#N/A</v>
      </c>
      <c r="L77" s="20" t="e">
        <f t="shared" si="44"/>
        <v>#N/A</v>
      </c>
      <c r="M77" s="20" t="e">
        <f t="shared" si="45"/>
        <v>#N/A</v>
      </c>
      <c r="N77" s="20" t="e">
        <f t="shared" si="46"/>
        <v>#N/A</v>
      </c>
      <c r="O77" s="20" t="e">
        <f t="shared" si="47"/>
        <v>#N/A</v>
      </c>
      <c r="P77" s="20" t="e">
        <f t="shared" si="48"/>
        <v>#N/A</v>
      </c>
      <c r="Q77" s="20">
        <f t="shared" si="49"/>
        <v>-1.0696069124374443</v>
      </c>
      <c r="R77" s="20">
        <f t="shared" si="50"/>
        <v>0.25678990024149612</v>
      </c>
      <c r="S77" s="20" t="e">
        <f t="shared" si="51"/>
        <v>#N/A</v>
      </c>
      <c r="T77" s="20" t="e">
        <f t="shared" si="52"/>
        <v>#N/A</v>
      </c>
      <c r="U77" s="3"/>
      <c r="AA77" s="4"/>
    </row>
    <row r="78" spans="1:27" x14ac:dyDescent="0.25">
      <c r="A78">
        <f t="shared" si="33"/>
        <v>76</v>
      </c>
      <c r="B78">
        <f t="shared" si="36"/>
        <v>2</v>
      </c>
      <c r="C78">
        <f t="shared" si="39"/>
        <v>1.1000000000000001</v>
      </c>
      <c r="D78" s="15">
        <f t="shared" si="37"/>
        <v>4.5</v>
      </c>
      <c r="E78">
        <f t="shared" si="40"/>
        <v>1</v>
      </c>
      <c r="F78" s="3">
        <f t="shared" si="53"/>
        <v>171</v>
      </c>
      <c r="G78" s="3">
        <f t="shared" si="54"/>
        <v>2.9845130209103035</v>
      </c>
      <c r="H78" s="18">
        <f t="shared" si="41"/>
        <v>-1.0864571746546514</v>
      </c>
      <c r="I78" s="3">
        <f t="shared" si="42"/>
        <v>0.17207791154425409</v>
      </c>
      <c r="J78" s="19" t="str">
        <f t="shared" si="38"/>
        <v>Oth</v>
      </c>
      <c r="K78" s="20" t="e">
        <f t="shared" si="43"/>
        <v>#N/A</v>
      </c>
      <c r="L78" s="20" t="e">
        <f t="shared" si="44"/>
        <v>#N/A</v>
      </c>
      <c r="M78" s="20" t="e">
        <f t="shared" si="45"/>
        <v>#N/A</v>
      </c>
      <c r="N78" s="20" t="e">
        <f t="shared" si="46"/>
        <v>#N/A</v>
      </c>
      <c r="O78" s="20" t="e">
        <f t="shared" si="47"/>
        <v>#N/A</v>
      </c>
      <c r="P78" s="20" t="e">
        <f t="shared" si="48"/>
        <v>#N/A</v>
      </c>
      <c r="Q78" s="20" t="e">
        <f t="shared" si="49"/>
        <v>#N/A</v>
      </c>
      <c r="R78" s="20" t="e">
        <f t="shared" si="50"/>
        <v>#N/A</v>
      </c>
      <c r="S78" s="20">
        <f t="shared" si="51"/>
        <v>-1.0864571746546514</v>
      </c>
      <c r="T78" s="20">
        <f t="shared" si="52"/>
        <v>0.17207791154425409</v>
      </c>
      <c r="U78" s="3"/>
      <c r="AA78" s="4"/>
    </row>
    <row r="79" spans="1:27" x14ac:dyDescent="0.25">
      <c r="A79">
        <f t="shared" ref="A79:A142" si="55">A78+1</f>
        <v>77</v>
      </c>
      <c r="B79">
        <f t="shared" si="36"/>
        <v>2</v>
      </c>
      <c r="C79">
        <f t="shared" si="39"/>
        <v>1.1000000000000001</v>
      </c>
      <c r="D79" s="15">
        <f t="shared" si="37"/>
        <v>4.5</v>
      </c>
      <c r="E79">
        <f t="shared" si="40"/>
        <v>1</v>
      </c>
      <c r="F79" s="3">
        <f t="shared" si="53"/>
        <v>175.5</v>
      </c>
      <c r="G79" s="3">
        <f t="shared" si="54"/>
        <v>3.0630528372500483</v>
      </c>
      <c r="H79" s="18">
        <f t="shared" si="41"/>
        <v>-1.0966090671064408</v>
      </c>
      <c r="I79" s="3">
        <f t="shared" si="42"/>
        <v>8.6305005300629581E-2</v>
      </c>
      <c r="J79" s="19" t="str">
        <f t="shared" si="38"/>
        <v>Oth</v>
      </c>
      <c r="K79" s="20" t="e">
        <f t="shared" si="43"/>
        <v>#N/A</v>
      </c>
      <c r="L79" s="20" t="e">
        <f t="shared" si="44"/>
        <v>#N/A</v>
      </c>
      <c r="M79" s="20" t="e">
        <f t="shared" si="45"/>
        <v>#N/A</v>
      </c>
      <c r="N79" s="20" t="e">
        <f t="shared" si="46"/>
        <v>#N/A</v>
      </c>
      <c r="O79" s="20" t="e">
        <f t="shared" si="47"/>
        <v>#N/A</v>
      </c>
      <c r="P79" s="20" t="e">
        <f t="shared" si="48"/>
        <v>#N/A</v>
      </c>
      <c r="Q79" s="20" t="e">
        <f t="shared" si="49"/>
        <v>#N/A</v>
      </c>
      <c r="R79" s="20" t="e">
        <f t="shared" si="50"/>
        <v>#N/A</v>
      </c>
      <c r="S79" s="20">
        <f t="shared" si="51"/>
        <v>-1.0966090671064408</v>
      </c>
      <c r="T79" s="20">
        <f t="shared" si="52"/>
        <v>8.6305005300629581E-2</v>
      </c>
      <c r="U79" s="3"/>
      <c r="AA79" s="4"/>
    </row>
    <row r="80" spans="1:27" x14ac:dyDescent="0.25">
      <c r="A80">
        <f t="shared" si="55"/>
        <v>78</v>
      </c>
      <c r="B80">
        <f t="shared" si="36"/>
        <v>2</v>
      </c>
      <c r="C80">
        <f t="shared" si="39"/>
        <v>1.1000000000000001</v>
      </c>
      <c r="D80" s="15">
        <f t="shared" si="37"/>
        <v>4.5</v>
      </c>
      <c r="E80">
        <f t="shared" si="40"/>
        <v>1</v>
      </c>
      <c r="F80" s="3">
        <f t="shared" si="53"/>
        <v>180</v>
      </c>
      <c r="G80" s="3">
        <f t="shared" si="54"/>
        <v>3.1415926535897931</v>
      </c>
      <c r="H80" s="18">
        <f t="shared" si="41"/>
        <v>-1.1000000000000001</v>
      </c>
      <c r="I80" s="3">
        <f t="shared" si="42"/>
        <v>1.347663300399482E-16</v>
      </c>
      <c r="J80" s="19" t="str">
        <f t="shared" si="38"/>
        <v>Oth</v>
      </c>
      <c r="K80" s="20" t="e">
        <f t="shared" si="43"/>
        <v>#N/A</v>
      </c>
      <c r="L80" s="20" t="e">
        <f t="shared" si="44"/>
        <v>#N/A</v>
      </c>
      <c r="M80" s="20" t="e">
        <f t="shared" si="45"/>
        <v>#N/A</v>
      </c>
      <c r="N80" s="20" t="e">
        <f t="shared" si="46"/>
        <v>#N/A</v>
      </c>
      <c r="O80" s="20" t="e">
        <f t="shared" si="47"/>
        <v>#N/A</v>
      </c>
      <c r="P80" s="20" t="e">
        <f t="shared" si="48"/>
        <v>#N/A</v>
      </c>
      <c r="Q80" s="20" t="e">
        <f t="shared" si="49"/>
        <v>#N/A</v>
      </c>
      <c r="R80" s="20" t="e">
        <f t="shared" si="50"/>
        <v>#N/A</v>
      </c>
      <c r="S80" s="20">
        <f t="shared" si="51"/>
        <v>-1.1000000000000001</v>
      </c>
      <c r="T80" s="20">
        <f t="shared" si="52"/>
        <v>1.347663300399482E-16</v>
      </c>
      <c r="U80" s="3"/>
      <c r="AA80" s="4"/>
    </row>
    <row r="81" spans="1:27" x14ac:dyDescent="0.25">
      <c r="A81">
        <f t="shared" si="55"/>
        <v>79</v>
      </c>
      <c r="B81">
        <f t="shared" si="36"/>
        <v>3</v>
      </c>
      <c r="C81">
        <f t="shared" si="39"/>
        <v>1.2000000000000002</v>
      </c>
      <c r="D81" s="15">
        <f t="shared" si="37"/>
        <v>4.0909090909090908</v>
      </c>
      <c r="E81">
        <f t="shared" si="40"/>
        <v>0</v>
      </c>
      <c r="F81" s="3">
        <f t="shared" si="53"/>
        <v>0</v>
      </c>
      <c r="G81" s="3">
        <f t="shared" si="54"/>
        <v>0</v>
      </c>
      <c r="H81" s="18">
        <f t="shared" si="41"/>
        <v>1.2000000000000002</v>
      </c>
      <c r="I81" s="3">
        <f t="shared" si="42"/>
        <v>0</v>
      </c>
      <c r="J81" s="19" t="str">
        <f t="shared" si="38"/>
        <v>L</v>
      </c>
      <c r="K81" s="20">
        <f t="shared" si="43"/>
        <v>1.2000000000000002</v>
      </c>
      <c r="L81" s="20">
        <f t="shared" si="44"/>
        <v>0</v>
      </c>
      <c r="M81" s="20" t="e">
        <f t="shared" si="45"/>
        <v>#N/A</v>
      </c>
      <c r="N81" s="20" t="e">
        <f t="shared" si="46"/>
        <v>#N/A</v>
      </c>
      <c r="O81" s="20" t="e">
        <f t="shared" si="47"/>
        <v>#N/A</v>
      </c>
      <c r="P81" s="20" t="e">
        <f t="shared" si="48"/>
        <v>#N/A</v>
      </c>
      <c r="Q81" s="20" t="e">
        <f t="shared" si="49"/>
        <v>#N/A</v>
      </c>
      <c r="R81" s="20" t="e">
        <f t="shared" si="50"/>
        <v>#N/A</v>
      </c>
      <c r="S81" s="20" t="e">
        <f t="shared" si="51"/>
        <v>#N/A</v>
      </c>
      <c r="T81" s="20" t="e">
        <f t="shared" si="52"/>
        <v>#N/A</v>
      </c>
      <c r="U81" s="3"/>
      <c r="AA81" s="4"/>
    </row>
    <row r="82" spans="1:27" x14ac:dyDescent="0.25">
      <c r="A82">
        <f t="shared" si="55"/>
        <v>80</v>
      </c>
      <c r="B82">
        <f t="shared" si="36"/>
        <v>3</v>
      </c>
      <c r="C82">
        <f t="shared" si="39"/>
        <v>1.2000000000000002</v>
      </c>
      <c r="D82" s="15">
        <f t="shared" si="37"/>
        <v>4.0909090909090908</v>
      </c>
      <c r="E82">
        <f t="shared" si="40"/>
        <v>1</v>
      </c>
      <c r="F82" s="3">
        <f t="shared" si="53"/>
        <v>4.0909090909090908</v>
      </c>
      <c r="G82" s="3">
        <f t="shared" si="54"/>
        <v>7.1399833036131663E-2</v>
      </c>
      <c r="H82" s="18">
        <f t="shared" si="41"/>
        <v>1.1969425375323044</v>
      </c>
      <c r="I82" s="3">
        <f t="shared" si="42"/>
        <v>8.5607019839078827E-2</v>
      </c>
      <c r="J82" s="19" t="str">
        <f t="shared" si="38"/>
        <v>L</v>
      </c>
      <c r="K82" s="20">
        <f t="shared" si="43"/>
        <v>1.1969425375323044</v>
      </c>
      <c r="L82" s="20">
        <f t="shared" si="44"/>
        <v>8.5607019839078827E-2</v>
      </c>
      <c r="M82" s="20" t="e">
        <f t="shared" si="45"/>
        <v>#N/A</v>
      </c>
      <c r="N82" s="20" t="e">
        <f t="shared" si="46"/>
        <v>#N/A</v>
      </c>
      <c r="O82" s="20" t="e">
        <f t="shared" si="47"/>
        <v>#N/A</v>
      </c>
      <c r="P82" s="20" t="e">
        <f t="shared" si="48"/>
        <v>#N/A</v>
      </c>
      <c r="Q82" s="20" t="e">
        <f t="shared" si="49"/>
        <v>#N/A</v>
      </c>
      <c r="R82" s="20" t="e">
        <f t="shared" si="50"/>
        <v>#N/A</v>
      </c>
      <c r="S82" s="20" t="e">
        <f t="shared" si="51"/>
        <v>#N/A</v>
      </c>
      <c r="T82" s="20" t="e">
        <f t="shared" si="52"/>
        <v>#N/A</v>
      </c>
      <c r="U82" s="3"/>
      <c r="AA82" s="4"/>
    </row>
    <row r="83" spans="1:27" x14ac:dyDescent="0.25">
      <c r="A83">
        <f t="shared" si="55"/>
        <v>81</v>
      </c>
      <c r="B83">
        <f t="shared" si="36"/>
        <v>3</v>
      </c>
      <c r="C83">
        <f t="shared" si="39"/>
        <v>1.2000000000000002</v>
      </c>
      <c r="D83" s="15">
        <f t="shared" si="37"/>
        <v>4.0909090909090908</v>
      </c>
      <c r="E83">
        <f t="shared" si="40"/>
        <v>1</v>
      </c>
      <c r="F83" s="3">
        <f t="shared" si="53"/>
        <v>8.1818181818181817</v>
      </c>
      <c r="G83" s="3">
        <f t="shared" si="54"/>
        <v>0.14279966607226333</v>
      </c>
      <c r="H83" s="18">
        <f t="shared" si="41"/>
        <v>1.1877857302571193</v>
      </c>
      <c r="I83" s="3">
        <f t="shared" si="42"/>
        <v>0.1707778059279422</v>
      </c>
      <c r="J83" s="19" t="str">
        <f t="shared" si="38"/>
        <v>L</v>
      </c>
      <c r="K83" s="20">
        <f t="shared" si="43"/>
        <v>1.1877857302571193</v>
      </c>
      <c r="L83" s="20">
        <f t="shared" si="44"/>
        <v>0.1707778059279422</v>
      </c>
      <c r="M83" s="20" t="e">
        <f t="shared" si="45"/>
        <v>#N/A</v>
      </c>
      <c r="N83" s="20" t="e">
        <f t="shared" si="46"/>
        <v>#N/A</v>
      </c>
      <c r="O83" s="20" t="e">
        <f t="shared" si="47"/>
        <v>#N/A</v>
      </c>
      <c r="P83" s="20" t="e">
        <f t="shared" si="48"/>
        <v>#N/A</v>
      </c>
      <c r="Q83" s="20" t="e">
        <f t="shared" si="49"/>
        <v>#N/A</v>
      </c>
      <c r="R83" s="20" t="e">
        <f t="shared" si="50"/>
        <v>#N/A</v>
      </c>
      <c r="S83" s="20" t="e">
        <f t="shared" si="51"/>
        <v>#N/A</v>
      </c>
      <c r="T83" s="20" t="e">
        <f t="shared" si="52"/>
        <v>#N/A</v>
      </c>
      <c r="U83" s="3"/>
      <c r="AA83" s="4"/>
    </row>
    <row r="84" spans="1:27" x14ac:dyDescent="0.25">
      <c r="A84">
        <f t="shared" si="55"/>
        <v>82</v>
      </c>
      <c r="B84">
        <f t="shared" si="36"/>
        <v>3</v>
      </c>
      <c r="C84">
        <f t="shared" si="39"/>
        <v>1.2000000000000002</v>
      </c>
      <c r="D84" s="15">
        <f t="shared" si="37"/>
        <v>4.0909090909090908</v>
      </c>
      <c r="E84">
        <f t="shared" si="40"/>
        <v>1</v>
      </c>
      <c r="F84" s="3">
        <f t="shared" si="53"/>
        <v>12.272727272727273</v>
      </c>
      <c r="G84" s="3">
        <f t="shared" si="54"/>
        <v>0.214199499108395</v>
      </c>
      <c r="H84" s="18">
        <f t="shared" si="41"/>
        <v>1.1725762391653916</v>
      </c>
      <c r="I84" s="3">
        <f t="shared" si="42"/>
        <v>0.25507834746357205</v>
      </c>
      <c r="J84" s="19" t="str">
        <f t="shared" si="38"/>
        <v>L</v>
      </c>
      <c r="K84" s="20">
        <f t="shared" si="43"/>
        <v>1.1725762391653916</v>
      </c>
      <c r="L84" s="20">
        <f t="shared" si="44"/>
        <v>0.25507834746357205</v>
      </c>
      <c r="M84" s="20" t="e">
        <f t="shared" si="45"/>
        <v>#N/A</v>
      </c>
      <c r="N84" s="20" t="e">
        <f t="shared" si="46"/>
        <v>#N/A</v>
      </c>
      <c r="O84" s="20" t="e">
        <f t="shared" si="47"/>
        <v>#N/A</v>
      </c>
      <c r="P84" s="20" t="e">
        <f t="shared" si="48"/>
        <v>#N/A</v>
      </c>
      <c r="Q84" s="20" t="e">
        <f t="shared" si="49"/>
        <v>#N/A</v>
      </c>
      <c r="R84" s="20" t="e">
        <f t="shared" si="50"/>
        <v>#N/A</v>
      </c>
      <c r="S84" s="20" t="e">
        <f t="shared" si="51"/>
        <v>#N/A</v>
      </c>
      <c r="T84" s="20" t="e">
        <f t="shared" si="52"/>
        <v>#N/A</v>
      </c>
      <c r="U84" s="3"/>
      <c r="AA84" s="4"/>
    </row>
    <row r="85" spans="1:27" x14ac:dyDescent="0.25">
      <c r="A85">
        <f t="shared" si="55"/>
        <v>83</v>
      </c>
      <c r="B85">
        <f t="shared" si="36"/>
        <v>3</v>
      </c>
      <c r="C85">
        <f t="shared" si="39"/>
        <v>1.2000000000000002</v>
      </c>
      <c r="D85" s="15">
        <f t="shared" si="37"/>
        <v>4.0909090909090908</v>
      </c>
      <c r="E85">
        <f t="shared" si="40"/>
        <v>1</v>
      </c>
      <c r="F85" s="3">
        <f t="shared" si="53"/>
        <v>16.363636363636363</v>
      </c>
      <c r="G85" s="3">
        <f t="shared" si="54"/>
        <v>0.28559933214452665</v>
      </c>
      <c r="H85" s="18">
        <f t="shared" si="41"/>
        <v>1.151391568337397</v>
      </c>
      <c r="I85" s="3">
        <f t="shared" si="42"/>
        <v>0.33807906820971567</v>
      </c>
      <c r="J85" s="19" t="str">
        <f t="shared" si="38"/>
        <v>L</v>
      </c>
      <c r="K85" s="20">
        <f t="shared" si="43"/>
        <v>1.151391568337397</v>
      </c>
      <c r="L85" s="20">
        <f t="shared" si="44"/>
        <v>0.33807906820971567</v>
      </c>
      <c r="M85" s="20" t="e">
        <f t="shared" si="45"/>
        <v>#N/A</v>
      </c>
      <c r="N85" s="20" t="e">
        <f t="shared" si="46"/>
        <v>#N/A</v>
      </c>
      <c r="O85" s="20" t="e">
        <f t="shared" si="47"/>
        <v>#N/A</v>
      </c>
      <c r="P85" s="20" t="e">
        <f t="shared" si="48"/>
        <v>#N/A</v>
      </c>
      <c r="Q85" s="20" t="e">
        <f t="shared" si="49"/>
        <v>#N/A</v>
      </c>
      <c r="R85" s="20" t="e">
        <f t="shared" si="50"/>
        <v>#N/A</v>
      </c>
      <c r="S85" s="20" t="e">
        <f t="shared" si="51"/>
        <v>#N/A</v>
      </c>
      <c r="T85" s="20" t="e">
        <f t="shared" si="52"/>
        <v>#N/A</v>
      </c>
      <c r="U85" s="3"/>
      <c r="AA85" s="4"/>
    </row>
    <row r="86" spans="1:27" x14ac:dyDescent="0.25">
      <c r="A86">
        <f t="shared" si="55"/>
        <v>84</v>
      </c>
      <c r="B86">
        <f t="shared" si="36"/>
        <v>3</v>
      </c>
      <c r="C86">
        <f t="shared" si="39"/>
        <v>1.2000000000000002</v>
      </c>
      <c r="D86" s="15">
        <f t="shared" si="37"/>
        <v>4.0909090909090908</v>
      </c>
      <c r="E86">
        <f t="shared" si="40"/>
        <v>1</v>
      </c>
      <c r="F86" s="3">
        <f t="shared" si="53"/>
        <v>20.454545454545453</v>
      </c>
      <c r="G86" s="3">
        <f t="shared" si="54"/>
        <v>0.35699916518065827</v>
      </c>
      <c r="H86" s="18">
        <f t="shared" si="41"/>
        <v>1.1243396699997141</v>
      </c>
      <c r="I86" s="3">
        <f t="shared" si="42"/>
        <v>0.41935701551891802</v>
      </c>
      <c r="J86" s="19" t="str">
        <f t="shared" si="38"/>
        <v>L</v>
      </c>
      <c r="K86" s="20">
        <f t="shared" si="43"/>
        <v>1.1243396699997141</v>
      </c>
      <c r="L86" s="20">
        <f t="shared" si="44"/>
        <v>0.41935701551891802</v>
      </c>
      <c r="M86" s="20" t="e">
        <f t="shared" si="45"/>
        <v>#N/A</v>
      </c>
      <c r="N86" s="20" t="e">
        <f t="shared" si="46"/>
        <v>#N/A</v>
      </c>
      <c r="O86" s="20" t="e">
        <f t="shared" si="47"/>
        <v>#N/A</v>
      </c>
      <c r="P86" s="20" t="e">
        <f t="shared" si="48"/>
        <v>#N/A</v>
      </c>
      <c r="Q86" s="20" t="e">
        <f t="shared" si="49"/>
        <v>#N/A</v>
      </c>
      <c r="R86" s="20" t="e">
        <f t="shared" si="50"/>
        <v>#N/A</v>
      </c>
      <c r="S86" s="20" t="e">
        <f t="shared" si="51"/>
        <v>#N/A</v>
      </c>
      <c r="T86" s="20" t="e">
        <f t="shared" si="52"/>
        <v>#N/A</v>
      </c>
      <c r="U86" s="3"/>
      <c r="AA86" s="4"/>
    </row>
    <row r="87" spans="1:27" x14ac:dyDescent="0.25">
      <c r="A87">
        <f t="shared" si="55"/>
        <v>85</v>
      </c>
      <c r="B87">
        <f t="shared" si="36"/>
        <v>3</v>
      </c>
      <c r="C87">
        <f t="shared" si="39"/>
        <v>1.2000000000000002</v>
      </c>
      <c r="D87" s="15">
        <f t="shared" si="37"/>
        <v>4.0909090909090908</v>
      </c>
      <c r="E87">
        <f t="shared" si="40"/>
        <v>1</v>
      </c>
      <c r="F87" s="3">
        <f t="shared" si="53"/>
        <v>24.545454545454543</v>
      </c>
      <c r="G87" s="3">
        <f t="shared" si="54"/>
        <v>0.42839899821678995</v>
      </c>
      <c r="H87" s="18">
        <f t="shared" si="41"/>
        <v>1.0915583944254224</v>
      </c>
      <c r="I87" s="3">
        <f t="shared" si="42"/>
        <v>0.49849801560226376</v>
      </c>
      <c r="J87" s="19" t="str">
        <f t="shared" si="38"/>
        <v>L</v>
      </c>
      <c r="K87" s="20">
        <f t="shared" si="43"/>
        <v>1.0915583944254224</v>
      </c>
      <c r="L87" s="20">
        <f t="shared" si="44"/>
        <v>0.49849801560226376</v>
      </c>
      <c r="M87" s="20" t="e">
        <f t="shared" si="45"/>
        <v>#N/A</v>
      </c>
      <c r="N87" s="20" t="e">
        <f t="shared" si="46"/>
        <v>#N/A</v>
      </c>
      <c r="O87" s="20" t="e">
        <f t="shared" si="47"/>
        <v>#N/A</v>
      </c>
      <c r="P87" s="20" t="e">
        <f t="shared" si="48"/>
        <v>#N/A</v>
      </c>
      <c r="Q87" s="20" t="e">
        <f t="shared" si="49"/>
        <v>#N/A</v>
      </c>
      <c r="R87" s="20" t="e">
        <f t="shared" si="50"/>
        <v>#N/A</v>
      </c>
      <c r="S87" s="20" t="e">
        <f t="shared" si="51"/>
        <v>#N/A</v>
      </c>
      <c r="T87" s="20" t="e">
        <f t="shared" si="52"/>
        <v>#N/A</v>
      </c>
      <c r="U87" s="3"/>
      <c r="AA87" s="4"/>
    </row>
    <row r="88" spans="1:27" x14ac:dyDescent="0.25">
      <c r="A88">
        <f t="shared" si="55"/>
        <v>86</v>
      </c>
      <c r="B88">
        <f t="shared" si="36"/>
        <v>3</v>
      </c>
      <c r="C88">
        <f t="shared" si="39"/>
        <v>1.2000000000000002</v>
      </c>
      <c r="D88" s="15">
        <f t="shared" si="37"/>
        <v>4.0909090909090908</v>
      </c>
      <c r="E88">
        <f t="shared" si="40"/>
        <v>1</v>
      </c>
      <c r="F88" s="3">
        <f t="shared" si="53"/>
        <v>28.636363636363633</v>
      </c>
      <c r="G88" s="3">
        <f t="shared" si="54"/>
        <v>0.49979883125292152</v>
      </c>
      <c r="H88" s="18">
        <f t="shared" si="41"/>
        <v>1.053214787480707</v>
      </c>
      <c r="I88" s="3">
        <f t="shared" si="42"/>
        <v>0.57509878406406811</v>
      </c>
      <c r="J88" s="19" t="str">
        <f t="shared" si="38"/>
        <v>L</v>
      </c>
      <c r="K88" s="20">
        <f t="shared" si="43"/>
        <v>1.053214787480707</v>
      </c>
      <c r="L88" s="20">
        <f t="shared" si="44"/>
        <v>0.57509878406406811</v>
      </c>
      <c r="M88" s="20" t="e">
        <f t="shared" si="45"/>
        <v>#N/A</v>
      </c>
      <c r="N88" s="20" t="e">
        <f t="shared" si="46"/>
        <v>#N/A</v>
      </c>
      <c r="O88" s="20" t="e">
        <f t="shared" si="47"/>
        <v>#N/A</v>
      </c>
      <c r="P88" s="20" t="e">
        <f t="shared" si="48"/>
        <v>#N/A</v>
      </c>
      <c r="Q88" s="20" t="e">
        <f t="shared" si="49"/>
        <v>#N/A</v>
      </c>
      <c r="R88" s="20" t="e">
        <f t="shared" si="50"/>
        <v>#N/A</v>
      </c>
      <c r="S88" s="20" t="e">
        <f t="shared" si="51"/>
        <v>#N/A</v>
      </c>
      <c r="T88" s="20" t="e">
        <f t="shared" si="52"/>
        <v>#N/A</v>
      </c>
      <c r="U88" s="3"/>
      <c r="AA88" s="4"/>
    </row>
    <row r="89" spans="1:27" x14ac:dyDescent="0.25">
      <c r="A89">
        <f t="shared" si="55"/>
        <v>87</v>
      </c>
      <c r="B89">
        <f t="shared" si="36"/>
        <v>3</v>
      </c>
      <c r="C89">
        <f t="shared" si="39"/>
        <v>1.2000000000000002</v>
      </c>
      <c r="D89" s="15">
        <f t="shared" si="37"/>
        <v>4.0909090909090908</v>
      </c>
      <c r="E89">
        <f t="shared" si="40"/>
        <v>1</v>
      </c>
      <c r="F89" s="3">
        <f t="shared" si="53"/>
        <v>32.727272727272727</v>
      </c>
      <c r="G89" s="3">
        <f t="shared" si="54"/>
        <v>0.5711986642890533</v>
      </c>
      <c r="H89" s="18">
        <f t="shared" si="41"/>
        <v>1.0095042393974176</v>
      </c>
      <c r="I89" s="3">
        <f t="shared" si="42"/>
        <v>0.6487689809467172</v>
      </c>
      <c r="J89" s="19" t="str">
        <f t="shared" si="38"/>
        <v>L</v>
      </c>
      <c r="K89" s="20">
        <f t="shared" si="43"/>
        <v>1.0095042393974176</v>
      </c>
      <c r="L89" s="20">
        <f t="shared" si="44"/>
        <v>0.6487689809467172</v>
      </c>
      <c r="M89" s="20" t="e">
        <f t="shared" si="45"/>
        <v>#N/A</v>
      </c>
      <c r="N89" s="20" t="e">
        <f t="shared" si="46"/>
        <v>#N/A</v>
      </c>
      <c r="O89" s="20" t="e">
        <f t="shared" si="47"/>
        <v>#N/A</v>
      </c>
      <c r="P89" s="20" t="e">
        <f t="shared" si="48"/>
        <v>#N/A</v>
      </c>
      <c r="Q89" s="20" t="e">
        <f t="shared" si="49"/>
        <v>#N/A</v>
      </c>
      <c r="R89" s="20" t="e">
        <f t="shared" si="50"/>
        <v>#N/A</v>
      </c>
      <c r="S89" s="20" t="e">
        <f t="shared" si="51"/>
        <v>#N/A</v>
      </c>
      <c r="T89" s="20" t="e">
        <f t="shared" si="52"/>
        <v>#N/A</v>
      </c>
      <c r="U89" s="3"/>
      <c r="AA89" s="4"/>
    </row>
    <row r="90" spans="1:27" x14ac:dyDescent="0.25">
      <c r="A90">
        <f t="shared" si="55"/>
        <v>88</v>
      </c>
      <c r="B90">
        <f t="shared" si="36"/>
        <v>3</v>
      </c>
      <c r="C90">
        <f t="shared" si="39"/>
        <v>1.2000000000000002</v>
      </c>
      <c r="D90" s="15">
        <f t="shared" si="37"/>
        <v>4.0909090909090908</v>
      </c>
      <c r="E90">
        <f t="shared" si="40"/>
        <v>1</v>
      </c>
      <c r="F90" s="3">
        <f t="shared" si="53"/>
        <v>36.81818181818182</v>
      </c>
      <c r="G90" s="3">
        <f t="shared" si="54"/>
        <v>0.64259849732518504</v>
      </c>
      <c r="H90" s="18">
        <f t="shared" si="41"/>
        <v>0.96064948910923265</v>
      </c>
      <c r="I90" s="3">
        <f t="shared" si="42"/>
        <v>0.71913319981361645</v>
      </c>
      <c r="J90" s="19" t="str">
        <f t="shared" si="38"/>
        <v>L</v>
      </c>
      <c r="K90" s="20">
        <f t="shared" si="43"/>
        <v>0.96064948910923265</v>
      </c>
      <c r="L90" s="20">
        <f t="shared" si="44"/>
        <v>0.71913319981361645</v>
      </c>
      <c r="M90" s="20" t="e">
        <f t="shared" si="45"/>
        <v>#N/A</v>
      </c>
      <c r="N90" s="20" t="e">
        <f t="shared" si="46"/>
        <v>#N/A</v>
      </c>
      <c r="O90" s="20" t="e">
        <f t="shared" si="47"/>
        <v>#N/A</v>
      </c>
      <c r="P90" s="20" t="e">
        <f t="shared" si="48"/>
        <v>#N/A</v>
      </c>
      <c r="Q90" s="20" t="e">
        <f t="shared" si="49"/>
        <v>#N/A</v>
      </c>
      <c r="R90" s="20" t="e">
        <f t="shared" si="50"/>
        <v>#N/A</v>
      </c>
      <c r="S90" s="20" t="e">
        <f t="shared" si="51"/>
        <v>#N/A</v>
      </c>
      <c r="T90" s="20" t="e">
        <f t="shared" si="52"/>
        <v>#N/A</v>
      </c>
      <c r="U90" s="3"/>
      <c r="AA90" s="4"/>
    </row>
    <row r="91" spans="1:27" x14ac:dyDescent="0.25">
      <c r="A91">
        <f t="shared" si="55"/>
        <v>89</v>
      </c>
      <c r="B91">
        <f t="shared" si="36"/>
        <v>3</v>
      </c>
      <c r="C91">
        <f t="shared" si="39"/>
        <v>1.2000000000000002</v>
      </c>
      <c r="D91" s="15">
        <f t="shared" si="37"/>
        <v>4.0909090909090908</v>
      </c>
      <c r="E91">
        <f t="shared" si="40"/>
        <v>1</v>
      </c>
      <c r="F91" s="3">
        <f t="shared" si="53"/>
        <v>40.909090909090914</v>
      </c>
      <c r="G91" s="3">
        <f t="shared" si="54"/>
        <v>0.71399833036131666</v>
      </c>
      <c r="H91" s="18">
        <f t="shared" si="41"/>
        <v>0.9068994892251101</v>
      </c>
      <c r="I91" s="3">
        <f t="shared" si="42"/>
        <v>0.78583288073434221</v>
      </c>
      <c r="J91" s="19" t="str">
        <f t="shared" si="38"/>
        <v>L</v>
      </c>
      <c r="K91" s="20">
        <f t="shared" si="43"/>
        <v>0.9068994892251101</v>
      </c>
      <c r="L91" s="20">
        <f t="shared" si="44"/>
        <v>0.78583288073434221</v>
      </c>
      <c r="M91" s="20" t="e">
        <f t="shared" si="45"/>
        <v>#N/A</v>
      </c>
      <c r="N91" s="20" t="e">
        <f t="shared" si="46"/>
        <v>#N/A</v>
      </c>
      <c r="O91" s="20" t="e">
        <f t="shared" si="47"/>
        <v>#N/A</v>
      </c>
      <c r="P91" s="20" t="e">
        <f t="shared" si="48"/>
        <v>#N/A</v>
      </c>
      <c r="Q91" s="20" t="e">
        <f t="shared" si="49"/>
        <v>#N/A</v>
      </c>
      <c r="R91" s="20" t="e">
        <f t="shared" si="50"/>
        <v>#N/A</v>
      </c>
      <c r="S91" s="20" t="e">
        <f t="shared" si="51"/>
        <v>#N/A</v>
      </c>
      <c r="T91" s="20" t="e">
        <f t="shared" si="52"/>
        <v>#N/A</v>
      </c>
      <c r="U91" s="3"/>
      <c r="AA91" s="4"/>
    </row>
    <row r="92" spans="1:27" x14ac:dyDescent="0.25">
      <c r="A92">
        <f t="shared" si="55"/>
        <v>90</v>
      </c>
      <c r="B92">
        <f t="shared" si="36"/>
        <v>3</v>
      </c>
      <c r="C92">
        <f t="shared" si="39"/>
        <v>1.2000000000000002</v>
      </c>
      <c r="D92" s="15">
        <f t="shared" si="37"/>
        <v>4.0909090909090908</v>
      </c>
      <c r="E92">
        <f t="shared" si="40"/>
        <v>1</v>
      </c>
      <c r="F92" s="3">
        <f t="shared" si="53"/>
        <v>45.000000000000007</v>
      </c>
      <c r="G92" s="3">
        <f t="shared" si="54"/>
        <v>0.7853981633974485</v>
      </c>
      <c r="H92" s="18">
        <f t="shared" si="41"/>
        <v>0.84852813742385691</v>
      </c>
      <c r="I92" s="3">
        <f t="shared" si="42"/>
        <v>0.84852813742385735</v>
      </c>
      <c r="J92" s="19" t="str">
        <f t="shared" si="38"/>
        <v>L</v>
      </c>
      <c r="K92" s="20">
        <f t="shared" si="43"/>
        <v>0.84852813742385691</v>
      </c>
      <c r="L92" s="20">
        <f t="shared" si="44"/>
        <v>0.84852813742385735</v>
      </c>
      <c r="M92" s="20" t="e">
        <f t="shared" si="45"/>
        <v>#N/A</v>
      </c>
      <c r="N92" s="20" t="e">
        <f t="shared" si="46"/>
        <v>#N/A</v>
      </c>
      <c r="O92" s="20" t="e">
        <f t="shared" si="47"/>
        <v>#N/A</v>
      </c>
      <c r="P92" s="20" t="e">
        <f t="shared" si="48"/>
        <v>#N/A</v>
      </c>
      <c r="Q92" s="20" t="e">
        <f t="shared" si="49"/>
        <v>#N/A</v>
      </c>
      <c r="R92" s="20" t="e">
        <f t="shared" si="50"/>
        <v>#N/A</v>
      </c>
      <c r="S92" s="20" t="e">
        <f t="shared" si="51"/>
        <v>#N/A</v>
      </c>
      <c r="T92" s="20" t="e">
        <f t="shared" si="52"/>
        <v>#N/A</v>
      </c>
      <c r="U92" s="3"/>
      <c r="AA92" s="4"/>
    </row>
    <row r="93" spans="1:27" x14ac:dyDescent="0.25">
      <c r="A93">
        <f t="shared" si="55"/>
        <v>91</v>
      </c>
      <c r="B93">
        <f t="shared" si="36"/>
        <v>3</v>
      </c>
      <c r="C93">
        <f t="shared" si="39"/>
        <v>1.2000000000000002</v>
      </c>
      <c r="D93" s="15">
        <f t="shared" si="37"/>
        <v>4.0909090909090908</v>
      </c>
      <c r="E93">
        <f t="shared" si="40"/>
        <v>1</v>
      </c>
      <c r="F93" s="3">
        <f t="shared" si="53"/>
        <v>49.090909090909101</v>
      </c>
      <c r="G93" s="3">
        <f t="shared" si="54"/>
        <v>0.85679799643358001</v>
      </c>
      <c r="H93" s="18">
        <f t="shared" si="41"/>
        <v>0.7858328807343421</v>
      </c>
      <c r="I93" s="3">
        <f t="shared" si="42"/>
        <v>0.9068994892251101</v>
      </c>
      <c r="J93" s="19" t="str">
        <f t="shared" si="38"/>
        <v>L</v>
      </c>
      <c r="K93" s="20">
        <f t="shared" si="43"/>
        <v>0.7858328807343421</v>
      </c>
      <c r="L93" s="20">
        <f t="shared" si="44"/>
        <v>0.9068994892251101</v>
      </c>
      <c r="M93" s="20" t="e">
        <f t="shared" si="45"/>
        <v>#N/A</v>
      </c>
      <c r="N93" s="20" t="e">
        <f t="shared" si="46"/>
        <v>#N/A</v>
      </c>
      <c r="O93" s="20" t="e">
        <f t="shared" si="47"/>
        <v>#N/A</v>
      </c>
      <c r="P93" s="20" t="e">
        <f t="shared" si="48"/>
        <v>#N/A</v>
      </c>
      <c r="Q93" s="20" t="e">
        <f t="shared" si="49"/>
        <v>#N/A</v>
      </c>
      <c r="R93" s="20" t="e">
        <f t="shared" si="50"/>
        <v>#N/A</v>
      </c>
      <c r="S93" s="20" t="e">
        <f t="shared" si="51"/>
        <v>#N/A</v>
      </c>
      <c r="T93" s="20" t="e">
        <f t="shared" si="52"/>
        <v>#N/A</v>
      </c>
      <c r="U93" s="3"/>
      <c r="AA93" s="4"/>
    </row>
    <row r="94" spans="1:27" x14ac:dyDescent="0.25">
      <c r="A94">
        <f t="shared" si="55"/>
        <v>92</v>
      </c>
      <c r="B94">
        <f t="shared" si="36"/>
        <v>3</v>
      </c>
      <c r="C94">
        <f t="shared" si="39"/>
        <v>1.2000000000000002</v>
      </c>
      <c r="D94" s="15">
        <f t="shared" si="37"/>
        <v>4.0909090909090908</v>
      </c>
      <c r="E94">
        <f t="shared" si="40"/>
        <v>1</v>
      </c>
      <c r="F94" s="3">
        <f t="shared" si="53"/>
        <v>53.181818181818194</v>
      </c>
      <c r="G94" s="3">
        <f t="shared" si="54"/>
        <v>0.92819782946971185</v>
      </c>
      <c r="H94" s="18">
        <f t="shared" si="41"/>
        <v>0.71913319981361623</v>
      </c>
      <c r="I94" s="3">
        <f t="shared" si="42"/>
        <v>0.96064948910923276</v>
      </c>
      <c r="J94" s="19" t="str">
        <f t="shared" si="38"/>
        <v>L</v>
      </c>
      <c r="K94" s="20">
        <f t="shared" si="43"/>
        <v>0.71913319981361623</v>
      </c>
      <c r="L94" s="20">
        <f t="shared" si="44"/>
        <v>0.96064948910923276</v>
      </c>
      <c r="M94" s="20" t="e">
        <f t="shared" si="45"/>
        <v>#N/A</v>
      </c>
      <c r="N94" s="20" t="e">
        <f t="shared" si="46"/>
        <v>#N/A</v>
      </c>
      <c r="O94" s="20" t="e">
        <f t="shared" si="47"/>
        <v>#N/A</v>
      </c>
      <c r="P94" s="20" t="e">
        <f t="shared" si="48"/>
        <v>#N/A</v>
      </c>
      <c r="Q94" s="20" t="e">
        <f t="shared" si="49"/>
        <v>#N/A</v>
      </c>
      <c r="R94" s="20" t="e">
        <f t="shared" si="50"/>
        <v>#N/A</v>
      </c>
      <c r="S94" s="20" t="e">
        <f t="shared" si="51"/>
        <v>#N/A</v>
      </c>
      <c r="T94" s="20" t="e">
        <f t="shared" si="52"/>
        <v>#N/A</v>
      </c>
      <c r="U94" s="3"/>
      <c r="AA94" s="4"/>
    </row>
    <row r="95" spans="1:27" x14ac:dyDescent="0.25">
      <c r="A95">
        <f t="shared" si="55"/>
        <v>93</v>
      </c>
      <c r="B95">
        <f t="shared" si="36"/>
        <v>3</v>
      </c>
      <c r="C95">
        <f t="shared" si="39"/>
        <v>1.2000000000000002</v>
      </c>
      <c r="D95" s="15">
        <f t="shared" si="37"/>
        <v>4.0909090909090908</v>
      </c>
      <c r="E95">
        <f t="shared" si="40"/>
        <v>1</v>
      </c>
      <c r="F95" s="3">
        <f t="shared" si="53"/>
        <v>57.272727272727288</v>
      </c>
      <c r="G95" s="3">
        <f t="shared" si="54"/>
        <v>0.99959766250584359</v>
      </c>
      <c r="H95" s="18">
        <f t="shared" si="41"/>
        <v>0.64876898094671687</v>
      </c>
      <c r="I95" s="3">
        <f t="shared" si="42"/>
        <v>1.0095042393974176</v>
      </c>
      <c r="J95" s="19" t="str">
        <f t="shared" si="38"/>
        <v>L</v>
      </c>
      <c r="K95" s="20">
        <f t="shared" si="43"/>
        <v>0.64876898094671687</v>
      </c>
      <c r="L95" s="20">
        <f t="shared" si="44"/>
        <v>1.0095042393974176</v>
      </c>
      <c r="M95" s="20" t="e">
        <f t="shared" si="45"/>
        <v>#N/A</v>
      </c>
      <c r="N95" s="20" t="e">
        <f t="shared" si="46"/>
        <v>#N/A</v>
      </c>
      <c r="O95" s="20" t="e">
        <f t="shared" si="47"/>
        <v>#N/A</v>
      </c>
      <c r="P95" s="20" t="e">
        <f t="shared" si="48"/>
        <v>#N/A</v>
      </c>
      <c r="Q95" s="20" t="e">
        <f t="shared" si="49"/>
        <v>#N/A</v>
      </c>
      <c r="R95" s="20" t="e">
        <f t="shared" si="50"/>
        <v>#N/A</v>
      </c>
      <c r="S95" s="20" t="e">
        <f t="shared" si="51"/>
        <v>#N/A</v>
      </c>
      <c r="T95" s="20" t="e">
        <f t="shared" si="52"/>
        <v>#N/A</v>
      </c>
      <c r="U95" s="3"/>
      <c r="AA95" s="4"/>
    </row>
    <row r="96" spans="1:27" x14ac:dyDescent="0.25">
      <c r="A96">
        <f t="shared" si="55"/>
        <v>94</v>
      </c>
      <c r="B96">
        <f t="shared" si="36"/>
        <v>3</v>
      </c>
      <c r="C96">
        <f t="shared" si="39"/>
        <v>1.2000000000000002</v>
      </c>
      <c r="D96" s="15">
        <f t="shared" si="37"/>
        <v>4.0909090909090908</v>
      </c>
      <c r="E96">
        <f t="shared" si="40"/>
        <v>1</v>
      </c>
      <c r="F96" s="3">
        <f t="shared" si="53"/>
        <v>61.363636363636381</v>
      </c>
      <c r="G96" s="3">
        <f t="shared" si="54"/>
        <v>1.0709974955419752</v>
      </c>
      <c r="H96" s="18">
        <f t="shared" si="41"/>
        <v>0.575098784064068</v>
      </c>
      <c r="I96" s="3">
        <f t="shared" si="42"/>
        <v>1.0532147874807072</v>
      </c>
      <c r="J96" s="19" t="str">
        <f t="shared" si="38"/>
        <v>L</v>
      </c>
      <c r="K96" s="20">
        <f t="shared" si="43"/>
        <v>0.575098784064068</v>
      </c>
      <c r="L96" s="20">
        <f t="shared" si="44"/>
        <v>1.0532147874807072</v>
      </c>
      <c r="M96" s="20" t="e">
        <f t="shared" si="45"/>
        <v>#N/A</v>
      </c>
      <c r="N96" s="20" t="e">
        <f t="shared" si="46"/>
        <v>#N/A</v>
      </c>
      <c r="O96" s="20" t="e">
        <f t="shared" si="47"/>
        <v>#N/A</v>
      </c>
      <c r="P96" s="20" t="e">
        <f t="shared" si="48"/>
        <v>#N/A</v>
      </c>
      <c r="Q96" s="20" t="e">
        <f t="shared" si="49"/>
        <v>#N/A</v>
      </c>
      <c r="R96" s="20" t="e">
        <f t="shared" si="50"/>
        <v>#N/A</v>
      </c>
      <c r="S96" s="20" t="e">
        <f t="shared" si="51"/>
        <v>#N/A</v>
      </c>
      <c r="T96" s="20" t="e">
        <f t="shared" si="52"/>
        <v>#N/A</v>
      </c>
      <c r="U96" s="3"/>
      <c r="AA96" s="4"/>
    </row>
    <row r="97" spans="1:27" x14ac:dyDescent="0.25">
      <c r="A97">
        <f t="shared" si="55"/>
        <v>95</v>
      </c>
      <c r="B97">
        <f t="shared" si="36"/>
        <v>3</v>
      </c>
      <c r="C97">
        <f t="shared" si="39"/>
        <v>1.2000000000000002</v>
      </c>
      <c r="D97" s="15">
        <f t="shared" si="37"/>
        <v>4.0909090909090908</v>
      </c>
      <c r="E97">
        <f t="shared" si="40"/>
        <v>1</v>
      </c>
      <c r="F97" s="3">
        <f t="shared" si="53"/>
        <v>65.454545454545467</v>
      </c>
      <c r="G97" s="3">
        <f t="shared" si="54"/>
        <v>1.1423973285781068</v>
      </c>
      <c r="H97" s="18">
        <f t="shared" si="41"/>
        <v>0.49849801560226359</v>
      </c>
      <c r="I97" s="3">
        <f t="shared" si="42"/>
        <v>1.0915583944254224</v>
      </c>
      <c r="J97" s="19" t="str">
        <f t="shared" si="38"/>
        <v>L</v>
      </c>
      <c r="K97" s="20">
        <f t="shared" si="43"/>
        <v>0.49849801560226359</v>
      </c>
      <c r="L97" s="20">
        <f t="shared" si="44"/>
        <v>1.0915583944254224</v>
      </c>
      <c r="M97" s="20" t="e">
        <f t="shared" si="45"/>
        <v>#N/A</v>
      </c>
      <c r="N97" s="20" t="e">
        <f t="shared" si="46"/>
        <v>#N/A</v>
      </c>
      <c r="O97" s="20" t="e">
        <f t="shared" si="47"/>
        <v>#N/A</v>
      </c>
      <c r="P97" s="20" t="e">
        <f t="shared" si="48"/>
        <v>#N/A</v>
      </c>
      <c r="Q97" s="20" t="e">
        <f t="shared" si="49"/>
        <v>#N/A</v>
      </c>
      <c r="R97" s="20" t="e">
        <f t="shared" si="50"/>
        <v>#N/A</v>
      </c>
      <c r="S97" s="20" t="e">
        <f t="shared" si="51"/>
        <v>#N/A</v>
      </c>
      <c r="T97" s="20" t="e">
        <f t="shared" si="52"/>
        <v>#N/A</v>
      </c>
      <c r="U97" s="3"/>
      <c r="AA97" s="4"/>
    </row>
    <row r="98" spans="1:27" x14ac:dyDescent="0.25">
      <c r="A98">
        <f t="shared" si="55"/>
        <v>96</v>
      </c>
      <c r="B98">
        <f t="shared" si="36"/>
        <v>3</v>
      </c>
      <c r="C98">
        <f t="shared" si="39"/>
        <v>1.2000000000000002</v>
      </c>
      <c r="D98" s="15">
        <f t="shared" si="37"/>
        <v>4.0909090909090908</v>
      </c>
      <c r="E98">
        <f t="shared" si="40"/>
        <v>1</v>
      </c>
      <c r="F98" s="3">
        <f t="shared" si="53"/>
        <v>69.545454545454561</v>
      </c>
      <c r="G98" s="3">
        <f t="shared" si="54"/>
        <v>1.2137971616142387</v>
      </c>
      <c r="H98" s="18">
        <f t="shared" si="41"/>
        <v>0.41935701551891763</v>
      </c>
      <c r="I98" s="3">
        <f t="shared" si="42"/>
        <v>1.1243396699997144</v>
      </c>
      <c r="J98" s="19" t="str">
        <f t="shared" si="38"/>
        <v>L</v>
      </c>
      <c r="K98" s="20">
        <f t="shared" si="43"/>
        <v>0.41935701551891763</v>
      </c>
      <c r="L98" s="20">
        <f t="shared" si="44"/>
        <v>1.1243396699997144</v>
      </c>
      <c r="M98" s="20" t="e">
        <f t="shared" si="45"/>
        <v>#N/A</v>
      </c>
      <c r="N98" s="20" t="e">
        <f t="shared" si="46"/>
        <v>#N/A</v>
      </c>
      <c r="O98" s="20" t="e">
        <f t="shared" si="47"/>
        <v>#N/A</v>
      </c>
      <c r="P98" s="20" t="e">
        <f t="shared" si="48"/>
        <v>#N/A</v>
      </c>
      <c r="Q98" s="20" t="e">
        <f t="shared" si="49"/>
        <v>#N/A</v>
      </c>
      <c r="R98" s="20" t="e">
        <f t="shared" si="50"/>
        <v>#N/A</v>
      </c>
      <c r="S98" s="20" t="e">
        <f t="shared" si="51"/>
        <v>#N/A</v>
      </c>
      <c r="T98" s="20" t="e">
        <f t="shared" si="52"/>
        <v>#N/A</v>
      </c>
      <c r="U98" s="3"/>
      <c r="AA98" s="4"/>
    </row>
    <row r="99" spans="1:27" x14ac:dyDescent="0.25">
      <c r="A99">
        <f t="shared" si="55"/>
        <v>97</v>
      </c>
      <c r="B99">
        <f t="shared" si="36"/>
        <v>3</v>
      </c>
      <c r="C99">
        <f t="shared" si="39"/>
        <v>1.2000000000000002</v>
      </c>
      <c r="D99" s="15">
        <f t="shared" si="37"/>
        <v>4.0909090909090908</v>
      </c>
      <c r="E99">
        <f t="shared" si="40"/>
        <v>1</v>
      </c>
      <c r="F99" s="3">
        <f t="shared" si="53"/>
        <v>73.636363636363654</v>
      </c>
      <c r="G99" s="3">
        <f t="shared" si="54"/>
        <v>1.2851969946503701</v>
      </c>
      <c r="H99" s="18">
        <f t="shared" si="41"/>
        <v>0.33807906820971562</v>
      </c>
      <c r="I99" s="3">
        <f t="shared" si="42"/>
        <v>1.151391568337397</v>
      </c>
      <c r="J99" s="19" t="str">
        <f t="shared" si="38"/>
        <v>L</v>
      </c>
      <c r="K99" s="20">
        <f t="shared" si="43"/>
        <v>0.33807906820971562</v>
      </c>
      <c r="L99" s="20">
        <f t="shared" si="44"/>
        <v>1.151391568337397</v>
      </c>
      <c r="M99" s="20" t="e">
        <f t="shared" si="45"/>
        <v>#N/A</v>
      </c>
      <c r="N99" s="20" t="e">
        <f t="shared" si="46"/>
        <v>#N/A</v>
      </c>
      <c r="O99" s="20" t="e">
        <f t="shared" si="47"/>
        <v>#N/A</v>
      </c>
      <c r="P99" s="20" t="e">
        <f t="shared" si="48"/>
        <v>#N/A</v>
      </c>
      <c r="Q99" s="20" t="e">
        <f t="shared" si="49"/>
        <v>#N/A</v>
      </c>
      <c r="R99" s="20" t="e">
        <f t="shared" si="50"/>
        <v>#N/A</v>
      </c>
      <c r="S99" s="20" t="e">
        <f t="shared" si="51"/>
        <v>#N/A</v>
      </c>
      <c r="T99" s="20" t="e">
        <f t="shared" si="52"/>
        <v>#N/A</v>
      </c>
      <c r="U99" s="3"/>
      <c r="AA99" s="4"/>
    </row>
    <row r="100" spans="1:27" x14ac:dyDescent="0.25">
      <c r="A100">
        <f t="shared" si="55"/>
        <v>98</v>
      </c>
      <c r="B100">
        <f t="shared" si="36"/>
        <v>3</v>
      </c>
      <c r="C100">
        <f t="shared" si="39"/>
        <v>1.2000000000000002</v>
      </c>
      <c r="D100" s="15">
        <f t="shared" si="37"/>
        <v>4.0909090909090908</v>
      </c>
      <c r="E100">
        <f t="shared" si="40"/>
        <v>1</v>
      </c>
      <c r="F100" s="3">
        <f t="shared" si="53"/>
        <v>77.727272727272748</v>
      </c>
      <c r="G100" s="3">
        <f t="shared" si="54"/>
        <v>1.3565968276865019</v>
      </c>
      <c r="H100" s="18">
        <f t="shared" si="41"/>
        <v>0.25507834746357166</v>
      </c>
      <c r="I100" s="3">
        <f t="shared" si="42"/>
        <v>1.1725762391653918</v>
      </c>
      <c r="J100" s="19" t="str">
        <f t="shared" si="38"/>
        <v>L</v>
      </c>
      <c r="K100" s="20">
        <f t="shared" si="43"/>
        <v>0.25507834746357166</v>
      </c>
      <c r="L100" s="20">
        <f t="shared" si="44"/>
        <v>1.1725762391653918</v>
      </c>
      <c r="M100" s="20" t="e">
        <f t="shared" si="45"/>
        <v>#N/A</v>
      </c>
      <c r="N100" s="20" t="e">
        <f t="shared" si="46"/>
        <v>#N/A</v>
      </c>
      <c r="O100" s="20" t="e">
        <f t="shared" si="47"/>
        <v>#N/A</v>
      </c>
      <c r="P100" s="20" t="e">
        <f t="shared" si="48"/>
        <v>#N/A</v>
      </c>
      <c r="Q100" s="20" t="e">
        <f t="shared" si="49"/>
        <v>#N/A</v>
      </c>
      <c r="R100" s="20" t="e">
        <f t="shared" si="50"/>
        <v>#N/A</v>
      </c>
      <c r="S100" s="20" t="e">
        <f t="shared" si="51"/>
        <v>#N/A</v>
      </c>
      <c r="T100" s="20" t="e">
        <f t="shared" si="52"/>
        <v>#N/A</v>
      </c>
      <c r="U100" s="3"/>
      <c r="AA100" s="4"/>
    </row>
    <row r="101" spans="1:27" x14ac:dyDescent="0.25">
      <c r="A101">
        <f t="shared" si="55"/>
        <v>99</v>
      </c>
      <c r="B101">
        <f t="shared" si="36"/>
        <v>3</v>
      </c>
      <c r="C101">
        <f t="shared" si="39"/>
        <v>1.2000000000000002</v>
      </c>
      <c r="D101" s="15">
        <f t="shared" si="37"/>
        <v>4.0909090909090908</v>
      </c>
      <c r="E101">
        <f t="shared" si="40"/>
        <v>1</v>
      </c>
      <c r="F101" s="3">
        <f t="shared" si="53"/>
        <v>81.818181818181841</v>
      </c>
      <c r="G101" s="3">
        <f t="shared" si="54"/>
        <v>1.4279966607226338</v>
      </c>
      <c r="H101" s="18">
        <f t="shared" si="41"/>
        <v>0.17077780592794164</v>
      </c>
      <c r="I101" s="3">
        <f t="shared" si="42"/>
        <v>1.1877857302571195</v>
      </c>
      <c r="J101" s="19" t="str">
        <f t="shared" si="38"/>
        <v>L</v>
      </c>
      <c r="K101" s="20">
        <f t="shared" si="43"/>
        <v>0.17077780592794164</v>
      </c>
      <c r="L101" s="20">
        <f t="shared" si="44"/>
        <v>1.1877857302571195</v>
      </c>
      <c r="M101" s="20" t="e">
        <f t="shared" si="45"/>
        <v>#N/A</v>
      </c>
      <c r="N101" s="20" t="e">
        <f t="shared" si="46"/>
        <v>#N/A</v>
      </c>
      <c r="O101" s="20" t="e">
        <f t="shared" si="47"/>
        <v>#N/A</v>
      </c>
      <c r="P101" s="20" t="e">
        <f t="shared" si="48"/>
        <v>#N/A</v>
      </c>
      <c r="Q101" s="20" t="e">
        <f t="shared" si="49"/>
        <v>#N/A</v>
      </c>
      <c r="R101" s="20" t="e">
        <f t="shared" si="50"/>
        <v>#N/A</v>
      </c>
      <c r="S101" s="20" t="e">
        <f t="shared" si="51"/>
        <v>#N/A</v>
      </c>
      <c r="T101" s="20" t="e">
        <f t="shared" si="52"/>
        <v>#N/A</v>
      </c>
      <c r="U101" s="3"/>
      <c r="AA101" s="4"/>
    </row>
    <row r="102" spans="1:27" x14ac:dyDescent="0.25">
      <c r="A102">
        <f t="shared" si="55"/>
        <v>100</v>
      </c>
      <c r="B102">
        <f t="shared" si="36"/>
        <v>3</v>
      </c>
      <c r="C102">
        <f t="shared" si="39"/>
        <v>1.2000000000000002</v>
      </c>
      <c r="D102" s="15">
        <f t="shared" si="37"/>
        <v>4.0909090909090908</v>
      </c>
      <c r="E102">
        <f t="shared" si="40"/>
        <v>1</v>
      </c>
      <c r="F102" s="3">
        <f t="shared" si="53"/>
        <v>85.909090909090935</v>
      </c>
      <c r="G102" s="3">
        <f t="shared" si="54"/>
        <v>1.4993964937587654</v>
      </c>
      <c r="H102" s="18">
        <f t="shared" si="41"/>
        <v>8.5607019839078299E-2</v>
      </c>
      <c r="I102" s="3">
        <f t="shared" si="42"/>
        <v>1.1969425375323046</v>
      </c>
      <c r="J102" s="19" t="str">
        <f t="shared" si="38"/>
        <v>L</v>
      </c>
      <c r="K102" s="20">
        <f t="shared" si="43"/>
        <v>8.5607019839078299E-2</v>
      </c>
      <c r="L102" s="20">
        <f t="shared" si="44"/>
        <v>1.1969425375323046</v>
      </c>
      <c r="M102" s="20" t="e">
        <f t="shared" si="45"/>
        <v>#N/A</v>
      </c>
      <c r="N102" s="20" t="e">
        <f t="shared" si="46"/>
        <v>#N/A</v>
      </c>
      <c r="O102" s="20" t="e">
        <f t="shared" si="47"/>
        <v>#N/A</v>
      </c>
      <c r="P102" s="20" t="e">
        <f t="shared" si="48"/>
        <v>#N/A</v>
      </c>
      <c r="Q102" s="20" t="e">
        <f t="shared" si="49"/>
        <v>#N/A</v>
      </c>
      <c r="R102" s="20" t="e">
        <f t="shared" si="50"/>
        <v>#N/A</v>
      </c>
      <c r="S102" s="20" t="e">
        <f t="shared" si="51"/>
        <v>#N/A</v>
      </c>
      <c r="T102" s="20" t="e">
        <f t="shared" si="52"/>
        <v>#N/A</v>
      </c>
      <c r="U102" s="3"/>
      <c r="AA102" s="4"/>
    </row>
    <row r="103" spans="1:27" x14ac:dyDescent="0.25">
      <c r="A103">
        <f t="shared" si="55"/>
        <v>101</v>
      </c>
      <c r="B103">
        <f t="shared" si="36"/>
        <v>3</v>
      </c>
      <c r="C103">
        <f t="shared" si="39"/>
        <v>1.2000000000000002</v>
      </c>
      <c r="D103" s="15">
        <f t="shared" si="37"/>
        <v>4.0909090909090908</v>
      </c>
      <c r="E103">
        <f t="shared" si="40"/>
        <v>1</v>
      </c>
      <c r="F103" s="3">
        <f t="shared" si="53"/>
        <v>90.000000000000028</v>
      </c>
      <c r="G103" s="3">
        <f t="shared" si="54"/>
        <v>1.570796326794897</v>
      </c>
      <c r="H103" s="18">
        <f t="shared" si="41"/>
        <v>-4.5939814452555802E-16</v>
      </c>
      <c r="I103" s="3">
        <f t="shared" si="42"/>
        <v>1.2000000000000002</v>
      </c>
      <c r="J103" s="19" t="str">
        <f t="shared" si="38"/>
        <v>L</v>
      </c>
      <c r="K103" s="20">
        <f t="shared" si="43"/>
        <v>-4.5939814452555802E-16</v>
      </c>
      <c r="L103" s="20">
        <f t="shared" si="44"/>
        <v>1.2000000000000002</v>
      </c>
      <c r="M103" s="20" t="e">
        <f t="shared" si="45"/>
        <v>#N/A</v>
      </c>
      <c r="N103" s="20" t="e">
        <f t="shared" si="46"/>
        <v>#N/A</v>
      </c>
      <c r="O103" s="20" t="e">
        <f t="shared" si="47"/>
        <v>#N/A</v>
      </c>
      <c r="P103" s="20" t="e">
        <f t="shared" si="48"/>
        <v>#N/A</v>
      </c>
      <c r="Q103" s="20" t="e">
        <f t="shared" si="49"/>
        <v>#N/A</v>
      </c>
      <c r="R103" s="20" t="e">
        <f t="shared" si="50"/>
        <v>#N/A</v>
      </c>
      <c r="S103" s="20" t="e">
        <f t="shared" si="51"/>
        <v>#N/A</v>
      </c>
      <c r="T103" s="20" t="e">
        <f t="shared" si="52"/>
        <v>#N/A</v>
      </c>
      <c r="U103" s="3"/>
      <c r="AA103" s="4"/>
    </row>
    <row r="104" spans="1:27" x14ac:dyDescent="0.25">
      <c r="A104">
        <f t="shared" si="55"/>
        <v>102</v>
      </c>
      <c r="B104">
        <f t="shared" si="36"/>
        <v>3</v>
      </c>
      <c r="C104">
        <f t="shared" si="39"/>
        <v>1.2000000000000002</v>
      </c>
      <c r="D104" s="15">
        <f t="shared" si="37"/>
        <v>4.0909090909090908</v>
      </c>
      <c r="E104">
        <f t="shared" si="40"/>
        <v>1</v>
      </c>
      <c r="F104" s="3">
        <f t="shared" si="53"/>
        <v>94.090909090909122</v>
      </c>
      <c r="G104" s="3">
        <f t="shared" si="54"/>
        <v>1.6421961598310288</v>
      </c>
      <c r="H104" s="18">
        <f t="shared" si="41"/>
        <v>-8.5607019839079493E-2</v>
      </c>
      <c r="I104" s="3">
        <f t="shared" si="42"/>
        <v>1.1969425375323044</v>
      </c>
      <c r="J104" s="19" t="str">
        <f t="shared" si="38"/>
        <v>L</v>
      </c>
      <c r="K104" s="20">
        <f t="shared" si="43"/>
        <v>-8.5607019839079493E-2</v>
      </c>
      <c r="L104" s="20">
        <f t="shared" si="44"/>
        <v>1.1969425375323044</v>
      </c>
      <c r="M104" s="20" t="e">
        <f t="shared" si="45"/>
        <v>#N/A</v>
      </c>
      <c r="N104" s="20" t="e">
        <f t="shared" si="46"/>
        <v>#N/A</v>
      </c>
      <c r="O104" s="20" t="e">
        <f t="shared" si="47"/>
        <v>#N/A</v>
      </c>
      <c r="P104" s="20" t="e">
        <f t="shared" si="48"/>
        <v>#N/A</v>
      </c>
      <c r="Q104" s="20" t="e">
        <f t="shared" si="49"/>
        <v>#N/A</v>
      </c>
      <c r="R104" s="20" t="e">
        <f t="shared" si="50"/>
        <v>#N/A</v>
      </c>
      <c r="S104" s="20" t="e">
        <f t="shared" si="51"/>
        <v>#N/A</v>
      </c>
      <c r="T104" s="20" t="e">
        <f t="shared" si="52"/>
        <v>#N/A</v>
      </c>
      <c r="U104" s="3"/>
      <c r="AA104" s="4"/>
    </row>
    <row r="105" spans="1:27" x14ac:dyDescent="0.25">
      <c r="A105">
        <f t="shared" si="55"/>
        <v>103</v>
      </c>
      <c r="B105">
        <f t="shared" si="36"/>
        <v>3</v>
      </c>
      <c r="C105">
        <f t="shared" si="39"/>
        <v>1.2000000000000002</v>
      </c>
      <c r="D105" s="15">
        <f t="shared" si="37"/>
        <v>4.0909090909090908</v>
      </c>
      <c r="E105">
        <f t="shared" si="40"/>
        <v>1</v>
      </c>
      <c r="F105" s="3">
        <f t="shared" si="53"/>
        <v>98.181818181818215</v>
      </c>
      <c r="G105" s="3">
        <f t="shared" si="54"/>
        <v>1.7135959928671605</v>
      </c>
      <c r="H105" s="18">
        <f t="shared" si="41"/>
        <v>-0.17077780592794281</v>
      </c>
      <c r="I105" s="3">
        <f t="shared" si="42"/>
        <v>1.1877857302571193</v>
      </c>
      <c r="J105" s="19" t="str">
        <f t="shared" si="38"/>
        <v>L</v>
      </c>
      <c r="K105" s="20">
        <f t="shared" si="43"/>
        <v>-0.17077780592794281</v>
      </c>
      <c r="L105" s="20">
        <f t="shared" si="44"/>
        <v>1.1877857302571193</v>
      </c>
      <c r="M105" s="20" t="e">
        <f t="shared" si="45"/>
        <v>#N/A</v>
      </c>
      <c r="N105" s="20" t="e">
        <f t="shared" si="46"/>
        <v>#N/A</v>
      </c>
      <c r="O105" s="20" t="e">
        <f t="shared" si="47"/>
        <v>#N/A</v>
      </c>
      <c r="P105" s="20" t="e">
        <f t="shared" si="48"/>
        <v>#N/A</v>
      </c>
      <c r="Q105" s="20" t="e">
        <f t="shared" si="49"/>
        <v>#N/A</v>
      </c>
      <c r="R105" s="20" t="e">
        <f t="shared" si="50"/>
        <v>#N/A</v>
      </c>
      <c r="S105" s="20" t="e">
        <f t="shared" si="51"/>
        <v>#N/A</v>
      </c>
      <c r="T105" s="20" t="e">
        <f t="shared" si="52"/>
        <v>#N/A</v>
      </c>
      <c r="U105" s="3"/>
      <c r="AA105" s="4"/>
    </row>
    <row r="106" spans="1:27" x14ac:dyDescent="0.25">
      <c r="A106">
        <f t="shared" si="55"/>
        <v>104</v>
      </c>
      <c r="B106">
        <f t="shared" si="36"/>
        <v>3</v>
      </c>
      <c r="C106">
        <f t="shared" si="39"/>
        <v>1.2000000000000002</v>
      </c>
      <c r="D106" s="15">
        <f t="shared" si="37"/>
        <v>4.0909090909090908</v>
      </c>
      <c r="E106">
        <f t="shared" si="40"/>
        <v>1</v>
      </c>
      <c r="F106" s="3">
        <f t="shared" si="53"/>
        <v>102.27272727272731</v>
      </c>
      <c r="G106" s="3">
        <f t="shared" si="54"/>
        <v>1.7849958259032921</v>
      </c>
      <c r="H106" s="18">
        <f t="shared" si="41"/>
        <v>-0.25507834746357261</v>
      </c>
      <c r="I106" s="3">
        <f t="shared" si="42"/>
        <v>1.1725762391653916</v>
      </c>
      <c r="J106" s="19" t="str">
        <f t="shared" si="38"/>
        <v>L</v>
      </c>
      <c r="K106" s="20">
        <f t="shared" si="43"/>
        <v>-0.25507834746357261</v>
      </c>
      <c r="L106" s="20">
        <f t="shared" si="44"/>
        <v>1.1725762391653916</v>
      </c>
      <c r="M106" s="20" t="e">
        <f t="shared" si="45"/>
        <v>#N/A</v>
      </c>
      <c r="N106" s="20" t="e">
        <f t="shared" si="46"/>
        <v>#N/A</v>
      </c>
      <c r="O106" s="20" t="e">
        <f t="shared" si="47"/>
        <v>#N/A</v>
      </c>
      <c r="P106" s="20" t="e">
        <f t="shared" si="48"/>
        <v>#N/A</v>
      </c>
      <c r="Q106" s="20" t="e">
        <f t="shared" si="49"/>
        <v>#N/A</v>
      </c>
      <c r="R106" s="20" t="e">
        <f t="shared" si="50"/>
        <v>#N/A</v>
      </c>
      <c r="S106" s="20" t="e">
        <f t="shared" si="51"/>
        <v>#N/A</v>
      </c>
      <c r="T106" s="20" t="e">
        <f t="shared" si="52"/>
        <v>#N/A</v>
      </c>
      <c r="U106" s="3"/>
      <c r="AA106" s="4"/>
    </row>
    <row r="107" spans="1:27" x14ac:dyDescent="0.25">
      <c r="A107">
        <f t="shared" si="55"/>
        <v>105</v>
      </c>
      <c r="B107">
        <f t="shared" si="36"/>
        <v>3</v>
      </c>
      <c r="C107">
        <f t="shared" si="39"/>
        <v>1.2000000000000002</v>
      </c>
      <c r="D107" s="15">
        <f t="shared" si="37"/>
        <v>4.0909090909090908</v>
      </c>
      <c r="E107">
        <f t="shared" si="40"/>
        <v>1</v>
      </c>
      <c r="F107" s="3">
        <f t="shared" si="53"/>
        <v>106.3636363636364</v>
      </c>
      <c r="G107" s="3">
        <f t="shared" si="54"/>
        <v>1.8563956589394239</v>
      </c>
      <c r="H107" s="18">
        <f t="shared" si="41"/>
        <v>-0.33807906820971645</v>
      </c>
      <c r="I107" s="3">
        <f t="shared" si="42"/>
        <v>1.151391568337397</v>
      </c>
      <c r="J107" s="19" t="str">
        <f t="shared" si="38"/>
        <v>C</v>
      </c>
      <c r="K107" s="20" t="e">
        <f t="shared" si="43"/>
        <v>#N/A</v>
      </c>
      <c r="L107" s="20" t="e">
        <f t="shared" si="44"/>
        <v>#N/A</v>
      </c>
      <c r="M107" s="20">
        <f t="shared" si="45"/>
        <v>-0.33807906820971645</v>
      </c>
      <c r="N107" s="20">
        <f t="shared" si="46"/>
        <v>1.151391568337397</v>
      </c>
      <c r="O107" s="20" t="e">
        <f t="shared" si="47"/>
        <v>#N/A</v>
      </c>
      <c r="P107" s="20" t="e">
        <f t="shared" si="48"/>
        <v>#N/A</v>
      </c>
      <c r="Q107" s="20" t="e">
        <f t="shared" si="49"/>
        <v>#N/A</v>
      </c>
      <c r="R107" s="20" t="e">
        <f t="shared" si="50"/>
        <v>#N/A</v>
      </c>
      <c r="S107" s="20" t="e">
        <f t="shared" si="51"/>
        <v>#N/A</v>
      </c>
      <c r="T107" s="20" t="e">
        <f t="shared" si="52"/>
        <v>#N/A</v>
      </c>
      <c r="U107" s="3"/>
      <c r="AA107" s="4"/>
    </row>
    <row r="108" spans="1:27" x14ac:dyDescent="0.25">
      <c r="A108">
        <f t="shared" si="55"/>
        <v>106</v>
      </c>
      <c r="B108">
        <f t="shared" si="36"/>
        <v>3</v>
      </c>
      <c r="C108">
        <f t="shared" si="39"/>
        <v>1.2000000000000002</v>
      </c>
      <c r="D108" s="15">
        <f t="shared" si="37"/>
        <v>4.0909090909090908</v>
      </c>
      <c r="E108">
        <f t="shared" si="40"/>
        <v>1</v>
      </c>
      <c r="F108" s="3">
        <f t="shared" si="53"/>
        <v>110.4545454545455</v>
      </c>
      <c r="G108" s="3">
        <f t="shared" si="54"/>
        <v>1.9277954919755556</v>
      </c>
      <c r="H108" s="18">
        <f t="shared" si="41"/>
        <v>-0.4193570155189188</v>
      </c>
      <c r="I108" s="3">
        <f t="shared" si="42"/>
        <v>1.1243396699997139</v>
      </c>
      <c r="J108" s="19" t="str">
        <f t="shared" si="38"/>
        <v>C</v>
      </c>
      <c r="K108" s="20" t="e">
        <f t="shared" si="43"/>
        <v>#N/A</v>
      </c>
      <c r="L108" s="20" t="e">
        <f t="shared" si="44"/>
        <v>#N/A</v>
      </c>
      <c r="M108" s="20">
        <f t="shared" si="45"/>
        <v>-0.4193570155189188</v>
      </c>
      <c r="N108" s="20">
        <f t="shared" si="46"/>
        <v>1.1243396699997139</v>
      </c>
      <c r="O108" s="20" t="e">
        <f t="shared" si="47"/>
        <v>#N/A</v>
      </c>
      <c r="P108" s="20" t="e">
        <f t="shared" si="48"/>
        <v>#N/A</v>
      </c>
      <c r="Q108" s="20" t="e">
        <f t="shared" si="49"/>
        <v>#N/A</v>
      </c>
      <c r="R108" s="20" t="e">
        <f t="shared" si="50"/>
        <v>#N/A</v>
      </c>
      <c r="S108" s="20" t="e">
        <f t="shared" si="51"/>
        <v>#N/A</v>
      </c>
      <c r="T108" s="20" t="e">
        <f t="shared" si="52"/>
        <v>#N/A</v>
      </c>
      <c r="U108" s="3"/>
      <c r="AA108" s="4"/>
    </row>
    <row r="109" spans="1:27" x14ac:dyDescent="0.25">
      <c r="A109">
        <f t="shared" si="55"/>
        <v>107</v>
      </c>
      <c r="B109">
        <f t="shared" si="36"/>
        <v>3</v>
      </c>
      <c r="C109">
        <f t="shared" si="39"/>
        <v>1.2000000000000002</v>
      </c>
      <c r="D109" s="15">
        <f t="shared" si="37"/>
        <v>4.0909090909090908</v>
      </c>
      <c r="E109">
        <f t="shared" si="40"/>
        <v>1</v>
      </c>
      <c r="F109" s="3">
        <f t="shared" si="53"/>
        <v>114.54545454545459</v>
      </c>
      <c r="G109" s="3">
        <f t="shared" si="54"/>
        <v>1.9991953250116872</v>
      </c>
      <c r="H109" s="18">
        <f t="shared" si="41"/>
        <v>-0.49849801560226442</v>
      </c>
      <c r="I109" s="3">
        <f t="shared" si="42"/>
        <v>1.0915583944254219</v>
      </c>
      <c r="J109" s="19" t="str">
        <f t="shared" si="38"/>
        <v>C</v>
      </c>
      <c r="K109" s="20" t="e">
        <f t="shared" si="43"/>
        <v>#N/A</v>
      </c>
      <c r="L109" s="20" t="e">
        <f t="shared" si="44"/>
        <v>#N/A</v>
      </c>
      <c r="M109" s="20">
        <f t="shared" si="45"/>
        <v>-0.49849801560226442</v>
      </c>
      <c r="N109" s="20">
        <f t="shared" si="46"/>
        <v>1.0915583944254219</v>
      </c>
      <c r="O109" s="20" t="e">
        <f t="shared" si="47"/>
        <v>#N/A</v>
      </c>
      <c r="P109" s="20" t="e">
        <f t="shared" si="48"/>
        <v>#N/A</v>
      </c>
      <c r="Q109" s="20" t="e">
        <f t="shared" si="49"/>
        <v>#N/A</v>
      </c>
      <c r="R109" s="20" t="e">
        <f t="shared" si="50"/>
        <v>#N/A</v>
      </c>
      <c r="S109" s="20" t="e">
        <f t="shared" si="51"/>
        <v>#N/A</v>
      </c>
      <c r="T109" s="20" t="e">
        <f t="shared" si="52"/>
        <v>#N/A</v>
      </c>
      <c r="U109" s="3"/>
      <c r="AA109" s="4"/>
    </row>
    <row r="110" spans="1:27" x14ac:dyDescent="0.25">
      <c r="A110">
        <f t="shared" si="55"/>
        <v>108</v>
      </c>
      <c r="B110">
        <f t="shared" si="36"/>
        <v>3</v>
      </c>
      <c r="C110">
        <f t="shared" si="39"/>
        <v>1.2000000000000002</v>
      </c>
      <c r="D110" s="15">
        <f t="shared" si="37"/>
        <v>4.0909090909090908</v>
      </c>
      <c r="E110">
        <f t="shared" si="40"/>
        <v>1</v>
      </c>
      <c r="F110" s="3">
        <f t="shared" si="53"/>
        <v>118.63636363636368</v>
      </c>
      <c r="G110" s="3">
        <f t="shared" si="54"/>
        <v>2.0705951580478192</v>
      </c>
      <c r="H110" s="18">
        <f t="shared" si="41"/>
        <v>-0.57509878406406933</v>
      </c>
      <c r="I110" s="3">
        <f t="shared" si="42"/>
        <v>1.0532147874807063</v>
      </c>
      <c r="J110" s="19" t="str">
        <f t="shared" si="38"/>
        <v>C</v>
      </c>
      <c r="K110" s="20" t="e">
        <f t="shared" si="43"/>
        <v>#N/A</v>
      </c>
      <c r="L110" s="20" t="e">
        <f t="shared" si="44"/>
        <v>#N/A</v>
      </c>
      <c r="M110" s="20">
        <f t="shared" si="45"/>
        <v>-0.57509878406406933</v>
      </c>
      <c r="N110" s="20">
        <f t="shared" si="46"/>
        <v>1.0532147874807063</v>
      </c>
      <c r="O110" s="20" t="e">
        <f t="shared" si="47"/>
        <v>#N/A</v>
      </c>
      <c r="P110" s="20" t="e">
        <f t="shared" si="48"/>
        <v>#N/A</v>
      </c>
      <c r="Q110" s="20" t="e">
        <f t="shared" si="49"/>
        <v>#N/A</v>
      </c>
      <c r="R110" s="20" t="e">
        <f t="shared" si="50"/>
        <v>#N/A</v>
      </c>
      <c r="S110" s="20" t="e">
        <f t="shared" si="51"/>
        <v>#N/A</v>
      </c>
      <c r="T110" s="20" t="e">
        <f t="shared" si="52"/>
        <v>#N/A</v>
      </c>
      <c r="U110" s="3"/>
      <c r="AA110" s="4"/>
    </row>
    <row r="111" spans="1:27" x14ac:dyDescent="0.25">
      <c r="A111">
        <f t="shared" si="55"/>
        <v>109</v>
      </c>
      <c r="B111">
        <f t="shared" si="36"/>
        <v>3</v>
      </c>
      <c r="C111">
        <f t="shared" si="39"/>
        <v>1.2000000000000002</v>
      </c>
      <c r="D111" s="15">
        <f t="shared" si="37"/>
        <v>4.0909090909090908</v>
      </c>
      <c r="E111">
        <f t="shared" si="40"/>
        <v>1</v>
      </c>
      <c r="F111" s="3">
        <f t="shared" si="53"/>
        <v>122.72727272727278</v>
      </c>
      <c r="G111" s="3">
        <f t="shared" si="54"/>
        <v>2.1419949910839509</v>
      </c>
      <c r="H111" s="18">
        <f t="shared" si="41"/>
        <v>-0.64876898094671809</v>
      </c>
      <c r="I111" s="3">
        <f t="shared" si="42"/>
        <v>1.009504239397417</v>
      </c>
      <c r="J111" s="19" t="str">
        <f t="shared" si="38"/>
        <v>C</v>
      </c>
      <c r="K111" s="20" t="e">
        <f t="shared" si="43"/>
        <v>#N/A</v>
      </c>
      <c r="L111" s="20" t="e">
        <f t="shared" si="44"/>
        <v>#N/A</v>
      </c>
      <c r="M111" s="20">
        <f t="shared" si="45"/>
        <v>-0.64876898094671809</v>
      </c>
      <c r="N111" s="20">
        <f t="shared" si="46"/>
        <v>1.009504239397417</v>
      </c>
      <c r="O111" s="20" t="e">
        <f t="shared" si="47"/>
        <v>#N/A</v>
      </c>
      <c r="P111" s="20" t="e">
        <f t="shared" si="48"/>
        <v>#N/A</v>
      </c>
      <c r="Q111" s="20" t="e">
        <f t="shared" si="49"/>
        <v>#N/A</v>
      </c>
      <c r="R111" s="20" t="e">
        <f t="shared" si="50"/>
        <v>#N/A</v>
      </c>
      <c r="S111" s="20" t="e">
        <f t="shared" si="51"/>
        <v>#N/A</v>
      </c>
      <c r="T111" s="20" t="e">
        <f t="shared" si="52"/>
        <v>#N/A</v>
      </c>
      <c r="U111" s="3"/>
      <c r="AA111" s="4"/>
    </row>
    <row r="112" spans="1:27" x14ac:dyDescent="0.25">
      <c r="A112">
        <f t="shared" si="55"/>
        <v>110</v>
      </c>
      <c r="B112">
        <f t="shared" si="36"/>
        <v>3</v>
      </c>
      <c r="C112">
        <f t="shared" si="39"/>
        <v>1.2000000000000002</v>
      </c>
      <c r="D112" s="15">
        <f t="shared" si="37"/>
        <v>4.0909090909090908</v>
      </c>
      <c r="E112">
        <f t="shared" si="40"/>
        <v>1</v>
      </c>
      <c r="F112" s="3">
        <f t="shared" si="53"/>
        <v>126.81818181818187</v>
      </c>
      <c r="G112" s="3">
        <f t="shared" si="54"/>
        <v>2.2133948241200825</v>
      </c>
      <c r="H112" s="18">
        <f t="shared" si="41"/>
        <v>-0.71913319981361723</v>
      </c>
      <c r="I112" s="3">
        <f t="shared" si="42"/>
        <v>0.96064948910923198</v>
      </c>
      <c r="J112" s="19" t="str">
        <f t="shared" si="38"/>
        <v>C</v>
      </c>
      <c r="K112" s="20" t="e">
        <f t="shared" si="43"/>
        <v>#N/A</v>
      </c>
      <c r="L112" s="20" t="e">
        <f t="shared" si="44"/>
        <v>#N/A</v>
      </c>
      <c r="M112" s="20">
        <f t="shared" si="45"/>
        <v>-0.71913319981361723</v>
      </c>
      <c r="N112" s="20">
        <f t="shared" si="46"/>
        <v>0.96064948910923198</v>
      </c>
      <c r="O112" s="20" t="e">
        <f t="shared" si="47"/>
        <v>#N/A</v>
      </c>
      <c r="P112" s="20" t="e">
        <f t="shared" si="48"/>
        <v>#N/A</v>
      </c>
      <c r="Q112" s="20" t="e">
        <f t="shared" si="49"/>
        <v>#N/A</v>
      </c>
      <c r="R112" s="20" t="e">
        <f t="shared" si="50"/>
        <v>#N/A</v>
      </c>
      <c r="S112" s="20" t="e">
        <f t="shared" si="51"/>
        <v>#N/A</v>
      </c>
      <c r="T112" s="20" t="e">
        <f t="shared" si="52"/>
        <v>#N/A</v>
      </c>
      <c r="U112" s="3"/>
      <c r="AA112" s="4"/>
    </row>
    <row r="113" spans="1:27" x14ac:dyDescent="0.25">
      <c r="A113">
        <f t="shared" si="55"/>
        <v>111</v>
      </c>
      <c r="B113">
        <f t="shared" si="36"/>
        <v>3</v>
      </c>
      <c r="C113">
        <f t="shared" si="39"/>
        <v>1.2000000000000002</v>
      </c>
      <c r="D113" s="15">
        <f t="shared" si="37"/>
        <v>4.0909090909090908</v>
      </c>
      <c r="E113">
        <f t="shared" si="40"/>
        <v>1</v>
      </c>
      <c r="F113" s="3">
        <f t="shared" si="53"/>
        <v>130.90909090909096</v>
      </c>
      <c r="G113" s="3">
        <f t="shared" si="54"/>
        <v>2.2847946571562141</v>
      </c>
      <c r="H113" s="18">
        <f t="shared" si="41"/>
        <v>-0.78583288073434288</v>
      </c>
      <c r="I113" s="3">
        <f t="shared" si="42"/>
        <v>0.90689948922510943</v>
      </c>
      <c r="J113" s="19" t="str">
        <f t="shared" si="38"/>
        <v>C</v>
      </c>
      <c r="K113" s="20" t="e">
        <f t="shared" si="43"/>
        <v>#N/A</v>
      </c>
      <c r="L113" s="20" t="e">
        <f t="shared" si="44"/>
        <v>#N/A</v>
      </c>
      <c r="M113" s="20">
        <f t="shared" si="45"/>
        <v>-0.78583288073434288</v>
      </c>
      <c r="N113" s="20">
        <f t="shared" si="46"/>
        <v>0.90689948922510943</v>
      </c>
      <c r="O113" s="20" t="e">
        <f t="shared" si="47"/>
        <v>#N/A</v>
      </c>
      <c r="P113" s="20" t="e">
        <f t="shared" si="48"/>
        <v>#N/A</v>
      </c>
      <c r="Q113" s="20" t="e">
        <f t="shared" si="49"/>
        <v>#N/A</v>
      </c>
      <c r="R113" s="20" t="e">
        <f t="shared" si="50"/>
        <v>#N/A</v>
      </c>
      <c r="S113" s="20" t="e">
        <f t="shared" si="51"/>
        <v>#N/A</v>
      </c>
      <c r="T113" s="20" t="e">
        <f t="shared" si="52"/>
        <v>#N/A</v>
      </c>
      <c r="U113" s="3"/>
      <c r="AA113" s="4"/>
    </row>
    <row r="114" spans="1:27" x14ac:dyDescent="0.25">
      <c r="A114">
        <f t="shared" si="55"/>
        <v>112</v>
      </c>
      <c r="B114">
        <f t="shared" si="36"/>
        <v>3</v>
      </c>
      <c r="C114">
        <f t="shared" si="39"/>
        <v>1.2000000000000002</v>
      </c>
      <c r="D114" s="15">
        <f t="shared" si="37"/>
        <v>4.0909090909090908</v>
      </c>
      <c r="E114">
        <f t="shared" si="40"/>
        <v>1</v>
      </c>
      <c r="F114" s="3">
        <f t="shared" si="53"/>
        <v>135.00000000000006</v>
      </c>
      <c r="G114" s="3">
        <f t="shared" si="54"/>
        <v>2.3561944901923457</v>
      </c>
      <c r="H114" s="18">
        <f t="shared" si="41"/>
        <v>-0.84852813742385791</v>
      </c>
      <c r="I114" s="3">
        <f t="shared" si="42"/>
        <v>0.84852813742385647</v>
      </c>
      <c r="J114" s="19" t="str">
        <f t="shared" si="38"/>
        <v>C</v>
      </c>
      <c r="K114" s="20" t="e">
        <f t="shared" si="43"/>
        <v>#N/A</v>
      </c>
      <c r="L114" s="20" t="e">
        <f t="shared" si="44"/>
        <v>#N/A</v>
      </c>
      <c r="M114" s="20">
        <f t="shared" si="45"/>
        <v>-0.84852813742385791</v>
      </c>
      <c r="N114" s="20">
        <f t="shared" si="46"/>
        <v>0.84852813742385647</v>
      </c>
      <c r="O114" s="20" t="e">
        <f t="shared" si="47"/>
        <v>#N/A</v>
      </c>
      <c r="P114" s="20" t="e">
        <f t="shared" si="48"/>
        <v>#N/A</v>
      </c>
      <c r="Q114" s="20" t="e">
        <f t="shared" si="49"/>
        <v>#N/A</v>
      </c>
      <c r="R114" s="20" t="e">
        <f t="shared" si="50"/>
        <v>#N/A</v>
      </c>
      <c r="S114" s="20" t="e">
        <f t="shared" si="51"/>
        <v>#N/A</v>
      </c>
      <c r="T114" s="20" t="e">
        <f t="shared" si="52"/>
        <v>#N/A</v>
      </c>
      <c r="U114" s="3"/>
      <c r="AA114" s="4"/>
    </row>
    <row r="115" spans="1:27" x14ac:dyDescent="0.25">
      <c r="A115">
        <f t="shared" si="55"/>
        <v>113</v>
      </c>
      <c r="B115">
        <f t="shared" si="36"/>
        <v>3</v>
      </c>
      <c r="C115">
        <f t="shared" si="39"/>
        <v>1.2000000000000002</v>
      </c>
      <c r="D115" s="15">
        <f t="shared" si="37"/>
        <v>4.0909090909090908</v>
      </c>
      <c r="E115">
        <f t="shared" si="40"/>
        <v>1</v>
      </c>
      <c r="F115" s="3">
        <f t="shared" si="53"/>
        <v>139.09090909090915</v>
      </c>
      <c r="G115" s="3">
        <f t="shared" si="54"/>
        <v>2.4275943232284773</v>
      </c>
      <c r="H115" s="18">
        <f t="shared" si="41"/>
        <v>-0.90689948922511077</v>
      </c>
      <c r="I115" s="3">
        <f t="shared" si="42"/>
        <v>0.78583288073434154</v>
      </c>
      <c r="J115" s="19" t="str">
        <f t="shared" si="38"/>
        <v>LD</v>
      </c>
      <c r="K115" s="20" t="e">
        <f t="shared" si="43"/>
        <v>#N/A</v>
      </c>
      <c r="L115" s="20" t="e">
        <f t="shared" si="44"/>
        <v>#N/A</v>
      </c>
      <c r="M115" s="20" t="e">
        <f t="shared" si="45"/>
        <v>#N/A</v>
      </c>
      <c r="N115" s="20" t="e">
        <f t="shared" si="46"/>
        <v>#N/A</v>
      </c>
      <c r="O115" s="20">
        <f t="shared" si="47"/>
        <v>-0.90689948922511077</v>
      </c>
      <c r="P115" s="20">
        <f t="shared" si="48"/>
        <v>0.78583288073434154</v>
      </c>
      <c r="Q115" s="20" t="e">
        <f t="shared" si="49"/>
        <v>#N/A</v>
      </c>
      <c r="R115" s="20" t="e">
        <f t="shared" si="50"/>
        <v>#N/A</v>
      </c>
      <c r="S115" s="20" t="e">
        <f t="shared" si="51"/>
        <v>#N/A</v>
      </c>
      <c r="T115" s="20" t="e">
        <f t="shared" si="52"/>
        <v>#N/A</v>
      </c>
      <c r="U115" s="3"/>
      <c r="AA115" s="4"/>
    </row>
    <row r="116" spans="1:27" x14ac:dyDescent="0.25">
      <c r="A116">
        <f t="shared" si="55"/>
        <v>114</v>
      </c>
      <c r="B116">
        <f t="shared" si="36"/>
        <v>3</v>
      </c>
      <c r="C116">
        <f t="shared" si="39"/>
        <v>1.2000000000000002</v>
      </c>
      <c r="D116" s="15">
        <f t="shared" si="37"/>
        <v>4.0909090909090908</v>
      </c>
      <c r="E116">
        <f t="shared" si="40"/>
        <v>1</v>
      </c>
      <c r="F116" s="3">
        <f t="shared" si="53"/>
        <v>143.18181818181824</v>
      </c>
      <c r="G116" s="3">
        <f t="shared" si="54"/>
        <v>2.498994156264609</v>
      </c>
      <c r="H116" s="18">
        <f t="shared" si="41"/>
        <v>-0.9606494891092332</v>
      </c>
      <c r="I116" s="3">
        <f t="shared" si="42"/>
        <v>0.71913319981361579</v>
      </c>
      <c r="J116" s="19" t="str">
        <f t="shared" si="38"/>
        <v>LD</v>
      </c>
      <c r="K116" s="20" t="e">
        <f t="shared" si="43"/>
        <v>#N/A</v>
      </c>
      <c r="L116" s="20" t="e">
        <f t="shared" si="44"/>
        <v>#N/A</v>
      </c>
      <c r="M116" s="20" t="e">
        <f t="shared" si="45"/>
        <v>#N/A</v>
      </c>
      <c r="N116" s="20" t="e">
        <f t="shared" si="46"/>
        <v>#N/A</v>
      </c>
      <c r="O116" s="20">
        <f t="shared" si="47"/>
        <v>-0.9606494891092332</v>
      </c>
      <c r="P116" s="20">
        <f t="shared" si="48"/>
        <v>0.71913319981361579</v>
      </c>
      <c r="Q116" s="20" t="e">
        <f t="shared" si="49"/>
        <v>#N/A</v>
      </c>
      <c r="R116" s="20" t="e">
        <f t="shared" si="50"/>
        <v>#N/A</v>
      </c>
      <c r="S116" s="20" t="e">
        <f t="shared" si="51"/>
        <v>#N/A</v>
      </c>
      <c r="T116" s="20" t="e">
        <f t="shared" si="52"/>
        <v>#N/A</v>
      </c>
      <c r="U116" s="3"/>
      <c r="AA116" s="4"/>
    </row>
    <row r="117" spans="1:27" x14ac:dyDescent="0.25">
      <c r="A117">
        <f t="shared" si="55"/>
        <v>115</v>
      </c>
      <c r="B117">
        <f t="shared" si="36"/>
        <v>3</v>
      </c>
      <c r="C117">
        <f t="shared" si="39"/>
        <v>1.2000000000000002</v>
      </c>
      <c r="D117" s="15">
        <f t="shared" si="37"/>
        <v>4.0909090909090908</v>
      </c>
      <c r="E117">
        <f t="shared" si="40"/>
        <v>1</v>
      </c>
      <c r="F117" s="3">
        <f t="shared" si="53"/>
        <v>147.27272727272734</v>
      </c>
      <c r="G117" s="3">
        <f t="shared" si="54"/>
        <v>2.570393989300741</v>
      </c>
      <c r="H117" s="18">
        <f t="shared" si="41"/>
        <v>-1.0095042393974183</v>
      </c>
      <c r="I117" s="3">
        <f t="shared" si="42"/>
        <v>0.64876898094671609</v>
      </c>
      <c r="J117" s="19" t="str">
        <f t="shared" si="38"/>
        <v>LD</v>
      </c>
      <c r="K117" s="20" t="e">
        <f t="shared" si="43"/>
        <v>#N/A</v>
      </c>
      <c r="L117" s="20" t="e">
        <f t="shared" si="44"/>
        <v>#N/A</v>
      </c>
      <c r="M117" s="20" t="e">
        <f t="shared" si="45"/>
        <v>#N/A</v>
      </c>
      <c r="N117" s="20" t="e">
        <f t="shared" si="46"/>
        <v>#N/A</v>
      </c>
      <c r="O117" s="20">
        <f t="shared" si="47"/>
        <v>-1.0095042393974183</v>
      </c>
      <c r="P117" s="20">
        <f t="shared" si="48"/>
        <v>0.64876898094671609</v>
      </c>
      <c r="Q117" s="20" t="e">
        <f t="shared" si="49"/>
        <v>#N/A</v>
      </c>
      <c r="R117" s="20" t="e">
        <f t="shared" si="50"/>
        <v>#N/A</v>
      </c>
      <c r="S117" s="20" t="e">
        <f t="shared" si="51"/>
        <v>#N/A</v>
      </c>
      <c r="T117" s="20" t="e">
        <f t="shared" si="52"/>
        <v>#N/A</v>
      </c>
      <c r="U117" s="3"/>
      <c r="AA117" s="4"/>
    </row>
    <row r="118" spans="1:27" x14ac:dyDescent="0.25">
      <c r="A118">
        <f t="shared" si="55"/>
        <v>116</v>
      </c>
      <c r="B118">
        <f t="shared" si="36"/>
        <v>3</v>
      </c>
      <c r="C118">
        <f t="shared" si="39"/>
        <v>1.2000000000000002</v>
      </c>
      <c r="D118" s="15">
        <f t="shared" si="37"/>
        <v>4.0909090909090908</v>
      </c>
      <c r="E118">
        <f t="shared" si="40"/>
        <v>1</v>
      </c>
      <c r="F118" s="3">
        <f t="shared" si="53"/>
        <v>151.36363636363643</v>
      </c>
      <c r="G118" s="3">
        <f t="shared" si="54"/>
        <v>2.6417938223368727</v>
      </c>
      <c r="H118" s="18">
        <f t="shared" si="41"/>
        <v>-1.0532147874807074</v>
      </c>
      <c r="I118" s="3">
        <f t="shared" si="42"/>
        <v>0.57509878406406711</v>
      </c>
      <c r="J118" s="19" t="str">
        <f t="shared" si="38"/>
        <v>LD</v>
      </c>
      <c r="K118" s="20" t="e">
        <f t="shared" si="43"/>
        <v>#N/A</v>
      </c>
      <c r="L118" s="20" t="e">
        <f t="shared" si="44"/>
        <v>#N/A</v>
      </c>
      <c r="M118" s="20" t="e">
        <f t="shared" si="45"/>
        <v>#N/A</v>
      </c>
      <c r="N118" s="20" t="e">
        <f t="shared" si="46"/>
        <v>#N/A</v>
      </c>
      <c r="O118" s="20">
        <f t="shared" si="47"/>
        <v>-1.0532147874807074</v>
      </c>
      <c r="P118" s="20">
        <f t="shared" si="48"/>
        <v>0.57509878406406711</v>
      </c>
      <c r="Q118" s="20" t="e">
        <f t="shared" si="49"/>
        <v>#N/A</v>
      </c>
      <c r="R118" s="20" t="e">
        <f t="shared" si="50"/>
        <v>#N/A</v>
      </c>
      <c r="S118" s="20" t="e">
        <f t="shared" si="51"/>
        <v>#N/A</v>
      </c>
      <c r="T118" s="20" t="e">
        <f t="shared" si="52"/>
        <v>#N/A</v>
      </c>
      <c r="U118" s="3"/>
      <c r="AA118" s="4"/>
    </row>
    <row r="119" spans="1:27" x14ac:dyDescent="0.25">
      <c r="A119">
        <f t="shared" si="55"/>
        <v>117</v>
      </c>
      <c r="B119">
        <f t="shared" si="36"/>
        <v>3</v>
      </c>
      <c r="C119">
        <f t="shared" si="39"/>
        <v>1.2000000000000002</v>
      </c>
      <c r="D119" s="15">
        <f t="shared" si="37"/>
        <v>4.0909090909090908</v>
      </c>
      <c r="E119">
        <f t="shared" si="40"/>
        <v>1</v>
      </c>
      <c r="F119" s="3">
        <f t="shared" si="53"/>
        <v>155.45454545454552</v>
      </c>
      <c r="G119" s="3">
        <f t="shared" si="54"/>
        <v>2.7131936553730043</v>
      </c>
      <c r="H119" s="18">
        <f t="shared" si="41"/>
        <v>-1.0915583944254228</v>
      </c>
      <c r="I119" s="3">
        <f t="shared" si="42"/>
        <v>0.49849801560226265</v>
      </c>
      <c r="J119" s="19" t="str">
        <f t="shared" si="38"/>
        <v>LD</v>
      </c>
      <c r="K119" s="20" t="e">
        <f t="shared" si="43"/>
        <v>#N/A</v>
      </c>
      <c r="L119" s="20" t="e">
        <f t="shared" si="44"/>
        <v>#N/A</v>
      </c>
      <c r="M119" s="20" t="e">
        <f t="shared" si="45"/>
        <v>#N/A</v>
      </c>
      <c r="N119" s="20" t="e">
        <f t="shared" si="46"/>
        <v>#N/A</v>
      </c>
      <c r="O119" s="20">
        <f t="shared" si="47"/>
        <v>-1.0915583944254228</v>
      </c>
      <c r="P119" s="20">
        <f t="shared" si="48"/>
        <v>0.49849801560226265</v>
      </c>
      <c r="Q119" s="20" t="e">
        <f t="shared" si="49"/>
        <v>#N/A</v>
      </c>
      <c r="R119" s="20" t="e">
        <f t="shared" si="50"/>
        <v>#N/A</v>
      </c>
      <c r="S119" s="20" t="e">
        <f t="shared" si="51"/>
        <v>#N/A</v>
      </c>
      <c r="T119" s="20" t="e">
        <f t="shared" si="52"/>
        <v>#N/A</v>
      </c>
      <c r="U119" s="3"/>
      <c r="AA119" s="4"/>
    </row>
    <row r="120" spans="1:27" x14ac:dyDescent="0.25">
      <c r="A120">
        <f t="shared" si="55"/>
        <v>118</v>
      </c>
      <c r="B120">
        <f t="shared" si="36"/>
        <v>3</v>
      </c>
      <c r="C120">
        <f t="shared" si="39"/>
        <v>1.2000000000000002</v>
      </c>
      <c r="D120" s="15">
        <f t="shared" si="37"/>
        <v>4.0909090909090908</v>
      </c>
      <c r="E120">
        <f t="shared" si="40"/>
        <v>1</v>
      </c>
      <c r="F120" s="3">
        <f t="shared" si="53"/>
        <v>159.54545454545462</v>
      </c>
      <c r="G120" s="3">
        <f t="shared" si="54"/>
        <v>2.7845934884091363</v>
      </c>
      <c r="H120" s="18">
        <f t="shared" si="41"/>
        <v>-1.1243396699997148</v>
      </c>
      <c r="I120" s="3">
        <f t="shared" si="42"/>
        <v>0.41935701551891646</v>
      </c>
      <c r="J120" s="19" t="str">
        <f t="shared" si="38"/>
        <v>LD</v>
      </c>
      <c r="K120" s="20" t="e">
        <f t="shared" si="43"/>
        <v>#N/A</v>
      </c>
      <c r="L120" s="20" t="e">
        <f t="shared" si="44"/>
        <v>#N/A</v>
      </c>
      <c r="M120" s="20" t="e">
        <f t="shared" si="45"/>
        <v>#N/A</v>
      </c>
      <c r="N120" s="20" t="e">
        <f t="shared" si="46"/>
        <v>#N/A</v>
      </c>
      <c r="O120" s="20">
        <f t="shared" si="47"/>
        <v>-1.1243396699997148</v>
      </c>
      <c r="P120" s="20">
        <f t="shared" si="48"/>
        <v>0.41935701551891646</v>
      </c>
      <c r="Q120" s="20" t="e">
        <f t="shared" si="49"/>
        <v>#N/A</v>
      </c>
      <c r="R120" s="20" t="e">
        <f t="shared" si="50"/>
        <v>#N/A</v>
      </c>
      <c r="S120" s="20" t="e">
        <f t="shared" si="51"/>
        <v>#N/A</v>
      </c>
      <c r="T120" s="20" t="e">
        <f t="shared" si="52"/>
        <v>#N/A</v>
      </c>
      <c r="U120" s="3"/>
      <c r="AA120" s="4"/>
    </row>
    <row r="121" spans="1:27" x14ac:dyDescent="0.25">
      <c r="A121">
        <f t="shared" si="55"/>
        <v>119</v>
      </c>
      <c r="B121">
        <f t="shared" si="36"/>
        <v>3</v>
      </c>
      <c r="C121">
        <f t="shared" si="39"/>
        <v>1.2000000000000002</v>
      </c>
      <c r="D121" s="15">
        <f t="shared" si="37"/>
        <v>4.0909090909090908</v>
      </c>
      <c r="E121">
        <f t="shared" si="40"/>
        <v>1</v>
      </c>
      <c r="F121" s="3">
        <f t="shared" si="53"/>
        <v>163.63636363636371</v>
      </c>
      <c r="G121" s="3">
        <f t="shared" si="54"/>
        <v>2.855993321445268</v>
      </c>
      <c r="H121" s="18">
        <f t="shared" si="41"/>
        <v>-1.1513915683373976</v>
      </c>
      <c r="I121" s="3">
        <f t="shared" si="42"/>
        <v>0.33807906820971412</v>
      </c>
      <c r="J121" s="19" t="str">
        <f t="shared" si="38"/>
        <v>LD</v>
      </c>
      <c r="K121" s="20" t="e">
        <f t="shared" si="43"/>
        <v>#N/A</v>
      </c>
      <c r="L121" s="20" t="e">
        <f t="shared" si="44"/>
        <v>#N/A</v>
      </c>
      <c r="M121" s="20" t="e">
        <f t="shared" si="45"/>
        <v>#N/A</v>
      </c>
      <c r="N121" s="20" t="e">
        <f t="shared" si="46"/>
        <v>#N/A</v>
      </c>
      <c r="O121" s="20">
        <f t="shared" si="47"/>
        <v>-1.1513915683373976</v>
      </c>
      <c r="P121" s="20">
        <f t="shared" si="48"/>
        <v>0.33807906820971412</v>
      </c>
      <c r="Q121" s="20" t="e">
        <f t="shared" si="49"/>
        <v>#N/A</v>
      </c>
      <c r="R121" s="20" t="e">
        <f t="shared" si="50"/>
        <v>#N/A</v>
      </c>
      <c r="S121" s="20" t="e">
        <f t="shared" si="51"/>
        <v>#N/A</v>
      </c>
      <c r="T121" s="20" t="e">
        <f t="shared" si="52"/>
        <v>#N/A</v>
      </c>
      <c r="U121" s="3"/>
      <c r="AA121" s="4"/>
    </row>
    <row r="122" spans="1:27" x14ac:dyDescent="0.25">
      <c r="A122">
        <f t="shared" si="55"/>
        <v>120</v>
      </c>
      <c r="B122">
        <f t="shared" si="36"/>
        <v>3</v>
      </c>
      <c r="C122">
        <f t="shared" si="39"/>
        <v>1.2000000000000002</v>
      </c>
      <c r="D122" s="15">
        <f t="shared" si="37"/>
        <v>4.0909090909090908</v>
      </c>
      <c r="E122">
        <f t="shared" si="40"/>
        <v>1</v>
      </c>
      <c r="F122" s="3">
        <f t="shared" si="53"/>
        <v>167.7272727272728</v>
      </c>
      <c r="G122" s="3">
        <f t="shared" si="54"/>
        <v>2.9273931544813996</v>
      </c>
      <c r="H122" s="18">
        <f t="shared" si="41"/>
        <v>-1.172576239165392</v>
      </c>
      <c r="I122" s="3">
        <f t="shared" si="42"/>
        <v>0.2550783474635705</v>
      </c>
      <c r="J122" s="19" t="str">
        <f t="shared" si="38"/>
        <v>SNP</v>
      </c>
      <c r="K122" s="20" t="e">
        <f t="shared" si="43"/>
        <v>#N/A</v>
      </c>
      <c r="L122" s="20" t="e">
        <f t="shared" si="44"/>
        <v>#N/A</v>
      </c>
      <c r="M122" s="20" t="e">
        <f t="shared" si="45"/>
        <v>#N/A</v>
      </c>
      <c r="N122" s="20" t="e">
        <f t="shared" si="46"/>
        <v>#N/A</v>
      </c>
      <c r="O122" s="20" t="e">
        <f t="shared" si="47"/>
        <v>#N/A</v>
      </c>
      <c r="P122" s="20" t="e">
        <f t="shared" si="48"/>
        <v>#N/A</v>
      </c>
      <c r="Q122" s="20">
        <f t="shared" si="49"/>
        <v>-1.172576239165392</v>
      </c>
      <c r="R122" s="20">
        <f t="shared" si="50"/>
        <v>0.2550783474635705</v>
      </c>
      <c r="S122" s="20" t="e">
        <f t="shared" si="51"/>
        <v>#N/A</v>
      </c>
      <c r="T122" s="20" t="e">
        <f t="shared" si="52"/>
        <v>#N/A</v>
      </c>
      <c r="U122" s="3"/>
      <c r="AA122" s="4"/>
    </row>
    <row r="123" spans="1:27" x14ac:dyDescent="0.25">
      <c r="A123">
        <f t="shared" si="55"/>
        <v>121</v>
      </c>
      <c r="B123">
        <f t="shared" si="36"/>
        <v>3</v>
      </c>
      <c r="C123">
        <f t="shared" si="39"/>
        <v>1.2000000000000002</v>
      </c>
      <c r="D123" s="15">
        <f t="shared" si="37"/>
        <v>4.0909090909090908</v>
      </c>
      <c r="E123">
        <f t="shared" si="40"/>
        <v>1</v>
      </c>
      <c r="F123" s="3">
        <f t="shared" si="53"/>
        <v>171.8181818181819</v>
      </c>
      <c r="G123" s="3">
        <f t="shared" si="54"/>
        <v>2.9987929875175312</v>
      </c>
      <c r="H123" s="18">
        <f t="shared" si="41"/>
        <v>-1.1877857302571198</v>
      </c>
      <c r="I123" s="3">
        <f t="shared" si="42"/>
        <v>0.17077780592794067</v>
      </c>
      <c r="J123" s="19" t="str">
        <f t="shared" si="38"/>
        <v>Oth</v>
      </c>
      <c r="K123" s="20" t="e">
        <f t="shared" si="43"/>
        <v>#N/A</v>
      </c>
      <c r="L123" s="20" t="e">
        <f t="shared" si="44"/>
        <v>#N/A</v>
      </c>
      <c r="M123" s="20" t="e">
        <f t="shared" si="45"/>
        <v>#N/A</v>
      </c>
      <c r="N123" s="20" t="e">
        <f t="shared" si="46"/>
        <v>#N/A</v>
      </c>
      <c r="O123" s="20" t="e">
        <f t="shared" si="47"/>
        <v>#N/A</v>
      </c>
      <c r="P123" s="20" t="e">
        <f t="shared" si="48"/>
        <v>#N/A</v>
      </c>
      <c r="Q123" s="20" t="e">
        <f t="shared" si="49"/>
        <v>#N/A</v>
      </c>
      <c r="R123" s="20" t="e">
        <f t="shared" si="50"/>
        <v>#N/A</v>
      </c>
      <c r="S123" s="20">
        <f t="shared" si="51"/>
        <v>-1.1877857302571198</v>
      </c>
      <c r="T123" s="20">
        <f t="shared" si="52"/>
        <v>0.17077780592794067</v>
      </c>
      <c r="U123" s="3"/>
      <c r="AA123" s="4"/>
    </row>
    <row r="124" spans="1:27" x14ac:dyDescent="0.25">
      <c r="A124">
        <f t="shared" si="55"/>
        <v>122</v>
      </c>
      <c r="B124">
        <f t="shared" si="36"/>
        <v>3</v>
      </c>
      <c r="C124">
        <f t="shared" si="39"/>
        <v>1.2000000000000002</v>
      </c>
      <c r="D124" s="15">
        <f t="shared" si="37"/>
        <v>4.0909090909090908</v>
      </c>
      <c r="E124">
        <f t="shared" si="40"/>
        <v>1</v>
      </c>
      <c r="F124" s="3">
        <f t="shared" si="53"/>
        <v>175.90909090909099</v>
      </c>
      <c r="G124" s="3">
        <f t="shared" si="54"/>
        <v>3.0701928205536628</v>
      </c>
      <c r="H124" s="18">
        <f t="shared" si="41"/>
        <v>-1.1969425375323046</v>
      </c>
      <c r="I124" s="3">
        <f t="shared" si="42"/>
        <v>8.5607019839077328E-2</v>
      </c>
      <c r="J124" s="19" t="str">
        <f t="shared" si="38"/>
        <v>Oth</v>
      </c>
      <c r="K124" s="20" t="e">
        <f t="shared" si="43"/>
        <v>#N/A</v>
      </c>
      <c r="L124" s="20" t="e">
        <f t="shared" si="44"/>
        <v>#N/A</v>
      </c>
      <c r="M124" s="20" t="e">
        <f t="shared" si="45"/>
        <v>#N/A</v>
      </c>
      <c r="N124" s="20" t="e">
        <f t="shared" si="46"/>
        <v>#N/A</v>
      </c>
      <c r="O124" s="20" t="e">
        <f t="shared" si="47"/>
        <v>#N/A</v>
      </c>
      <c r="P124" s="20" t="e">
        <f t="shared" si="48"/>
        <v>#N/A</v>
      </c>
      <c r="Q124" s="20" t="e">
        <f t="shared" si="49"/>
        <v>#N/A</v>
      </c>
      <c r="R124" s="20" t="e">
        <f t="shared" si="50"/>
        <v>#N/A</v>
      </c>
      <c r="S124" s="20">
        <f t="shared" si="51"/>
        <v>-1.1969425375323046</v>
      </c>
      <c r="T124" s="20">
        <f t="shared" si="52"/>
        <v>8.5607019839077328E-2</v>
      </c>
      <c r="U124" s="3"/>
      <c r="AA124" s="4"/>
    </row>
    <row r="125" spans="1:27" x14ac:dyDescent="0.25">
      <c r="A125">
        <f t="shared" si="55"/>
        <v>123</v>
      </c>
      <c r="B125">
        <f t="shared" si="36"/>
        <v>3</v>
      </c>
      <c r="C125">
        <f t="shared" si="39"/>
        <v>1.2000000000000002</v>
      </c>
      <c r="D125" s="15">
        <f t="shared" si="37"/>
        <v>4.0909090909090908</v>
      </c>
      <c r="E125">
        <f t="shared" si="40"/>
        <v>1</v>
      </c>
      <c r="F125" s="3">
        <f t="shared" si="53"/>
        <v>180.00000000000009</v>
      </c>
      <c r="G125" s="3">
        <f t="shared" si="54"/>
        <v>3.1415926535897944</v>
      </c>
      <c r="H125" s="18">
        <f t="shared" si="41"/>
        <v>-1.2000000000000002</v>
      </c>
      <c r="I125" s="3">
        <f t="shared" si="42"/>
        <v>-1.4517033408711913E-15</v>
      </c>
      <c r="J125" s="19" t="str">
        <f t="shared" si="38"/>
        <v>Oth</v>
      </c>
      <c r="K125" s="20" t="e">
        <f t="shared" si="43"/>
        <v>#N/A</v>
      </c>
      <c r="L125" s="20" t="e">
        <f t="shared" si="44"/>
        <v>#N/A</v>
      </c>
      <c r="M125" s="20" t="e">
        <f t="shared" si="45"/>
        <v>#N/A</v>
      </c>
      <c r="N125" s="20" t="e">
        <f t="shared" si="46"/>
        <v>#N/A</v>
      </c>
      <c r="O125" s="20" t="e">
        <f t="shared" si="47"/>
        <v>#N/A</v>
      </c>
      <c r="P125" s="20" t="e">
        <f t="shared" si="48"/>
        <v>#N/A</v>
      </c>
      <c r="Q125" s="20" t="e">
        <f t="shared" si="49"/>
        <v>#N/A</v>
      </c>
      <c r="R125" s="20" t="e">
        <f t="shared" si="50"/>
        <v>#N/A</v>
      </c>
      <c r="S125" s="20">
        <f t="shared" si="51"/>
        <v>-1.2000000000000002</v>
      </c>
      <c r="T125" s="20">
        <f t="shared" si="52"/>
        <v>-1.4517033408711913E-15</v>
      </c>
      <c r="U125" s="3"/>
      <c r="AA125" s="4"/>
    </row>
    <row r="126" spans="1:27" x14ac:dyDescent="0.25">
      <c r="A126">
        <f t="shared" si="55"/>
        <v>124</v>
      </c>
      <c r="B126">
        <f t="shared" si="36"/>
        <v>4</v>
      </c>
      <c r="C126">
        <f t="shared" si="39"/>
        <v>1.3000000000000003</v>
      </c>
      <c r="D126" s="15">
        <f t="shared" si="37"/>
        <v>3.6734693877551021</v>
      </c>
      <c r="E126">
        <f t="shared" si="40"/>
        <v>0</v>
      </c>
      <c r="F126" s="3">
        <f t="shared" si="53"/>
        <v>0</v>
      </c>
      <c r="G126" s="3">
        <f t="shared" si="54"/>
        <v>0</v>
      </c>
      <c r="H126" s="18">
        <f t="shared" si="41"/>
        <v>1.3000000000000003</v>
      </c>
      <c r="I126" s="3">
        <f t="shared" si="42"/>
        <v>0</v>
      </c>
      <c r="J126" s="19" t="str">
        <f t="shared" si="38"/>
        <v>L</v>
      </c>
      <c r="K126" s="20">
        <f t="shared" si="43"/>
        <v>1.3000000000000003</v>
      </c>
      <c r="L126" s="20">
        <f t="shared" si="44"/>
        <v>0</v>
      </c>
      <c r="M126" s="20" t="e">
        <f t="shared" si="45"/>
        <v>#N/A</v>
      </c>
      <c r="N126" s="20" t="e">
        <f t="shared" si="46"/>
        <v>#N/A</v>
      </c>
      <c r="O126" s="20" t="e">
        <f t="shared" si="47"/>
        <v>#N/A</v>
      </c>
      <c r="P126" s="20" t="e">
        <f t="shared" si="48"/>
        <v>#N/A</v>
      </c>
      <c r="Q126" s="20" t="e">
        <f t="shared" si="49"/>
        <v>#N/A</v>
      </c>
      <c r="R126" s="20" t="e">
        <f t="shared" si="50"/>
        <v>#N/A</v>
      </c>
      <c r="S126" s="20" t="e">
        <f t="shared" si="51"/>
        <v>#N/A</v>
      </c>
      <c r="T126" s="20" t="e">
        <f t="shared" si="52"/>
        <v>#N/A</v>
      </c>
      <c r="U126" s="3"/>
      <c r="AA126" s="4"/>
    </row>
    <row r="127" spans="1:27" x14ac:dyDescent="0.25">
      <c r="A127">
        <f t="shared" si="55"/>
        <v>125</v>
      </c>
      <c r="B127">
        <f t="shared" si="36"/>
        <v>4</v>
      </c>
      <c r="C127">
        <f t="shared" si="39"/>
        <v>1.3000000000000003</v>
      </c>
      <c r="D127" s="15">
        <f t="shared" si="37"/>
        <v>3.6734693877551021</v>
      </c>
      <c r="E127">
        <f t="shared" si="40"/>
        <v>1</v>
      </c>
      <c r="F127" s="3">
        <f t="shared" si="53"/>
        <v>3.6734693877551021</v>
      </c>
      <c r="G127" s="3">
        <f t="shared" si="54"/>
        <v>6.4114135787546808E-2</v>
      </c>
      <c r="H127" s="18">
        <f t="shared" si="41"/>
        <v>1.2973290105754376</v>
      </c>
      <c r="I127" s="3">
        <f t="shared" si="42"/>
        <v>8.3291285974926826E-2</v>
      </c>
      <c r="J127" s="19" t="str">
        <f t="shared" si="38"/>
        <v>L</v>
      </c>
      <c r="K127" s="20">
        <f t="shared" si="43"/>
        <v>1.2973290105754376</v>
      </c>
      <c r="L127" s="20">
        <f t="shared" si="44"/>
        <v>8.3291285974926826E-2</v>
      </c>
      <c r="M127" s="20" t="e">
        <f t="shared" si="45"/>
        <v>#N/A</v>
      </c>
      <c r="N127" s="20" t="e">
        <f t="shared" si="46"/>
        <v>#N/A</v>
      </c>
      <c r="O127" s="20" t="e">
        <f t="shared" si="47"/>
        <v>#N/A</v>
      </c>
      <c r="P127" s="20" t="e">
        <f t="shared" si="48"/>
        <v>#N/A</v>
      </c>
      <c r="Q127" s="20" t="e">
        <f t="shared" si="49"/>
        <v>#N/A</v>
      </c>
      <c r="R127" s="20" t="e">
        <f t="shared" si="50"/>
        <v>#N/A</v>
      </c>
      <c r="S127" s="20" t="e">
        <f t="shared" si="51"/>
        <v>#N/A</v>
      </c>
      <c r="T127" s="20" t="e">
        <f t="shared" si="52"/>
        <v>#N/A</v>
      </c>
      <c r="U127" s="3"/>
      <c r="AA127" s="4"/>
    </row>
    <row r="128" spans="1:27" x14ac:dyDescent="0.25">
      <c r="A128">
        <f t="shared" si="55"/>
        <v>126</v>
      </c>
      <c r="B128">
        <f t="shared" si="36"/>
        <v>4</v>
      </c>
      <c r="C128">
        <f t="shared" si="39"/>
        <v>1.3000000000000003</v>
      </c>
      <c r="D128" s="15">
        <f t="shared" si="37"/>
        <v>3.6734693877551021</v>
      </c>
      <c r="E128">
        <f t="shared" si="40"/>
        <v>1</v>
      </c>
      <c r="F128" s="3">
        <f t="shared" si="53"/>
        <v>7.3469387755102042</v>
      </c>
      <c r="G128" s="3">
        <f t="shared" si="54"/>
        <v>0.12822827157509362</v>
      </c>
      <c r="H128" s="18">
        <f t="shared" si="41"/>
        <v>1.2893270179702201</v>
      </c>
      <c r="I128" s="3">
        <f t="shared" si="42"/>
        <v>0.16624031018985785</v>
      </c>
      <c r="J128" s="19" t="str">
        <f t="shared" si="38"/>
        <v>L</v>
      </c>
      <c r="K128" s="20">
        <f t="shared" si="43"/>
        <v>1.2893270179702201</v>
      </c>
      <c r="L128" s="20">
        <f t="shared" si="44"/>
        <v>0.16624031018985785</v>
      </c>
      <c r="M128" s="20" t="e">
        <f t="shared" si="45"/>
        <v>#N/A</v>
      </c>
      <c r="N128" s="20" t="e">
        <f t="shared" si="46"/>
        <v>#N/A</v>
      </c>
      <c r="O128" s="20" t="e">
        <f t="shared" si="47"/>
        <v>#N/A</v>
      </c>
      <c r="P128" s="20" t="e">
        <f t="shared" si="48"/>
        <v>#N/A</v>
      </c>
      <c r="Q128" s="20" t="e">
        <f t="shared" si="49"/>
        <v>#N/A</v>
      </c>
      <c r="R128" s="20" t="e">
        <f t="shared" si="50"/>
        <v>#N/A</v>
      </c>
      <c r="S128" s="20" t="e">
        <f t="shared" si="51"/>
        <v>#N/A</v>
      </c>
      <c r="T128" s="20" t="e">
        <f t="shared" si="52"/>
        <v>#N/A</v>
      </c>
      <c r="U128" s="3"/>
      <c r="AA128" s="4"/>
    </row>
    <row r="129" spans="1:27" x14ac:dyDescent="0.25">
      <c r="A129">
        <f t="shared" si="55"/>
        <v>127</v>
      </c>
      <c r="B129">
        <f t="shared" si="36"/>
        <v>4</v>
      </c>
      <c r="C129">
        <f t="shared" si="39"/>
        <v>1.3000000000000003</v>
      </c>
      <c r="D129" s="15">
        <f t="shared" si="37"/>
        <v>3.6734693877551021</v>
      </c>
      <c r="E129">
        <f t="shared" si="40"/>
        <v>1</v>
      </c>
      <c r="F129" s="3">
        <f t="shared" si="53"/>
        <v>11.020408163265307</v>
      </c>
      <c r="G129" s="3">
        <f t="shared" si="54"/>
        <v>0.19234240736264041</v>
      </c>
      <c r="H129" s="18">
        <f t="shared" si="41"/>
        <v>1.2760269040883851</v>
      </c>
      <c r="I129" s="3">
        <f t="shared" si="42"/>
        <v>0.24850621731178407</v>
      </c>
      <c r="J129" s="19" t="str">
        <f t="shared" si="38"/>
        <v>L</v>
      </c>
      <c r="K129" s="20">
        <f t="shared" si="43"/>
        <v>1.2760269040883851</v>
      </c>
      <c r="L129" s="20">
        <f t="shared" si="44"/>
        <v>0.24850621731178407</v>
      </c>
      <c r="M129" s="20" t="e">
        <f t="shared" si="45"/>
        <v>#N/A</v>
      </c>
      <c r="N129" s="20" t="e">
        <f t="shared" si="46"/>
        <v>#N/A</v>
      </c>
      <c r="O129" s="20" t="e">
        <f t="shared" si="47"/>
        <v>#N/A</v>
      </c>
      <c r="P129" s="20" t="e">
        <f t="shared" si="48"/>
        <v>#N/A</v>
      </c>
      <c r="Q129" s="20" t="e">
        <f t="shared" si="49"/>
        <v>#N/A</v>
      </c>
      <c r="R129" s="20" t="e">
        <f t="shared" si="50"/>
        <v>#N/A</v>
      </c>
      <c r="S129" s="20" t="e">
        <f t="shared" si="51"/>
        <v>#N/A</v>
      </c>
      <c r="T129" s="20" t="e">
        <f t="shared" si="52"/>
        <v>#N/A</v>
      </c>
      <c r="U129" s="3"/>
      <c r="AA129" s="4"/>
    </row>
    <row r="130" spans="1:27" x14ac:dyDescent="0.25">
      <c r="A130">
        <f t="shared" si="55"/>
        <v>128</v>
      </c>
      <c r="B130">
        <f t="shared" si="36"/>
        <v>4</v>
      </c>
      <c r="C130">
        <f t="shared" si="39"/>
        <v>1.3000000000000003</v>
      </c>
      <c r="D130" s="15">
        <f t="shared" si="37"/>
        <v>3.6734693877551021</v>
      </c>
      <c r="E130">
        <f t="shared" si="40"/>
        <v>1</v>
      </c>
      <c r="F130" s="3">
        <f t="shared" si="53"/>
        <v>14.693877551020408</v>
      </c>
      <c r="G130" s="3">
        <f t="shared" si="54"/>
        <v>0.25645654315018723</v>
      </c>
      <c r="H130" s="18">
        <f t="shared" si="41"/>
        <v>1.2574833219507386</v>
      </c>
      <c r="I130" s="3">
        <f t="shared" si="42"/>
        <v>0.32975095908235968</v>
      </c>
      <c r="J130" s="19" t="str">
        <f t="shared" si="38"/>
        <v>L</v>
      </c>
      <c r="K130" s="20">
        <f t="shared" si="43"/>
        <v>1.2574833219507386</v>
      </c>
      <c r="L130" s="20">
        <f t="shared" si="44"/>
        <v>0.32975095908235968</v>
      </c>
      <c r="M130" s="20" t="e">
        <f t="shared" si="45"/>
        <v>#N/A</v>
      </c>
      <c r="N130" s="20" t="e">
        <f t="shared" si="46"/>
        <v>#N/A</v>
      </c>
      <c r="O130" s="20" t="e">
        <f t="shared" si="47"/>
        <v>#N/A</v>
      </c>
      <c r="P130" s="20" t="e">
        <f t="shared" si="48"/>
        <v>#N/A</v>
      </c>
      <c r="Q130" s="20" t="e">
        <f t="shared" si="49"/>
        <v>#N/A</v>
      </c>
      <c r="R130" s="20" t="e">
        <f t="shared" si="50"/>
        <v>#N/A</v>
      </c>
      <c r="S130" s="20" t="e">
        <f t="shared" si="51"/>
        <v>#N/A</v>
      </c>
      <c r="T130" s="20" t="e">
        <f t="shared" si="52"/>
        <v>#N/A</v>
      </c>
      <c r="U130" s="3"/>
      <c r="AA130" s="4"/>
    </row>
    <row r="131" spans="1:27" x14ac:dyDescent="0.25">
      <c r="A131">
        <f t="shared" si="55"/>
        <v>129</v>
      </c>
      <c r="B131">
        <f t="shared" ref="B131:B194" si="56">VLOOKUP(A131,$Y$2:$Z$13,2,1)</f>
        <v>4</v>
      </c>
      <c r="C131">
        <f t="shared" si="39"/>
        <v>1.3000000000000003</v>
      </c>
      <c r="D131" s="15">
        <f t="shared" ref="D131:D194" si="57">VLOOKUP(B131,$V$2:$AC$13,8,0)</f>
        <v>3.6734693877551021</v>
      </c>
      <c r="E131">
        <f t="shared" si="40"/>
        <v>1</v>
      </c>
      <c r="F131" s="3">
        <f t="shared" si="53"/>
        <v>18.367346938775512</v>
      </c>
      <c r="G131" s="3">
        <f t="shared" si="54"/>
        <v>0.32057067893773405</v>
      </c>
      <c r="H131" s="18">
        <f t="shared" si="41"/>
        <v>1.2337724711138696</v>
      </c>
      <c r="I131" s="3">
        <f t="shared" si="42"/>
        <v>0.40964068343070703</v>
      </c>
      <c r="J131" s="19" t="str">
        <f t="shared" ref="J131:J194" si="58">VLOOKUP(A131,$AQ$3:$AR$58,2,1)</f>
        <v>L</v>
      </c>
      <c r="K131" s="20">
        <f t="shared" si="43"/>
        <v>1.2337724711138696</v>
      </c>
      <c r="L131" s="20">
        <f t="shared" si="44"/>
        <v>0.40964068343070703</v>
      </c>
      <c r="M131" s="20" t="e">
        <f t="shared" si="45"/>
        <v>#N/A</v>
      </c>
      <c r="N131" s="20" t="e">
        <f t="shared" si="46"/>
        <v>#N/A</v>
      </c>
      <c r="O131" s="20" t="e">
        <f t="shared" si="47"/>
        <v>#N/A</v>
      </c>
      <c r="P131" s="20" t="e">
        <f t="shared" si="48"/>
        <v>#N/A</v>
      </c>
      <c r="Q131" s="20" t="e">
        <f t="shared" si="49"/>
        <v>#N/A</v>
      </c>
      <c r="R131" s="20" t="e">
        <f t="shared" si="50"/>
        <v>#N/A</v>
      </c>
      <c r="S131" s="20" t="e">
        <f t="shared" si="51"/>
        <v>#N/A</v>
      </c>
      <c r="T131" s="20" t="e">
        <f t="shared" si="52"/>
        <v>#N/A</v>
      </c>
      <c r="U131" s="3"/>
      <c r="AA131" s="4"/>
    </row>
    <row r="132" spans="1:27" x14ac:dyDescent="0.25">
      <c r="A132">
        <f t="shared" si="55"/>
        <v>130</v>
      </c>
      <c r="B132">
        <f t="shared" si="56"/>
        <v>4</v>
      </c>
      <c r="C132">
        <f t="shared" ref="C132:C195" si="59">VLOOKUP(B132,$V$2:$AB$14,7,0)</f>
        <v>1.3000000000000003</v>
      </c>
      <c r="D132" s="15">
        <f t="shared" si="57"/>
        <v>3.6734693877551021</v>
      </c>
      <c r="E132">
        <f t="shared" ref="E132:E195" si="60">IF(OR(A132=$Y$3,A132=$Y$4,A132=$Y$5,A132=$Y$6,A132=$Y$7,A132=$Y$8,A132=$Y$9,A132=$Y$10,A132=$Y$11,A132=$Y$12,A132=$Y$12),0,1)</f>
        <v>1</v>
      </c>
      <c r="F132" s="3">
        <f t="shared" si="53"/>
        <v>22.040816326530614</v>
      </c>
      <c r="G132" s="3">
        <f t="shared" si="54"/>
        <v>0.38468481472528082</v>
      </c>
      <c r="H132" s="18">
        <f t="shared" ref="H132:H195" si="61">C132*COS(G132)</f>
        <v>1.2049917845498286</v>
      </c>
      <c r="I132" s="3">
        <f t="shared" ref="I132:I195" si="62">C132*SIN(G132)</f>
        <v>0.48784710634318651</v>
      </c>
      <c r="J132" s="19" t="str">
        <f t="shared" si="58"/>
        <v>L</v>
      </c>
      <c r="K132" s="20">
        <f t="shared" ref="K132:K195" si="63">IF(J132="L",H132,NA())</f>
        <v>1.2049917845498286</v>
      </c>
      <c r="L132" s="20">
        <f t="shared" ref="L132:L195" si="64">IF(J132="l",I132,NA())</f>
        <v>0.48784710634318651</v>
      </c>
      <c r="M132" s="20" t="e">
        <f t="shared" ref="M132:M195" si="65">IF(J132="C",H132,NA())</f>
        <v>#N/A</v>
      </c>
      <c r="N132" s="20" t="e">
        <f t="shared" ref="N132:N195" si="66">IF(J132="C",I132,NA())</f>
        <v>#N/A</v>
      </c>
      <c r="O132" s="20" t="e">
        <f t="shared" ref="O132:O195" si="67">IF(J132="LD",H132,NA())</f>
        <v>#N/A</v>
      </c>
      <c r="P132" s="20" t="e">
        <f t="shared" ref="P132:P195" si="68">IF(J132="LD",I132,NA())</f>
        <v>#N/A</v>
      </c>
      <c r="Q132" s="20" t="e">
        <f t="shared" ref="Q132:Q195" si="69">IF(J132="SNP",H132,NA())</f>
        <v>#N/A</v>
      </c>
      <c r="R132" s="20" t="e">
        <f t="shared" ref="R132:R195" si="70">IF(J132="SNP",I132,NA())</f>
        <v>#N/A</v>
      </c>
      <c r="S132" s="20" t="e">
        <f t="shared" ref="S132:S195" si="71">IF(J132="Oth",H132,NA())</f>
        <v>#N/A</v>
      </c>
      <c r="T132" s="20" t="e">
        <f t="shared" ref="T132:T195" si="72">IF(J132="oth",I132,NA())</f>
        <v>#N/A</v>
      </c>
      <c r="U132" s="3"/>
      <c r="AA132" s="4"/>
    </row>
    <row r="133" spans="1:27" x14ac:dyDescent="0.25">
      <c r="A133">
        <f t="shared" si="55"/>
        <v>131</v>
      </c>
      <c r="B133">
        <f t="shared" si="56"/>
        <v>4</v>
      </c>
      <c r="C133">
        <f t="shared" si="59"/>
        <v>1.3000000000000003</v>
      </c>
      <c r="D133" s="15">
        <f t="shared" si="57"/>
        <v>3.6734693877551021</v>
      </c>
      <c r="E133">
        <f t="shared" si="60"/>
        <v>1</v>
      </c>
      <c r="F133" s="3">
        <f t="shared" si="53"/>
        <v>25.714285714285715</v>
      </c>
      <c r="G133" s="3">
        <f t="shared" si="54"/>
        <v>0.44879895051282759</v>
      </c>
      <c r="H133" s="18">
        <f t="shared" si="61"/>
        <v>1.1712595282731451</v>
      </c>
      <c r="I133" s="3">
        <f t="shared" si="62"/>
        <v>0.56404886085282568</v>
      </c>
      <c r="J133" s="19" t="str">
        <f t="shared" si="58"/>
        <v>L</v>
      </c>
      <c r="K133" s="20">
        <f t="shared" si="63"/>
        <v>1.1712595282731451</v>
      </c>
      <c r="L133" s="20">
        <f t="shared" si="64"/>
        <v>0.56404886085282568</v>
      </c>
      <c r="M133" s="20" t="e">
        <f t="shared" si="65"/>
        <v>#N/A</v>
      </c>
      <c r="N133" s="20" t="e">
        <f t="shared" si="66"/>
        <v>#N/A</v>
      </c>
      <c r="O133" s="20" t="e">
        <f t="shared" si="67"/>
        <v>#N/A</v>
      </c>
      <c r="P133" s="20" t="e">
        <f t="shared" si="68"/>
        <v>#N/A</v>
      </c>
      <c r="Q133" s="20" t="e">
        <f t="shared" si="69"/>
        <v>#N/A</v>
      </c>
      <c r="R133" s="20" t="e">
        <f t="shared" si="70"/>
        <v>#N/A</v>
      </c>
      <c r="S133" s="20" t="e">
        <f t="shared" si="71"/>
        <v>#N/A</v>
      </c>
      <c r="T133" s="20" t="e">
        <f t="shared" si="72"/>
        <v>#N/A</v>
      </c>
      <c r="U133" s="3"/>
      <c r="AA133" s="4"/>
    </row>
    <row r="134" spans="1:27" x14ac:dyDescent="0.25">
      <c r="A134">
        <f t="shared" si="55"/>
        <v>132</v>
      </c>
      <c r="B134">
        <f t="shared" si="56"/>
        <v>4</v>
      </c>
      <c r="C134">
        <f t="shared" si="59"/>
        <v>1.3000000000000003</v>
      </c>
      <c r="D134" s="15">
        <f t="shared" si="57"/>
        <v>3.6734693877551021</v>
      </c>
      <c r="E134">
        <f t="shared" si="60"/>
        <v>1</v>
      </c>
      <c r="F134" s="3">
        <f t="shared" ref="F134:F197" si="73">IF(E134=0,0,D134+F133)</f>
        <v>29.387755102040817</v>
      </c>
      <c r="G134" s="3">
        <f t="shared" ref="G134:G197" si="74">(F134/180)*PI()</f>
        <v>0.51291308630037447</v>
      </c>
      <c r="H134" s="18">
        <f t="shared" si="61"/>
        <v>1.1327143153604062</v>
      </c>
      <c r="I134" s="3">
        <f t="shared" si="62"/>
        <v>0.63793281760511944</v>
      </c>
      <c r="J134" s="19" t="str">
        <f t="shared" si="58"/>
        <v>L</v>
      </c>
      <c r="K134" s="20">
        <f t="shared" si="63"/>
        <v>1.1327143153604062</v>
      </c>
      <c r="L134" s="20">
        <f t="shared" si="64"/>
        <v>0.63793281760511944</v>
      </c>
      <c r="M134" s="20" t="e">
        <f t="shared" si="65"/>
        <v>#N/A</v>
      </c>
      <c r="N134" s="20" t="e">
        <f t="shared" si="66"/>
        <v>#N/A</v>
      </c>
      <c r="O134" s="20" t="e">
        <f t="shared" si="67"/>
        <v>#N/A</v>
      </c>
      <c r="P134" s="20" t="e">
        <f t="shared" si="68"/>
        <v>#N/A</v>
      </c>
      <c r="Q134" s="20" t="e">
        <f t="shared" si="69"/>
        <v>#N/A</v>
      </c>
      <c r="R134" s="20" t="e">
        <f t="shared" si="70"/>
        <v>#N/A</v>
      </c>
      <c r="S134" s="20" t="e">
        <f t="shared" si="71"/>
        <v>#N/A</v>
      </c>
      <c r="T134" s="20" t="e">
        <f t="shared" si="72"/>
        <v>#N/A</v>
      </c>
      <c r="U134" s="3"/>
      <c r="AA134" s="4"/>
    </row>
    <row r="135" spans="1:27" x14ac:dyDescent="0.25">
      <c r="A135">
        <f t="shared" si="55"/>
        <v>133</v>
      </c>
      <c r="B135">
        <f t="shared" si="56"/>
        <v>4</v>
      </c>
      <c r="C135">
        <f t="shared" si="59"/>
        <v>1.3000000000000003</v>
      </c>
      <c r="D135" s="15">
        <f t="shared" si="57"/>
        <v>3.6734693877551021</v>
      </c>
      <c r="E135">
        <f t="shared" si="60"/>
        <v>1</v>
      </c>
      <c r="F135" s="3">
        <f t="shared" si="73"/>
        <v>33.061224489795919</v>
      </c>
      <c r="G135" s="3">
        <f t="shared" si="74"/>
        <v>0.57702722208792123</v>
      </c>
      <c r="H135" s="18">
        <f t="shared" si="61"/>
        <v>1.089514536359393</v>
      </c>
      <c r="I135" s="3">
        <f t="shared" si="62"/>
        <v>0.70919537157371348</v>
      </c>
      <c r="J135" s="19" t="str">
        <f t="shared" si="58"/>
        <v>L</v>
      </c>
      <c r="K135" s="20">
        <f t="shared" si="63"/>
        <v>1.089514536359393</v>
      </c>
      <c r="L135" s="20">
        <f t="shared" si="64"/>
        <v>0.70919537157371348</v>
      </c>
      <c r="M135" s="20" t="e">
        <f t="shared" si="65"/>
        <v>#N/A</v>
      </c>
      <c r="N135" s="20" t="e">
        <f t="shared" si="66"/>
        <v>#N/A</v>
      </c>
      <c r="O135" s="20" t="e">
        <f t="shared" si="67"/>
        <v>#N/A</v>
      </c>
      <c r="P135" s="20" t="e">
        <f t="shared" si="68"/>
        <v>#N/A</v>
      </c>
      <c r="Q135" s="20" t="e">
        <f t="shared" si="69"/>
        <v>#N/A</v>
      </c>
      <c r="R135" s="20" t="e">
        <f t="shared" si="70"/>
        <v>#N/A</v>
      </c>
      <c r="S135" s="20" t="e">
        <f t="shared" si="71"/>
        <v>#N/A</v>
      </c>
      <c r="T135" s="20" t="e">
        <f t="shared" si="72"/>
        <v>#N/A</v>
      </c>
      <c r="U135" s="3"/>
      <c r="AA135" s="4"/>
    </row>
    <row r="136" spans="1:27" x14ac:dyDescent="0.25">
      <c r="A136">
        <f t="shared" si="55"/>
        <v>134</v>
      </c>
      <c r="B136">
        <f t="shared" si="56"/>
        <v>4</v>
      </c>
      <c r="C136">
        <f t="shared" si="59"/>
        <v>1.3000000000000003</v>
      </c>
      <c r="D136" s="15">
        <f t="shared" si="57"/>
        <v>3.6734693877551021</v>
      </c>
      <c r="E136">
        <f t="shared" si="60"/>
        <v>1</v>
      </c>
      <c r="F136" s="3">
        <f t="shared" si="73"/>
        <v>36.734693877551024</v>
      </c>
      <c r="G136" s="3">
        <f t="shared" si="74"/>
        <v>0.64114135787546811</v>
      </c>
      <c r="H136" s="18">
        <f t="shared" si="61"/>
        <v>1.0418377084283439</v>
      </c>
      <c r="I136" s="3">
        <f t="shared" si="62"/>
        <v>0.77754368963858111</v>
      </c>
      <c r="J136" s="19" t="str">
        <f t="shared" si="58"/>
        <v>L</v>
      </c>
      <c r="K136" s="20">
        <f t="shared" si="63"/>
        <v>1.0418377084283439</v>
      </c>
      <c r="L136" s="20">
        <f t="shared" si="64"/>
        <v>0.77754368963858111</v>
      </c>
      <c r="M136" s="20" t="e">
        <f t="shared" si="65"/>
        <v>#N/A</v>
      </c>
      <c r="N136" s="20" t="e">
        <f t="shared" si="66"/>
        <v>#N/A</v>
      </c>
      <c r="O136" s="20" t="e">
        <f t="shared" si="67"/>
        <v>#N/A</v>
      </c>
      <c r="P136" s="20" t="e">
        <f t="shared" si="68"/>
        <v>#N/A</v>
      </c>
      <c r="Q136" s="20" t="e">
        <f t="shared" si="69"/>
        <v>#N/A</v>
      </c>
      <c r="R136" s="20" t="e">
        <f t="shared" si="70"/>
        <v>#N/A</v>
      </c>
      <c r="S136" s="20" t="e">
        <f t="shared" si="71"/>
        <v>#N/A</v>
      </c>
      <c r="T136" s="20" t="e">
        <f t="shared" si="72"/>
        <v>#N/A</v>
      </c>
      <c r="U136" s="3"/>
      <c r="AA136" s="4"/>
    </row>
    <row r="137" spans="1:27" x14ac:dyDescent="0.25">
      <c r="A137">
        <f t="shared" si="55"/>
        <v>135</v>
      </c>
      <c r="B137">
        <f t="shared" si="56"/>
        <v>4</v>
      </c>
      <c r="C137">
        <f t="shared" si="59"/>
        <v>1.3000000000000003</v>
      </c>
      <c r="D137" s="15">
        <f t="shared" si="57"/>
        <v>3.6734693877551021</v>
      </c>
      <c r="E137">
        <f t="shared" si="60"/>
        <v>1</v>
      </c>
      <c r="F137" s="3">
        <f t="shared" si="73"/>
        <v>40.408163265306129</v>
      </c>
      <c r="G137" s="3">
        <f t="shared" si="74"/>
        <v>0.70525549366301488</v>
      </c>
      <c r="H137" s="18">
        <f t="shared" si="61"/>
        <v>0.98987974587987493</v>
      </c>
      <c r="I137" s="3">
        <f t="shared" si="62"/>
        <v>0.84269691390012513</v>
      </c>
      <c r="J137" s="19" t="str">
        <f t="shared" si="58"/>
        <v>L</v>
      </c>
      <c r="K137" s="20">
        <f t="shared" si="63"/>
        <v>0.98987974587987493</v>
      </c>
      <c r="L137" s="20">
        <f t="shared" si="64"/>
        <v>0.84269691390012513</v>
      </c>
      <c r="M137" s="20" t="e">
        <f t="shared" si="65"/>
        <v>#N/A</v>
      </c>
      <c r="N137" s="20" t="e">
        <f t="shared" si="66"/>
        <v>#N/A</v>
      </c>
      <c r="O137" s="20" t="e">
        <f t="shared" si="67"/>
        <v>#N/A</v>
      </c>
      <c r="P137" s="20" t="e">
        <f t="shared" si="68"/>
        <v>#N/A</v>
      </c>
      <c r="Q137" s="20" t="e">
        <f t="shared" si="69"/>
        <v>#N/A</v>
      </c>
      <c r="R137" s="20" t="e">
        <f t="shared" si="70"/>
        <v>#N/A</v>
      </c>
      <c r="S137" s="20" t="e">
        <f t="shared" si="71"/>
        <v>#N/A</v>
      </c>
      <c r="T137" s="20" t="e">
        <f t="shared" si="72"/>
        <v>#N/A</v>
      </c>
      <c r="U137" s="3"/>
      <c r="AA137" s="4"/>
    </row>
    <row r="138" spans="1:27" x14ac:dyDescent="0.25">
      <c r="A138">
        <f t="shared" si="55"/>
        <v>136</v>
      </c>
      <c r="B138">
        <f t="shared" si="56"/>
        <v>4</v>
      </c>
      <c r="C138">
        <f t="shared" si="59"/>
        <v>1.3000000000000003</v>
      </c>
      <c r="D138" s="15">
        <f t="shared" si="57"/>
        <v>3.6734693877551021</v>
      </c>
      <c r="E138">
        <f t="shared" si="60"/>
        <v>1</v>
      </c>
      <c r="F138" s="3">
        <f t="shared" si="73"/>
        <v>44.081632653061234</v>
      </c>
      <c r="G138" s="3">
        <f t="shared" si="74"/>
        <v>0.76936962945056175</v>
      </c>
      <c r="H138" s="18">
        <f t="shared" si="61"/>
        <v>0.93385415512704595</v>
      </c>
      <c r="I138" s="3">
        <f t="shared" si="62"/>
        <v>0.90438731578453257</v>
      </c>
      <c r="J138" s="19" t="str">
        <f t="shared" si="58"/>
        <v>L</v>
      </c>
      <c r="K138" s="20">
        <f t="shared" si="63"/>
        <v>0.93385415512704595</v>
      </c>
      <c r="L138" s="20">
        <f t="shared" si="64"/>
        <v>0.90438731578453257</v>
      </c>
      <c r="M138" s="20" t="e">
        <f t="shared" si="65"/>
        <v>#N/A</v>
      </c>
      <c r="N138" s="20" t="e">
        <f t="shared" si="66"/>
        <v>#N/A</v>
      </c>
      <c r="O138" s="20" t="e">
        <f t="shared" si="67"/>
        <v>#N/A</v>
      </c>
      <c r="P138" s="20" t="e">
        <f t="shared" si="68"/>
        <v>#N/A</v>
      </c>
      <c r="Q138" s="20" t="e">
        <f t="shared" si="69"/>
        <v>#N/A</v>
      </c>
      <c r="R138" s="20" t="e">
        <f t="shared" si="70"/>
        <v>#N/A</v>
      </c>
      <c r="S138" s="20" t="e">
        <f t="shared" si="71"/>
        <v>#N/A</v>
      </c>
      <c r="T138" s="20" t="e">
        <f t="shared" si="72"/>
        <v>#N/A</v>
      </c>
      <c r="U138" s="3"/>
      <c r="AA138" s="4"/>
    </row>
    <row r="139" spans="1:27" x14ac:dyDescent="0.25">
      <c r="A139">
        <f t="shared" si="55"/>
        <v>137</v>
      </c>
      <c r="B139">
        <f t="shared" si="56"/>
        <v>4</v>
      </c>
      <c r="C139">
        <f t="shared" si="59"/>
        <v>1.3000000000000003</v>
      </c>
      <c r="D139" s="15">
        <f t="shared" si="57"/>
        <v>3.6734693877551021</v>
      </c>
      <c r="E139">
        <f t="shared" si="60"/>
        <v>1</v>
      </c>
      <c r="F139" s="3">
        <f t="shared" si="73"/>
        <v>47.75510204081634</v>
      </c>
      <c r="G139" s="3">
        <f t="shared" si="74"/>
        <v>0.83348376523810863</v>
      </c>
      <c r="H139" s="18">
        <f t="shared" si="61"/>
        <v>0.87399115733971189</v>
      </c>
      <c r="I139" s="3">
        <f t="shared" si="62"/>
        <v>0.96236139619791061</v>
      </c>
      <c r="J139" s="19" t="str">
        <f t="shared" si="58"/>
        <v>L</v>
      </c>
      <c r="K139" s="20">
        <f t="shared" si="63"/>
        <v>0.87399115733971189</v>
      </c>
      <c r="L139" s="20">
        <f t="shared" si="64"/>
        <v>0.96236139619791061</v>
      </c>
      <c r="M139" s="20" t="e">
        <f t="shared" si="65"/>
        <v>#N/A</v>
      </c>
      <c r="N139" s="20" t="e">
        <f t="shared" si="66"/>
        <v>#N/A</v>
      </c>
      <c r="O139" s="20" t="e">
        <f t="shared" si="67"/>
        <v>#N/A</v>
      </c>
      <c r="P139" s="20" t="e">
        <f t="shared" si="68"/>
        <v>#N/A</v>
      </c>
      <c r="Q139" s="20" t="e">
        <f t="shared" si="69"/>
        <v>#N/A</v>
      </c>
      <c r="R139" s="20" t="e">
        <f t="shared" si="70"/>
        <v>#N/A</v>
      </c>
      <c r="S139" s="20" t="e">
        <f t="shared" si="71"/>
        <v>#N/A</v>
      </c>
      <c r="T139" s="20" t="e">
        <f t="shared" si="72"/>
        <v>#N/A</v>
      </c>
      <c r="U139" s="3"/>
      <c r="AA139" s="4"/>
    </row>
    <row r="140" spans="1:27" x14ac:dyDescent="0.25">
      <c r="A140">
        <f t="shared" si="55"/>
        <v>138</v>
      </c>
      <c r="B140">
        <f t="shared" si="56"/>
        <v>4</v>
      </c>
      <c r="C140">
        <f t="shared" si="59"/>
        <v>1.3000000000000003</v>
      </c>
      <c r="D140" s="15">
        <f t="shared" si="57"/>
        <v>3.6734693877551021</v>
      </c>
      <c r="E140">
        <f t="shared" si="60"/>
        <v>1</v>
      </c>
      <c r="F140" s="3">
        <f t="shared" si="73"/>
        <v>51.428571428571445</v>
      </c>
      <c r="G140" s="3">
        <f t="shared" si="74"/>
        <v>0.89759790102565551</v>
      </c>
      <c r="H140" s="18">
        <f t="shared" si="61"/>
        <v>0.81053674241635343</v>
      </c>
      <c r="I140" s="3">
        <f t="shared" si="62"/>
        <v>1.0163809272084392</v>
      </c>
      <c r="J140" s="19" t="str">
        <f t="shared" si="58"/>
        <v>L</v>
      </c>
      <c r="K140" s="20">
        <f t="shared" si="63"/>
        <v>0.81053674241635343</v>
      </c>
      <c r="L140" s="20">
        <f t="shared" si="64"/>
        <v>1.0163809272084392</v>
      </c>
      <c r="M140" s="20" t="e">
        <f t="shared" si="65"/>
        <v>#N/A</v>
      </c>
      <c r="N140" s="20" t="e">
        <f t="shared" si="66"/>
        <v>#N/A</v>
      </c>
      <c r="O140" s="20" t="e">
        <f t="shared" si="67"/>
        <v>#N/A</v>
      </c>
      <c r="P140" s="20" t="e">
        <f t="shared" si="68"/>
        <v>#N/A</v>
      </c>
      <c r="Q140" s="20" t="e">
        <f t="shared" si="69"/>
        <v>#N/A</v>
      </c>
      <c r="R140" s="20" t="e">
        <f t="shared" si="70"/>
        <v>#N/A</v>
      </c>
      <c r="S140" s="20" t="e">
        <f t="shared" si="71"/>
        <v>#N/A</v>
      </c>
      <c r="T140" s="20" t="e">
        <f t="shared" si="72"/>
        <v>#N/A</v>
      </c>
      <c r="U140" s="3"/>
      <c r="AA140" s="4"/>
    </row>
    <row r="141" spans="1:27" x14ac:dyDescent="0.25">
      <c r="A141">
        <f t="shared" si="55"/>
        <v>139</v>
      </c>
      <c r="B141">
        <f t="shared" si="56"/>
        <v>4</v>
      </c>
      <c r="C141">
        <f t="shared" si="59"/>
        <v>1.3000000000000003</v>
      </c>
      <c r="D141" s="15">
        <f t="shared" si="57"/>
        <v>3.6734693877551021</v>
      </c>
      <c r="E141">
        <f t="shared" si="60"/>
        <v>1</v>
      </c>
      <c r="F141" s="3">
        <f t="shared" si="73"/>
        <v>55.10204081632655</v>
      </c>
      <c r="G141" s="3">
        <f t="shared" si="74"/>
        <v>0.96171203681320239</v>
      </c>
      <c r="H141" s="18">
        <f t="shared" si="61"/>
        <v>0.74375165815882027</v>
      </c>
      <c r="I141" s="3">
        <f t="shared" si="62"/>
        <v>1.0662239309760431</v>
      </c>
      <c r="J141" s="19" t="str">
        <f t="shared" si="58"/>
        <v>L</v>
      </c>
      <c r="K141" s="20">
        <f t="shared" si="63"/>
        <v>0.74375165815882027</v>
      </c>
      <c r="L141" s="20">
        <f t="shared" si="64"/>
        <v>1.0662239309760431</v>
      </c>
      <c r="M141" s="20" t="e">
        <f t="shared" si="65"/>
        <v>#N/A</v>
      </c>
      <c r="N141" s="20" t="e">
        <f t="shared" si="66"/>
        <v>#N/A</v>
      </c>
      <c r="O141" s="20" t="e">
        <f t="shared" si="67"/>
        <v>#N/A</v>
      </c>
      <c r="P141" s="20" t="e">
        <f t="shared" si="68"/>
        <v>#N/A</v>
      </c>
      <c r="Q141" s="20" t="e">
        <f t="shared" si="69"/>
        <v>#N/A</v>
      </c>
      <c r="R141" s="20" t="e">
        <f t="shared" si="70"/>
        <v>#N/A</v>
      </c>
      <c r="S141" s="20" t="e">
        <f t="shared" si="71"/>
        <v>#N/A</v>
      </c>
      <c r="T141" s="20" t="e">
        <f t="shared" si="72"/>
        <v>#N/A</v>
      </c>
      <c r="U141" s="3"/>
      <c r="AA141" s="4"/>
    </row>
    <row r="142" spans="1:27" x14ac:dyDescent="0.25">
      <c r="A142">
        <f t="shared" si="55"/>
        <v>140</v>
      </c>
      <c r="B142">
        <f t="shared" si="56"/>
        <v>4</v>
      </c>
      <c r="C142">
        <f t="shared" si="59"/>
        <v>1.3000000000000003</v>
      </c>
      <c r="D142" s="15">
        <f t="shared" si="57"/>
        <v>3.6734693877551021</v>
      </c>
      <c r="E142">
        <f t="shared" si="60"/>
        <v>1</v>
      </c>
      <c r="F142" s="3">
        <f t="shared" si="73"/>
        <v>58.775510204081655</v>
      </c>
      <c r="G142" s="3">
        <f t="shared" si="74"/>
        <v>1.0258261726007492</v>
      </c>
      <c r="H142" s="18">
        <f t="shared" si="61"/>
        <v>0.67391033880368223</v>
      </c>
      <c r="I142" s="3">
        <f t="shared" si="62"/>
        <v>1.1116855919069504</v>
      </c>
      <c r="J142" s="19" t="str">
        <f t="shared" si="58"/>
        <v>L</v>
      </c>
      <c r="K142" s="20">
        <f t="shared" si="63"/>
        <v>0.67391033880368223</v>
      </c>
      <c r="L142" s="20">
        <f t="shared" si="64"/>
        <v>1.1116855919069504</v>
      </c>
      <c r="M142" s="20" t="e">
        <f t="shared" si="65"/>
        <v>#N/A</v>
      </c>
      <c r="N142" s="20" t="e">
        <f t="shared" si="66"/>
        <v>#N/A</v>
      </c>
      <c r="O142" s="20" t="e">
        <f t="shared" si="67"/>
        <v>#N/A</v>
      </c>
      <c r="P142" s="20" t="e">
        <f t="shared" si="68"/>
        <v>#N/A</v>
      </c>
      <c r="Q142" s="20" t="e">
        <f t="shared" si="69"/>
        <v>#N/A</v>
      </c>
      <c r="R142" s="20" t="e">
        <f t="shared" si="70"/>
        <v>#N/A</v>
      </c>
      <c r="S142" s="20" t="e">
        <f t="shared" si="71"/>
        <v>#N/A</v>
      </c>
      <c r="T142" s="20" t="e">
        <f t="shared" si="72"/>
        <v>#N/A</v>
      </c>
      <c r="U142" s="3"/>
      <c r="AA142" s="4"/>
    </row>
    <row r="143" spans="1:27" x14ac:dyDescent="0.25">
      <c r="A143">
        <f t="shared" ref="A143:A206" si="75">A142+1</f>
        <v>141</v>
      </c>
      <c r="B143">
        <f t="shared" si="56"/>
        <v>4</v>
      </c>
      <c r="C143">
        <f t="shared" si="59"/>
        <v>1.3000000000000003</v>
      </c>
      <c r="D143" s="15">
        <f t="shared" si="57"/>
        <v>3.6734693877551021</v>
      </c>
      <c r="E143">
        <f t="shared" si="60"/>
        <v>1</v>
      </c>
      <c r="F143" s="3">
        <f t="shared" si="73"/>
        <v>62.448979591836761</v>
      </c>
      <c r="G143" s="3">
        <f t="shared" si="74"/>
        <v>1.0899403083882961</v>
      </c>
      <c r="H143" s="18">
        <f t="shared" si="61"/>
        <v>0.60129977731308537</v>
      </c>
      <c r="I143" s="3">
        <f t="shared" si="62"/>
        <v>1.1525790982849007</v>
      </c>
      <c r="J143" s="19" t="str">
        <f t="shared" si="58"/>
        <v>L</v>
      </c>
      <c r="K143" s="20">
        <f t="shared" si="63"/>
        <v>0.60129977731308537</v>
      </c>
      <c r="L143" s="20">
        <f t="shared" si="64"/>
        <v>1.1525790982849007</v>
      </c>
      <c r="M143" s="20" t="e">
        <f t="shared" si="65"/>
        <v>#N/A</v>
      </c>
      <c r="N143" s="20" t="e">
        <f t="shared" si="66"/>
        <v>#N/A</v>
      </c>
      <c r="O143" s="20" t="e">
        <f t="shared" si="67"/>
        <v>#N/A</v>
      </c>
      <c r="P143" s="20" t="e">
        <f t="shared" si="68"/>
        <v>#N/A</v>
      </c>
      <c r="Q143" s="20" t="e">
        <f t="shared" si="69"/>
        <v>#N/A</v>
      </c>
      <c r="R143" s="20" t="e">
        <f t="shared" si="70"/>
        <v>#N/A</v>
      </c>
      <c r="S143" s="20" t="e">
        <f t="shared" si="71"/>
        <v>#N/A</v>
      </c>
      <c r="T143" s="20" t="e">
        <f t="shared" si="72"/>
        <v>#N/A</v>
      </c>
      <c r="U143" s="3"/>
      <c r="AA143" s="4"/>
    </row>
    <row r="144" spans="1:27" x14ac:dyDescent="0.25">
      <c r="A144">
        <f t="shared" si="75"/>
        <v>142</v>
      </c>
      <c r="B144">
        <f t="shared" si="56"/>
        <v>4</v>
      </c>
      <c r="C144">
        <f t="shared" si="59"/>
        <v>1.3000000000000003</v>
      </c>
      <c r="D144" s="15">
        <f t="shared" si="57"/>
        <v>3.6734693877551021</v>
      </c>
      <c r="E144">
        <f t="shared" si="60"/>
        <v>1</v>
      </c>
      <c r="F144" s="3">
        <f t="shared" si="73"/>
        <v>66.122448979591866</v>
      </c>
      <c r="G144" s="3">
        <f t="shared" si="74"/>
        <v>1.1540544441758429</v>
      </c>
      <c r="H144" s="18">
        <f t="shared" si="61"/>
        <v>0.52621834605911155</v>
      </c>
      <c r="I144" s="3">
        <f t="shared" si="62"/>
        <v>1.1887364099205568</v>
      </c>
      <c r="J144" s="19" t="str">
        <f t="shared" si="58"/>
        <v>L</v>
      </c>
      <c r="K144" s="20">
        <f t="shared" si="63"/>
        <v>0.52621834605911155</v>
      </c>
      <c r="L144" s="20">
        <f t="shared" si="64"/>
        <v>1.1887364099205568</v>
      </c>
      <c r="M144" s="20" t="e">
        <f t="shared" si="65"/>
        <v>#N/A</v>
      </c>
      <c r="N144" s="20" t="e">
        <f t="shared" si="66"/>
        <v>#N/A</v>
      </c>
      <c r="O144" s="20" t="e">
        <f t="shared" si="67"/>
        <v>#N/A</v>
      </c>
      <c r="P144" s="20" t="e">
        <f t="shared" si="68"/>
        <v>#N/A</v>
      </c>
      <c r="Q144" s="20" t="e">
        <f t="shared" si="69"/>
        <v>#N/A</v>
      </c>
      <c r="R144" s="20" t="e">
        <f t="shared" si="70"/>
        <v>#N/A</v>
      </c>
      <c r="S144" s="20" t="e">
        <f t="shared" si="71"/>
        <v>#N/A</v>
      </c>
      <c r="T144" s="20" t="e">
        <f t="shared" si="72"/>
        <v>#N/A</v>
      </c>
      <c r="U144" s="3"/>
      <c r="AA144" s="4"/>
    </row>
    <row r="145" spans="1:27" x14ac:dyDescent="0.25">
      <c r="A145">
        <f t="shared" si="75"/>
        <v>143</v>
      </c>
      <c r="B145">
        <f t="shared" si="56"/>
        <v>4</v>
      </c>
      <c r="C145">
        <f t="shared" si="59"/>
        <v>1.3000000000000003</v>
      </c>
      <c r="D145" s="15">
        <f t="shared" si="57"/>
        <v>3.6734693877551021</v>
      </c>
      <c r="E145">
        <f t="shared" si="60"/>
        <v>1</v>
      </c>
      <c r="F145" s="3">
        <f t="shared" si="73"/>
        <v>69.795918367346971</v>
      </c>
      <c r="G145" s="3">
        <f t="shared" si="74"/>
        <v>1.2181685799633897</v>
      </c>
      <c r="H145" s="18">
        <f t="shared" si="61"/>
        <v>0.44897457074769948</v>
      </c>
      <c r="I145" s="3">
        <f t="shared" si="62"/>
        <v>1.220008948664689</v>
      </c>
      <c r="J145" s="19" t="str">
        <f t="shared" si="58"/>
        <v>L</v>
      </c>
      <c r="K145" s="20">
        <f t="shared" si="63"/>
        <v>0.44897457074769948</v>
      </c>
      <c r="L145" s="20">
        <f t="shared" si="64"/>
        <v>1.220008948664689</v>
      </c>
      <c r="M145" s="20" t="e">
        <f t="shared" si="65"/>
        <v>#N/A</v>
      </c>
      <c r="N145" s="20" t="e">
        <f t="shared" si="66"/>
        <v>#N/A</v>
      </c>
      <c r="O145" s="20" t="e">
        <f t="shared" si="67"/>
        <v>#N/A</v>
      </c>
      <c r="P145" s="20" t="e">
        <f t="shared" si="68"/>
        <v>#N/A</v>
      </c>
      <c r="Q145" s="20" t="e">
        <f t="shared" si="69"/>
        <v>#N/A</v>
      </c>
      <c r="R145" s="20" t="e">
        <f t="shared" si="70"/>
        <v>#N/A</v>
      </c>
      <c r="S145" s="20" t="e">
        <f t="shared" si="71"/>
        <v>#N/A</v>
      </c>
      <c r="T145" s="20" t="e">
        <f t="shared" si="72"/>
        <v>#N/A</v>
      </c>
      <c r="U145" s="3"/>
      <c r="AA145" s="4"/>
    </row>
    <row r="146" spans="1:27" x14ac:dyDescent="0.25">
      <c r="A146">
        <f t="shared" si="75"/>
        <v>144</v>
      </c>
      <c r="B146">
        <f t="shared" si="56"/>
        <v>4</v>
      </c>
      <c r="C146">
        <f t="shared" si="59"/>
        <v>1.3000000000000003</v>
      </c>
      <c r="D146" s="15">
        <f t="shared" si="57"/>
        <v>3.6734693877551021</v>
      </c>
      <c r="E146">
        <f t="shared" si="60"/>
        <v>1</v>
      </c>
      <c r="F146" s="3">
        <f t="shared" si="73"/>
        <v>73.469387755102076</v>
      </c>
      <c r="G146" s="3">
        <f t="shared" si="74"/>
        <v>1.2822827157509364</v>
      </c>
      <c r="H146" s="18">
        <f t="shared" si="61"/>
        <v>0.36988586262034173</v>
      </c>
      <c r="I146" s="3">
        <f t="shared" si="62"/>
        <v>1.2462682089476591</v>
      </c>
      <c r="J146" s="19" t="str">
        <f t="shared" si="58"/>
        <v>L</v>
      </c>
      <c r="K146" s="20">
        <f t="shared" si="63"/>
        <v>0.36988586262034173</v>
      </c>
      <c r="L146" s="20">
        <f t="shared" si="64"/>
        <v>1.2462682089476591</v>
      </c>
      <c r="M146" s="20" t="e">
        <f t="shared" si="65"/>
        <v>#N/A</v>
      </c>
      <c r="N146" s="20" t="e">
        <f t="shared" si="66"/>
        <v>#N/A</v>
      </c>
      <c r="O146" s="20" t="e">
        <f t="shared" si="67"/>
        <v>#N/A</v>
      </c>
      <c r="P146" s="20" t="e">
        <f t="shared" si="68"/>
        <v>#N/A</v>
      </c>
      <c r="Q146" s="20" t="e">
        <f t="shared" si="69"/>
        <v>#N/A</v>
      </c>
      <c r="R146" s="20" t="e">
        <f t="shared" si="70"/>
        <v>#N/A</v>
      </c>
      <c r="S146" s="20" t="e">
        <f t="shared" si="71"/>
        <v>#N/A</v>
      </c>
      <c r="T146" s="20" t="e">
        <f t="shared" si="72"/>
        <v>#N/A</v>
      </c>
      <c r="U146" s="3"/>
      <c r="AA146" s="4"/>
    </row>
    <row r="147" spans="1:27" x14ac:dyDescent="0.25">
      <c r="A147">
        <f t="shared" si="75"/>
        <v>145</v>
      </c>
      <c r="B147">
        <f t="shared" si="56"/>
        <v>4</v>
      </c>
      <c r="C147">
        <f t="shared" si="59"/>
        <v>1.3000000000000003</v>
      </c>
      <c r="D147" s="15">
        <f t="shared" si="57"/>
        <v>3.6734693877551021</v>
      </c>
      <c r="E147">
        <f t="shared" si="60"/>
        <v>1</v>
      </c>
      <c r="F147" s="3">
        <f t="shared" si="73"/>
        <v>77.142857142857181</v>
      </c>
      <c r="G147" s="3">
        <f t="shared" si="74"/>
        <v>1.3463968515384834</v>
      </c>
      <c r="H147" s="18">
        <f t="shared" si="61"/>
        <v>0.28927721414320801</v>
      </c>
      <c r="I147" s="3">
        <f t="shared" si="62"/>
        <v>1.267406285836371</v>
      </c>
      <c r="J147" s="19" t="str">
        <f t="shared" si="58"/>
        <v>L</v>
      </c>
      <c r="K147" s="20">
        <f t="shared" si="63"/>
        <v>0.28927721414320801</v>
      </c>
      <c r="L147" s="20">
        <f t="shared" si="64"/>
        <v>1.267406285836371</v>
      </c>
      <c r="M147" s="20" t="e">
        <f t="shared" si="65"/>
        <v>#N/A</v>
      </c>
      <c r="N147" s="20" t="e">
        <f t="shared" si="66"/>
        <v>#N/A</v>
      </c>
      <c r="O147" s="20" t="e">
        <f t="shared" si="67"/>
        <v>#N/A</v>
      </c>
      <c r="P147" s="20" t="e">
        <f t="shared" si="68"/>
        <v>#N/A</v>
      </c>
      <c r="Q147" s="20" t="e">
        <f t="shared" si="69"/>
        <v>#N/A</v>
      </c>
      <c r="R147" s="20" t="e">
        <f t="shared" si="70"/>
        <v>#N/A</v>
      </c>
      <c r="S147" s="20" t="e">
        <f t="shared" si="71"/>
        <v>#N/A</v>
      </c>
      <c r="T147" s="20" t="e">
        <f t="shared" si="72"/>
        <v>#N/A</v>
      </c>
      <c r="U147" s="3"/>
      <c r="AA147" s="4"/>
    </row>
    <row r="148" spans="1:27" x14ac:dyDescent="0.25">
      <c r="A148">
        <f t="shared" si="75"/>
        <v>146</v>
      </c>
      <c r="B148">
        <f t="shared" si="56"/>
        <v>4</v>
      </c>
      <c r="C148">
        <f t="shared" si="59"/>
        <v>1.3000000000000003</v>
      </c>
      <c r="D148" s="15">
        <f t="shared" si="57"/>
        <v>3.6734693877551021</v>
      </c>
      <c r="E148">
        <f t="shared" si="60"/>
        <v>1</v>
      </c>
      <c r="F148" s="3">
        <f t="shared" si="73"/>
        <v>80.816326530612287</v>
      </c>
      <c r="G148" s="3">
        <f t="shared" si="74"/>
        <v>1.4105109873260302</v>
      </c>
      <c r="H148" s="18">
        <f t="shared" si="61"/>
        <v>0.20747986354339229</v>
      </c>
      <c r="I148" s="3">
        <f t="shared" si="62"/>
        <v>1.2833363184387856</v>
      </c>
      <c r="J148" s="19" t="str">
        <f t="shared" si="58"/>
        <v>L</v>
      </c>
      <c r="K148" s="20">
        <f t="shared" si="63"/>
        <v>0.20747986354339229</v>
      </c>
      <c r="L148" s="20">
        <f t="shared" si="64"/>
        <v>1.2833363184387856</v>
      </c>
      <c r="M148" s="20" t="e">
        <f t="shared" si="65"/>
        <v>#N/A</v>
      </c>
      <c r="N148" s="20" t="e">
        <f t="shared" si="66"/>
        <v>#N/A</v>
      </c>
      <c r="O148" s="20" t="e">
        <f t="shared" si="67"/>
        <v>#N/A</v>
      </c>
      <c r="P148" s="20" t="e">
        <f t="shared" si="68"/>
        <v>#N/A</v>
      </c>
      <c r="Q148" s="20" t="e">
        <f t="shared" si="69"/>
        <v>#N/A</v>
      </c>
      <c r="R148" s="20" t="e">
        <f t="shared" si="70"/>
        <v>#N/A</v>
      </c>
      <c r="S148" s="20" t="e">
        <f t="shared" si="71"/>
        <v>#N/A</v>
      </c>
      <c r="T148" s="20" t="e">
        <f t="shared" si="72"/>
        <v>#N/A</v>
      </c>
      <c r="U148" s="3"/>
      <c r="AA148" s="4"/>
    </row>
    <row r="149" spans="1:27" x14ac:dyDescent="0.25">
      <c r="A149">
        <f t="shared" si="75"/>
        <v>147</v>
      </c>
      <c r="B149">
        <f t="shared" si="56"/>
        <v>4</v>
      </c>
      <c r="C149">
        <f t="shared" si="59"/>
        <v>1.3000000000000003</v>
      </c>
      <c r="D149" s="15">
        <f t="shared" si="57"/>
        <v>3.6734693877551021</v>
      </c>
      <c r="E149">
        <f t="shared" si="60"/>
        <v>1</v>
      </c>
      <c r="F149" s="3">
        <f t="shared" si="73"/>
        <v>84.489795918367392</v>
      </c>
      <c r="G149" s="3">
        <f t="shared" si="74"/>
        <v>1.4746251231135772</v>
      </c>
      <c r="H149" s="18">
        <f t="shared" si="61"/>
        <v>0.12482993367998532</v>
      </c>
      <c r="I149" s="3">
        <f t="shared" si="62"/>
        <v>1.2939928468339579</v>
      </c>
      <c r="J149" s="19" t="str">
        <f t="shared" si="58"/>
        <v>L</v>
      </c>
      <c r="K149" s="20">
        <f t="shared" si="63"/>
        <v>0.12482993367998532</v>
      </c>
      <c r="L149" s="20">
        <f t="shared" si="64"/>
        <v>1.2939928468339579</v>
      </c>
      <c r="M149" s="20" t="e">
        <f t="shared" si="65"/>
        <v>#N/A</v>
      </c>
      <c r="N149" s="20" t="e">
        <f t="shared" si="66"/>
        <v>#N/A</v>
      </c>
      <c r="O149" s="20" t="e">
        <f t="shared" si="67"/>
        <v>#N/A</v>
      </c>
      <c r="P149" s="20" t="e">
        <f t="shared" si="68"/>
        <v>#N/A</v>
      </c>
      <c r="Q149" s="20" t="e">
        <f t="shared" si="69"/>
        <v>#N/A</v>
      </c>
      <c r="R149" s="20" t="e">
        <f t="shared" si="70"/>
        <v>#N/A</v>
      </c>
      <c r="S149" s="20" t="e">
        <f t="shared" si="71"/>
        <v>#N/A</v>
      </c>
      <c r="T149" s="20" t="e">
        <f t="shared" si="72"/>
        <v>#N/A</v>
      </c>
      <c r="U149" s="3"/>
      <c r="AA149" s="4"/>
    </row>
    <row r="150" spans="1:27" x14ac:dyDescent="0.25">
      <c r="A150">
        <f t="shared" si="75"/>
        <v>148</v>
      </c>
      <c r="B150">
        <f t="shared" si="56"/>
        <v>4</v>
      </c>
      <c r="C150">
        <f t="shared" si="59"/>
        <v>1.3000000000000003</v>
      </c>
      <c r="D150" s="15">
        <f t="shared" si="57"/>
        <v>3.6734693877551021</v>
      </c>
      <c r="E150">
        <f t="shared" si="60"/>
        <v>1</v>
      </c>
      <c r="F150" s="3">
        <f t="shared" si="73"/>
        <v>88.163265306122497</v>
      </c>
      <c r="G150" s="3">
        <f t="shared" si="74"/>
        <v>1.538739258901124</v>
      </c>
      <c r="H150" s="18">
        <f t="shared" si="61"/>
        <v>4.1667050843150782E-2</v>
      </c>
      <c r="I150" s="3">
        <f t="shared" si="62"/>
        <v>1.2993320810608946</v>
      </c>
      <c r="J150" s="19" t="str">
        <f t="shared" si="58"/>
        <v>L</v>
      </c>
      <c r="K150" s="20">
        <f t="shared" si="63"/>
        <v>4.1667050843150782E-2</v>
      </c>
      <c r="L150" s="20">
        <f t="shared" si="64"/>
        <v>1.2993320810608946</v>
      </c>
      <c r="M150" s="20" t="e">
        <f t="shared" si="65"/>
        <v>#N/A</v>
      </c>
      <c r="N150" s="20" t="e">
        <f t="shared" si="66"/>
        <v>#N/A</v>
      </c>
      <c r="O150" s="20" t="e">
        <f t="shared" si="67"/>
        <v>#N/A</v>
      </c>
      <c r="P150" s="20" t="e">
        <f t="shared" si="68"/>
        <v>#N/A</v>
      </c>
      <c r="Q150" s="20" t="e">
        <f t="shared" si="69"/>
        <v>#N/A</v>
      </c>
      <c r="R150" s="20" t="e">
        <f t="shared" si="70"/>
        <v>#N/A</v>
      </c>
      <c r="S150" s="20" t="e">
        <f t="shared" si="71"/>
        <v>#N/A</v>
      </c>
      <c r="T150" s="20" t="e">
        <f t="shared" si="72"/>
        <v>#N/A</v>
      </c>
      <c r="U150" s="3"/>
      <c r="AA150" s="4"/>
    </row>
    <row r="151" spans="1:27" x14ac:dyDescent="0.25">
      <c r="A151">
        <f t="shared" si="75"/>
        <v>149</v>
      </c>
      <c r="B151">
        <f t="shared" si="56"/>
        <v>4</v>
      </c>
      <c r="C151">
        <f t="shared" si="59"/>
        <v>1.3000000000000003</v>
      </c>
      <c r="D151" s="15">
        <f t="shared" si="57"/>
        <v>3.6734693877551021</v>
      </c>
      <c r="E151">
        <f t="shared" si="60"/>
        <v>1</v>
      </c>
      <c r="F151" s="3">
        <f t="shared" si="73"/>
        <v>91.836734693877602</v>
      </c>
      <c r="G151" s="3">
        <f t="shared" si="74"/>
        <v>1.6028533946886707</v>
      </c>
      <c r="H151" s="18">
        <f t="shared" si="61"/>
        <v>-4.1667050843152642E-2</v>
      </c>
      <c r="I151" s="3">
        <f t="shared" si="62"/>
        <v>1.2993320810608946</v>
      </c>
      <c r="J151" s="19" t="str">
        <f t="shared" si="58"/>
        <v>L</v>
      </c>
      <c r="K151" s="20">
        <f t="shared" si="63"/>
        <v>-4.1667050843152642E-2</v>
      </c>
      <c r="L151" s="20">
        <f t="shared" si="64"/>
        <v>1.2993320810608946</v>
      </c>
      <c r="M151" s="20" t="e">
        <f t="shared" si="65"/>
        <v>#N/A</v>
      </c>
      <c r="N151" s="20" t="e">
        <f t="shared" si="66"/>
        <v>#N/A</v>
      </c>
      <c r="O151" s="20" t="e">
        <f t="shared" si="67"/>
        <v>#N/A</v>
      </c>
      <c r="P151" s="20" t="e">
        <f t="shared" si="68"/>
        <v>#N/A</v>
      </c>
      <c r="Q151" s="20" t="e">
        <f t="shared" si="69"/>
        <v>#N/A</v>
      </c>
      <c r="R151" s="20" t="e">
        <f t="shared" si="70"/>
        <v>#N/A</v>
      </c>
      <c r="S151" s="20" t="e">
        <f t="shared" si="71"/>
        <v>#N/A</v>
      </c>
      <c r="T151" s="20" t="e">
        <f t="shared" si="72"/>
        <v>#N/A</v>
      </c>
      <c r="U151" s="3"/>
      <c r="AA151" s="4"/>
    </row>
    <row r="152" spans="1:27" x14ac:dyDescent="0.25">
      <c r="A152">
        <f t="shared" si="75"/>
        <v>150</v>
      </c>
      <c r="B152">
        <f t="shared" si="56"/>
        <v>4</v>
      </c>
      <c r="C152">
        <f t="shared" si="59"/>
        <v>1.3000000000000003</v>
      </c>
      <c r="D152" s="15">
        <f t="shared" si="57"/>
        <v>3.6734693877551021</v>
      </c>
      <c r="E152">
        <f t="shared" si="60"/>
        <v>1</v>
      </c>
      <c r="F152" s="3">
        <f t="shared" si="73"/>
        <v>95.510204081632708</v>
      </c>
      <c r="G152" s="3">
        <f t="shared" si="74"/>
        <v>1.6669675304762175</v>
      </c>
      <c r="H152" s="18">
        <f t="shared" si="61"/>
        <v>-0.12482993367998718</v>
      </c>
      <c r="I152" s="3">
        <f t="shared" si="62"/>
        <v>1.2939928468339579</v>
      </c>
      <c r="J152" s="19" t="str">
        <f t="shared" si="58"/>
        <v>L</v>
      </c>
      <c r="K152" s="20">
        <f t="shared" si="63"/>
        <v>-0.12482993367998718</v>
      </c>
      <c r="L152" s="20">
        <f t="shared" si="64"/>
        <v>1.2939928468339579</v>
      </c>
      <c r="M152" s="20" t="e">
        <f t="shared" si="65"/>
        <v>#N/A</v>
      </c>
      <c r="N152" s="20" t="e">
        <f t="shared" si="66"/>
        <v>#N/A</v>
      </c>
      <c r="O152" s="20" t="e">
        <f t="shared" si="67"/>
        <v>#N/A</v>
      </c>
      <c r="P152" s="20" t="e">
        <f t="shared" si="68"/>
        <v>#N/A</v>
      </c>
      <c r="Q152" s="20" t="e">
        <f t="shared" si="69"/>
        <v>#N/A</v>
      </c>
      <c r="R152" s="20" t="e">
        <f t="shared" si="70"/>
        <v>#N/A</v>
      </c>
      <c r="S152" s="20" t="e">
        <f t="shared" si="71"/>
        <v>#N/A</v>
      </c>
      <c r="T152" s="20" t="e">
        <f t="shared" si="72"/>
        <v>#N/A</v>
      </c>
      <c r="U152" s="3"/>
      <c r="AA152" s="4"/>
    </row>
    <row r="153" spans="1:27" x14ac:dyDescent="0.25">
      <c r="A153">
        <f t="shared" si="75"/>
        <v>151</v>
      </c>
      <c r="B153">
        <f t="shared" si="56"/>
        <v>4</v>
      </c>
      <c r="C153">
        <f t="shared" si="59"/>
        <v>1.3000000000000003</v>
      </c>
      <c r="D153" s="15">
        <f t="shared" si="57"/>
        <v>3.6734693877551021</v>
      </c>
      <c r="E153">
        <f t="shared" si="60"/>
        <v>1</v>
      </c>
      <c r="F153" s="3">
        <f t="shared" si="73"/>
        <v>99.183673469387813</v>
      </c>
      <c r="G153" s="3">
        <f t="shared" si="74"/>
        <v>1.7310816662637645</v>
      </c>
      <c r="H153" s="18">
        <f t="shared" si="61"/>
        <v>-0.20747986354339412</v>
      </c>
      <c r="I153" s="3">
        <f t="shared" si="62"/>
        <v>1.2833363184387852</v>
      </c>
      <c r="J153" s="19" t="str">
        <f t="shared" si="58"/>
        <v>L</v>
      </c>
      <c r="K153" s="20">
        <f t="shared" si="63"/>
        <v>-0.20747986354339412</v>
      </c>
      <c r="L153" s="20">
        <f t="shared" si="64"/>
        <v>1.2833363184387852</v>
      </c>
      <c r="M153" s="20" t="e">
        <f t="shared" si="65"/>
        <v>#N/A</v>
      </c>
      <c r="N153" s="20" t="e">
        <f t="shared" si="66"/>
        <v>#N/A</v>
      </c>
      <c r="O153" s="20" t="e">
        <f t="shared" si="67"/>
        <v>#N/A</v>
      </c>
      <c r="P153" s="20" t="e">
        <f t="shared" si="68"/>
        <v>#N/A</v>
      </c>
      <c r="Q153" s="20" t="e">
        <f t="shared" si="69"/>
        <v>#N/A</v>
      </c>
      <c r="R153" s="20" t="e">
        <f t="shared" si="70"/>
        <v>#N/A</v>
      </c>
      <c r="S153" s="20" t="e">
        <f t="shared" si="71"/>
        <v>#N/A</v>
      </c>
      <c r="T153" s="20" t="e">
        <f t="shared" si="72"/>
        <v>#N/A</v>
      </c>
      <c r="U153" s="3"/>
      <c r="AA153" s="4"/>
    </row>
    <row r="154" spans="1:27" x14ac:dyDescent="0.25">
      <c r="A154">
        <f t="shared" si="75"/>
        <v>152</v>
      </c>
      <c r="B154">
        <f t="shared" si="56"/>
        <v>4</v>
      </c>
      <c r="C154">
        <f t="shared" si="59"/>
        <v>1.3000000000000003</v>
      </c>
      <c r="D154" s="15">
        <f t="shared" si="57"/>
        <v>3.6734693877551021</v>
      </c>
      <c r="E154">
        <f t="shared" si="60"/>
        <v>1</v>
      </c>
      <c r="F154" s="3">
        <f t="shared" si="73"/>
        <v>102.85714285714292</v>
      </c>
      <c r="G154" s="3">
        <f t="shared" si="74"/>
        <v>1.7951958020513112</v>
      </c>
      <c r="H154" s="18">
        <f t="shared" si="61"/>
        <v>-0.28927721414320984</v>
      </c>
      <c r="I154" s="3">
        <f t="shared" si="62"/>
        <v>1.2674062858363706</v>
      </c>
      <c r="J154" s="19" t="str">
        <f t="shared" si="58"/>
        <v>L</v>
      </c>
      <c r="K154" s="20">
        <f t="shared" si="63"/>
        <v>-0.28927721414320984</v>
      </c>
      <c r="L154" s="20">
        <f t="shared" si="64"/>
        <v>1.2674062858363706</v>
      </c>
      <c r="M154" s="20" t="e">
        <f t="shared" si="65"/>
        <v>#N/A</v>
      </c>
      <c r="N154" s="20" t="e">
        <f t="shared" si="66"/>
        <v>#N/A</v>
      </c>
      <c r="O154" s="20" t="e">
        <f t="shared" si="67"/>
        <v>#N/A</v>
      </c>
      <c r="P154" s="20" t="e">
        <f t="shared" si="68"/>
        <v>#N/A</v>
      </c>
      <c r="Q154" s="20" t="e">
        <f t="shared" si="69"/>
        <v>#N/A</v>
      </c>
      <c r="R154" s="20" t="e">
        <f t="shared" si="70"/>
        <v>#N/A</v>
      </c>
      <c r="S154" s="20" t="e">
        <f t="shared" si="71"/>
        <v>#N/A</v>
      </c>
      <c r="T154" s="20" t="e">
        <f t="shared" si="72"/>
        <v>#N/A</v>
      </c>
      <c r="U154" s="3"/>
      <c r="AA154" s="4"/>
    </row>
    <row r="155" spans="1:27" x14ac:dyDescent="0.25">
      <c r="A155">
        <f t="shared" si="75"/>
        <v>153</v>
      </c>
      <c r="B155">
        <f t="shared" si="56"/>
        <v>4</v>
      </c>
      <c r="C155">
        <f t="shared" si="59"/>
        <v>1.3000000000000003</v>
      </c>
      <c r="D155" s="15">
        <f t="shared" si="57"/>
        <v>3.6734693877551021</v>
      </c>
      <c r="E155">
        <f t="shared" si="60"/>
        <v>1</v>
      </c>
      <c r="F155" s="3">
        <f t="shared" si="73"/>
        <v>106.53061224489802</v>
      </c>
      <c r="G155" s="3">
        <f t="shared" si="74"/>
        <v>1.8593099378388582</v>
      </c>
      <c r="H155" s="18">
        <f t="shared" si="61"/>
        <v>-0.36988586262034351</v>
      </c>
      <c r="I155" s="3">
        <f t="shared" si="62"/>
        <v>1.2462682089476587</v>
      </c>
      <c r="J155" s="19" t="str">
        <f t="shared" si="58"/>
        <v>L</v>
      </c>
      <c r="K155" s="20">
        <f t="shared" si="63"/>
        <v>-0.36988586262034351</v>
      </c>
      <c r="L155" s="20">
        <f t="shared" si="64"/>
        <v>1.2462682089476587</v>
      </c>
      <c r="M155" s="20" t="e">
        <f t="shared" si="65"/>
        <v>#N/A</v>
      </c>
      <c r="N155" s="20" t="e">
        <f t="shared" si="66"/>
        <v>#N/A</v>
      </c>
      <c r="O155" s="20" t="e">
        <f t="shared" si="67"/>
        <v>#N/A</v>
      </c>
      <c r="P155" s="20" t="e">
        <f t="shared" si="68"/>
        <v>#N/A</v>
      </c>
      <c r="Q155" s="20" t="e">
        <f t="shared" si="69"/>
        <v>#N/A</v>
      </c>
      <c r="R155" s="20" t="e">
        <f t="shared" si="70"/>
        <v>#N/A</v>
      </c>
      <c r="S155" s="20" t="e">
        <f t="shared" si="71"/>
        <v>#N/A</v>
      </c>
      <c r="T155" s="20" t="e">
        <f t="shared" si="72"/>
        <v>#N/A</v>
      </c>
      <c r="U155" s="3"/>
      <c r="AA155" s="4"/>
    </row>
    <row r="156" spans="1:27" x14ac:dyDescent="0.25">
      <c r="A156">
        <f t="shared" si="75"/>
        <v>154</v>
      </c>
      <c r="B156">
        <f t="shared" si="56"/>
        <v>4</v>
      </c>
      <c r="C156">
        <f t="shared" si="59"/>
        <v>1.3000000000000003</v>
      </c>
      <c r="D156" s="15">
        <f t="shared" si="57"/>
        <v>3.6734693877551021</v>
      </c>
      <c r="E156">
        <f t="shared" si="60"/>
        <v>1</v>
      </c>
      <c r="F156" s="3">
        <f t="shared" si="73"/>
        <v>110.20408163265313</v>
      </c>
      <c r="G156" s="3">
        <f t="shared" si="74"/>
        <v>1.923424073626405</v>
      </c>
      <c r="H156" s="18">
        <f t="shared" si="61"/>
        <v>-0.4489745707477012</v>
      </c>
      <c r="I156" s="3">
        <f t="shared" si="62"/>
        <v>1.2200089486646883</v>
      </c>
      <c r="J156" s="19" t="str">
        <f t="shared" si="58"/>
        <v>C</v>
      </c>
      <c r="K156" s="20" t="e">
        <f t="shared" si="63"/>
        <v>#N/A</v>
      </c>
      <c r="L156" s="20" t="e">
        <f t="shared" si="64"/>
        <v>#N/A</v>
      </c>
      <c r="M156" s="20">
        <f t="shared" si="65"/>
        <v>-0.4489745707477012</v>
      </c>
      <c r="N156" s="20">
        <f t="shared" si="66"/>
        <v>1.2200089486646883</v>
      </c>
      <c r="O156" s="20" t="e">
        <f t="shared" si="67"/>
        <v>#N/A</v>
      </c>
      <c r="P156" s="20" t="e">
        <f t="shared" si="68"/>
        <v>#N/A</v>
      </c>
      <c r="Q156" s="20" t="e">
        <f t="shared" si="69"/>
        <v>#N/A</v>
      </c>
      <c r="R156" s="20" t="e">
        <f t="shared" si="70"/>
        <v>#N/A</v>
      </c>
      <c r="S156" s="20" t="e">
        <f t="shared" si="71"/>
        <v>#N/A</v>
      </c>
      <c r="T156" s="20" t="e">
        <f t="shared" si="72"/>
        <v>#N/A</v>
      </c>
      <c r="U156" s="3"/>
      <c r="AA156" s="4"/>
    </row>
    <row r="157" spans="1:27" x14ac:dyDescent="0.25">
      <c r="A157">
        <f t="shared" si="75"/>
        <v>155</v>
      </c>
      <c r="B157">
        <f t="shared" si="56"/>
        <v>4</v>
      </c>
      <c r="C157">
        <f t="shared" si="59"/>
        <v>1.3000000000000003</v>
      </c>
      <c r="D157" s="15">
        <f t="shared" si="57"/>
        <v>3.6734693877551021</v>
      </c>
      <c r="E157">
        <f t="shared" si="60"/>
        <v>1</v>
      </c>
      <c r="F157" s="3">
        <f t="shared" si="73"/>
        <v>113.87755102040823</v>
      </c>
      <c r="G157" s="3">
        <f t="shared" si="74"/>
        <v>1.987538209413952</v>
      </c>
      <c r="H157" s="18">
        <f t="shared" si="61"/>
        <v>-0.52621834605911344</v>
      </c>
      <c r="I157" s="3">
        <f t="shared" si="62"/>
        <v>1.188736409920556</v>
      </c>
      <c r="J157" s="19" t="str">
        <f t="shared" si="58"/>
        <v>C</v>
      </c>
      <c r="K157" s="20" t="e">
        <f t="shared" si="63"/>
        <v>#N/A</v>
      </c>
      <c r="L157" s="20" t="e">
        <f t="shared" si="64"/>
        <v>#N/A</v>
      </c>
      <c r="M157" s="20">
        <f t="shared" si="65"/>
        <v>-0.52621834605911344</v>
      </c>
      <c r="N157" s="20">
        <f t="shared" si="66"/>
        <v>1.188736409920556</v>
      </c>
      <c r="O157" s="20" t="e">
        <f t="shared" si="67"/>
        <v>#N/A</v>
      </c>
      <c r="P157" s="20" t="e">
        <f t="shared" si="68"/>
        <v>#N/A</v>
      </c>
      <c r="Q157" s="20" t="e">
        <f t="shared" si="69"/>
        <v>#N/A</v>
      </c>
      <c r="R157" s="20" t="e">
        <f t="shared" si="70"/>
        <v>#N/A</v>
      </c>
      <c r="S157" s="20" t="e">
        <f t="shared" si="71"/>
        <v>#N/A</v>
      </c>
      <c r="T157" s="20" t="e">
        <f t="shared" si="72"/>
        <v>#N/A</v>
      </c>
      <c r="U157" s="3"/>
      <c r="AA157" s="4"/>
    </row>
    <row r="158" spans="1:27" x14ac:dyDescent="0.25">
      <c r="A158">
        <f t="shared" si="75"/>
        <v>156</v>
      </c>
      <c r="B158">
        <f t="shared" si="56"/>
        <v>4</v>
      </c>
      <c r="C158">
        <f t="shared" si="59"/>
        <v>1.3000000000000003</v>
      </c>
      <c r="D158" s="15">
        <f t="shared" si="57"/>
        <v>3.6734693877551021</v>
      </c>
      <c r="E158">
        <f t="shared" si="60"/>
        <v>1</v>
      </c>
      <c r="F158" s="3">
        <f t="shared" si="73"/>
        <v>117.55102040816334</v>
      </c>
      <c r="G158" s="3">
        <f t="shared" si="74"/>
        <v>2.0516523452014988</v>
      </c>
      <c r="H158" s="18">
        <f t="shared" si="61"/>
        <v>-0.60129977731308726</v>
      </c>
      <c r="I158" s="3">
        <f t="shared" si="62"/>
        <v>1.1525790982848996</v>
      </c>
      <c r="J158" s="19" t="str">
        <f t="shared" si="58"/>
        <v>C</v>
      </c>
      <c r="K158" s="20" t="e">
        <f t="shared" si="63"/>
        <v>#N/A</v>
      </c>
      <c r="L158" s="20" t="e">
        <f t="shared" si="64"/>
        <v>#N/A</v>
      </c>
      <c r="M158" s="20">
        <f t="shared" si="65"/>
        <v>-0.60129977731308726</v>
      </c>
      <c r="N158" s="20">
        <f t="shared" si="66"/>
        <v>1.1525790982848996</v>
      </c>
      <c r="O158" s="20" t="e">
        <f t="shared" si="67"/>
        <v>#N/A</v>
      </c>
      <c r="P158" s="20" t="e">
        <f t="shared" si="68"/>
        <v>#N/A</v>
      </c>
      <c r="Q158" s="20" t="e">
        <f t="shared" si="69"/>
        <v>#N/A</v>
      </c>
      <c r="R158" s="20" t="e">
        <f t="shared" si="70"/>
        <v>#N/A</v>
      </c>
      <c r="S158" s="20" t="e">
        <f t="shared" si="71"/>
        <v>#N/A</v>
      </c>
      <c r="T158" s="20" t="e">
        <f t="shared" si="72"/>
        <v>#N/A</v>
      </c>
      <c r="U158" s="3"/>
      <c r="AA158" s="4"/>
    </row>
    <row r="159" spans="1:27" x14ac:dyDescent="0.25">
      <c r="A159">
        <f t="shared" si="75"/>
        <v>157</v>
      </c>
      <c r="B159">
        <f t="shared" si="56"/>
        <v>4</v>
      </c>
      <c r="C159">
        <f t="shared" si="59"/>
        <v>1.3000000000000003</v>
      </c>
      <c r="D159" s="15">
        <f t="shared" si="57"/>
        <v>3.6734693877551021</v>
      </c>
      <c r="E159">
        <f t="shared" si="60"/>
        <v>1</v>
      </c>
      <c r="F159" s="3">
        <f t="shared" si="73"/>
        <v>121.22448979591844</v>
      </c>
      <c r="G159" s="3">
        <f t="shared" si="74"/>
        <v>2.1157664809890457</v>
      </c>
      <c r="H159" s="18">
        <f t="shared" si="61"/>
        <v>-0.67391033880368412</v>
      </c>
      <c r="I159" s="3">
        <f t="shared" si="62"/>
        <v>1.1116855919069495</v>
      </c>
      <c r="J159" s="19" t="str">
        <f t="shared" si="58"/>
        <v>C</v>
      </c>
      <c r="K159" s="20" t="e">
        <f t="shared" si="63"/>
        <v>#N/A</v>
      </c>
      <c r="L159" s="20" t="e">
        <f t="shared" si="64"/>
        <v>#N/A</v>
      </c>
      <c r="M159" s="20">
        <f t="shared" si="65"/>
        <v>-0.67391033880368412</v>
      </c>
      <c r="N159" s="20">
        <f t="shared" si="66"/>
        <v>1.1116855919069495</v>
      </c>
      <c r="O159" s="20" t="e">
        <f t="shared" si="67"/>
        <v>#N/A</v>
      </c>
      <c r="P159" s="20" t="e">
        <f t="shared" si="68"/>
        <v>#N/A</v>
      </c>
      <c r="Q159" s="20" t="e">
        <f t="shared" si="69"/>
        <v>#N/A</v>
      </c>
      <c r="R159" s="20" t="e">
        <f t="shared" si="70"/>
        <v>#N/A</v>
      </c>
      <c r="S159" s="20" t="e">
        <f t="shared" si="71"/>
        <v>#N/A</v>
      </c>
      <c r="T159" s="20" t="e">
        <f t="shared" si="72"/>
        <v>#N/A</v>
      </c>
      <c r="U159" s="3"/>
      <c r="AA159" s="4"/>
    </row>
    <row r="160" spans="1:27" x14ac:dyDescent="0.25">
      <c r="A160">
        <f t="shared" si="75"/>
        <v>158</v>
      </c>
      <c r="B160">
        <f t="shared" si="56"/>
        <v>4</v>
      </c>
      <c r="C160">
        <f t="shared" si="59"/>
        <v>1.3000000000000003</v>
      </c>
      <c r="D160" s="15">
        <f t="shared" si="57"/>
        <v>3.6734693877551021</v>
      </c>
      <c r="E160">
        <f t="shared" si="60"/>
        <v>1</v>
      </c>
      <c r="F160" s="3">
        <f t="shared" si="73"/>
        <v>124.89795918367355</v>
      </c>
      <c r="G160" s="3">
        <f t="shared" si="74"/>
        <v>2.1798806167765927</v>
      </c>
      <c r="H160" s="18">
        <f t="shared" si="61"/>
        <v>-0.74375165815882227</v>
      </c>
      <c r="I160" s="3">
        <f t="shared" si="62"/>
        <v>1.0662239309760417</v>
      </c>
      <c r="J160" s="19" t="str">
        <f t="shared" si="58"/>
        <v>C</v>
      </c>
      <c r="K160" s="20" t="e">
        <f t="shared" si="63"/>
        <v>#N/A</v>
      </c>
      <c r="L160" s="20" t="e">
        <f t="shared" si="64"/>
        <v>#N/A</v>
      </c>
      <c r="M160" s="20">
        <f t="shared" si="65"/>
        <v>-0.74375165815882227</v>
      </c>
      <c r="N160" s="20">
        <f t="shared" si="66"/>
        <v>1.0662239309760417</v>
      </c>
      <c r="O160" s="20" t="e">
        <f t="shared" si="67"/>
        <v>#N/A</v>
      </c>
      <c r="P160" s="20" t="e">
        <f t="shared" si="68"/>
        <v>#N/A</v>
      </c>
      <c r="Q160" s="20" t="e">
        <f t="shared" si="69"/>
        <v>#N/A</v>
      </c>
      <c r="R160" s="20" t="e">
        <f t="shared" si="70"/>
        <v>#N/A</v>
      </c>
      <c r="S160" s="20" t="e">
        <f t="shared" si="71"/>
        <v>#N/A</v>
      </c>
      <c r="T160" s="20" t="e">
        <f t="shared" si="72"/>
        <v>#N/A</v>
      </c>
      <c r="U160" s="3"/>
      <c r="AA160" s="4"/>
    </row>
    <row r="161" spans="1:27" x14ac:dyDescent="0.25">
      <c r="A161">
        <f t="shared" si="75"/>
        <v>159</v>
      </c>
      <c r="B161">
        <f t="shared" si="56"/>
        <v>4</v>
      </c>
      <c r="C161">
        <f t="shared" si="59"/>
        <v>1.3000000000000003</v>
      </c>
      <c r="D161" s="15">
        <f t="shared" si="57"/>
        <v>3.6734693877551021</v>
      </c>
      <c r="E161">
        <f t="shared" si="60"/>
        <v>1</v>
      </c>
      <c r="F161" s="3">
        <f t="shared" si="73"/>
        <v>128.57142857142864</v>
      </c>
      <c r="G161" s="3">
        <f t="shared" si="74"/>
        <v>2.2439947525641388</v>
      </c>
      <c r="H161" s="18">
        <f t="shared" si="61"/>
        <v>-0.81053674241635454</v>
      </c>
      <c r="I161" s="3">
        <f t="shared" si="62"/>
        <v>1.0163809272084383</v>
      </c>
      <c r="J161" s="19" t="str">
        <f t="shared" si="58"/>
        <v>C</v>
      </c>
      <c r="K161" s="20" t="e">
        <f t="shared" si="63"/>
        <v>#N/A</v>
      </c>
      <c r="L161" s="20" t="e">
        <f t="shared" si="64"/>
        <v>#N/A</v>
      </c>
      <c r="M161" s="20">
        <f t="shared" si="65"/>
        <v>-0.81053674241635454</v>
      </c>
      <c r="N161" s="20">
        <f t="shared" si="66"/>
        <v>1.0163809272084383</v>
      </c>
      <c r="O161" s="20" t="e">
        <f t="shared" si="67"/>
        <v>#N/A</v>
      </c>
      <c r="P161" s="20" t="e">
        <f t="shared" si="68"/>
        <v>#N/A</v>
      </c>
      <c r="Q161" s="20" t="e">
        <f t="shared" si="69"/>
        <v>#N/A</v>
      </c>
      <c r="R161" s="20" t="e">
        <f t="shared" si="70"/>
        <v>#N/A</v>
      </c>
      <c r="S161" s="20" t="e">
        <f t="shared" si="71"/>
        <v>#N/A</v>
      </c>
      <c r="T161" s="20" t="e">
        <f t="shared" si="72"/>
        <v>#N/A</v>
      </c>
      <c r="U161" s="3"/>
      <c r="AA161" s="4"/>
    </row>
    <row r="162" spans="1:27" x14ac:dyDescent="0.25">
      <c r="A162">
        <f t="shared" si="75"/>
        <v>160</v>
      </c>
      <c r="B162">
        <f t="shared" si="56"/>
        <v>4</v>
      </c>
      <c r="C162">
        <f t="shared" si="59"/>
        <v>1.3000000000000003</v>
      </c>
      <c r="D162" s="15">
        <f t="shared" si="57"/>
        <v>3.6734693877551021</v>
      </c>
      <c r="E162">
        <f t="shared" si="60"/>
        <v>1</v>
      </c>
      <c r="F162" s="3">
        <f t="shared" si="73"/>
        <v>132.24489795918373</v>
      </c>
      <c r="G162" s="3">
        <f t="shared" si="74"/>
        <v>2.3081088883516858</v>
      </c>
      <c r="H162" s="18">
        <f t="shared" si="61"/>
        <v>-0.873991157339713</v>
      </c>
      <c r="I162" s="3">
        <f t="shared" si="62"/>
        <v>0.9623613961979095</v>
      </c>
      <c r="J162" s="19" t="str">
        <f t="shared" si="58"/>
        <v>C</v>
      </c>
      <c r="K162" s="20" t="e">
        <f t="shared" si="63"/>
        <v>#N/A</v>
      </c>
      <c r="L162" s="20" t="e">
        <f t="shared" si="64"/>
        <v>#N/A</v>
      </c>
      <c r="M162" s="20">
        <f t="shared" si="65"/>
        <v>-0.873991157339713</v>
      </c>
      <c r="N162" s="20">
        <f t="shared" si="66"/>
        <v>0.9623613961979095</v>
      </c>
      <c r="O162" s="20" t="e">
        <f t="shared" si="67"/>
        <v>#N/A</v>
      </c>
      <c r="P162" s="20" t="e">
        <f t="shared" si="68"/>
        <v>#N/A</v>
      </c>
      <c r="Q162" s="20" t="e">
        <f t="shared" si="69"/>
        <v>#N/A</v>
      </c>
      <c r="R162" s="20" t="e">
        <f t="shared" si="70"/>
        <v>#N/A</v>
      </c>
      <c r="S162" s="20" t="e">
        <f t="shared" si="71"/>
        <v>#N/A</v>
      </c>
      <c r="T162" s="20" t="e">
        <f t="shared" si="72"/>
        <v>#N/A</v>
      </c>
      <c r="U162" s="3"/>
      <c r="AA162" s="4"/>
    </row>
    <row r="163" spans="1:27" x14ac:dyDescent="0.25">
      <c r="A163">
        <f t="shared" si="75"/>
        <v>161</v>
      </c>
      <c r="B163">
        <f t="shared" si="56"/>
        <v>4</v>
      </c>
      <c r="C163">
        <f t="shared" si="59"/>
        <v>1.3000000000000003</v>
      </c>
      <c r="D163" s="15">
        <f t="shared" si="57"/>
        <v>3.6734693877551021</v>
      </c>
      <c r="E163">
        <f t="shared" si="60"/>
        <v>1</v>
      </c>
      <c r="F163" s="3">
        <f t="shared" si="73"/>
        <v>135.91836734693882</v>
      </c>
      <c r="G163" s="3">
        <f t="shared" si="74"/>
        <v>2.3722230241392324</v>
      </c>
      <c r="H163" s="18">
        <f t="shared" si="61"/>
        <v>-0.93385415512704661</v>
      </c>
      <c r="I163" s="3">
        <f t="shared" si="62"/>
        <v>0.9043873157845318</v>
      </c>
      <c r="J163" s="19" t="str">
        <f t="shared" si="58"/>
        <v>C</v>
      </c>
      <c r="K163" s="20" t="e">
        <f t="shared" si="63"/>
        <v>#N/A</v>
      </c>
      <c r="L163" s="20" t="e">
        <f t="shared" si="64"/>
        <v>#N/A</v>
      </c>
      <c r="M163" s="20">
        <f t="shared" si="65"/>
        <v>-0.93385415512704661</v>
      </c>
      <c r="N163" s="20">
        <f t="shared" si="66"/>
        <v>0.9043873157845318</v>
      </c>
      <c r="O163" s="20" t="e">
        <f t="shared" si="67"/>
        <v>#N/A</v>
      </c>
      <c r="P163" s="20" t="e">
        <f t="shared" si="68"/>
        <v>#N/A</v>
      </c>
      <c r="Q163" s="20" t="e">
        <f t="shared" si="69"/>
        <v>#N/A</v>
      </c>
      <c r="R163" s="20" t="e">
        <f t="shared" si="70"/>
        <v>#N/A</v>
      </c>
      <c r="S163" s="20" t="e">
        <f t="shared" si="71"/>
        <v>#N/A</v>
      </c>
      <c r="T163" s="20" t="e">
        <f t="shared" si="72"/>
        <v>#N/A</v>
      </c>
      <c r="U163" s="3"/>
      <c r="AA163" s="4"/>
    </row>
    <row r="164" spans="1:27" x14ac:dyDescent="0.25">
      <c r="A164">
        <f t="shared" si="75"/>
        <v>162</v>
      </c>
      <c r="B164">
        <f t="shared" si="56"/>
        <v>4</v>
      </c>
      <c r="C164">
        <f t="shared" si="59"/>
        <v>1.3000000000000003</v>
      </c>
      <c r="D164" s="15">
        <f t="shared" si="57"/>
        <v>3.6734693877551021</v>
      </c>
      <c r="E164">
        <f t="shared" si="60"/>
        <v>1</v>
      </c>
      <c r="F164" s="3">
        <f t="shared" si="73"/>
        <v>139.59183673469391</v>
      </c>
      <c r="G164" s="3">
        <f t="shared" si="74"/>
        <v>2.4363371599267789</v>
      </c>
      <c r="H164" s="18">
        <f t="shared" si="61"/>
        <v>-0.98987974587987537</v>
      </c>
      <c r="I164" s="3">
        <f t="shared" si="62"/>
        <v>0.84269691390012469</v>
      </c>
      <c r="J164" s="19" t="str">
        <f t="shared" si="58"/>
        <v>C</v>
      </c>
      <c r="K164" s="20" t="e">
        <f t="shared" si="63"/>
        <v>#N/A</v>
      </c>
      <c r="L164" s="20" t="e">
        <f t="shared" si="64"/>
        <v>#N/A</v>
      </c>
      <c r="M164" s="20">
        <f t="shared" si="65"/>
        <v>-0.98987974587987537</v>
      </c>
      <c r="N164" s="20">
        <f t="shared" si="66"/>
        <v>0.84269691390012469</v>
      </c>
      <c r="O164" s="20" t="e">
        <f t="shared" si="67"/>
        <v>#N/A</v>
      </c>
      <c r="P164" s="20" t="e">
        <f t="shared" si="68"/>
        <v>#N/A</v>
      </c>
      <c r="Q164" s="20" t="e">
        <f t="shared" si="69"/>
        <v>#N/A</v>
      </c>
      <c r="R164" s="20" t="e">
        <f t="shared" si="70"/>
        <v>#N/A</v>
      </c>
      <c r="S164" s="20" t="e">
        <f t="shared" si="71"/>
        <v>#N/A</v>
      </c>
      <c r="T164" s="20" t="e">
        <f t="shared" si="72"/>
        <v>#N/A</v>
      </c>
      <c r="U164" s="3"/>
      <c r="AA164" s="4"/>
    </row>
    <row r="165" spans="1:27" x14ac:dyDescent="0.25">
      <c r="A165">
        <f t="shared" si="75"/>
        <v>163</v>
      </c>
      <c r="B165">
        <f t="shared" si="56"/>
        <v>4</v>
      </c>
      <c r="C165">
        <f t="shared" si="59"/>
        <v>1.3000000000000003</v>
      </c>
      <c r="D165" s="15">
        <f t="shared" si="57"/>
        <v>3.6734693877551021</v>
      </c>
      <c r="E165">
        <f t="shared" si="60"/>
        <v>1</v>
      </c>
      <c r="F165" s="3">
        <f t="shared" si="73"/>
        <v>143.265306122449</v>
      </c>
      <c r="G165" s="3">
        <f t="shared" si="74"/>
        <v>2.5004512957143255</v>
      </c>
      <c r="H165" s="18">
        <f t="shared" si="61"/>
        <v>-1.0418377084283441</v>
      </c>
      <c r="I165" s="3">
        <f t="shared" si="62"/>
        <v>0.77754368963858067</v>
      </c>
      <c r="J165" s="19" t="str">
        <f t="shared" si="58"/>
        <v>LD</v>
      </c>
      <c r="K165" s="20" t="e">
        <f t="shared" si="63"/>
        <v>#N/A</v>
      </c>
      <c r="L165" s="20" t="e">
        <f t="shared" si="64"/>
        <v>#N/A</v>
      </c>
      <c r="M165" s="20" t="e">
        <f t="shared" si="65"/>
        <v>#N/A</v>
      </c>
      <c r="N165" s="20" t="e">
        <f t="shared" si="66"/>
        <v>#N/A</v>
      </c>
      <c r="O165" s="20">
        <f t="shared" si="67"/>
        <v>-1.0418377084283441</v>
      </c>
      <c r="P165" s="20">
        <f t="shared" si="68"/>
        <v>0.77754368963858067</v>
      </c>
      <c r="Q165" s="20" t="e">
        <f t="shared" si="69"/>
        <v>#N/A</v>
      </c>
      <c r="R165" s="20" t="e">
        <f t="shared" si="70"/>
        <v>#N/A</v>
      </c>
      <c r="S165" s="20" t="e">
        <f t="shared" si="71"/>
        <v>#N/A</v>
      </c>
      <c r="T165" s="20" t="e">
        <f t="shared" si="72"/>
        <v>#N/A</v>
      </c>
      <c r="U165" s="3"/>
      <c r="AA165" s="4"/>
    </row>
    <row r="166" spans="1:27" x14ac:dyDescent="0.25">
      <c r="A166">
        <f t="shared" si="75"/>
        <v>164</v>
      </c>
      <c r="B166">
        <f t="shared" si="56"/>
        <v>4</v>
      </c>
      <c r="C166">
        <f t="shared" si="59"/>
        <v>1.3000000000000003</v>
      </c>
      <c r="D166" s="15">
        <f t="shared" si="57"/>
        <v>3.6734693877551021</v>
      </c>
      <c r="E166">
        <f t="shared" si="60"/>
        <v>1</v>
      </c>
      <c r="F166" s="3">
        <f t="shared" si="73"/>
        <v>146.9387755102041</v>
      </c>
      <c r="G166" s="3">
        <f t="shared" si="74"/>
        <v>2.5645654315018724</v>
      </c>
      <c r="H166" s="18">
        <f t="shared" si="61"/>
        <v>-1.0895145363593934</v>
      </c>
      <c r="I166" s="3">
        <f t="shared" si="62"/>
        <v>0.70919537157371304</v>
      </c>
      <c r="J166" s="19" t="str">
        <f t="shared" si="58"/>
        <v>LD</v>
      </c>
      <c r="K166" s="20" t="e">
        <f t="shared" si="63"/>
        <v>#N/A</v>
      </c>
      <c r="L166" s="20" t="e">
        <f t="shared" si="64"/>
        <v>#N/A</v>
      </c>
      <c r="M166" s="20" t="e">
        <f t="shared" si="65"/>
        <v>#N/A</v>
      </c>
      <c r="N166" s="20" t="e">
        <f t="shared" si="66"/>
        <v>#N/A</v>
      </c>
      <c r="O166" s="20">
        <f t="shared" si="67"/>
        <v>-1.0895145363593934</v>
      </c>
      <c r="P166" s="20">
        <f t="shared" si="68"/>
        <v>0.70919537157371304</v>
      </c>
      <c r="Q166" s="20" t="e">
        <f t="shared" si="69"/>
        <v>#N/A</v>
      </c>
      <c r="R166" s="20" t="e">
        <f t="shared" si="70"/>
        <v>#N/A</v>
      </c>
      <c r="S166" s="20" t="e">
        <f t="shared" si="71"/>
        <v>#N/A</v>
      </c>
      <c r="T166" s="20" t="e">
        <f t="shared" si="72"/>
        <v>#N/A</v>
      </c>
      <c r="U166" s="3"/>
      <c r="AA166" s="4"/>
    </row>
    <row r="167" spans="1:27" x14ac:dyDescent="0.25">
      <c r="A167">
        <f t="shared" si="75"/>
        <v>165</v>
      </c>
      <c r="B167">
        <f t="shared" si="56"/>
        <v>4</v>
      </c>
      <c r="C167">
        <f t="shared" si="59"/>
        <v>1.3000000000000003</v>
      </c>
      <c r="D167" s="15">
        <f t="shared" si="57"/>
        <v>3.6734693877551021</v>
      </c>
      <c r="E167">
        <f t="shared" si="60"/>
        <v>1</v>
      </c>
      <c r="F167" s="3">
        <f t="shared" si="73"/>
        <v>150.61224489795919</v>
      </c>
      <c r="G167" s="3">
        <f t="shared" si="74"/>
        <v>2.628679567289419</v>
      </c>
      <c r="H167" s="18">
        <f t="shared" si="61"/>
        <v>-1.1327143153604065</v>
      </c>
      <c r="I167" s="3">
        <f t="shared" si="62"/>
        <v>0.63793281760511922</v>
      </c>
      <c r="J167" s="19" t="str">
        <f t="shared" si="58"/>
        <v>LD</v>
      </c>
      <c r="K167" s="20" t="e">
        <f t="shared" si="63"/>
        <v>#N/A</v>
      </c>
      <c r="L167" s="20" t="e">
        <f t="shared" si="64"/>
        <v>#N/A</v>
      </c>
      <c r="M167" s="20" t="e">
        <f t="shared" si="65"/>
        <v>#N/A</v>
      </c>
      <c r="N167" s="20" t="e">
        <f t="shared" si="66"/>
        <v>#N/A</v>
      </c>
      <c r="O167" s="20">
        <f t="shared" si="67"/>
        <v>-1.1327143153604065</v>
      </c>
      <c r="P167" s="20">
        <f t="shared" si="68"/>
        <v>0.63793281760511922</v>
      </c>
      <c r="Q167" s="20" t="e">
        <f t="shared" si="69"/>
        <v>#N/A</v>
      </c>
      <c r="R167" s="20" t="e">
        <f t="shared" si="70"/>
        <v>#N/A</v>
      </c>
      <c r="S167" s="20" t="e">
        <f t="shared" si="71"/>
        <v>#N/A</v>
      </c>
      <c r="T167" s="20" t="e">
        <f t="shared" si="72"/>
        <v>#N/A</v>
      </c>
      <c r="U167" s="3"/>
      <c r="AA167" s="4"/>
    </row>
    <row r="168" spans="1:27" x14ac:dyDescent="0.25">
      <c r="A168">
        <f t="shared" si="75"/>
        <v>166</v>
      </c>
      <c r="B168">
        <f t="shared" si="56"/>
        <v>4</v>
      </c>
      <c r="C168">
        <f t="shared" si="59"/>
        <v>1.3000000000000003</v>
      </c>
      <c r="D168" s="15">
        <f t="shared" si="57"/>
        <v>3.6734693877551021</v>
      </c>
      <c r="E168">
        <f t="shared" si="60"/>
        <v>1</v>
      </c>
      <c r="F168" s="3">
        <f t="shared" si="73"/>
        <v>154.28571428571428</v>
      </c>
      <c r="G168" s="3">
        <f t="shared" si="74"/>
        <v>2.6927937030769655</v>
      </c>
      <c r="H168" s="18">
        <f t="shared" si="61"/>
        <v>-1.1712595282731451</v>
      </c>
      <c r="I168" s="3">
        <f t="shared" si="62"/>
        <v>0.5640488608528258</v>
      </c>
      <c r="J168" s="19" t="str">
        <f t="shared" si="58"/>
        <v>LD</v>
      </c>
      <c r="K168" s="20" t="e">
        <f t="shared" si="63"/>
        <v>#N/A</v>
      </c>
      <c r="L168" s="20" t="e">
        <f t="shared" si="64"/>
        <v>#N/A</v>
      </c>
      <c r="M168" s="20" t="e">
        <f t="shared" si="65"/>
        <v>#N/A</v>
      </c>
      <c r="N168" s="20" t="e">
        <f t="shared" si="66"/>
        <v>#N/A</v>
      </c>
      <c r="O168" s="20">
        <f t="shared" si="67"/>
        <v>-1.1712595282731451</v>
      </c>
      <c r="P168" s="20">
        <f t="shared" si="68"/>
        <v>0.5640488608528258</v>
      </c>
      <c r="Q168" s="20" t="e">
        <f t="shared" si="69"/>
        <v>#N/A</v>
      </c>
      <c r="R168" s="20" t="e">
        <f t="shared" si="70"/>
        <v>#N/A</v>
      </c>
      <c r="S168" s="20" t="e">
        <f t="shared" si="71"/>
        <v>#N/A</v>
      </c>
      <c r="T168" s="20" t="e">
        <f t="shared" si="72"/>
        <v>#N/A</v>
      </c>
      <c r="U168" s="3"/>
      <c r="AA168" s="4"/>
    </row>
    <row r="169" spans="1:27" x14ac:dyDescent="0.25">
      <c r="A169">
        <f t="shared" si="75"/>
        <v>167</v>
      </c>
      <c r="B169">
        <f t="shared" si="56"/>
        <v>4</v>
      </c>
      <c r="C169">
        <f t="shared" si="59"/>
        <v>1.3000000000000003</v>
      </c>
      <c r="D169" s="15">
        <f t="shared" si="57"/>
        <v>3.6734693877551021</v>
      </c>
      <c r="E169">
        <f t="shared" si="60"/>
        <v>1</v>
      </c>
      <c r="F169" s="3">
        <f t="shared" si="73"/>
        <v>157.95918367346937</v>
      </c>
      <c r="G169" s="3">
        <f t="shared" si="74"/>
        <v>2.7569078388645121</v>
      </c>
      <c r="H169" s="18">
        <f t="shared" si="61"/>
        <v>-1.2049917845498284</v>
      </c>
      <c r="I169" s="3">
        <f t="shared" si="62"/>
        <v>0.4878471063431869</v>
      </c>
      <c r="J169" s="19" t="str">
        <f t="shared" si="58"/>
        <v>LD</v>
      </c>
      <c r="K169" s="20" t="e">
        <f t="shared" si="63"/>
        <v>#N/A</v>
      </c>
      <c r="L169" s="20" t="e">
        <f t="shared" si="64"/>
        <v>#N/A</v>
      </c>
      <c r="M169" s="20" t="e">
        <f t="shared" si="65"/>
        <v>#N/A</v>
      </c>
      <c r="N169" s="20" t="e">
        <f t="shared" si="66"/>
        <v>#N/A</v>
      </c>
      <c r="O169" s="20">
        <f t="shared" si="67"/>
        <v>-1.2049917845498284</v>
      </c>
      <c r="P169" s="20">
        <f t="shared" si="68"/>
        <v>0.4878471063431869</v>
      </c>
      <c r="Q169" s="20" t="e">
        <f t="shared" si="69"/>
        <v>#N/A</v>
      </c>
      <c r="R169" s="20" t="e">
        <f t="shared" si="70"/>
        <v>#N/A</v>
      </c>
      <c r="S169" s="20" t="e">
        <f t="shared" si="71"/>
        <v>#N/A</v>
      </c>
      <c r="T169" s="20" t="e">
        <f t="shared" si="72"/>
        <v>#N/A</v>
      </c>
      <c r="U169" s="3"/>
      <c r="AA169" s="4"/>
    </row>
    <row r="170" spans="1:27" x14ac:dyDescent="0.25">
      <c r="A170">
        <f t="shared" si="75"/>
        <v>168</v>
      </c>
      <c r="B170">
        <f t="shared" si="56"/>
        <v>4</v>
      </c>
      <c r="C170">
        <f t="shared" si="59"/>
        <v>1.3000000000000003</v>
      </c>
      <c r="D170" s="15">
        <f t="shared" si="57"/>
        <v>3.6734693877551021</v>
      </c>
      <c r="E170">
        <f t="shared" si="60"/>
        <v>1</v>
      </c>
      <c r="F170" s="3">
        <f t="shared" si="73"/>
        <v>161.63265306122446</v>
      </c>
      <c r="G170" s="3">
        <f t="shared" si="74"/>
        <v>2.8210219746520586</v>
      </c>
      <c r="H170" s="18">
        <f t="shared" si="61"/>
        <v>-1.2337724711138693</v>
      </c>
      <c r="I170" s="3">
        <f t="shared" si="62"/>
        <v>0.40964068343070775</v>
      </c>
      <c r="J170" s="19" t="str">
        <f t="shared" si="58"/>
        <v>LD</v>
      </c>
      <c r="K170" s="20" t="e">
        <f t="shared" si="63"/>
        <v>#N/A</v>
      </c>
      <c r="L170" s="20" t="e">
        <f t="shared" si="64"/>
        <v>#N/A</v>
      </c>
      <c r="M170" s="20" t="e">
        <f t="shared" si="65"/>
        <v>#N/A</v>
      </c>
      <c r="N170" s="20" t="e">
        <f t="shared" si="66"/>
        <v>#N/A</v>
      </c>
      <c r="O170" s="20">
        <f t="shared" si="67"/>
        <v>-1.2337724711138693</v>
      </c>
      <c r="P170" s="20">
        <f t="shared" si="68"/>
        <v>0.40964068343070775</v>
      </c>
      <c r="Q170" s="20" t="e">
        <f t="shared" si="69"/>
        <v>#N/A</v>
      </c>
      <c r="R170" s="20" t="e">
        <f t="shared" si="70"/>
        <v>#N/A</v>
      </c>
      <c r="S170" s="20" t="e">
        <f t="shared" si="71"/>
        <v>#N/A</v>
      </c>
      <c r="T170" s="20" t="e">
        <f t="shared" si="72"/>
        <v>#N/A</v>
      </c>
      <c r="U170" s="3"/>
      <c r="AA170" s="4"/>
    </row>
    <row r="171" spans="1:27" x14ac:dyDescent="0.25">
      <c r="A171">
        <f t="shared" si="75"/>
        <v>169</v>
      </c>
      <c r="B171">
        <f t="shared" si="56"/>
        <v>4</v>
      </c>
      <c r="C171">
        <f t="shared" si="59"/>
        <v>1.3000000000000003</v>
      </c>
      <c r="D171" s="15">
        <f t="shared" si="57"/>
        <v>3.6734693877551021</v>
      </c>
      <c r="E171">
        <f t="shared" si="60"/>
        <v>1</v>
      </c>
      <c r="F171" s="3">
        <f t="shared" si="73"/>
        <v>165.30612244897955</v>
      </c>
      <c r="G171" s="3">
        <f t="shared" si="74"/>
        <v>2.8851361104396052</v>
      </c>
      <c r="H171" s="18">
        <f t="shared" si="61"/>
        <v>-1.2574833219507382</v>
      </c>
      <c r="I171" s="3">
        <f t="shared" si="62"/>
        <v>0.3297509590823608</v>
      </c>
      <c r="J171" s="19" t="str">
        <f t="shared" si="58"/>
        <v>LD</v>
      </c>
      <c r="K171" s="20" t="e">
        <f t="shared" si="63"/>
        <v>#N/A</v>
      </c>
      <c r="L171" s="20" t="e">
        <f t="shared" si="64"/>
        <v>#N/A</v>
      </c>
      <c r="M171" s="20" t="e">
        <f t="shared" si="65"/>
        <v>#N/A</v>
      </c>
      <c r="N171" s="20" t="e">
        <f t="shared" si="66"/>
        <v>#N/A</v>
      </c>
      <c r="O171" s="20">
        <f t="shared" si="67"/>
        <v>-1.2574833219507382</v>
      </c>
      <c r="P171" s="20">
        <f t="shared" si="68"/>
        <v>0.3297509590823608</v>
      </c>
      <c r="Q171" s="20" t="e">
        <f t="shared" si="69"/>
        <v>#N/A</v>
      </c>
      <c r="R171" s="20" t="e">
        <f t="shared" si="70"/>
        <v>#N/A</v>
      </c>
      <c r="S171" s="20" t="e">
        <f t="shared" si="71"/>
        <v>#N/A</v>
      </c>
      <c r="T171" s="20" t="e">
        <f t="shared" si="72"/>
        <v>#N/A</v>
      </c>
      <c r="U171" s="3"/>
      <c r="AA171" s="4"/>
    </row>
    <row r="172" spans="1:27" x14ac:dyDescent="0.25">
      <c r="A172">
        <f t="shared" si="75"/>
        <v>170</v>
      </c>
      <c r="B172">
        <f t="shared" si="56"/>
        <v>4</v>
      </c>
      <c r="C172">
        <f t="shared" si="59"/>
        <v>1.3000000000000003</v>
      </c>
      <c r="D172" s="15">
        <f t="shared" si="57"/>
        <v>3.6734693877551021</v>
      </c>
      <c r="E172">
        <f t="shared" si="60"/>
        <v>1</v>
      </c>
      <c r="F172" s="3">
        <f t="shared" si="73"/>
        <v>168.97959183673464</v>
      </c>
      <c r="G172" s="3">
        <f t="shared" si="74"/>
        <v>2.9492502462271517</v>
      </c>
      <c r="H172" s="18">
        <f t="shared" si="61"/>
        <v>-1.2760269040883849</v>
      </c>
      <c r="I172" s="3">
        <f t="shared" si="62"/>
        <v>0.24850621731178546</v>
      </c>
      <c r="J172" s="19" t="str">
        <f t="shared" si="58"/>
        <v>SNP</v>
      </c>
      <c r="K172" s="20" t="e">
        <f t="shared" si="63"/>
        <v>#N/A</v>
      </c>
      <c r="L172" s="20" t="e">
        <f t="shared" si="64"/>
        <v>#N/A</v>
      </c>
      <c r="M172" s="20" t="e">
        <f t="shared" si="65"/>
        <v>#N/A</v>
      </c>
      <c r="N172" s="20" t="e">
        <f t="shared" si="66"/>
        <v>#N/A</v>
      </c>
      <c r="O172" s="20" t="e">
        <f t="shared" si="67"/>
        <v>#N/A</v>
      </c>
      <c r="P172" s="20" t="e">
        <f t="shared" si="68"/>
        <v>#N/A</v>
      </c>
      <c r="Q172" s="20">
        <f t="shared" si="69"/>
        <v>-1.2760269040883849</v>
      </c>
      <c r="R172" s="20">
        <f t="shared" si="70"/>
        <v>0.24850621731178546</v>
      </c>
      <c r="S172" s="20" t="e">
        <f t="shared" si="71"/>
        <v>#N/A</v>
      </c>
      <c r="T172" s="20" t="e">
        <f t="shared" si="72"/>
        <v>#N/A</v>
      </c>
      <c r="U172" s="3"/>
      <c r="AA172" s="4"/>
    </row>
    <row r="173" spans="1:27" x14ac:dyDescent="0.25">
      <c r="A173">
        <f t="shared" si="75"/>
        <v>171</v>
      </c>
      <c r="B173">
        <f t="shared" si="56"/>
        <v>4</v>
      </c>
      <c r="C173">
        <f t="shared" si="59"/>
        <v>1.3000000000000003</v>
      </c>
      <c r="D173" s="15">
        <f t="shared" si="57"/>
        <v>3.6734693877551021</v>
      </c>
      <c r="E173">
        <f t="shared" si="60"/>
        <v>1</v>
      </c>
      <c r="F173" s="3">
        <f t="shared" si="73"/>
        <v>172.65306122448973</v>
      </c>
      <c r="G173" s="3">
        <f t="shared" si="74"/>
        <v>3.0133643820146983</v>
      </c>
      <c r="H173" s="18">
        <f t="shared" si="61"/>
        <v>-1.2893270179702201</v>
      </c>
      <c r="I173" s="3">
        <f t="shared" si="62"/>
        <v>0.16624031018985963</v>
      </c>
      <c r="J173" s="19" t="str">
        <f t="shared" si="58"/>
        <v>Oth</v>
      </c>
      <c r="K173" s="20" t="e">
        <f t="shared" si="63"/>
        <v>#N/A</v>
      </c>
      <c r="L173" s="20" t="e">
        <f t="shared" si="64"/>
        <v>#N/A</v>
      </c>
      <c r="M173" s="20" t="e">
        <f t="shared" si="65"/>
        <v>#N/A</v>
      </c>
      <c r="N173" s="20" t="e">
        <f t="shared" si="66"/>
        <v>#N/A</v>
      </c>
      <c r="O173" s="20" t="e">
        <f t="shared" si="67"/>
        <v>#N/A</v>
      </c>
      <c r="P173" s="20" t="e">
        <f t="shared" si="68"/>
        <v>#N/A</v>
      </c>
      <c r="Q173" s="20" t="e">
        <f t="shared" si="69"/>
        <v>#N/A</v>
      </c>
      <c r="R173" s="20" t="e">
        <f t="shared" si="70"/>
        <v>#N/A</v>
      </c>
      <c r="S173" s="20">
        <f t="shared" si="71"/>
        <v>-1.2893270179702201</v>
      </c>
      <c r="T173" s="20">
        <f t="shared" si="72"/>
        <v>0.16624031018985963</v>
      </c>
      <c r="U173" s="3"/>
      <c r="AA173" s="4"/>
    </row>
    <row r="174" spans="1:27" x14ac:dyDescent="0.25">
      <c r="A174">
        <f t="shared" si="75"/>
        <v>172</v>
      </c>
      <c r="B174">
        <f t="shared" si="56"/>
        <v>4</v>
      </c>
      <c r="C174">
        <f t="shared" si="59"/>
        <v>1.3000000000000003</v>
      </c>
      <c r="D174" s="15">
        <f t="shared" si="57"/>
        <v>3.6734693877551021</v>
      </c>
      <c r="E174">
        <f t="shared" si="60"/>
        <v>1</v>
      </c>
      <c r="F174" s="3">
        <f t="shared" si="73"/>
        <v>176.32653061224482</v>
      </c>
      <c r="G174" s="3">
        <f t="shared" si="74"/>
        <v>3.0774785178022448</v>
      </c>
      <c r="H174" s="18">
        <f t="shared" si="61"/>
        <v>-1.2973290105754374</v>
      </c>
      <c r="I174" s="3">
        <f t="shared" si="62"/>
        <v>8.329128597492895E-2</v>
      </c>
      <c r="J174" s="19" t="str">
        <f t="shared" si="58"/>
        <v>Oth</v>
      </c>
      <c r="K174" s="20" t="e">
        <f t="shared" si="63"/>
        <v>#N/A</v>
      </c>
      <c r="L174" s="20" t="e">
        <f t="shared" si="64"/>
        <v>#N/A</v>
      </c>
      <c r="M174" s="20" t="e">
        <f t="shared" si="65"/>
        <v>#N/A</v>
      </c>
      <c r="N174" s="20" t="e">
        <f t="shared" si="66"/>
        <v>#N/A</v>
      </c>
      <c r="O174" s="20" t="e">
        <f t="shared" si="67"/>
        <v>#N/A</v>
      </c>
      <c r="P174" s="20" t="e">
        <f t="shared" si="68"/>
        <v>#N/A</v>
      </c>
      <c r="Q174" s="20" t="e">
        <f t="shared" si="69"/>
        <v>#N/A</v>
      </c>
      <c r="R174" s="20" t="e">
        <f t="shared" si="70"/>
        <v>#N/A</v>
      </c>
      <c r="S174" s="20">
        <f t="shared" si="71"/>
        <v>-1.2973290105754374</v>
      </c>
      <c r="T174" s="20">
        <f t="shared" si="72"/>
        <v>8.329128597492895E-2</v>
      </c>
      <c r="U174" s="3"/>
      <c r="AA174" s="4"/>
    </row>
    <row r="175" spans="1:27" x14ac:dyDescent="0.25">
      <c r="A175">
        <f t="shared" si="75"/>
        <v>173</v>
      </c>
      <c r="B175">
        <f t="shared" si="56"/>
        <v>4</v>
      </c>
      <c r="C175">
        <f t="shared" si="59"/>
        <v>1.3000000000000003</v>
      </c>
      <c r="D175" s="15">
        <f t="shared" si="57"/>
        <v>3.6734693877551021</v>
      </c>
      <c r="E175">
        <f t="shared" si="60"/>
        <v>1</v>
      </c>
      <c r="F175" s="3">
        <f t="shared" si="73"/>
        <v>179.99999999999991</v>
      </c>
      <c r="G175" s="3">
        <f t="shared" si="74"/>
        <v>3.1415926535897918</v>
      </c>
      <c r="H175" s="18">
        <f t="shared" si="61"/>
        <v>-1.3000000000000003</v>
      </c>
      <c r="I175" s="3">
        <f t="shared" si="62"/>
        <v>1.8912172175533654E-15</v>
      </c>
      <c r="J175" s="19" t="str">
        <f t="shared" si="58"/>
        <v>Oth</v>
      </c>
      <c r="K175" s="20" t="e">
        <f t="shared" si="63"/>
        <v>#N/A</v>
      </c>
      <c r="L175" s="20" t="e">
        <f t="shared" si="64"/>
        <v>#N/A</v>
      </c>
      <c r="M175" s="20" t="e">
        <f t="shared" si="65"/>
        <v>#N/A</v>
      </c>
      <c r="N175" s="20" t="e">
        <f t="shared" si="66"/>
        <v>#N/A</v>
      </c>
      <c r="O175" s="20" t="e">
        <f t="shared" si="67"/>
        <v>#N/A</v>
      </c>
      <c r="P175" s="20" t="e">
        <f t="shared" si="68"/>
        <v>#N/A</v>
      </c>
      <c r="Q175" s="20" t="e">
        <f t="shared" si="69"/>
        <v>#N/A</v>
      </c>
      <c r="R175" s="20" t="e">
        <f t="shared" si="70"/>
        <v>#N/A</v>
      </c>
      <c r="S175" s="20">
        <f t="shared" si="71"/>
        <v>-1.3000000000000003</v>
      </c>
      <c r="T175" s="20">
        <f t="shared" si="72"/>
        <v>1.8912172175533654E-15</v>
      </c>
      <c r="U175" s="3"/>
      <c r="AA175" s="4"/>
    </row>
    <row r="176" spans="1:27" x14ac:dyDescent="0.25">
      <c r="A176">
        <f t="shared" si="75"/>
        <v>174</v>
      </c>
      <c r="B176">
        <f t="shared" si="56"/>
        <v>5</v>
      </c>
      <c r="C176">
        <f t="shared" si="59"/>
        <v>1.4000000000000004</v>
      </c>
      <c r="D176" s="15">
        <f t="shared" si="57"/>
        <v>3.3333333333333335</v>
      </c>
      <c r="E176">
        <f t="shared" si="60"/>
        <v>0</v>
      </c>
      <c r="F176" s="3">
        <f t="shared" si="73"/>
        <v>0</v>
      </c>
      <c r="G176" s="3">
        <f t="shared" si="74"/>
        <v>0</v>
      </c>
      <c r="H176" s="18">
        <f t="shared" si="61"/>
        <v>1.4000000000000004</v>
      </c>
      <c r="I176" s="3">
        <f t="shared" si="62"/>
        <v>0</v>
      </c>
      <c r="J176" s="19" t="str">
        <f t="shared" si="58"/>
        <v>L</v>
      </c>
      <c r="K176" s="20">
        <f t="shared" si="63"/>
        <v>1.4000000000000004</v>
      </c>
      <c r="L176" s="20">
        <f t="shared" si="64"/>
        <v>0</v>
      </c>
      <c r="M176" s="20" t="e">
        <f t="shared" si="65"/>
        <v>#N/A</v>
      </c>
      <c r="N176" s="20" t="e">
        <f t="shared" si="66"/>
        <v>#N/A</v>
      </c>
      <c r="O176" s="20" t="e">
        <f t="shared" si="67"/>
        <v>#N/A</v>
      </c>
      <c r="P176" s="20" t="e">
        <f t="shared" si="68"/>
        <v>#N/A</v>
      </c>
      <c r="Q176" s="20" t="e">
        <f t="shared" si="69"/>
        <v>#N/A</v>
      </c>
      <c r="R176" s="20" t="e">
        <f t="shared" si="70"/>
        <v>#N/A</v>
      </c>
      <c r="S176" s="20" t="e">
        <f t="shared" si="71"/>
        <v>#N/A</v>
      </c>
      <c r="T176" s="20" t="e">
        <f t="shared" si="72"/>
        <v>#N/A</v>
      </c>
      <c r="U176" s="3"/>
      <c r="AA176" s="4"/>
    </row>
    <row r="177" spans="1:27" x14ac:dyDescent="0.25">
      <c r="A177">
        <f t="shared" si="75"/>
        <v>175</v>
      </c>
      <c r="B177">
        <f t="shared" si="56"/>
        <v>5</v>
      </c>
      <c r="C177">
        <f t="shared" si="59"/>
        <v>1.4000000000000004</v>
      </c>
      <c r="D177" s="15">
        <f t="shared" si="57"/>
        <v>3.3333333333333335</v>
      </c>
      <c r="E177">
        <f t="shared" si="60"/>
        <v>1</v>
      </c>
      <c r="F177" s="3">
        <f t="shared" si="73"/>
        <v>3.3333333333333335</v>
      </c>
      <c r="G177" s="3">
        <f t="shared" si="74"/>
        <v>5.8177641733144325E-2</v>
      </c>
      <c r="H177" s="18">
        <f t="shared" si="61"/>
        <v>1.3976314215797758</v>
      </c>
      <c r="I177" s="3">
        <f t="shared" si="62"/>
        <v>8.1402760474666186E-2</v>
      </c>
      <c r="J177" s="19" t="str">
        <f t="shared" si="58"/>
        <v>L</v>
      </c>
      <c r="K177" s="20">
        <f t="shared" si="63"/>
        <v>1.3976314215797758</v>
      </c>
      <c r="L177" s="20">
        <f t="shared" si="64"/>
        <v>8.1402760474666186E-2</v>
      </c>
      <c r="M177" s="20" t="e">
        <f t="shared" si="65"/>
        <v>#N/A</v>
      </c>
      <c r="N177" s="20" t="e">
        <f t="shared" si="66"/>
        <v>#N/A</v>
      </c>
      <c r="O177" s="20" t="e">
        <f t="shared" si="67"/>
        <v>#N/A</v>
      </c>
      <c r="P177" s="20" t="e">
        <f t="shared" si="68"/>
        <v>#N/A</v>
      </c>
      <c r="Q177" s="20" t="e">
        <f t="shared" si="69"/>
        <v>#N/A</v>
      </c>
      <c r="R177" s="20" t="e">
        <f t="shared" si="70"/>
        <v>#N/A</v>
      </c>
      <c r="S177" s="20" t="e">
        <f t="shared" si="71"/>
        <v>#N/A</v>
      </c>
      <c r="T177" s="20" t="e">
        <f t="shared" si="72"/>
        <v>#N/A</v>
      </c>
      <c r="U177" s="3"/>
      <c r="AA177" s="4"/>
    </row>
    <row r="178" spans="1:27" x14ac:dyDescent="0.25">
      <c r="A178">
        <f t="shared" si="75"/>
        <v>176</v>
      </c>
      <c r="B178">
        <f t="shared" si="56"/>
        <v>5</v>
      </c>
      <c r="C178">
        <f t="shared" si="59"/>
        <v>1.4000000000000004</v>
      </c>
      <c r="D178" s="15">
        <f t="shared" si="57"/>
        <v>3.3333333333333335</v>
      </c>
      <c r="E178">
        <f t="shared" si="60"/>
        <v>1</v>
      </c>
      <c r="F178" s="3">
        <f t="shared" si="73"/>
        <v>6.666666666666667</v>
      </c>
      <c r="G178" s="3">
        <f t="shared" si="74"/>
        <v>0.11635528346628865</v>
      </c>
      <c r="H178" s="18">
        <f t="shared" si="61"/>
        <v>1.3905337008387206</v>
      </c>
      <c r="I178" s="3">
        <f t="shared" si="62"/>
        <v>0.16253007977532238</v>
      </c>
      <c r="J178" s="19" t="str">
        <f t="shared" si="58"/>
        <v>L</v>
      </c>
      <c r="K178" s="20">
        <f t="shared" si="63"/>
        <v>1.3905337008387206</v>
      </c>
      <c r="L178" s="20">
        <f t="shared" si="64"/>
        <v>0.16253007977532238</v>
      </c>
      <c r="M178" s="20" t="e">
        <f t="shared" si="65"/>
        <v>#N/A</v>
      </c>
      <c r="N178" s="20" t="e">
        <f t="shared" si="66"/>
        <v>#N/A</v>
      </c>
      <c r="O178" s="20" t="e">
        <f t="shared" si="67"/>
        <v>#N/A</v>
      </c>
      <c r="P178" s="20" t="e">
        <f t="shared" si="68"/>
        <v>#N/A</v>
      </c>
      <c r="Q178" s="20" t="e">
        <f t="shared" si="69"/>
        <v>#N/A</v>
      </c>
      <c r="R178" s="20" t="e">
        <f t="shared" si="70"/>
        <v>#N/A</v>
      </c>
      <c r="S178" s="20" t="e">
        <f t="shared" si="71"/>
        <v>#N/A</v>
      </c>
      <c r="T178" s="20" t="e">
        <f t="shared" si="72"/>
        <v>#N/A</v>
      </c>
      <c r="U178" s="3"/>
      <c r="AA178" s="4"/>
    </row>
    <row r="179" spans="1:27" x14ac:dyDescent="0.25">
      <c r="A179">
        <f t="shared" si="75"/>
        <v>177</v>
      </c>
      <c r="B179">
        <f t="shared" si="56"/>
        <v>5</v>
      </c>
      <c r="C179">
        <f t="shared" si="59"/>
        <v>1.4000000000000004</v>
      </c>
      <c r="D179" s="15">
        <f t="shared" si="57"/>
        <v>3.3333333333333335</v>
      </c>
      <c r="E179">
        <f t="shared" si="60"/>
        <v>1</v>
      </c>
      <c r="F179" s="3">
        <f t="shared" si="73"/>
        <v>10</v>
      </c>
      <c r="G179" s="3">
        <f t="shared" si="74"/>
        <v>0.17453292519943295</v>
      </c>
      <c r="H179" s="18">
        <f t="shared" si="61"/>
        <v>1.3787308542170915</v>
      </c>
      <c r="I179" s="3">
        <f t="shared" si="62"/>
        <v>0.24310744873370252</v>
      </c>
      <c r="J179" s="19" t="str">
        <f t="shared" si="58"/>
        <v>L</v>
      </c>
      <c r="K179" s="20">
        <f t="shared" si="63"/>
        <v>1.3787308542170915</v>
      </c>
      <c r="L179" s="20">
        <f t="shared" si="64"/>
        <v>0.24310744873370252</v>
      </c>
      <c r="M179" s="20" t="e">
        <f t="shared" si="65"/>
        <v>#N/A</v>
      </c>
      <c r="N179" s="20" t="e">
        <f t="shared" si="66"/>
        <v>#N/A</v>
      </c>
      <c r="O179" s="20" t="e">
        <f t="shared" si="67"/>
        <v>#N/A</v>
      </c>
      <c r="P179" s="20" t="e">
        <f t="shared" si="68"/>
        <v>#N/A</v>
      </c>
      <c r="Q179" s="20" t="e">
        <f t="shared" si="69"/>
        <v>#N/A</v>
      </c>
      <c r="R179" s="20" t="e">
        <f t="shared" si="70"/>
        <v>#N/A</v>
      </c>
      <c r="S179" s="20" t="e">
        <f t="shared" si="71"/>
        <v>#N/A</v>
      </c>
      <c r="T179" s="20" t="e">
        <f t="shared" si="72"/>
        <v>#N/A</v>
      </c>
      <c r="U179" s="3"/>
      <c r="AA179" s="4"/>
    </row>
    <row r="180" spans="1:27" x14ac:dyDescent="0.25">
      <c r="A180">
        <f t="shared" si="75"/>
        <v>178</v>
      </c>
      <c r="B180">
        <f t="shared" si="56"/>
        <v>5</v>
      </c>
      <c r="C180">
        <f t="shared" si="59"/>
        <v>1.4000000000000004</v>
      </c>
      <c r="D180" s="15">
        <f t="shared" si="57"/>
        <v>3.3333333333333335</v>
      </c>
      <c r="E180">
        <f t="shared" si="60"/>
        <v>1</v>
      </c>
      <c r="F180" s="3">
        <f t="shared" si="73"/>
        <v>13.333333333333334</v>
      </c>
      <c r="G180" s="3">
        <f t="shared" si="74"/>
        <v>0.2327105669325773</v>
      </c>
      <c r="H180" s="18">
        <f t="shared" si="61"/>
        <v>1.3622628188117536</v>
      </c>
      <c r="I180" s="3">
        <f t="shared" si="62"/>
        <v>0.32286221903941636</v>
      </c>
      <c r="J180" s="19" t="str">
        <f t="shared" si="58"/>
        <v>L</v>
      </c>
      <c r="K180" s="20">
        <f t="shared" si="63"/>
        <v>1.3622628188117536</v>
      </c>
      <c r="L180" s="20">
        <f t="shared" si="64"/>
        <v>0.32286221903941636</v>
      </c>
      <c r="M180" s="20" t="e">
        <f t="shared" si="65"/>
        <v>#N/A</v>
      </c>
      <c r="N180" s="20" t="e">
        <f t="shared" si="66"/>
        <v>#N/A</v>
      </c>
      <c r="O180" s="20" t="e">
        <f t="shared" si="67"/>
        <v>#N/A</v>
      </c>
      <c r="P180" s="20" t="e">
        <f t="shared" si="68"/>
        <v>#N/A</v>
      </c>
      <c r="Q180" s="20" t="e">
        <f t="shared" si="69"/>
        <v>#N/A</v>
      </c>
      <c r="R180" s="20" t="e">
        <f t="shared" si="70"/>
        <v>#N/A</v>
      </c>
      <c r="S180" s="20" t="e">
        <f t="shared" si="71"/>
        <v>#N/A</v>
      </c>
      <c r="T180" s="20" t="e">
        <f t="shared" si="72"/>
        <v>#N/A</v>
      </c>
      <c r="U180" s="3"/>
      <c r="AA180" s="4"/>
    </row>
    <row r="181" spans="1:27" x14ac:dyDescent="0.25">
      <c r="A181">
        <f t="shared" si="75"/>
        <v>179</v>
      </c>
      <c r="B181">
        <f t="shared" si="56"/>
        <v>5</v>
      </c>
      <c r="C181">
        <f t="shared" si="59"/>
        <v>1.4000000000000004</v>
      </c>
      <c r="D181" s="15">
        <f t="shared" si="57"/>
        <v>3.3333333333333335</v>
      </c>
      <c r="E181">
        <f t="shared" si="60"/>
        <v>1</v>
      </c>
      <c r="F181" s="3">
        <f t="shared" si="73"/>
        <v>16.666666666666668</v>
      </c>
      <c r="G181" s="3">
        <f t="shared" si="74"/>
        <v>0.29088820866572163</v>
      </c>
      <c r="H181" s="18">
        <f t="shared" si="61"/>
        <v>1.3411853172416848</v>
      </c>
      <c r="I181" s="3">
        <f t="shared" si="62"/>
        <v>0.40152452579552644</v>
      </c>
      <c r="J181" s="19" t="str">
        <f t="shared" si="58"/>
        <v>L</v>
      </c>
      <c r="K181" s="20">
        <f t="shared" si="63"/>
        <v>1.3411853172416848</v>
      </c>
      <c r="L181" s="20">
        <f t="shared" si="64"/>
        <v>0.40152452579552644</v>
      </c>
      <c r="M181" s="20" t="e">
        <f t="shared" si="65"/>
        <v>#N/A</v>
      </c>
      <c r="N181" s="20" t="e">
        <f t="shared" si="66"/>
        <v>#N/A</v>
      </c>
      <c r="O181" s="20" t="e">
        <f t="shared" si="67"/>
        <v>#N/A</v>
      </c>
      <c r="P181" s="20" t="e">
        <f t="shared" si="68"/>
        <v>#N/A</v>
      </c>
      <c r="Q181" s="20" t="e">
        <f t="shared" si="69"/>
        <v>#N/A</v>
      </c>
      <c r="R181" s="20" t="e">
        <f t="shared" si="70"/>
        <v>#N/A</v>
      </c>
      <c r="S181" s="20" t="e">
        <f t="shared" si="71"/>
        <v>#N/A</v>
      </c>
      <c r="T181" s="20" t="e">
        <f t="shared" si="72"/>
        <v>#N/A</v>
      </c>
      <c r="U181" s="3"/>
      <c r="AA181" s="4"/>
    </row>
    <row r="182" spans="1:27" x14ac:dyDescent="0.25">
      <c r="A182">
        <f t="shared" si="75"/>
        <v>180</v>
      </c>
      <c r="B182">
        <f t="shared" si="56"/>
        <v>5</v>
      </c>
      <c r="C182">
        <f t="shared" si="59"/>
        <v>1.4000000000000004</v>
      </c>
      <c r="D182" s="15">
        <f t="shared" si="57"/>
        <v>3.3333333333333335</v>
      </c>
      <c r="E182">
        <f t="shared" si="60"/>
        <v>1</v>
      </c>
      <c r="F182" s="3">
        <f t="shared" si="73"/>
        <v>20</v>
      </c>
      <c r="G182" s="3">
        <f t="shared" si="74"/>
        <v>0.3490658503988659</v>
      </c>
      <c r="H182" s="18">
        <f t="shared" si="61"/>
        <v>1.3155696691002721</v>
      </c>
      <c r="I182" s="3">
        <f t="shared" si="62"/>
        <v>0.47882820065593634</v>
      </c>
      <c r="J182" s="19" t="str">
        <f t="shared" si="58"/>
        <v>L</v>
      </c>
      <c r="K182" s="20">
        <f t="shared" si="63"/>
        <v>1.3155696691002721</v>
      </c>
      <c r="L182" s="20">
        <f t="shared" si="64"/>
        <v>0.47882820065593634</v>
      </c>
      <c r="M182" s="20" t="e">
        <f t="shared" si="65"/>
        <v>#N/A</v>
      </c>
      <c r="N182" s="20" t="e">
        <f t="shared" si="66"/>
        <v>#N/A</v>
      </c>
      <c r="O182" s="20" t="e">
        <f t="shared" si="67"/>
        <v>#N/A</v>
      </c>
      <c r="P182" s="20" t="e">
        <f t="shared" si="68"/>
        <v>#N/A</v>
      </c>
      <c r="Q182" s="20" t="e">
        <f t="shared" si="69"/>
        <v>#N/A</v>
      </c>
      <c r="R182" s="20" t="e">
        <f t="shared" si="70"/>
        <v>#N/A</v>
      </c>
      <c r="S182" s="20" t="e">
        <f t="shared" si="71"/>
        <v>#N/A</v>
      </c>
      <c r="T182" s="20" t="e">
        <f t="shared" si="72"/>
        <v>#N/A</v>
      </c>
      <c r="U182" s="3"/>
      <c r="AA182" s="4"/>
    </row>
    <row r="183" spans="1:27" x14ac:dyDescent="0.25">
      <c r="A183">
        <f t="shared" si="75"/>
        <v>181</v>
      </c>
      <c r="B183">
        <f t="shared" si="56"/>
        <v>5</v>
      </c>
      <c r="C183">
        <f t="shared" si="59"/>
        <v>1.4000000000000004</v>
      </c>
      <c r="D183" s="15">
        <f t="shared" si="57"/>
        <v>3.3333333333333335</v>
      </c>
      <c r="E183">
        <f t="shared" si="60"/>
        <v>1</v>
      </c>
      <c r="F183" s="3">
        <f t="shared" si="73"/>
        <v>23.333333333333332</v>
      </c>
      <c r="G183" s="3">
        <f t="shared" si="74"/>
        <v>0.40724349213201022</v>
      </c>
      <c r="H183" s="18">
        <f t="shared" si="61"/>
        <v>1.285502549632384</v>
      </c>
      <c r="I183" s="3">
        <f t="shared" si="62"/>
        <v>0.55451167245481969</v>
      </c>
      <c r="J183" s="19" t="str">
        <f t="shared" si="58"/>
        <v>L</v>
      </c>
      <c r="K183" s="20">
        <f t="shared" si="63"/>
        <v>1.285502549632384</v>
      </c>
      <c r="L183" s="20">
        <f t="shared" si="64"/>
        <v>0.55451167245481969</v>
      </c>
      <c r="M183" s="20" t="e">
        <f t="shared" si="65"/>
        <v>#N/A</v>
      </c>
      <c r="N183" s="20" t="e">
        <f t="shared" si="66"/>
        <v>#N/A</v>
      </c>
      <c r="O183" s="20" t="e">
        <f t="shared" si="67"/>
        <v>#N/A</v>
      </c>
      <c r="P183" s="20" t="e">
        <f t="shared" si="68"/>
        <v>#N/A</v>
      </c>
      <c r="Q183" s="20" t="e">
        <f t="shared" si="69"/>
        <v>#N/A</v>
      </c>
      <c r="R183" s="20" t="e">
        <f t="shared" si="70"/>
        <v>#N/A</v>
      </c>
      <c r="S183" s="20" t="e">
        <f t="shared" si="71"/>
        <v>#N/A</v>
      </c>
      <c r="T183" s="20" t="e">
        <f t="shared" si="72"/>
        <v>#N/A</v>
      </c>
      <c r="U183" s="3"/>
      <c r="AA183" s="4"/>
    </row>
    <row r="184" spans="1:27" x14ac:dyDescent="0.25">
      <c r="A184">
        <f t="shared" si="75"/>
        <v>182</v>
      </c>
      <c r="B184">
        <f t="shared" si="56"/>
        <v>5</v>
      </c>
      <c r="C184">
        <f t="shared" si="59"/>
        <v>1.4000000000000004</v>
      </c>
      <c r="D184" s="15">
        <f t="shared" si="57"/>
        <v>3.3333333333333335</v>
      </c>
      <c r="E184">
        <f t="shared" si="60"/>
        <v>1</v>
      </c>
      <c r="F184" s="3">
        <f t="shared" si="73"/>
        <v>26.666666666666664</v>
      </c>
      <c r="G184" s="3">
        <f t="shared" si="74"/>
        <v>0.46542113386515449</v>
      </c>
      <c r="H184" s="18">
        <f t="shared" si="61"/>
        <v>1.2510856964527775</v>
      </c>
      <c r="I184" s="3">
        <f t="shared" si="62"/>
        <v>0.6283188522806471</v>
      </c>
      <c r="J184" s="19" t="str">
        <f t="shared" si="58"/>
        <v>L</v>
      </c>
      <c r="K184" s="20">
        <f t="shared" si="63"/>
        <v>1.2510856964527775</v>
      </c>
      <c r="L184" s="20">
        <f t="shared" si="64"/>
        <v>0.6283188522806471</v>
      </c>
      <c r="M184" s="20" t="e">
        <f t="shared" si="65"/>
        <v>#N/A</v>
      </c>
      <c r="N184" s="20" t="e">
        <f t="shared" si="66"/>
        <v>#N/A</v>
      </c>
      <c r="O184" s="20" t="e">
        <f t="shared" si="67"/>
        <v>#N/A</v>
      </c>
      <c r="P184" s="20" t="e">
        <f t="shared" si="68"/>
        <v>#N/A</v>
      </c>
      <c r="Q184" s="20" t="e">
        <f t="shared" si="69"/>
        <v>#N/A</v>
      </c>
      <c r="R184" s="20" t="e">
        <f t="shared" si="70"/>
        <v>#N/A</v>
      </c>
      <c r="S184" s="20" t="e">
        <f t="shared" si="71"/>
        <v>#N/A</v>
      </c>
      <c r="T184" s="20" t="e">
        <f t="shared" si="72"/>
        <v>#N/A</v>
      </c>
      <c r="U184" s="3"/>
      <c r="AA184" s="4"/>
    </row>
    <row r="185" spans="1:27" x14ac:dyDescent="0.25">
      <c r="A185">
        <f t="shared" si="75"/>
        <v>183</v>
      </c>
      <c r="B185">
        <f t="shared" si="56"/>
        <v>5</v>
      </c>
      <c r="C185">
        <f t="shared" si="59"/>
        <v>1.4000000000000004</v>
      </c>
      <c r="D185" s="15">
        <f t="shared" si="57"/>
        <v>3.3333333333333335</v>
      </c>
      <c r="E185">
        <f t="shared" si="60"/>
        <v>1</v>
      </c>
      <c r="F185" s="3">
        <f t="shared" si="73"/>
        <v>29.999999999999996</v>
      </c>
      <c r="G185" s="3">
        <f t="shared" si="74"/>
        <v>0.52359877559829882</v>
      </c>
      <c r="H185" s="18">
        <f t="shared" si="61"/>
        <v>1.2124355652982144</v>
      </c>
      <c r="I185" s="3">
        <f t="shared" si="62"/>
        <v>0.70000000000000007</v>
      </c>
      <c r="J185" s="19" t="str">
        <f t="shared" si="58"/>
        <v>L</v>
      </c>
      <c r="K185" s="20">
        <f t="shared" si="63"/>
        <v>1.2124355652982144</v>
      </c>
      <c r="L185" s="20">
        <f t="shared" si="64"/>
        <v>0.70000000000000007</v>
      </c>
      <c r="M185" s="20" t="e">
        <f t="shared" si="65"/>
        <v>#N/A</v>
      </c>
      <c r="N185" s="20" t="e">
        <f t="shared" si="66"/>
        <v>#N/A</v>
      </c>
      <c r="O185" s="20" t="e">
        <f t="shared" si="67"/>
        <v>#N/A</v>
      </c>
      <c r="P185" s="20" t="e">
        <f t="shared" si="68"/>
        <v>#N/A</v>
      </c>
      <c r="Q185" s="20" t="e">
        <f t="shared" si="69"/>
        <v>#N/A</v>
      </c>
      <c r="R185" s="20" t="e">
        <f t="shared" si="70"/>
        <v>#N/A</v>
      </c>
      <c r="S185" s="20" t="e">
        <f t="shared" si="71"/>
        <v>#N/A</v>
      </c>
      <c r="T185" s="20" t="e">
        <f t="shared" si="72"/>
        <v>#N/A</v>
      </c>
      <c r="U185" s="3"/>
      <c r="AA185" s="4"/>
    </row>
    <row r="186" spans="1:27" x14ac:dyDescent="0.25">
      <c r="A186">
        <f t="shared" si="75"/>
        <v>184</v>
      </c>
      <c r="B186">
        <f t="shared" si="56"/>
        <v>5</v>
      </c>
      <c r="C186">
        <f t="shared" si="59"/>
        <v>1.4000000000000004</v>
      </c>
      <c r="D186" s="15">
        <f t="shared" si="57"/>
        <v>3.3333333333333335</v>
      </c>
      <c r="E186">
        <f t="shared" si="60"/>
        <v>1</v>
      </c>
      <c r="F186" s="3">
        <f t="shared" si="73"/>
        <v>33.333333333333329</v>
      </c>
      <c r="G186" s="3">
        <f t="shared" si="74"/>
        <v>0.58177641733144303</v>
      </c>
      <c r="H186" s="18">
        <f t="shared" si="61"/>
        <v>1.1696829359781113</v>
      </c>
      <c r="I186" s="3">
        <f t="shared" si="62"/>
        <v>0.7693125692991285</v>
      </c>
      <c r="J186" s="19" t="str">
        <f t="shared" si="58"/>
        <v>L</v>
      </c>
      <c r="K186" s="20">
        <f t="shared" si="63"/>
        <v>1.1696829359781113</v>
      </c>
      <c r="L186" s="20">
        <f t="shared" si="64"/>
        <v>0.7693125692991285</v>
      </c>
      <c r="M186" s="20" t="e">
        <f t="shared" si="65"/>
        <v>#N/A</v>
      </c>
      <c r="N186" s="20" t="e">
        <f t="shared" si="66"/>
        <v>#N/A</v>
      </c>
      <c r="O186" s="20" t="e">
        <f t="shared" si="67"/>
        <v>#N/A</v>
      </c>
      <c r="P186" s="20" t="e">
        <f t="shared" si="68"/>
        <v>#N/A</v>
      </c>
      <c r="Q186" s="20" t="e">
        <f t="shared" si="69"/>
        <v>#N/A</v>
      </c>
      <c r="R186" s="20" t="e">
        <f t="shared" si="70"/>
        <v>#N/A</v>
      </c>
      <c r="S186" s="20" t="e">
        <f t="shared" si="71"/>
        <v>#N/A</v>
      </c>
      <c r="T186" s="20" t="e">
        <f t="shared" si="72"/>
        <v>#N/A</v>
      </c>
      <c r="U186" s="3"/>
      <c r="AA186" s="4"/>
    </row>
    <row r="187" spans="1:27" x14ac:dyDescent="0.25">
      <c r="A187">
        <f t="shared" si="75"/>
        <v>185</v>
      </c>
      <c r="B187">
        <f t="shared" si="56"/>
        <v>5</v>
      </c>
      <c r="C187">
        <f t="shared" si="59"/>
        <v>1.4000000000000004</v>
      </c>
      <c r="D187" s="15">
        <f t="shared" si="57"/>
        <v>3.3333333333333335</v>
      </c>
      <c r="E187">
        <f t="shared" si="60"/>
        <v>1</v>
      </c>
      <c r="F187" s="3">
        <f t="shared" si="73"/>
        <v>36.666666666666664</v>
      </c>
      <c r="G187" s="3">
        <f t="shared" si="74"/>
        <v>0.63995405906458747</v>
      </c>
      <c r="H187" s="18">
        <f t="shared" si="61"/>
        <v>1.1229724698570616</v>
      </c>
      <c r="I187" s="3">
        <f t="shared" si="62"/>
        <v>0.83602202838390083</v>
      </c>
      <c r="J187" s="19" t="str">
        <f t="shared" si="58"/>
        <v>L</v>
      </c>
      <c r="K187" s="20">
        <f t="shared" si="63"/>
        <v>1.1229724698570616</v>
      </c>
      <c r="L187" s="20">
        <f t="shared" si="64"/>
        <v>0.83602202838390083</v>
      </c>
      <c r="M187" s="20" t="e">
        <f t="shared" si="65"/>
        <v>#N/A</v>
      </c>
      <c r="N187" s="20" t="e">
        <f t="shared" si="66"/>
        <v>#N/A</v>
      </c>
      <c r="O187" s="20" t="e">
        <f t="shared" si="67"/>
        <v>#N/A</v>
      </c>
      <c r="P187" s="20" t="e">
        <f t="shared" si="68"/>
        <v>#N/A</v>
      </c>
      <c r="Q187" s="20" t="e">
        <f t="shared" si="69"/>
        <v>#N/A</v>
      </c>
      <c r="R187" s="20" t="e">
        <f t="shared" si="70"/>
        <v>#N/A</v>
      </c>
      <c r="S187" s="20" t="e">
        <f t="shared" si="71"/>
        <v>#N/A</v>
      </c>
      <c r="T187" s="20" t="e">
        <f t="shared" si="72"/>
        <v>#N/A</v>
      </c>
      <c r="U187" s="3"/>
      <c r="AA187" s="4"/>
    </row>
    <row r="188" spans="1:27" x14ac:dyDescent="0.25">
      <c r="A188">
        <f t="shared" si="75"/>
        <v>186</v>
      </c>
      <c r="B188">
        <f t="shared" si="56"/>
        <v>5</v>
      </c>
      <c r="C188">
        <f t="shared" si="59"/>
        <v>1.4000000000000004</v>
      </c>
      <c r="D188" s="15">
        <f t="shared" si="57"/>
        <v>3.3333333333333335</v>
      </c>
      <c r="E188">
        <f t="shared" si="60"/>
        <v>1</v>
      </c>
      <c r="F188" s="3">
        <f t="shared" si="73"/>
        <v>40</v>
      </c>
      <c r="G188" s="3">
        <f t="shared" si="74"/>
        <v>0.69813170079773179</v>
      </c>
      <c r="H188" s="18">
        <f t="shared" si="61"/>
        <v>1.0724622203665695</v>
      </c>
      <c r="I188" s="3">
        <f t="shared" si="62"/>
        <v>0.89990265356115517</v>
      </c>
      <c r="J188" s="19" t="str">
        <f t="shared" si="58"/>
        <v>L</v>
      </c>
      <c r="K188" s="20">
        <f t="shared" si="63"/>
        <v>1.0724622203665695</v>
      </c>
      <c r="L188" s="20">
        <f t="shared" si="64"/>
        <v>0.89990265356115517</v>
      </c>
      <c r="M188" s="20" t="e">
        <f t="shared" si="65"/>
        <v>#N/A</v>
      </c>
      <c r="N188" s="20" t="e">
        <f t="shared" si="66"/>
        <v>#N/A</v>
      </c>
      <c r="O188" s="20" t="e">
        <f t="shared" si="67"/>
        <v>#N/A</v>
      </c>
      <c r="P188" s="20" t="e">
        <f t="shared" si="68"/>
        <v>#N/A</v>
      </c>
      <c r="Q188" s="20" t="e">
        <f t="shared" si="69"/>
        <v>#N/A</v>
      </c>
      <c r="R188" s="20" t="e">
        <f t="shared" si="70"/>
        <v>#N/A</v>
      </c>
      <c r="S188" s="20" t="e">
        <f t="shared" si="71"/>
        <v>#N/A</v>
      </c>
      <c r="T188" s="20" t="e">
        <f t="shared" si="72"/>
        <v>#N/A</v>
      </c>
      <c r="U188" s="3"/>
      <c r="AA188" s="4"/>
    </row>
    <row r="189" spans="1:27" x14ac:dyDescent="0.25">
      <c r="A189">
        <f t="shared" si="75"/>
        <v>187</v>
      </c>
      <c r="B189">
        <f t="shared" si="56"/>
        <v>5</v>
      </c>
      <c r="C189">
        <f t="shared" si="59"/>
        <v>1.4000000000000004</v>
      </c>
      <c r="D189" s="15">
        <f t="shared" si="57"/>
        <v>3.3333333333333335</v>
      </c>
      <c r="E189">
        <f t="shared" si="60"/>
        <v>1</v>
      </c>
      <c r="F189" s="3">
        <f t="shared" si="73"/>
        <v>43.333333333333336</v>
      </c>
      <c r="G189" s="3">
        <f t="shared" si="74"/>
        <v>0.75630934253087612</v>
      </c>
      <c r="H189" s="18">
        <f t="shared" si="61"/>
        <v>1.0183230982022684</v>
      </c>
      <c r="I189" s="3">
        <f t="shared" si="62"/>
        <v>0.96073829301622726</v>
      </c>
      <c r="J189" s="19" t="str">
        <f t="shared" si="58"/>
        <v>L</v>
      </c>
      <c r="K189" s="20">
        <f t="shared" si="63"/>
        <v>1.0183230982022684</v>
      </c>
      <c r="L189" s="20">
        <f t="shared" si="64"/>
        <v>0.96073829301622726</v>
      </c>
      <c r="M189" s="20" t="e">
        <f t="shared" si="65"/>
        <v>#N/A</v>
      </c>
      <c r="N189" s="20" t="e">
        <f t="shared" si="66"/>
        <v>#N/A</v>
      </c>
      <c r="O189" s="20" t="e">
        <f t="shared" si="67"/>
        <v>#N/A</v>
      </c>
      <c r="P189" s="20" t="e">
        <f t="shared" si="68"/>
        <v>#N/A</v>
      </c>
      <c r="Q189" s="20" t="e">
        <f t="shared" si="69"/>
        <v>#N/A</v>
      </c>
      <c r="R189" s="20" t="e">
        <f t="shared" si="70"/>
        <v>#N/A</v>
      </c>
      <c r="S189" s="20" t="e">
        <f t="shared" si="71"/>
        <v>#N/A</v>
      </c>
      <c r="T189" s="20" t="e">
        <f t="shared" si="72"/>
        <v>#N/A</v>
      </c>
      <c r="U189" s="3"/>
      <c r="AA189" s="4"/>
    </row>
    <row r="190" spans="1:27" x14ac:dyDescent="0.25">
      <c r="A190">
        <f t="shared" si="75"/>
        <v>188</v>
      </c>
      <c r="B190">
        <f t="shared" si="56"/>
        <v>5</v>
      </c>
      <c r="C190">
        <f t="shared" si="59"/>
        <v>1.4000000000000004</v>
      </c>
      <c r="D190" s="15">
        <f t="shared" si="57"/>
        <v>3.3333333333333335</v>
      </c>
      <c r="E190">
        <f t="shared" si="60"/>
        <v>1</v>
      </c>
      <c r="F190" s="3">
        <f t="shared" si="73"/>
        <v>46.666666666666671</v>
      </c>
      <c r="G190" s="3">
        <f t="shared" si="74"/>
        <v>0.81448698426402055</v>
      </c>
      <c r="H190" s="18">
        <f t="shared" si="61"/>
        <v>0.96073829301622715</v>
      </c>
      <c r="I190" s="3">
        <f t="shared" si="62"/>
        <v>1.0183230982022684</v>
      </c>
      <c r="J190" s="19" t="str">
        <f t="shared" si="58"/>
        <v>L</v>
      </c>
      <c r="K190" s="20">
        <f t="shared" si="63"/>
        <v>0.96073829301622715</v>
      </c>
      <c r="L190" s="20">
        <f t="shared" si="64"/>
        <v>1.0183230982022684</v>
      </c>
      <c r="M190" s="20" t="e">
        <f t="shared" si="65"/>
        <v>#N/A</v>
      </c>
      <c r="N190" s="20" t="e">
        <f t="shared" si="66"/>
        <v>#N/A</v>
      </c>
      <c r="O190" s="20" t="e">
        <f t="shared" si="67"/>
        <v>#N/A</v>
      </c>
      <c r="P190" s="20" t="e">
        <f t="shared" si="68"/>
        <v>#N/A</v>
      </c>
      <c r="Q190" s="20" t="e">
        <f t="shared" si="69"/>
        <v>#N/A</v>
      </c>
      <c r="R190" s="20" t="e">
        <f t="shared" si="70"/>
        <v>#N/A</v>
      </c>
      <c r="S190" s="20" t="e">
        <f t="shared" si="71"/>
        <v>#N/A</v>
      </c>
      <c r="T190" s="20" t="e">
        <f t="shared" si="72"/>
        <v>#N/A</v>
      </c>
      <c r="U190" s="3"/>
      <c r="AA190" s="4"/>
    </row>
    <row r="191" spans="1:27" x14ac:dyDescent="0.25">
      <c r="A191">
        <f t="shared" si="75"/>
        <v>189</v>
      </c>
      <c r="B191">
        <f t="shared" si="56"/>
        <v>5</v>
      </c>
      <c r="C191">
        <f t="shared" si="59"/>
        <v>1.4000000000000004</v>
      </c>
      <c r="D191" s="15">
        <f t="shared" si="57"/>
        <v>3.3333333333333335</v>
      </c>
      <c r="E191">
        <f t="shared" si="60"/>
        <v>1</v>
      </c>
      <c r="F191" s="3">
        <f t="shared" si="73"/>
        <v>50.000000000000007</v>
      </c>
      <c r="G191" s="3">
        <f t="shared" si="74"/>
        <v>0.87266462599716477</v>
      </c>
      <c r="H191" s="18">
        <f t="shared" si="61"/>
        <v>0.89990265356115529</v>
      </c>
      <c r="I191" s="3">
        <f t="shared" si="62"/>
        <v>1.0724622203665695</v>
      </c>
      <c r="J191" s="19" t="str">
        <f t="shared" si="58"/>
        <v>L</v>
      </c>
      <c r="K191" s="20">
        <f t="shared" si="63"/>
        <v>0.89990265356115529</v>
      </c>
      <c r="L191" s="20">
        <f t="shared" si="64"/>
        <v>1.0724622203665695</v>
      </c>
      <c r="M191" s="20" t="e">
        <f t="shared" si="65"/>
        <v>#N/A</v>
      </c>
      <c r="N191" s="20" t="e">
        <f t="shared" si="66"/>
        <v>#N/A</v>
      </c>
      <c r="O191" s="20" t="e">
        <f t="shared" si="67"/>
        <v>#N/A</v>
      </c>
      <c r="P191" s="20" t="e">
        <f t="shared" si="68"/>
        <v>#N/A</v>
      </c>
      <c r="Q191" s="20" t="e">
        <f t="shared" si="69"/>
        <v>#N/A</v>
      </c>
      <c r="R191" s="20" t="e">
        <f t="shared" si="70"/>
        <v>#N/A</v>
      </c>
      <c r="S191" s="20" t="e">
        <f t="shared" si="71"/>
        <v>#N/A</v>
      </c>
      <c r="T191" s="20" t="e">
        <f t="shared" si="72"/>
        <v>#N/A</v>
      </c>
      <c r="U191" s="3"/>
      <c r="AA191" s="4"/>
    </row>
    <row r="192" spans="1:27" x14ac:dyDescent="0.25">
      <c r="A192">
        <f t="shared" si="75"/>
        <v>190</v>
      </c>
      <c r="B192">
        <f t="shared" si="56"/>
        <v>5</v>
      </c>
      <c r="C192">
        <f t="shared" si="59"/>
        <v>1.4000000000000004</v>
      </c>
      <c r="D192" s="15">
        <f t="shared" si="57"/>
        <v>3.3333333333333335</v>
      </c>
      <c r="E192">
        <f t="shared" si="60"/>
        <v>1</v>
      </c>
      <c r="F192" s="3">
        <f t="shared" si="73"/>
        <v>53.333333333333343</v>
      </c>
      <c r="G192" s="3">
        <f t="shared" si="74"/>
        <v>0.9308422677303092</v>
      </c>
      <c r="H192" s="18">
        <f t="shared" si="61"/>
        <v>0.83602202838390072</v>
      </c>
      <c r="I192" s="3">
        <f t="shared" si="62"/>
        <v>1.1229724698570616</v>
      </c>
      <c r="J192" s="19" t="str">
        <f t="shared" si="58"/>
        <v>L</v>
      </c>
      <c r="K192" s="20">
        <f t="shared" si="63"/>
        <v>0.83602202838390072</v>
      </c>
      <c r="L192" s="20">
        <f t="shared" si="64"/>
        <v>1.1229724698570616</v>
      </c>
      <c r="M192" s="20" t="e">
        <f t="shared" si="65"/>
        <v>#N/A</v>
      </c>
      <c r="N192" s="20" t="e">
        <f t="shared" si="66"/>
        <v>#N/A</v>
      </c>
      <c r="O192" s="20" t="e">
        <f t="shared" si="67"/>
        <v>#N/A</v>
      </c>
      <c r="P192" s="20" t="e">
        <f t="shared" si="68"/>
        <v>#N/A</v>
      </c>
      <c r="Q192" s="20" t="e">
        <f t="shared" si="69"/>
        <v>#N/A</v>
      </c>
      <c r="R192" s="20" t="e">
        <f t="shared" si="70"/>
        <v>#N/A</v>
      </c>
      <c r="S192" s="20" t="e">
        <f t="shared" si="71"/>
        <v>#N/A</v>
      </c>
      <c r="T192" s="20" t="e">
        <f t="shared" si="72"/>
        <v>#N/A</v>
      </c>
      <c r="U192" s="3"/>
      <c r="AA192" s="4"/>
    </row>
    <row r="193" spans="1:27" x14ac:dyDescent="0.25">
      <c r="A193">
        <f t="shared" si="75"/>
        <v>191</v>
      </c>
      <c r="B193">
        <f t="shared" si="56"/>
        <v>5</v>
      </c>
      <c r="C193">
        <f t="shared" si="59"/>
        <v>1.4000000000000004</v>
      </c>
      <c r="D193" s="15">
        <f t="shared" si="57"/>
        <v>3.3333333333333335</v>
      </c>
      <c r="E193">
        <f t="shared" si="60"/>
        <v>1</v>
      </c>
      <c r="F193" s="3">
        <f t="shared" si="73"/>
        <v>56.666666666666679</v>
      </c>
      <c r="G193" s="3">
        <f t="shared" si="74"/>
        <v>0.98901990946345364</v>
      </c>
      <c r="H193" s="18">
        <f t="shared" si="61"/>
        <v>0.7693125692991285</v>
      </c>
      <c r="I193" s="3">
        <f t="shared" si="62"/>
        <v>1.1696829359781113</v>
      </c>
      <c r="J193" s="19" t="str">
        <f t="shared" si="58"/>
        <v>L</v>
      </c>
      <c r="K193" s="20">
        <f t="shared" si="63"/>
        <v>0.7693125692991285</v>
      </c>
      <c r="L193" s="20">
        <f t="shared" si="64"/>
        <v>1.1696829359781113</v>
      </c>
      <c r="M193" s="20" t="e">
        <f t="shared" si="65"/>
        <v>#N/A</v>
      </c>
      <c r="N193" s="20" t="e">
        <f t="shared" si="66"/>
        <v>#N/A</v>
      </c>
      <c r="O193" s="20" t="e">
        <f t="shared" si="67"/>
        <v>#N/A</v>
      </c>
      <c r="P193" s="20" t="e">
        <f t="shared" si="68"/>
        <v>#N/A</v>
      </c>
      <c r="Q193" s="20" t="e">
        <f t="shared" si="69"/>
        <v>#N/A</v>
      </c>
      <c r="R193" s="20" t="e">
        <f t="shared" si="70"/>
        <v>#N/A</v>
      </c>
      <c r="S193" s="20" t="e">
        <f t="shared" si="71"/>
        <v>#N/A</v>
      </c>
      <c r="T193" s="20" t="e">
        <f t="shared" si="72"/>
        <v>#N/A</v>
      </c>
      <c r="U193" s="3"/>
      <c r="AA193" s="4"/>
    </row>
    <row r="194" spans="1:27" x14ac:dyDescent="0.25">
      <c r="A194">
        <f t="shared" si="75"/>
        <v>192</v>
      </c>
      <c r="B194">
        <f t="shared" si="56"/>
        <v>5</v>
      </c>
      <c r="C194">
        <f t="shared" si="59"/>
        <v>1.4000000000000004</v>
      </c>
      <c r="D194" s="15">
        <f t="shared" si="57"/>
        <v>3.3333333333333335</v>
      </c>
      <c r="E194">
        <f t="shared" si="60"/>
        <v>1</v>
      </c>
      <c r="F194" s="3">
        <f t="shared" si="73"/>
        <v>60.000000000000014</v>
      </c>
      <c r="G194" s="3">
        <f t="shared" si="74"/>
        <v>1.0471975511965981</v>
      </c>
      <c r="H194" s="18">
        <f t="shared" si="61"/>
        <v>0.69999999999999973</v>
      </c>
      <c r="I194" s="3">
        <f t="shared" si="62"/>
        <v>1.2124355652982146</v>
      </c>
      <c r="J194" s="19" t="str">
        <f t="shared" si="58"/>
        <v>L</v>
      </c>
      <c r="K194" s="20">
        <f t="shared" si="63"/>
        <v>0.69999999999999973</v>
      </c>
      <c r="L194" s="20">
        <f t="shared" si="64"/>
        <v>1.2124355652982146</v>
      </c>
      <c r="M194" s="20" t="e">
        <f t="shared" si="65"/>
        <v>#N/A</v>
      </c>
      <c r="N194" s="20" t="e">
        <f t="shared" si="66"/>
        <v>#N/A</v>
      </c>
      <c r="O194" s="20" t="e">
        <f t="shared" si="67"/>
        <v>#N/A</v>
      </c>
      <c r="P194" s="20" t="e">
        <f t="shared" si="68"/>
        <v>#N/A</v>
      </c>
      <c r="Q194" s="20" t="e">
        <f t="shared" si="69"/>
        <v>#N/A</v>
      </c>
      <c r="R194" s="20" t="e">
        <f t="shared" si="70"/>
        <v>#N/A</v>
      </c>
      <c r="S194" s="20" t="e">
        <f t="shared" si="71"/>
        <v>#N/A</v>
      </c>
      <c r="T194" s="20" t="e">
        <f t="shared" si="72"/>
        <v>#N/A</v>
      </c>
      <c r="U194" s="3"/>
      <c r="AA194" s="4"/>
    </row>
    <row r="195" spans="1:27" x14ac:dyDescent="0.25">
      <c r="A195">
        <f t="shared" si="75"/>
        <v>193</v>
      </c>
      <c r="B195">
        <f t="shared" ref="B195:B258" si="76">VLOOKUP(A195,$Y$2:$Z$13,2,1)</f>
        <v>5</v>
      </c>
      <c r="C195">
        <f t="shared" si="59"/>
        <v>1.4000000000000004</v>
      </c>
      <c r="D195" s="15">
        <f t="shared" ref="D195:D258" si="77">VLOOKUP(B195,$V$2:$AC$13,8,0)</f>
        <v>3.3333333333333335</v>
      </c>
      <c r="E195">
        <f t="shared" si="60"/>
        <v>1</v>
      </c>
      <c r="F195" s="3">
        <f t="shared" si="73"/>
        <v>63.33333333333335</v>
      </c>
      <c r="G195" s="3">
        <f t="shared" si="74"/>
        <v>1.1053751929297424</v>
      </c>
      <c r="H195" s="18">
        <f t="shared" si="61"/>
        <v>0.62831885228064677</v>
      </c>
      <c r="I195" s="3">
        <f t="shared" si="62"/>
        <v>1.2510856964527777</v>
      </c>
      <c r="J195" s="19" t="str">
        <f t="shared" ref="J195:J258" si="78">VLOOKUP(A195,$AQ$3:$AR$58,2,1)</f>
        <v>L</v>
      </c>
      <c r="K195" s="20">
        <f t="shared" si="63"/>
        <v>0.62831885228064677</v>
      </c>
      <c r="L195" s="20">
        <f t="shared" si="64"/>
        <v>1.2510856964527777</v>
      </c>
      <c r="M195" s="20" t="e">
        <f t="shared" si="65"/>
        <v>#N/A</v>
      </c>
      <c r="N195" s="20" t="e">
        <f t="shared" si="66"/>
        <v>#N/A</v>
      </c>
      <c r="O195" s="20" t="e">
        <f t="shared" si="67"/>
        <v>#N/A</v>
      </c>
      <c r="P195" s="20" t="e">
        <f t="shared" si="68"/>
        <v>#N/A</v>
      </c>
      <c r="Q195" s="20" t="e">
        <f t="shared" si="69"/>
        <v>#N/A</v>
      </c>
      <c r="R195" s="20" t="e">
        <f t="shared" si="70"/>
        <v>#N/A</v>
      </c>
      <c r="S195" s="20" t="e">
        <f t="shared" si="71"/>
        <v>#N/A</v>
      </c>
      <c r="T195" s="20" t="e">
        <f t="shared" si="72"/>
        <v>#N/A</v>
      </c>
      <c r="U195" s="3"/>
      <c r="AA195" s="4"/>
    </row>
    <row r="196" spans="1:27" x14ac:dyDescent="0.25">
      <c r="A196">
        <f t="shared" si="75"/>
        <v>194</v>
      </c>
      <c r="B196">
        <f t="shared" si="76"/>
        <v>5</v>
      </c>
      <c r="C196">
        <f t="shared" ref="C196:C259" si="79">VLOOKUP(B196,$V$2:$AB$14,7,0)</f>
        <v>1.4000000000000004</v>
      </c>
      <c r="D196" s="15">
        <f t="shared" si="77"/>
        <v>3.3333333333333335</v>
      </c>
      <c r="E196">
        <f t="shared" ref="E196:E259" si="80">IF(OR(A196=$Y$3,A196=$Y$4,A196=$Y$5,A196=$Y$6,A196=$Y$7,A196=$Y$8,A196=$Y$9,A196=$Y$10,A196=$Y$11,A196=$Y$12,A196=$Y$12),0,1)</f>
        <v>1</v>
      </c>
      <c r="F196" s="3">
        <f t="shared" si="73"/>
        <v>66.666666666666686</v>
      </c>
      <c r="G196" s="3">
        <f t="shared" si="74"/>
        <v>1.1635528346628867</v>
      </c>
      <c r="H196" s="18">
        <f t="shared" ref="H196:H259" si="81">C196*COS(G196)</f>
        <v>0.55451167245481925</v>
      </c>
      <c r="I196" s="3">
        <f t="shared" ref="I196:I259" si="82">C196*SIN(G196)</f>
        <v>1.285502549632384</v>
      </c>
      <c r="J196" s="19" t="str">
        <f t="shared" si="78"/>
        <v>L</v>
      </c>
      <c r="K196" s="20">
        <f t="shared" ref="K196:K259" si="83">IF(J196="L",H196,NA())</f>
        <v>0.55451167245481925</v>
      </c>
      <c r="L196" s="20">
        <f t="shared" ref="L196:L259" si="84">IF(J196="l",I196,NA())</f>
        <v>1.285502549632384</v>
      </c>
      <c r="M196" s="20" t="e">
        <f t="shared" ref="M196:M259" si="85">IF(J196="C",H196,NA())</f>
        <v>#N/A</v>
      </c>
      <c r="N196" s="20" t="e">
        <f t="shared" ref="N196:N259" si="86">IF(J196="C",I196,NA())</f>
        <v>#N/A</v>
      </c>
      <c r="O196" s="20" t="e">
        <f t="shared" ref="O196:O259" si="87">IF(J196="LD",H196,NA())</f>
        <v>#N/A</v>
      </c>
      <c r="P196" s="20" t="e">
        <f t="shared" ref="P196:P259" si="88">IF(J196="LD",I196,NA())</f>
        <v>#N/A</v>
      </c>
      <c r="Q196" s="20" t="e">
        <f t="shared" ref="Q196:Q259" si="89">IF(J196="SNP",H196,NA())</f>
        <v>#N/A</v>
      </c>
      <c r="R196" s="20" t="e">
        <f t="shared" ref="R196:R259" si="90">IF(J196="SNP",I196,NA())</f>
        <v>#N/A</v>
      </c>
      <c r="S196" s="20" t="e">
        <f t="shared" ref="S196:S259" si="91">IF(J196="Oth",H196,NA())</f>
        <v>#N/A</v>
      </c>
      <c r="T196" s="20" t="e">
        <f t="shared" ref="T196:T259" si="92">IF(J196="oth",I196,NA())</f>
        <v>#N/A</v>
      </c>
      <c r="U196" s="3"/>
      <c r="AA196" s="4"/>
    </row>
    <row r="197" spans="1:27" x14ac:dyDescent="0.25">
      <c r="A197">
        <f t="shared" si="75"/>
        <v>195</v>
      </c>
      <c r="B197">
        <f t="shared" si="76"/>
        <v>5</v>
      </c>
      <c r="C197">
        <f t="shared" si="79"/>
        <v>1.4000000000000004</v>
      </c>
      <c r="D197" s="15">
        <f t="shared" si="77"/>
        <v>3.3333333333333335</v>
      </c>
      <c r="E197">
        <f t="shared" si="80"/>
        <v>1</v>
      </c>
      <c r="F197" s="3">
        <f t="shared" si="73"/>
        <v>70.000000000000014</v>
      </c>
      <c r="G197" s="3">
        <f t="shared" si="74"/>
        <v>1.2217304763960308</v>
      </c>
      <c r="H197" s="18">
        <f t="shared" si="81"/>
        <v>0.47882820065593618</v>
      </c>
      <c r="I197" s="3">
        <f t="shared" si="82"/>
        <v>1.3155696691002721</v>
      </c>
      <c r="J197" s="19" t="str">
        <f t="shared" si="78"/>
        <v>L</v>
      </c>
      <c r="K197" s="20">
        <f t="shared" si="83"/>
        <v>0.47882820065593618</v>
      </c>
      <c r="L197" s="20">
        <f t="shared" si="84"/>
        <v>1.3155696691002721</v>
      </c>
      <c r="M197" s="20" t="e">
        <f t="shared" si="85"/>
        <v>#N/A</v>
      </c>
      <c r="N197" s="20" t="e">
        <f t="shared" si="86"/>
        <v>#N/A</v>
      </c>
      <c r="O197" s="20" t="e">
        <f t="shared" si="87"/>
        <v>#N/A</v>
      </c>
      <c r="P197" s="20" t="e">
        <f t="shared" si="88"/>
        <v>#N/A</v>
      </c>
      <c r="Q197" s="20" t="e">
        <f t="shared" si="89"/>
        <v>#N/A</v>
      </c>
      <c r="R197" s="20" t="e">
        <f t="shared" si="90"/>
        <v>#N/A</v>
      </c>
      <c r="S197" s="20" t="e">
        <f t="shared" si="91"/>
        <v>#N/A</v>
      </c>
      <c r="T197" s="20" t="e">
        <f t="shared" si="92"/>
        <v>#N/A</v>
      </c>
      <c r="U197" s="3"/>
      <c r="AA197" s="4"/>
    </row>
    <row r="198" spans="1:27" x14ac:dyDescent="0.25">
      <c r="A198">
        <f t="shared" si="75"/>
        <v>196</v>
      </c>
      <c r="B198">
        <f t="shared" si="76"/>
        <v>5</v>
      </c>
      <c r="C198">
        <f t="shared" si="79"/>
        <v>1.4000000000000004</v>
      </c>
      <c r="D198" s="15">
        <f t="shared" si="77"/>
        <v>3.3333333333333335</v>
      </c>
      <c r="E198">
        <f t="shared" si="80"/>
        <v>1</v>
      </c>
      <c r="F198" s="3">
        <f t="shared" ref="F198:F261" si="93">IF(E198=0,0,D198+F197)</f>
        <v>73.333333333333343</v>
      </c>
      <c r="G198" s="3">
        <f t="shared" ref="G198:G261" si="94">(F198/180)*PI()</f>
        <v>1.2799081181291752</v>
      </c>
      <c r="H198" s="18">
        <f t="shared" si="81"/>
        <v>0.40152452579552633</v>
      </c>
      <c r="I198" s="3">
        <f t="shared" si="82"/>
        <v>1.3411853172416848</v>
      </c>
      <c r="J198" s="19" t="str">
        <f t="shared" si="78"/>
        <v>L</v>
      </c>
      <c r="K198" s="20">
        <f t="shared" si="83"/>
        <v>0.40152452579552633</v>
      </c>
      <c r="L198" s="20">
        <f t="shared" si="84"/>
        <v>1.3411853172416848</v>
      </c>
      <c r="M198" s="20" t="e">
        <f t="shared" si="85"/>
        <v>#N/A</v>
      </c>
      <c r="N198" s="20" t="e">
        <f t="shared" si="86"/>
        <v>#N/A</v>
      </c>
      <c r="O198" s="20" t="e">
        <f t="shared" si="87"/>
        <v>#N/A</v>
      </c>
      <c r="P198" s="20" t="e">
        <f t="shared" si="88"/>
        <v>#N/A</v>
      </c>
      <c r="Q198" s="20" t="e">
        <f t="shared" si="89"/>
        <v>#N/A</v>
      </c>
      <c r="R198" s="20" t="e">
        <f t="shared" si="90"/>
        <v>#N/A</v>
      </c>
      <c r="S198" s="20" t="e">
        <f t="shared" si="91"/>
        <v>#N/A</v>
      </c>
      <c r="T198" s="20" t="e">
        <f t="shared" si="92"/>
        <v>#N/A</v>
      </c>
      <c r="U198" s="3"/>
      <c r="AA198" s="4"/>
    </row>
    <row r="199" spans="1:27" x14ac:dyDescent="0.25">
      <c r="A199">
        <f t="shared" si="75"/>
        <v>197</v>
      </c>
      <c r="B199">
        <f t="shared" si="76"/>
        <v>5</v>
      </c>
      <c r="C199">
        <f t="shared" si="79"/>
        <v>1.4000000000000004</v>
      </c>
      <c r="D199" s="15">
        <f t="shared" si="77"/>
        <v>3.3333333333333335</v>
      </c>
      <c r="E199">
        <f t="shared" si="80"/>
        <v>1</v>
      </c>
      <c r="F199" s="3">
        <f t="shared" si="93"/>
        <v>76.666666666666671</v>
      </c>
      <c r="G199" s="3">
        <f t="shared" si="94"/>
        <v>1.3380857598623193</v>
      </c>
      <c r="H199" s="18">
        <f t="shared" si="81"/>
        <v>0.32286221903941642</v>
      </c>
      <c r="I199" s="3">
        <f t="shared" si="82"/>
        <v>1.3622628188117536</v>
      </c>
      <c r="J199" s="19" t="str">
        <f t="shared" si="78"/>
        <v>L</v>
      </c>
      <c r="K199" s="20">
        <f t="shared" si="83"/>
        <v>0.32286221903941642</v>
      </c>
      <c r="L199" s="20">
        <f t="shared" si="84"/>
        <v>1.3622628188117536</v>
      </c>
      <c r="M199" s="20" t="e">
        <f t="shared" si="85"/>
        <v>#N/A</v>
      </c>
      <c r="N199" s="20" t="e">
        <f t="shared" si="86"/>
        <v>#N/A</v>
      </c>
      <c r="O199" s="20" t="e">
        <f t="shared" si="87"/>
        <v>#N/A</v>
      </c>
      <c r="P199" s="20" t="e">
        <f t="shared" si="88"/>
        <v>#N/A</v>
      </c>
      <c r="Q199" s="20" t="e">
        <f t="shared" si="89"/>
        <v>#N/A</v>
      </c>
      <c r="R199" s="20" t="e">
        <f t="shared" si="90"/>
        <v>#N/A</v>
      </c>
      <c r="S199" s="20" t="e">
        <f t="shared" si="91"/>
        <v>#N/A</v>
      </c>
      <c r="T199" s="20" t="e">
        <f t="shared" si="92"/>
        <v>#N/A</v>
      </c>
      <c r="U199" s="3"/>
      <c r="AA199" s="4"/>
    </row>
    <row r="200" spans="1:27" x14ac:dyDescent="0.25">
      <c r="A200">
        <f t="shared" si="75"/>
        <v>198</v>
      </c>
      <c r="B200">
        <f t="shared" si="76"/>
        <v>5</v>
      </c>
      <c r="C200">
        <f t="shared" si="79"/>
        <v>1.4000000000000004</v>
      </c>
      <c r="D200" s="15">
        <f t="shared" si="77"/>
        <v>3.3333333333333335</v>
      </c>
      <c r="E200">
        <f t="shared" si="80"/>
        <v>1</v>
      </c>
      <c r="F200" s="3">
        <f t="shared" si="93"/>
        <v>80</v>
      </c>
      <c r="G200" s="3">
        <f t="shared" si="94"/>
        <v>1.3962634015954636</v>
      </c>
      <c r="H200" s="18">
        <f t="shared" si="81"/>
        <v>0.24310744873370263</v>
      </c>
      <c r="I200" s="3">
        <f t="shared" si="82"/>
        <v>1.3787308542170915</v>
      </c>
      <c r="J200" s="19" t="str">
        <f t="shared" si="78"/>
        <v>L</v>
      </c>
      <c r="K200" s="20">
        <f t="shared" si="83"/>
        <v>0.24310744873370263</v>
      </c>
      <c r="L200" s="20">
        <f t="shared" si="84"/>
        <v>1.3787308542170915</v>
      </c>
      <c r="M200" s="20" t="e">
        <f t="shared" si="85"/>
        <v>#N/A</v>
      </c>
      <c r="N200" s="20" t="e">
        <f t="shared" si="86"/>
        <v>#N/A</v>
      </c>
      <c r="O200" s="20" t="e">
        <f t="shared" si="87"/>
        <v>#N/A</v>
      </c>
      <c r="P200" s="20" t="e">
        <f t="shared" si="88"/>
        <v>#N/A</v>
      </c>
      <c r="Q200" s="20" t="e">
        <f t="shared" si="89"/>
        <v>#N/A</v>
      </c>
      <c r="R200" s="20" t="e">
        <f t="shared" si="90"/>
        <v>#N/A</v>
      </c>
      <c r="S200" s="20" t="e">
        <f t="shared" si="91"/>
        <v>#N/A</v>
      </c>
      <c r="T200" s="20" t="e">
        <f t="shared" si="92"/>
        <v>#N/A</v>
      </c>
      <c r="U200" s="3"/>
      <c r="AA200" s="4"/>
    </row>
    <row r="201" spans="1:27" x14ac:dyDescent="0.25">
      <c r="A201">
        <f t="shared" si="75"/>
        <v>199</v>
      </c>
      <c r="B201">
        <f t="shared" si="76"/>
        <v>5</v>
      </c>
      <c r="C201">
        <f t="shared" si="79"/>
        <v>1.4000000000000004</v>
      </c>
      <c r="D201" s="15">
        <f t="shared" si="77"/>
        <v>3.3333333333333335</v>
      </c>
      <c r="E201">
        <f t="shared" si="80"/>
        <v>1</v>
      </c>
      <c r="F201" s="3">
        <f t="shared" si="93"/>
        <v>83.333333333333329</v>
      </c>
      <c r="G201" s="3">
        <f t="shared" si="94"/>
        <v>1.4544410433286077</v>
      </c>
      <c r="H201" s="18">
        <f t="shared" si="81"/>
        <v>0.16253007977532277</v>
      </c>
      <c r="I201" s="3">
        <f t="shared" si="82"/>
        <v>1.3905337008387204</v>
      </c>
      <c r="J201" s="19" t="str">
        <f t="shared" si="78"/>
        <v>L</v>
      </c>
      <c r="K201" s="20">
        <f t="shared" si="83"/>
        <v>0.16253007977532277</v>
      </c>
      <c r="L201" s="20">
        <f t="shared" si="84"/>
        <v>1.3905337008387204</v>
      </c>
      <c r="M201" s="20" t="e">
        <f t="shared" si="85"/>
        <v>#N/A</v>
      </c>
      <c r="N201" s="20" t="e">
        <f t="shared" si="86"/>
        <v>#N/A</v>
      </c>
      <c r="O201" s="20" t="e">
        <f t="shared" si="87"/>
        <v>#N/A</v>
      </c>
      <c r="P201" s="20" t="e">
        <f t="shared" si="88"/>
        <v>#N/A</v>
      </c>
      <c r="Q201" s="20" t="e">
        <f t="shared" si="89"/>
        <v>#N/A</v>
      </c>
      <c r="R201" s="20" t="e">
        <f t="shared" si="90"/>
        <v>#N/A</v>
      </c>
      <c r="S201" s="20" t="e">
        <f t="shared" si="91"/>
        <v>#N/A</v>
      </c>
      <c r="T201" s="20" t="e">
        <f t="shared" si="92"/>
        <v>#N/A</v>
      </c>
      <c r="U201" s="3"/>
      <c r="AA201" s="4"/>
    </row>
    <row r="202" spans="1:27" x14ac:dyDescent="0.25">
      <c r="A202">
        <f t="shared" si="75"/>
        <v>200</v>
      </c>
      <c r="B202">
        <f t="shared" si="76"/>
        <v>5</v>
      </c>
      <c r="C202">
        <f t="shared" si="79"/>
        <v>1.4000000000000004</v>
      </c>
      <c r="D202" s="15">
        <f t="shared" si="77"/>
        <v>3.3333333333333335</v>
      </c>
      <c r="E202">
        <f t="shared" si="80"/>
        <v>1</v>
      </c>
      <c r="F202" s="3">
        <f t="shared" si="93"/>
        <v>86.666666666666657</v>
      </c>
      <c r="G202" s="3">
        <f t="shared" si="94"/>
        <v>1.5126186850617522</v>
      </c>
      <c r="H202" s="18">
        <f t="shared" si="81"/>
        <v>8.1402760474666283E-2</v>
      </c>
      <c r="I202" s="3">
        <f t="shared" si="82"/>
        <v>1.3976314215797758</v>
      </c>
      <c r="J202" s="19" t="str">
        <f t="shared" si="78"/>
        <v>L</v>
      </c>
      <c r="K202" s="20">
        <f t="shared" si="83"/>
        <v>8.1402760474666283E-2</v>
      </c>
      <c r="L202" s="20">
        <f t="shared" si="84"/>
        <v>1.3976314215797758</v>
      </c>
      <c r="M202" s="20" t="e">
        <f t="shared" si="85"/>
        <v>#N/A</v>
      </c>
      <c r="N202" s="20" t="e">
        <f t="shared" si="86"/>
        <v>#N/A</v>
      </c>
      <c r="O202" s="20" t="e">
        <f t="shared" si="87"/>
        <v>#N/A</v>
      </c>
      <c r="P202" s="20" t="e">
        <f t="shared" si="88"/>
        <v>#N/A</v>
      </c>
      <c r="Q202" s="20" t="e">
        <f t="shared" si="89"/>
        <v>#N/A</v>
      </c>
      <c r="R202" s="20" t="e">
        <f t="shared" si="90"/>
        <v>#N/A</v>
      </c>
      <c r="S202" s="20" t="e">
        <f t="shared" si="91"/>
        <v>#N/A</v>
      </c>
      <c r="T202" s="20" t="e">
        <f t="shared" si="92"/>
        <v>#N/A</v>
      </c>
      <c r="U202" s="3"/>
      <c r="AA202" s="4"/>
    </row>
    <row r="203" spans="1:27" x14ac:dyDescent="0.25">
      <c r="A203">
        <f t="shared" si="75"/>
        <v>201</v>
      </c>
      <c r="B203">
        <f t="shared" si="76"/>
        <v>5</v>
      </c>
      <c r="C203">
        <f t="shared" si="79"/>
        <v>1.4000000000000004</v>
      </c>
      <c r="D203" s="15">
        <f t="shared" si="77"/>
        <v>3.3333333333333335</v>
      </c>
      <c r="E203">
        <f t="shared" si="80"/>
        <v>1</v>
      </c>
      <c r="F203" s="3">
        <f t="shared" si="93"/>
        <v>89.999999999999986</v>
      </c>
      <c r="G203" s="3">
        <f t="shared" si="94"/>
        <v>1.5707963267948963</v>
      </c>
      <c r="H203" s="18">
        <f t="shared" si="81"/>
        <v>3.9662283873864731E-16</v>
      </c>
      <c r="I203" s="3">
        <f t="shared" si="82"/>
        <v>1.4000000000000004</v>
      </c>
      <c r="J203" s="19" t="str">
        <f t="shared" si="78"/>
        <v>L</v>
      </c>
      <c r="K203" s="20">
        <f t="shared" si="83"/>
        <v>3.9662283873864731E-16</v>
      </c>
      <c r="L203" s="20">
        <f t="shared" si="84"/>
        <v>1.4000000000000004</v>
      </c>
      <c r="M203" s="20" t="e">
        <f t="shared" si="85"/>
        <v>#N/A</v>
      </c>
      <c r="N203" s="20" t="e">
        <f t="shared" si="86"/>
        <v>#N/A</v>
      </c>
      <c r="O203" s="20" t="e">
        <f t="shared" si="87"/>
        <v>#N/A</v>
      </c>
      <c r="P203" s="20" t="e">
        <f t="shared" si="88"/>
        <v>#N/A</v>
      </c>
      <c r="Q203" s="20" t="e">
        <f t="shared" si="89"/>
        <v>#N/A</v>
      </c>
      <c r="R203" s="20" t="e">
        <f t="shared" si="90"/>
        <v>#N/A</v>
      </c>
      <c r="S203" s="20" t="e">
        <f t="shared" si="91"/>
        <v>#N/A</v>
      </c>
      <c r="T203" s="20" t="e">
        <f t="shared" si="92"/>
        <v>#N/A</v>
      </c>
      <c r="U203" s="3"/>
      <c r="AA203" s="4"/>
    </row>
    <row r="204" spans="1:27" x14ac:dyDescent="0.25">
      <c r="A204">
        <f t="shared" si="75"/>
        <v>202</v>
      </c>
      <c r="B204">
        <f t="shared" si="76"/>
        <v>5</v>
      </c>
      <c r="C204">
        <f t="shared" si="79"/>
        <v>1.4000000000000004</v>
      </c>
      <c r="D204" s="15">
        <f t="shared" si="77"/>
        <v>3.3333333333333335</v>
      </c>
      <c r="E204">
        <f t="shared" si="80"/>
        <v>1</v>
      </c>
      <c r="F204" s="3">
        <f t="shared" si="93"/>
        <v>93.333333333333314</v>
      </c>
      <c r="G204" s="3">
        <f t="shared" si="94"/>
        <v>1.6289739685280404</v>
      </c>
      <c r="H204" s="18">
        <f t="shared" si="81"/>
        <v>-8.1402760474665478E-2</v>
      </c>
      <c r="I204" s="3">
        <f t="shared" si="82"/>
        <v>1.397631421579776</v>
      </c>
      <c r="J204" s="19" t="str">
        <f t="shared" si="78"/>
        <v>L</v>
      </c>
      <c r="K204" s="20">
        <f t="shared" si="83"/>
        <v>-8.1402760474665478E-2</v>
      </c>
      <c r="L204" s="20">
        <f t="shared" si="84"/>
        <v>1.397631421579776</v>
      </c>
      <c r="M204" s="20" t="e">
        <f t="shared" si="85"/>
        <v>#N/A</v>
      </c>
      <c r="N204" s="20" t="e">
        <f t="shared" si="86"/>
        <v>#N/A</v>
      </c>
      <c r="O204" s="20" t="e">
        <f t="shared" si="87"/>
        <v>#N/A</v>
      </c>
      <c r="P204" s="20" t="e">
        <f t="shared" si="88"/>
        <v>#N/A</v>
      </c>
      <c r="Q204" s="20" t="e">
        <f t="shared" si="89"/>
        <v>#N/A</v>
      </c>
      <c r="R204" s="20" t="e">
        <f t="shared" si="90"/>
        <v>#N/A</v>
      </c>
      <c r="S204" s="20" t="e">
        <f t="shared" si="91"/>
        <v>#N/A</v>
      </c>
      <c r="T204" s="20" t="e">
        <f t="shared" si="92"/>
        <v>#N/A</v>
      </c>
      <c r="U204" s="3"/>
      <c r="AA204" s="4"/>
    </row>
    <row r="205" spans="1:27" x14ac:dyDescent="0.25">
      <c r="A205">
        <f t="shared" si="75"/>
        <v>203</v>
      </c>
      <c r="B205">
        <f t="shared" si="76"/>
        <v>5</v>
      </c>
      <c r="C205">
        <f t="shared" si="79"/>
        <v>1.4000000000000004</v>
      </c>
      <c r="D205" s="15">
        <f t="shared" si="77"/>
        <v>3.3333333333333335</v>
      </c>
      <c r="E205">
        <f t="shared" si="80"/>
        <v>1</v>
      </c>
      <c r="F205" s="3">
        <f t="shared" si="93"/>
        <v>96.666666666666643</v>
      </c>
      <c r="G205" s="3">
        <f t="shared" si="94"/>
        <v>1.6871516102611848</v>
      </c>
      <c r="H205" s="18">
        <f t="shared" si="81"/>
        <v>-0.16253007977532166</v>
      </c>
      <c r="I205" s="3">
        <f t="shared" si="82"/>
        <v>1.3905337008387206</v>
      </c>
      <c r="J205" s="19" t="str">
        <f t="shared" si="78"/>
        <v>L</v>
      </c>
      <c r="K205" s="20">
        <f t="shared" si="83"/>
        <v>-0.16253007977532166</v>
      </c>
      <c r="L205" s="20">
        <f t="shared" si="84"/>
        <v>1.3905337008387206</v>
      </c>
      <c r="M205" s="20" t="e">
        <f t="shared" si="85"/>
        <v>#N/A</v>
      </c>
      <c r="N205" s="20" t="e">
        <f t="shared" si="86"/>
        <v>#N/A</v>
      </c>
      <c r="O205" s="20" t="e">
        <f t="shared" si="87"/>
        <v>#N/A</v>
      </c>
      <c r="P205" s="20" t="e">
        <f t="shared" si="88"/>
        <v>#N/A</v>
      </c>
      <c r="Q205" s="20" t="e">
        <f t="shared" si="89"/>
        <v>#N/A</v>
      </c>
      <c r="R205" s="20" t="e">
        <f t="shared" si="90"/>
        <v>#N/A</v>
      </c>
      <c r="S205" s="20" t="e">
        <f t="shared" si="91"/>
        <v>#N/A</v>
      </c>
      <c r="T205" s="20" t="e">
        <f t="shared" si="92"/>
        <v>#N/A</v>
      </c>
      <c r="U205" s="3"/>
      <c r="AA205" s="4"/>
    </row>
    <row r="206" spans="1:27" x14ac:dyDescent="0.25">
      <c r="A206">
        <f t="shared" si="75"/>
        <v>204</v>
      </c>
      <c r="B206">
        <f t="shared" si="76"/>
        <v>5</v>
      </c>
      <c r="C206">
        <f t="shared" si="79"/>
        <v>1.4000000000000004</v>
      </c>
      <c r="D206" s="15">
        <f t="shared" si="77"/>
        <v>3.3333333333333335</v>
      </c>
      <c r="E206">
        <f t="shared" si="80"/>
        <v>1</v>
      </c>
      <c r="F206" s="3">
        <f t="shared" si="93"/>
        <v>99.999999999999972</v>
      </c>
      <c r="G206" s="3">
        <f t="shared" si="94"/>
        <v>1.7453292519943289</v>
      </c>
      <c r="H206" s="18">
        <f t="shared" si="81"/>
        <v>-0.24310744873370155</v>
      </c>
      <c r="I206" s="3">
        <f t="shared" si="82"/>
        <v>1.3787308542170917</v>
      </c>
      <c r="J206" s="19" t="str">
        <f t="shared" si="78"/>
        <v>L</v>
      </c>
      <c r="K206" s="20">
        <f t="shared" si="83"/>
        <v>-0.24310744873370155</v>
      </c>
      <c r="L206" s="20">
        <f t="shared" si="84"/>
        <v>1.3787308542170917</v>
      </c>
      <c r="M206" s="20" t="e">
        <f t="shared" si="85"/>
        <v>#N/A</v>
      </c>
      <c r="N206" s="20" t="e">
        <f t="shared" si="86"/>
        <v>#N/A</v>
      </c>
      <c r="O206" s="20" t="e">
        <f t="shared" si="87"/>
        <v>#N/A</v>
      </c>
      <c r="P206" s="20" t="e">
        <f t="shared" si="88"/>
        <v>#N/A</v>
      </c>
      <c r="Q206" s="20" t="e">
        <f t="shared" si="89"/>
        <v>#N/A</v>
      </c>
      <c r="R206" s="20" t="e">
        <f t="shared" si="90"/>
        <v>#N/A</v>
      </c>
      <c r="S206" s="20" t="e">
        <f t="shared" si="91"/>
        <v>#N/A</v>
      </c>
      <c r="T206" s="20" t="e">
        <f t="shared" si="92"/>
        <v>#N/A</v>
      </c>
      <c r="U206" s="3"/>
      <c r="AA206" s="4"/>
    </row>
    <row r="207" spans="1:27" x14ac:dyDescent="0.25">
      <c r="A207">
        <f t="shared" ref="A207:A270" si="95">A206+1</f>
        <v>205</v>
      </c>
      <c r="B207">
        <f t="shared" si="76"/>
        <v>5</v>
      </c>
      <c r="C207">
        <f t="shared" si="79"/>
        <v>1.4000000000000004</v>
      </c>
      <c r="D207" s="15">
        <f t="shared" si="77"/>
        <v>3.3333333333333335</v>
      </c>
      <c r="E207">
        <f t="shared" si="80"/>
        <v>1</v>
      </c>
      <c r="F207" s="3">
        <f t="shared" si="93"/>
        <v>103.3333333333333</v>
      </c>
      <c r="G207" s="3">
        <f t="shared" si="94"/>
        <v>1.8035068937274732</v>
      </c>
      <c r="H207" s="18">
        <f t="shared" si="81"/>
        <v>-0.32286221903941537</v>
      </c>
      <c r="I207" s="3">
        <f t="shared" si="82"/>
        <v>1.362262818811754</v>
      </c>
      <c r="J207" s="19" t="str">
        <f t="shared" si="78"/>
        <v>L</v>
      </c>
      <c r="K207" s="20">
        <f t="shared" si="83"/>
        <v>-0.32286221903941537</v>
      </c>
      <c r="L207" s="20">
        <f t="shared" si="84"/>
        <v>1.362262818811754</v>
      </c>
      <c r="M207" s="20" t="e">
        <f t="shared" si="85"/>
        <v>#N/A</v>
      </c>
      <c r="N207" s="20" t="e">
        <f t="shared" si="86"/>
        <v>#N/A</v>
      </c>
      <c r="O207" s="20" t="e">
        <f t="shared" si="87"/>
        <v>#N/A</v>
      </c>
      <c r="P207" s="20" t="e">
        <f t="shared" si="88"/>
        <v>#N/A</v>
      </c>
      <c r="Q207" s="20" t="e">
        <f t="shared" si="89"/>
        <v>#N/A</v>
      </c>
      <c r="R207" s="20" t="e">
        <f t="shared" si="90"/>
        <v>#N/A</v>
      </c>
      <c r="S207" s="20" t="e">
        <f t="shared" si="91"/>
        <v>#N/A</v>
      </c>
      <c r="T207" s="20" t="e">
        <f t="shared" si="92"/>
        <v>#N/A</v>
      </c>
      <c r="U207" s="3"/>
      <c r="AA207" s="4"/>
    </row>
    <row r="208" spans="1:27" x14ac:dyDescent="0.25">
      <c r="A208">
        <f t="shared" si="95"/>
        <v>206</v>
      </c>
      <c r="B208">
        <f t="shared" si="76"/>
        <v>5</v>
      </c>
      <c r="C208">
        <f t="shared" si="79"/>
        <v>1.4000000000000004</v>
      </c>
      <c r="D208" s="15">
        <f t="shared" si="77"/>
        <v>3.3333333333333335</v>
      </c>
      <c r="E208">
        <f t="shared" si="80"/>
        <v>1</v>
      </c>
      <c r="F208" s="3">
        <f t="shared" si="93"/>
        <v>106.66666666666663</v>
      </c>
      <c r="G208" s="3">
        <f t="shared" si="94"/>
        <v>1.8616845354606173</v>
      </c>
      <c r="H208" s="18">
        <f t="shared" si="81"/>
        <v>-0.40152452579552522</v>
      </c>
      <c r="I208" s="3">
        <f t="shared" si="82"/>
        <v>1.3411853172416852</v>
      </c>
      <c r="J208" s="19" t="str">
        <f t="shared" si="78"/>
        <v>L</v>
      </c>
      <c r="K208" s="20">
        <f t="shared" si="83"/>
        <v>-0.40152452579552522</v>
      </c>
      <c r="L208" s="20">
        <f t="shared" si="84"/>
        <v>1.3411853172416852</v>
      </c>
      <c r="M208" s="20" t="e">
        <f t="shared" si="85"/>
        <v>#N/A</v>
      </c>
      <c r="N208" s="20" t="e">
        <f t="shared" si="86"/>
        <v>#N/A</v>
      </c>
      <c r="O208" s="20" t="e">
        <f t="shared" si="87"/>
        <v>#N/A</v>
      </c>
      <c r="P208" s="20" t="e">
        <f t="shared" si="88"/>
        <v>#N/A</v>
      </c>
      <c r="Q208" s="20" t="e">
        <f t="shared" si="89"/>
        <v>#N/A</v>
      </c>
      <c r="R208" s="20" t="e">
        <f t="shared" si="90"/>
        <v>#N/A</v>
      </c>
      <c r="S208" s="20" t="e">
        <f t="shared" si="91"/>
        <v>#N/A</v>
      </c>
      <c r="T208" s="20" t="e">
        <f t="shared" si="92"/>
        <v>#N/A</v>
      </c>
      <c r="U208" s="3"/>
      <c r="AA208" s="4"/>
    </row>
    <row r="209" spans="1:27" x14ac:dyDescent="0.25">
      <c r="A209">
        <f t="shared" si="95"/>
        <v>207</v>
      </c>
      <c r="B209">
        <f t="shared" si="76"/>
        <v>5</v>
      </c>
      <c r="C209">
        <f t="shared" si="79"/>
        <v>1.4000000000000004</v>
      </c>
      <c r="D209" s="15">
        <f t="shared" si="77"/>
        <v>3.3333333333333335</v>
      </c>
      <c r="E209">
        <f t="shared" si="80"/>
        <v>1</v>
      </c>
      <c r="F209" s="3">
        <f t="shared" si="93"/>
        <v>109.99999999999996</v>
      </c>
      <c r="G209" s="3">
        <f t="shared" si="94"/>
        <v>1.9198621771937616</v>
      </c>
      <c r="H209" s="18">
        <f t="shared" si="81"/>
        <v>-0.47882820065593518</v>
      </c>
      <c r="I209" s="3">
        <f t="shared" si="82"/>
        <v>1.3155696691002725</v>
      </c>
      <c r="J209" s="19" t="str">
        <f t="shared" si="78"/>
        <v>L</v>
      </c>
      <c r="K209" s="20">
        <f t="shared" si="83"/>
        <v>-0.47882820065593518</v>
      </c>
      <c r="L209" s="20">
        <f t="shared" si="84"/>
        <v>1.3155696691002725</v>
      </c>
      <c r="M209" s="20" t="e">
        <f t="shared" si="85"/>
        <v>#N/A</v>
      </c>
      <c r="N209" s="20" t="e">
        <f t="shared" si="86"/>
        <v>#N/A</v>
      </c>
      <c r="O209" s="20" t="e">
        <f t="shared" si="87"/>
        <v>#N/A</v>
      </c>
      <c r="P209" s="20" t="e">
        <f t="shared" si="88"/>
        <v>#N/A</v>
      </c>
      <c r="Q209" s="20" t="e">
        <f t="shared" si="89"/>
        <v>#N/A</v>
      </c>
      <c r="R209" s="20" t="e">
        <f t="shared" si="90"/>
        <v>#N/A</v>
      </c>
      <c r="S209" s="20" t="e">
        <f t="shared" si="91"/>
        <v>#N/A</v>
      </c>
      <c r="T209" s="20" t="e">
        <f t="shared" si="92"/>
        <v>#N/A</v>
      </c>
      <c r="U209" s="3"/>
      <c r="AA209" s="4"/>
    </row>
    <row r="210" spans="1:27" x14ac:dyDescent="0.25">
      <c r="A210">
        <f t="shared" si="95"/>
        <v>208</v>
      </c>
      <c r="B210">
        <f t="shared" si="76"/>
        <v>5</v>
      </c>
      <c r="C210">
        <f t="shared" si="79"/>
        <v>1.4000000000000004</v>
      </c>
      <c r="D210" s="15">
        <f t="shared" si="77"/>
        <v>3.3333333333333335</v>
      </c>
      <c r="E210">
        <f t="shared" si="80"/>
        <v>1</v>
      </c>
      <c r="F210" s="3">
        <f t="shared" si="93"/>
        <v>113.33333333333329</v>
      </c>
      <c r="G210" s="3">
        <f t="shared" si="94"/>
        <v>1.9780398189269057</v>
      </c>
      <c r="H210" s="18">
        <f t="shared" si="81"/>
        <v>-0.55451167245481825</v>
      </c>
      <c r="I210" s="3">
        <f t="shared" si="82"/>
        <v>1.2855025496323846</v>
      </c>
      <c r="J210" s="19" t="str">
        <f t="shared" si="78"/>
        <v>C</v>
      </c>
      <c r="K210" s="20" t="e">
        <f t="shared" si="83"/>
        <v>#N/A</v>
      </c>
      <c r="L210" s="20" t="e">
        <f t="shared" si="84"/>
        <v>#N/A</v>
      </c>
      <c r="M210" s="20">
        <f t="shared" si="85"/>
        <v>-0.55451167245481825</v>
      </c>
      <c r="N210" s="20">
        <f t="shared" si="86"/>
        <v>1.2855025496323846</v>
      </c>
      <c r="O210" s="20" t="e">
        <f t="shared" si="87"/>
        <v>#N/A</v>
      </c>
      <c r="P210" s="20" t="e">
        <f t="shared" si="88"/>
        <v>#N/A</v>
      </c>
      <c r="Q210" s="20" t="e">
        <f t="shared" si="89"/>
        <v>#N/A</v>
      </c>
      <c r="R210" s="20" t="e">
        <f t="shared" si="90"/>
        <v>#N/A</v>
      </c>
      <c r="S210" s="20" t="e">
        <f t="shared" si="91"/>
        <v>#N/A</v>
      </c>
      <c r="T210" s="20" t="e">
        <f t="shared" si="92"/>
        <v>#N/A</v>
      </c>
      <c r="U210" s="3"/>
      <c r="AA210" s="4"/>
    </row>
    <row r="211" spans="1:27" x14ac:dyDescent="0.25">
      <c r="A211">
        <f t="shared" si="95"/>
        <v>209</v>
      </c>
      <c r="B211">
        <f t="shared" si="76"/>
        <v>5</v>
      </c>
      <c r="C211">
        <f t="shared" si="79"/>
        <v>1.4000000000000004</v>
      </c>
      <c r="D211" s="15">
        <f t="shared" si="77"/>
        <v>3.3333333333333335</v>
      </c>
      <c r="E211">
        <f t="shared" si="80"/>
        <v>1</v>
      </c>
      <c r="F211" s="3">
        <f t="shared" si="93"/>
        <v>116.66666666666661</v>
      </c>
      <c r="G211" s="3">
        <f t="shared" si="94"/>
        <v>2.0362174606600498</v>
      </c>
      <c r="H211" s="18">
        <f t="shared" si="81"/>
        <v>-0.62831885228064543</v>
      </c>
      <c r="I211" s="3">
        <f t="shared" si="82"/>
        <v>1.2510856964527783</v>
      </c>
      <c r="J211" s="19" t="str">
        <f t="shared" si="78"/>
        <v>C</v>
      </c>
      <c r="K211" s="20" t="e">
        <f t="shared" si="83"/>
        <v>#N/A</v>
      </c>
      <c r="L211" s="20" t="e">
        <f t="shared" si="84"/>
        <v>#N/A</v>
      </c>
      <c r="M211" s="20">
        <f t="shared" si="85"/>
        <v>-0.62831885228064543</v>
      </c>
      <c r="N211" s="20">
        <f t="shared" si="86"/>
        <v>1.2510856964527783</v>
      </c>
      <c r="O211" s="20" t="e">
        <f t="shared" si="87"/>
        <v>#N/A</v>
      </c>
      <c r="P211" s="20" t="e">
        <f t="shared" si="88"/>
        <v>#N/A</v>
      </c>
      <c r="Q211" s="20" t="e">
        <f t="shared" si="89"/>
        <v>#N/A</v>
      </c>
      <c r="R211" s="20" t="e">
        <f t="shared" si="90"/>
        <v>#N/A</v>
      </c>
      <c r="S211" s="20" t="e">
        <f t="shared" si="91"/>
        <v>#N/A</v>
      </c>
      <c r="T211" s="20" t="e">
        <f t="shared" si="92"/>
        <v>#N/A</v>
      </c>
      <c r="U211" s="3"/>
      <c r="AA211" s="4"/>
    </row>
    <row r="212" spans="1:27" x14ac:dyDescent="0.25">
      <c r="A212">
        <f t="shared" si="95"/>
        <v>210</v>
      </c>
      <c r="B212">
        <f t="shared" si="76"/>
        <v>5</v>
      </c>
      <c r="C212">
        <f t="shared" si="79"/>
        <v>1.4000000000000004</v>
      </c>
      <c r="D212" s="15">
        <f t="shared" si="77"/>
        <v>3.3333333333333335</v>
      </c>
      <c r="E212">
        <f t="shared" si="80"/>
        <v>1</v>
      </c>
      <c r="F212" s="3">
        <f t="shared" si="93"/>
        <v>119.99999999999994</v>
      </c>
      <c r="G212" s="3">
        <f t="shared" si="94"/>
        <v>2.0943951023931944</v>
      </c>
      <c r="H212" s="18">
        <f t="shared" si="81"/>
        <v>-0.69999999999999885</v>
      </c>
      <c r="I212" s="3">
        <f t="shared" si="82"/>
        <v>1.2124355652982151</v>
      </c>
      <c r="J212" s="19" t="str">
        <f t="shared" si="78"/>
        <v>C</v>
      </c>
      <c r="K212" s="20" t="e">
        <f t="shared" si="83"/>
        <v>#N/A</v>
      </c>
      <c r="L212" s="20" t="e">
        <f t="shared" si="84"/>
        <v>#N/A</v>
      </c>
      <c r="M212" s="20">
        <f t="shared" si="85"/>
        <v>-0.69999999999999885</v>
      </c>
      <c r="N212" s="20">
        <f t="shared" si="86"/>
        <v>1.2124355652982151</v>
      </c>
      <c r="O212" s="20" t="e">
        <f t="shared" si="87"/>
        <v>#N/A</v>
      </c>
      <c r="P212" s="20" t="e">
        <f t="shared" si="88"/>
        <v>#N/A</v>
      </c>
      <c r="Q212" s="20" t="e">
        <f t="shared" si="89"/>
        <v>#N/A</v>
      </c>
      <c r="R212" s="20" t="e">
        <f t="shared" si="90"/>
        <v>#N/A</v>
      </c>
      <c r="S212" s="20" t="e">
        <f t="shared" si="91"/>
        <v>#N/A</v>
      </c>
      <c r="T212" s="20" t="e">
        <f t="shared" si="92"/>
        <v>#N/A</v>
      </c>
      <c r="U212" s="3"/>
      <c r="AA212" s="4"/>
    </row>
    <row r="213" spans="1:27" x14ac:dyDescent="0.25">
      <c r="A213">
        <f t="shared" si="95"/>
        <v>211</v>
      </c>
      <c r="B213">
        <f t="shared" si="76"/>
        <v>5</v>
      </c>
      <c r="C213">
        <f t="shared" si="79"/>
        <v>1.4000000000000004</v>
      </c>
      <c r="D213" s="15">
        <f t="shared" si="77"/>
        <v>3.3333333333333335</v>
      </c>
      <c r="E213">
        <f t="shared" si="80"/>
        <v>1</v>
      </c>
      <c r="F213" s="3">
        <f t="shared" si="93"/>
        <v>123.33333333333327</v>
      </c>
      <c r="G213" s="3">
        <f t="shared" si="94"/>
        <v>2.1525727441263389</v>
      </c>
      <c r="H213" s="18">
        <f t="shared" si="81"/>
        <v>-0.76931256929912772</v>
      </c>
      <c r="I213" s="3">
        <f t="shared" si="82"/>
        <v>1.169682935978112</v>
      </c>
      <c r="J213" s="19" t="str">
        <f t="shared" si="78"/>
        <v>C</v>
      </c>
      <c r="K213" s="20" t="e">
        <f t="shared" si="83"/>
        <v>#N/A</v>
      </c>
      <c r="L213" s="20" t="e">
        <f t="shared" si="84"/>
        <v>#N/A</v>
      </c>
      <c r="M213" s="20">
        <f t="shared" si="85"/>
        <v>-0.76931256929912772</v>
      </c>
      <c r="N213" s="20">
        <f t="shared" si="86"/>
        <v>1.169682935978112</v>
      </c>
      <c r="O213" s="20" t="e">
        <f t="shared" si="87"/>
        <v>#N/A</v>
      </c>
      <c r="P213" s="20" t="e">
        <f t="shared" si="88"/>
        <v>#N/A</v>
      </c>
      <c r="Q213" s="20" t="e">
        <f t="shared" si="89"/>
        <v>#N/A</v>
      </c>
      <c r="R213" s="20" t="e">
        <f t="shared" si="90"/>
        <v>#N/A</v>
      </c>
      <c r="S213" s="20" t="e">
        <f t="shared" si="91"/>
        <v>#N/A</v>
      </c>
      <c r="T213" s="20" t="e">
        <f t="shared" si="92"/>
        <v>#N/A</v>
      </c>
      <c r="U213" s="3"/>
      <c r="AA213" s="4"/>
    </row>
    <row r="214" spans="1:27" x14ac:dyDescent="0.25">
      <c r="A214">
        <f t="shared" si="95"/>
        <v>212</v>
      </c>
      <c r="B214">
        <f t="shared" si="76"/>
        <v>5</v>
      </c>
      <c r="C214">
        <f t="shared" si="79"/>
        <v>1.4000000000000004</v>
      </c>
      <c r="D214" s="15">
        <f t="shared" si="77"/>
        <v>3.3333333333333335</v>
      </c>
      <c r="E214">
        <f t="shared" si="80"/>
        <v>1</v>
      </c>
      <c r="F214" s="3">
        <f t="shared" si="93"/>
        <v>126.6666666666666</v>
      </c>
      <c r="G214" s="3">
        <f t="shared" si="94"/>
        <v>2.210750385859483</v>
      </c>
      <c r="H214" s="18">
        <f t="shared" si="81"/>
        <v>-0.83602202838389961</v>
      </c>
      <c r="I214" s="3">
        <f t="shared" si="82"/>
        <v>1.1229724698570624</v>
      </c>
      <c r="J214" s="19" t="str">
        <f t="shared" si="78"/>
        <v>C</v>
      </c>
      <c r="K214" s="20" t="e">
        <f t="shared" si="83"/>
        <v>#N/A</v>
      </c>
      <c r="L214" s="20" t="e">
        <f t="shared" si="84"/>
        <v>#N/A</v>
      </c>
      <c r="M214" s="20">
        <f t="shared" si="85"/>
        <v>-0.83602202838389961</v>
      </c>
      <c r="N214" s="20">
        <f t="shared" si="86"/>
        <v>1.1229724698570624</v>
      </c>
      <c r="O214" s="20" t="e">
        <f t="shared" si="87"/>
        <v>#N/A</v>
      </c>
      <c r="P214" s="20" t="e">
        <f t="shared" si="88"/>
        <v>#N/A</v>
      </c>
      <c r="Q214" s="20" t="e">
        <f t="shared" si="89"/>
        <v>#N/A</v>
      </c>
      <c r="R214" s="20" t="e">
        <f t="shared" si="90"/>
        <v>#N/A</v>
      </c>
      <c r="S214" s="20" t="e">
        <f t="shared" si="91"/>
        <v>#N/A</v>
      </c>
      <c r="T214" s="20" t="e">
        <f t="shared" si="92"/>
        <v>#N/A</v>
      </c>
      <c r="U214" s="3"/>
      <c r="AA214" s="4"/>
    </row>
    <row r="215" spans="1:27" x14ac:dyDescent="0.25">
      <c r="A215">
        <f t="shared" si="95"/>
        <v>213</v>
      </c>
      <c r="B215">
        <f t="shared" si="76"/>
        <v>5</v>
      </c>
      <c r="C215">
        <f t="shared" si="79"/>
        <v>1.4000000000000004</v>
      </c>
      <c r="D215" s="15">
        <f t="shared" si="77"/>
        <v>3.3333333333333335</v>
      </c>
      <c r="E215">
        <f t="shared" si="80"/>
        <v>1</v>
      </c>
      <c r="F215" s="3">
        <f t="shared" si="93"/>
        <v>129.99999999999994</v>
      </c>
      <c r="G215" s="3">
        <f t="shared" si="94"/>
        <v>2.2689280275926271</v>
      </c>
      <c r="H215" s="18">
        <f t="shared" si="81"/>
        <v>-0.89990265356115395</v>
      </c>
      <c r="I215" s="3">
        <f t="shared" si="82"/>
        <v>1.0724622203665708</v>
      </c>
      <c r="J215" s="19" t="str">
        <f t="shared" si="78"/>
        <v>C</v>
      </c>
      <c r="K215" s="20" t="e">
        <f t="shared" si="83"/>
        <v>#N/A</v>
      </c>
      <c r="L215" s="20" t="e">
        <f t="shared" si="84"/>
        <v>#N/A</v>
      </c>
      <c r="M215" s="20">
        <f t="shared" si="85"/>
        <v>-0.89990265356115395</v>
      </c>
      <c r="N215" s="20">
        <f t="shared" si="86"/>
        <v>1.0724622203665708</v>
      </c>
      <c r="O215" s="20" t="e">
        <f t="shared" si="87"/>
        <v>#N/A</v>
      </c>
      <c r="P215" s="20" t="e">
        <f t="shared" si="88"/>
        <v>#N/A</v>
      </c>
      <c r="Q215" s="20" t="e">
        <f t="shared" si="89"/>
        <v>#N/A</v>
      </c>
      <c r="R215" s="20" t="e">
        <f t="shared" si="90"/>
        <v>#N/A</v>
      </c>
      <c r="S215" s="20" t="e">
        <f t="shared" si="91"/>
        <v>#N/A</v>
      </c>
      <c r="T215" s="20" t="e">
        <f t="shared" si="92"/>
        <v>#N/A</v>
      </c>
      <c r="U215" s="3"/>
      <c r="AA215" s="4"/>
    </row>
    <row r="216" spans="1:27" x14ac:dyDescent="0.25">
      <c r="A216">
        <f t="shared" si="95"/>
        <v>214</v>
      </c>
      <c r="B216">
        <f t="shared" si="76"/>
        <v>5</v>
      </c>
      <c r="C216">
        <f t="shared" si="79"/>
        <v>1.4000000000000004</v>
      </c>
      <c r="D216" s="15">
        <f t="shared" si="77"/>
        <v>3.3333333333333335</v>
      </c>
      <c r="E216">
        <f t="shared" si="80"/>
        <v>1</v>
      </c>
      <c r="F216" s="3">
        <f t="shared" si="93"/>
        <v>133.33333333333329</v>
      </c>
      <c r="G216" s="3">
        <f t="shared" si="94"/>
        <v>2.3271056693257717</v>
      </c>
      <c r="H216" s="18">
        <f t="shared" si="81"/>
        <v>-0.96073829301622615</v>
      </c>
      <c r="I216" s="3">
        <f t="shared" si="82"/>
        <v>1.0183230982022695</v>
      </c>
      <c r="J216" s="19" t="str">
        <f t="shared" si="78"/>
        <v>C</v>
      </c>
      <c r="K216" s="20" t="e">
        <f t="shared" si="83"/>
        <v>#N/A</v>
      </c>
      <c r="L216" s="20" t="e">
        <f t="shared" si="84"/>
        <v>#N/A</v>
      </c>
      <c r="M216" s="20">
        <f t="shared" si="85"/>
        <v>-0.96073829301622615</v>
      </c>
      <c r="N216" s="20">
        <f t="shared" si="86"/>
        <v>1.0183230982022695</v>
      </c>
      <c r="O216" s="20" t="e">
        <f t="shared" si="87"/>
        <v>#N/A</v>
      </c>
      <c r="P216" s="20" t="e">
        <f t="shared" si="88"/>
        <v>#N/A</v>
      </c>
      <c r="Q216" s="20" t="e">
        <f t="shared" si="89"/>
        <v>#N/A</v>
      </c>
      <c r="R216" s="20" t="e">
        <f t="shared" si="90"/>
        <v>#N/A</v>
      </c>
      <c r="S216" s="20" t="e">
        <f t="shared" si="91"/>
        <v>#N/A</v>
      </c>
      <c r="T216" s="20" t="e">
        <f t="shared" si="92"/>
        <v>#N/A</v>
      </c>
      <c r="U216" s="3"/>
      <c r="AA216" s="4"/>
    </row>
    <row r="217" spans="1:27" x14ac:dyDescent="0.25">
      <c r="A217">
        <f t="shared" si="95"/>
        <v>215</v>
      </c>
      <c r="B217">
        <f t="shared" si="76"/>
        <v>5</v>
      </c>
      <c r="C217">
        <f t="shared" si="79"/>
        <v>1.4000000000000004</v>
      </c>
      <c r="D217" s="15">
        <f t="shared" si="77"/>
        <v>3.3333333333333335</v>
      </c>
      <c r="E217">
        <f t="shared" si="80"/>
        <v>1</v>
      </c>
      <c r="F217" s="3">
        <f t="shared" si="93"/>
        <v>136.66666666666663</v>
      </c>
      <c r="G217" s="3">
        <f t="shared" si="94"/>
        <v>2.3852833110589162</v>
      </c>
      <c r="H217" s="18">
        <f t="shared" si="81"/>
        <v>-1.0183230982022675</v>
      </c>
      <c r="I217" s="3">
        <f t="shared" si="82"/>
        <v>0.96073829301622826</v>
      </c>
      <c r="J217" s="19" t="str">
        <f t="shared" si="78"/>
        <v>C</v>
      </c>
      <c r="K217" s="20" t="e">
        <f t="shared" si="83"/>
        <v>#N/A</v>
      </c>
      <c r="L217" s="20" t="e">
        <f t="shared" si="84"/>
        <v>#N/A</v>
      </c>
      <c r="M217" s="20">
        <f t="shared" si="85"/>
        <v>-1.0183230982022675</v>
      </c>
      <c r="N217" s="20">
        <f t="shared" si="86"/>
        <v>0.96073829301622826</v>
      </c>
      <c r="O217" s="20" t="e">
        <f t="shared" si="87"/>
        <v>#N/A</v>
      </c>
      <c r="P217" s="20" t="e">
        <f t="shared" si="88"/>
        <v>#N/A</v>
      </c>
      <c r="Q217" s="20" t="e">
        <f t="shared" si="89"/>
        <v>#N/A</v>
      </c>
      <c r="R217" s="20" t="e">
        <f t="shared" si="90"/>
        <v>#N/A</v>
      </c>
      <c r="S217" s="20" t="e">
        <f t="shared" si="91"/>
        <v>#N/A</v>
      </c>
      <c r="T217" s="20" t="e">
        <f t="shared" si="92"/>
        <v>#N/A</v>
      </c>
      <c r="U217" s="3"/>
      <c r="AA217" s="4"/>
    </row>
    <row r="218" spans="1:27" x14ac:dyDescent="0.25">
      <c r="A218">
        <f t="shared" si="95"/>
        <v>216</v>
      </c>
      <c r="B218">
        <f t="shared" si="76"/>
        <v>5</v>
      </c>
      <c r="C218">
        <f t="shared" si="79"/>
        <v>1.4000000000000004</v>
      </c>
      <c r="D218" s="15">
        <f t="shared" si="77"/>
        <v>3.3333333333333335</v>
      </c>
      <c r="E218">
        <f t="shared" si="80"/>
        <v>1</v>
      </c>
      <c r="F218" s="3">
        <f t="shared" si="93"/>
        <v>139.99999999999997</v>
      </c>
      <c r="G218" s="3">
        <f t="shared" si="94"/>
        <v>2.4434609527920608</v>
      </c>
      <c r="H218" s="18">
        <f t="shared" si="81"/>
        <v>-1.072462220366569</v>
      </c>
      <c r="I218" s="3">
        <f t="shared" si="82"/>
        <v>0.89990265356115595</v>
      </c>
      <c r="J218" s="19" t="str">
        <f t="shared" si="78"/>
        <v>C</v>
      </c>
      <c r="K218" s="20" t="e">
        <f t="shared" si="83"/>
        <v>#N/A</v>
      </c>
      <c r="L218" s="20" t="e">
        <f t="shared" si="84"/>
        <v>#N/A</v>
      </c>
      <c r="M218" s="20">
        <f t="shared" si="85"/>
        <v>-1.072462220366569</v>
      </c>
      <c r="N218" s="20">
        <f t="shared" si="86"/>
        <v>0.89990265356115595</v>
      </c>
      <c r="O218" s="20" t="e">
        <f t="shared" si="87"/>
        <v>#N/A</v>
      </c>
      <c r="P218" s="20" t="e">
        <f t="shared" si="88"/>
        <v>#N/A</v>
      </c>
      <c r="Q218" s="20" t="e">
        <f t="shared" si="89"/>
        <v>#N/A</v>
      </c>
      <c r="R218" s="20" t="e">
        <f t="shared" si="90"/>
        <v>#N/A</v>
      </c>
      <c r="S218" s="20" t="e">
        <f t="shared" si="91"/>
        <v>#N/A</v>
      </c>
      <c r="T218" s="20" t="e">
        <f t="shared" si="92"/>
        <v>#N/A</v>
      </c>
      <c r="U218" s="3"/>
      <c r="AA218" s="4"/>
    </row>
    <row r="219" spans="1:27" x14ac:dyDescent="0.25">
      <c r="A219">
        <f t="shared" si="95"/>
        <v>217</v>
      </c>
      <c r="B219">
        <f t="shared" si="76"/>
        <v>5</v>
      </c>
      <c r="C219">
        <f t="shared" si="79"/>
        <v>1.4000000000000004</v>
      </c>
      <c r="D219" s="15">
        <f t="shared" si="77"/>
        <v>3.3333333333333335</v>
      </c>
      <c r="E219">
        <f t="shared" si="80"/>
        <v>1</v>
      </c>
      <c r="F219" s="3">
        <f t="shared" si="93"/>
        <v>143.33333333333331</v>
      </c>
      <c r="G219" s="3">
        <f t="shared" si="94"/>
        <v>2.5016385945252053</v>
      </c>
      <c r="H219" s="18">
        <f t="shared" si="81"/>
        <v>-1.1229724698570611</v>
      </c>
      <c r="I219" s="3">
        <f t="shared" si="82"/>
        <v>0.83602202838390138</v>
      </c>
      <c r="J219" s="19" t="str">
        <f t="shared" si="78"/>
        <v>C</v>
      </c>
      <c r="K219" s="20" t="e">
        <f t="shared" si="83"/>
        <v>#N/A</v>
      </c>
      <c r="L219" s="20" t="e">
        <f t="shared" si="84"/>
        <v>#N/A</v>
      </c>
      <c r="M219" s="20">
        <f t="shared" si="85"/>
        <v>-1.1229724698570611</v>
      </c>
      <c r="N219" s="20">
        <f t="shared" si="86"/>
        <v>0.83602202838390138</v>
      </c>
      <c r="O219" s="20" t="e">
        <f t="shared" si="87"/>
        <v>#N/A</v>
      </c>
      <c r="P219" s="20" t="e">
        <f t="shared" si="88"/>
        <v>#N/A</v>
      </c>
      <c r="Q219" s="20" t="e">
        <f t="shared" si="89"/>
        <v>#N/A</v>
      </c>
      <c r="R219" s="20" t="e">
        <f t="shared" si="90"/>
        <v>#N/A</v>
      </c>
      <c r="S219" s="20" t="e">
        <f t="shared" si="91"/>
        <v>#N/A</v>
      </c>
      <c r="T219" s="20" t="e">
        <f t="shared" si="92"/>
        <v>#N/A</v>
      </c>
      <c r="U219" s="3"/>
      <c r="AA219" s="4"/>
    </row>
    <row r="220" spans="1:27" x14ac:dyDescent="0.25">
      <c r="A220">
        <f t="shared" si="95"/>
        <v>218</v>
      </c>
      <c r="B220">
        <f t="shared" si="76"/>
        <v>5</v>
      </c>
      <c r="C220">
        <f t="shared" si="79"/>
        <v>1.4000000000000004</v>
      </c>
      <c r="D220" s="15">
        <f t="shared" si="77"/>
        <v>3.3333333333333335</v>
      </c>
      <c r="E220">
        <f t="shared" si="80"/>
        <v>1</v>
      </c>
      <c r="F220" s="3">
        <f t="shared" si="93"/>
        <v>146.66666666666666</v>
      </c>
      <c r="G220" s="3">
        <f t="shared" si="94"/>
        <v>2.5598162362583499</v>
      </c>
      <c r="H220" s="18">
        <f t="shared" si="81"/>
        <v>-1.1696829359781111</v>
      </c>
      <c r="I220" s="3">
        <f t="shared" si="82"/>
        <v>0.76931256929912895</v>
      </c>
      <c r="J220" s="19" t="str">
        <f t="shared" si="78"/>
        <v>LD</v>
      </c>
      <c r="K220" s="20" t="e">
        <f t="shared" si="83"/>
        <v>#N/A</v>
      </c>
      <c r="L220" s="20" t="e">
        <f t="shared" si="84"/>
        <v>#N/A</v>
      </c>
      <c r="M220" s="20" t="e">
        <f t="shared" si="85"/>
        <v>#N/A</v>
      </c>
      <c r="N220" s="20" t="e">
        <f t="shared" si="86"/>
        <v>#N/A</v>
      </c>
      <c r="O220" s="20">
        <f t="shared" si="87"/>
        <v>-1.1696829359781111</v>
      </c>
      <c r="P220" s="20">
        <f t="shared" si="88"/>
        <v>0.76931256929912895</v>
      </c>
      <c r="Q220" s="20" t="e">
        <f t="shared" si="89"/>
        <v>#N/A</v>
      </c>
      <c r="R220" s="20" t="e">
        <f t="shared" si="90"/>
        <v>#N/A</v>
      </c>
      <c r="S220" s="20" t="e">
        <f t="shared" si="91"/>
        <v>#N/A</v>
      </c>
      <c r="T220" s="20" t="e">
        <f t="shared" si="92"/>
        <v>#N/A</v>
      </c>
      <c r="U220" s="3"/>
      <c r="AA220" s="4"/>
    </row>
    <row r="221" spans="1:27" x14ac:dyDescent="0.25">
      <c r="A221">
        <f t="shared" si="95"/>
        <v>219</v>
      </c>
      <c r="B221">
        <f t="shared" si="76"/>
        <v>5</v>
      </c>
      <c r="C221">
        <f t="shared" si="79"/>
        <v>1.4000000000000004</v>
      </c>
      <c r="D221" s="15">
        <f t="shared" si="77"/>
        <v>3.3333333333333335</v>
      </c>
      <c r="E221">
        <f t="shared" si="80"/>
        <v>1</v>
      </c>
      <c r="F221" s="3">
        <f t="shared" si="93"/>
        <v>150</v>
      </c>
      <c r="G221" s="3">
        <f t="shared" si="94"/>
        <v>2.6179938779914944</v>
      </c>
      <c r="H221" s="18">
        <f t="shared" si="81"/>
        <v>-1.2124355652982144</v>
      </c>
      <c r="I221" s="3">
        <f t="shared" si="82"/>
        <v>0.70000000000000007</v>
      </c>
      <c r="J221" s="19" t="str">
        <f t="shared" si="78"/>
        <v>LD</v>
      </c>
      <c r="K221" s="20" t="e">
        <f t="shared" si="83"/>
        <v>#N/A</v>
      </c>
      <c r="L221" s="20" t="e">
        <f t="shared" si="84"/>
        <v>#N/A</v>
      </c>
      <c r="M221" s="20" t="e">
        <f t="shared" si="85"/>
        <v>#N/A</v>
      </c>
      <c r="N221" s="20" t="e">
        <f t="shared" si="86"/>
        <v>#N/A</v>
      </c>
      <c r="O221" s="20">
        <f t="shared" si="87"/>
        <v>-1.2124355652982144</v>
      </c>
      <c r="P221" s="20">
        <f t="shared" si="88"/>
        <v>0.70000000000000007</v>
      </c>
      <c r="Q221" s="20" t="e">
        <f t="shared" si="89"/>
        <v>#N/A</v>
      </c>
      <c r="R221" s="20" t="e">
        <f t="shared" si="90"/>
        <v>#N/A</v>
      </c>
      <c r="S221" s="20" t="e">
        <f t="shared" si="91"/>
        <v>#N/A</v>
      </c>
      <c r="T221" s="20" t="e">
        <f t="shared" si="92"/>
        <v>#N/A</v>
      </c>
      <c r="U221" s="3"/>
      <c r="AA221" s="4"/>
    </row>
    <row r="222" spans="1:27" x14ac:dyDescent="0.25">
      <c r="A222">
        <f t="shared" si="95"/>
        <v>220</v>
      </c>
      <c r="B222">
        <f t="shared" si="76"/>
        <v>5</v>
      </c>
      <c r="C222">
        <f t="shared" si="79"/>
        <v>1.4000000000000004</v>
      </c>
      <c r="D222" s="15">
        <f t="shared" si="77"/>
        <v>3.3333333333333335</v>
      </c>
      <c r="E222">
        <f t="shared" si="80"/>
        <v>1</v>
      </c>
      <c r="F222" s="3">
        <f t="shared" si="93"/>
        <v>153.33333333333334</v>
      </c>
      <c r="G222" s="3">
        <f t="shared" si="94"/>
        <v>2.6761715197246385</v>
      </c>
      <c r="H222" s="18">
        <f t="shared" si="81"/>
        <v>-1.2510856964527775</v>
      </c>
      <c r="I222" s="3">
        <f t="shared" si="82"/>
        <v>0.62831885228064743</v>
      </c>
      <c r="J222" s="19" t="str">
        <f t="shared" si="78"/>
        <v>LD</v>
      </c>
      <c r="K222" s="20" t="e">
        <f t="shared" si="83"/>
        <v>#N/A</v>
      </c>
      <c r="L222" s="20" t="e">
        <f t="shared" si="84"/>
        <v>#N/A</v>
      </c>
      <c r="M222" s="20" t="e">
        <f t="shared" si="85"/>
        <v>#N/A</v>
      </c>
      <c r="N222" s="20" t="e">
        <f t="shared" si="86"/>
        <v>#N/A</v>
      </c>
      <c r="O222" s="20">
        <f t="shared" si="87"/>
        <v>-1.2510856964527775</v>
      </c>
      <c r="P222" s="20">
        <f t="shared" si="88"/>
        <v>0.62831885228064743</v>
      </c>
      <c r="Q222" s="20" t="e">
        <f t="shared" si="89"/>
        <v>#N/A</v>
      </c>
      <c r="R222" s="20" t="e">
        <f t="shared" si="90"/>
        <v>#N/A</v>
      </c>
      <c r="S222" s="20" t="e">
        <f t="shared" si="91"/>
        <v>#N/A</v>
      </c>
      <c r="T222" s="20" t="e">
        <f t="shared" si="92"/>
        <v>#N/A</v>
      </c>
      <c r="U222" s="3"/>
      <c r="AA222" s="4"/>
    </row>
    <row r="223" spans="1:27" x14ac:dyDescent="0.25">
      <c r="A223">
        <f t="shared" si="95"/>
        <v>221</v>
      </c>
      <c r="B223">
        <f t="shared" si="76"/>
        <v>5</v>
      </c>
      <c r="C223">
        <f t="shared" si="79"/>
        <v>1.4000000000000004</v>
      </c>
      <c r="D223" s="15">
        <f t="shared" si="77"/>
        <v>3.3333333333333335</v>
      </c>
      <c r="E223">
        <f t="shared" si="80"/>
        <v>1</v>
      </c>
      <c r="F223" s="3">
        <f t="shared" si="93"/>
        <v>156.66666666666669</v>
      </c>
      <c r="G223" s="3">
        <f t="shared" si="94"/>
        <v>2.7343491614577831</v>
      </c>
      <c r="H223" s="18">
        <f t="shared" si="81"/>
        <v>-1.285502549632384</v>
      </c>
      <c r="I223" s="3">
        <f t="shared" si="82"/>
        <v>0.55451167245481969</v>
      </c>
      <c r="J223" s="19" t="str">
        <f t="shared" si="78"/>
        <v>LD</v>
      </c>
      <c r="K223" s="20" t="e">
        <f t="shared" si="83"/>
        <v>#N/A</v>
      </c>
      <c r="L223" s="20" t="e">
        <f t="shared" si="84"/>
        <v>#N/A</v>
      </c>
      <c r="M223" s="20" t="e">
        <f t="shared" si="85"/>
        <v>#N/A</v>
      </c>
      <c r="N223" s="20" t="e">
        <f t="shared" si="86"/>
        <v>#N/A</v>
      </c>
      <c r="O223" s="20">
        <f t="shared" si="87"/>
        <v>-1.285502549632384</v>
      </c>
      <c r="P223" s="20">
        <f t="shared" si="88"/>
        <v>0.55451167245481969</v>
      </c>
      <c r="Q223" s="20" t="e">
        <f t="shared" si="89"/>
        <v>#N/A</v>
      </c>
      <c r="R223" s="20" t="e">
        <f t="shared" si="90"/>
        <v>#N/A</v>
      </c>
      <c r="S223" s="20" t="e">
        <f t="shared" si="91"/>
        <v>#N/A</v>
      </c>
      <c r="T223" s="20" t="e">
        <f t="shared" si="92"/>
        <v>#N/A</v>
      </c>
      <c r="U223" s="3"/>
      <c r="AA223" s="4"/>
    </row>
    <row r="224" spans="1:27" x14ac:dyDescent="0.25">
      <c r="A224">
        <f t="shared" si="95"/>
        <v>222</v>
      </c>
      <c r="B224">
        <f t="shared" si="76"/>
        <v>5</v>
      </c>
      <c r="C224">
        <f t="shared" si="79"/>
        <v>1.4000000000000004</v>
      </c>
      <c r="D224" s="15">
        <f t="shared" si="77"/>
        <v>3.3333333333333335</v>
      </c>
      <c r="E224">
        <f t="shared" si="80"/>
        <v>1</v>
      </c>
      <c r="F224" s="3">
        <f t="shared" si="93"/>
        <v>160.00000000000003</v>
      </c>
      <c r="G224" s="3">
        <f t="shared" si="94"/>
        <v>2.7925268031909276</v>
      </c>
      <c r="H224" s="18">
        <f t="shared" si="81"/>
        <v>-1.3155696691002721</v>
      </c>
      <c r="I224" s="3">
        <f t="shared" si="82"/>
        <v>0.47882820065593601</v>
      </c>
      <c r="J224" s="19" t="str">
        <f t="shared" si="78"/>
        <v>LD</v>
      </c>
      <c r="K224" s="20" t="e">
        <f t="shared" si="83"/>
        <v>#N/A</v>
      </c>
      <c r="L224" s="20" t="e">
        <f t="shared" si="84"/>
        <v>#N/A</v>
      </c>
      <c r="M224" s="20" t="e">
        <f t="shared" si="85"/>
        <v>#N/A</v>
      </c>
      <c r="N224" s="20" t="e">
        <f t="shared" si="86"/>
        <v>#N/A</v>
      </c>
      <c r="O224" s="20">
        <f t="shared" si="87"/>
        <v>-1.3155696691002721</v>
      </c>
      <c r="P224" s="20">
        <f t="shared" si="88"/>
        <v>0.47882820065593601</v>
      </c>
      <c r="Q224" s="20" t="e">
        <f t="shared" si="89"/>
        <v>#N/A</v>
      </c>
      <c r="R224" s="20" t="e">
        <f t="shared" si="90"/>
        <v>#N/A</v>
      </c>
      <c r="S224" s="20" t="e">
        <f t="shared" si="91"/>
        <v>#N/A</v>
      </c>
      <c r="T224" s="20" t="e">
        <f t="shared" si="92"/>
        <v>#N/A</v>
      </c>
      <c r="U224" s="3"/>
      <c r="AA224" s="4"/>
    </row>
    <row r="225" spans="1:27" x14ac:dyDescent="0.25">
      <c r="A225">
        <f t="shared" si="95"/>
        <v>223</v>
      </c>
      <c r="B225">
        <f t="shared" si="76"/>
        <v>5</v>
      </c>
      <c r="C225">
        <f t="shared" si="79"/>
        <v>1.4000000000000004</v>
      </c>
      <c r="D225" s="15">
        <f t="shared" si="77"/>
        <v>3.3333333333333335</v>
      </c>
      <c r="E225">
        <f t="shared" si="80"/>
        <v>1</v>
      </c>
      <c r="F225" s="3">
        <f t="shared" si="93"/>
        <v>163.33333333333337</v>
      </c>
      <c r="G225" s="3">
        <f t="shared" si="94"/>
        <v>2.8507044449240722</v>
      </c>
      <c r="H225" s="18">
        <f t="shared" si="81"/>
        <v>-1.341185317241685</v>
      </c>
      <c r="I225" s="3">
        <f t="shared" si="82"/>
        <v>0.40152452579552578</v>
      </c>
      <c r="J225" s="19" t="str">
        <f t="shared" si="78"/>
        <v>LD</v>
      </c>
      <c r="K225" s="20" t="e">
        <f t="shared" si="83"/>
        <v>#N/A</v>
      </c>
      <c r="L225" s="20" t="e">
        <f t="shared" si="84"/>
        <v>#N/A</v>
      </c>
      <c r="M225" s="20" t="e">
        <f t="shared" si="85"/>
        <v>#N/A</v>
      </c>
      <c r="N225" s="20" t="e">
        <f t="shared" si="86"/>
        <v>#N/A</v>
      </c>
      <c r="O225" s="20">
        <f t="shared" si="87"/>
        <v>-1.341185317241685</v>
      </c>
      <c r="P225" s="20">
        <f t="shared" si="88"/>
        <v>0.40152452579552578</v>
      </c>
      <c r="Q225" s="20" t="e">
        <f t="shared" si="89"/>
        <v>#N/A</v>
      </c>
      <c r="R225" s="20" t="e">
        <f t="shared" si="90"/>
        <v>#N/A</v>
      </c>
      <c r="S225" s="20" t="e">
        <f t="shared" si="91"/>
        <v>#N/A</v>
      </c>
      <c r="T225" s="20" t="e">
        <f t="shared" si="92"/>
        <v>#N/A</v>
      </c>
      <c r="U225" s="3"/>
      <c r="AA225" s="4"/>
    </row>
    <row r="226" spans="1:27" x14ac:dyDescent="0.25">
      <c r="A226">
        <f t="shared" si="95"/>
        <v>224</v>
      </c>
      <c r="B226">
        <f t="shared" si="76"/>
        <v>5</v>
      </c>
      <c r="C226">
        <f t="shared" si="79"/>
        <v>1.4000000000000004</v>
      </c>
      <c r="D226" s="15">
        <f t="shared" si="77"/>
        <v>3.3333333333333335</v>
      </c>
      <c r="E226">
        <f t="shared" si="80"/>
        <v>1</v>
      </c>
      <c r="F226" s="3">
        <f t="shared" si="93"/>
        <v>166.66666666666671</v>
      </c>
      <c r="G226" s="3">
        <f t="shared" si="94"/>
        <v>2.9088820866572167</v>
      </c>
      <c r="H226" s="18">
        <f t="shared" si="81"/>
        <v>-1.362262818811754</v>
      </c>
      <c r="I226" s="3">
        <f t="shared" si="82"/>
        <v>0.32286221903941531</v>
      </c>
      <c r="J226" s="19" t="str">
        <f t="shared" si="78"/>
        <v>LD</v>
      </c>
      <c r="K226" s="20" t="e">
        <f t="shared" si="83"/>
        <v>#N/A</v>
      </c>
      <c r="L226" s="20" t="e">
        <f t="shared" si="84"/>
        <v>#N/A</v>
      </c>
      <c r="M226" s="20" t="e">
        <f t="shared" si="85"/>
        <v>#N/A</v>
      </c>
      <c r="N226" s="20" t="e">
        <f t="shared" si="86"/>
        <v>#N/A</v>
      </c>
      <c r="O226" s="20">
        <f t="shared" si="87"/>
        <v>-1.362262818811754</v>
      </c>
      <c r="P226" s="20">
        <f t="shared" si="88"/>
        <v>0.32286221903941531</v>
      </c>
      <c r="Q226" s="20" t="e">
        <f t="shared" si="89"/>
        <v>#N/A</v>
      </c>
      <c r="R226" s="20" t="e">
        <f t="shared" si="90"/>
        <v>#N/A</v>
      </c>
      <c r="S226" s="20" t="e">
        <f t="shared" si="91"/>
        <v>#N/A</v>
      </c>
      <c r="T226" s="20" t="e">
        <f t="shared" si="92"/>
        <v>#N/A</v>
      </c>
      <c r="U226" s="3"/>
      <c r="AA226" s="4"/>
    </row>
    <row r="227" spans="1:27" x14ac:dyDescent="0.25">
      <c r="A227">
        <f t="shared" si="95"/>
        <v>225</v>
      </c>
      <c r="B227">
        <f t="shared" si="76"/>
        <v>5</v>
      </c>
      <c r="C227">
        <f t="shared" si="79"/>
        <v>1.4000000000000004</v>
      </c>
      <c r="D227" s="15">
        <f t="shared" si="77"/>
        <v>3.3333333333333335</v>
      </c>
      <c r="E227">
        <f t="shared" si="80"/>
        <v>1</v>
      </c>
      <c r="F227" s="3">
        <f t="shared" si="93"/>
        <v>170.00000000000006</v>
      </c>
      <c r="G227" s="3">
        <f t="shared" si="94"/>
        <v>2.9670597283903613</v>
      </c>
      <c r="H227" s="18">
        <f t="shared" si="81"/>
        <v>-1.378730854217092</v>
      </c>
      <c r="I227" s="3">
        <f t="shared" si="82"/>
        <v>0.24310744873370121</v>
      </c>
      <c r="J227" s="19" t="str">
        <f t="shared" si="78"/>
        <v>SNP</v>
      </c>
      <c r="K227" s="20" t="e">
        <f t="shared" si="83"/>
        <v>#N/A</v>
      </c>
      <c r="L227" s="20" t="e">
        <f t="shared" si="84"/>
        <v>#N/A</v>
      </c>
      <c r="M227" s="20" t="e">
        <f t="shared" si="85"/>
        <v>#N/A</v>
      </c>
      <c r="N227" s="20" t="e">
        <f t="shared" si="86"/>
        <v>#N/A</v>
      </c>
      <c r="O227" s="20" t="e">
        <f t="shared" si="87"/>
        <v>#N/A</v>
      </c>
      <c r="P227" s="20" t="e">
        <f t="shared" si="88"/>
        <v>#N/A</v>
      </c>
      <c r="Q227" s="20">
        <f t="shared" si="89"/>
        <v>-1.378730854217092</v>
      </c>
      <c r="R227" s="20">
        <f t="shared" si="90"/>
        <v>0.24310744873370121</v>
      </c>
      <c r="S227" s="20" t="e">
        <f t="shared" si="91"/>
        <v>#N/A</v>
      </c>
      <c r="T227" s="20" t="e">
        <f t="shared" si="92"/>
        <v>#N/A</v>
      </c>
      <c r="U227" s="3"/>
      <c r="AA227" s="4"/>
    </row>
    <row r="228" spans="1:27" x14ac:dyDescent="0.25">
      <c r="A228">
        <f t="shared" si="95"/>
        <v>226</v>
      </c>
      <c r="B228">
        <f t="shared" si="76"/>
        <v>5</v>
      </c>
      <c r="C228">
        <f t="shared" si="79"/>
        <v>1.4000000000000004</v>
      </c>
      <c r="D228" s="15">
        <f t="shared" si="77"/>
        <v>3.3333333333333335</v>
      </c>
      <c r="E228">
        <f t="shared" si="80"/>
        <v>1</v>
      </c>
      <c r="F228" s="3">
        <f t="shared" si="93"/>
        <v>173.3333333333334</v>
      </c>
      <c r="G228" s="3">
        <f t="shared" si="94"/>
        <v>3.0252373701235058</v>
      </c>
      <c r="H228" s="18">
        <f t="shared" si="81"/>
        <v>-1.3905337008387206</v>
      </c>
      <c r="I228" s="3">
        <f t="shared" si="82"/>
        <v>0.16253007977532069</v>
      </c>
      <c r="J228" s="19" t="str">
        <f t="shared" si="78"/>
        <v>Oth</v>
      </c>
      <c r="K228" s="20" t="e">
        <f t="shared" si="83"/>
        <v>#N/A</v>
      </c>
      <c r="L228" s="20" t="e">
        <f t="shared" si="84"/>
        <v>#N/A</v>
      </c>
      <c r="M228" s="20" t="e">
        <f t="shared" si="85"/>
        <v>#N/A</v>
      </c>
      <c r="N228" s="20" t="e">
        <f t="shared" si="86"/>
        <v>#N/A</v>
      </c>
      <c r="O228" s="20" t="e">
        <f t="shared" si="87"/>
        <v>#N/A</v>
      </c>
      <c r="P228" s="20" t="e">
        <f t="shared" si="88"/>
        <v>#N/A</v>
      </c>
      <c r="Q228" s="20" t="e">
        <f t="shared" si="89"/>
        <v>#N/A</v>
      </c>
      <c r="R228" s="20" t="e">
        <f t="shared" si="90"/>
        <v>#N/A</v>
      </c>
      <c r="S228" s="20">
        <f t="shared" si="91"/>
        <v>-1.3905337008387206</v>
      </c>
      <c r="T228" s="20">
        <f t="shared" si="92"/>
        <v>0.16253007977532069</v>
      </c>
      <c r="U228" s="3"/>
      <c r="AA228" s="4"/>
    </row>
    <row r="229" spans="1:27" x14ac:dyDescent="0.25">
      <c r="A229">
        <f t="shared" si="95"/>
        <v>227</v>
      </c>
      <c r="B229">
        <f t="shared" si="76"/>
        <v>5</v>
      </c>
      <c r="C229">
        <f t="shared" si="79"/>
        <v>1.4000000000000004</v>
      </c>
      <c r="D229" s="15">
        <f t="shared" si="77"/>
        <v>3.3333333333333335</v>
      </c>
      <c r="E229">
        <f t="shared" si="80"/>
        <v>1</v>
      </c>
      <c r="F229" s="3">
        <f t="shared" si="93"/>
        <v>176.66666666666674</v>
      </c>
      <c r="G229" s="3">
        <f t="shared" si="94"/>
        <v>3.0834150118566503</v>
      </c>
      <c r="H229" s="18">
        <f t="shared" si="81"/>
        <v>-1.397631421579776</v>
      </c>
      <c r="I229" s="3">
        <f t="shared" si="82"/>
        <v>8.1402760474664188E-2</v>
      </c>
      <c r="J229" s="19" t="str">
        <f t="shared" si="78"/>
        <v>Oth</v>
      </c>
      <c r="K229" s="20" t="e">
        <f t="shared" si="83"/>
        <v>#N/A</v>
      </c>
      <c r="L229" s="20" t="e">
        <f t="shared" si="84"/>
        <v>#N/A</v>
      </c>
      <c r="M229" s="20" t="e">
        <f t="shared" si="85"/>
        <v>#N/A</v>
      </c>
      <c r="N229" s="20" t="e">
        <f t="shared" si="86"/>
        <v>#N/A</v>
      </c>
      <c r="O229" s="20" t="e">
        <f t="shared" si="87"/>
        <v>#N/A</v>
      </c>
      <c r="P229" s="20" t="e">
        <f t="shared" si="88"/>
        <v>#N/A</v>
      </c>
      <c r="Q229" s="20" t="e">
        <f t="shared" si="89"/>
        <v>#N/A</v>
      </c>
      <c r="R229" s="20" t="e">
        <f t="shared" si="90"/>
        <v>#N/A</v>
      </c>
      <c r="S229" s="20">
        <f t="shared" si="91"/>
        <v>-1.397631421579776</v>
      </c>
      <c r="T229" s="20">
        <f t="shared" si="92"/>
        <v>8.1402760474664188E-2</v>
      </c>
      <c r="U229" s="3"/>
      <c r="AA229" s="4"/>
    </row>
    <row r="230" spans="1:27" x14ac:dyDescent="0.25">
      <c r="A230">
        <f t="shared" si="95"/>
        <v>228</v>
      </c>
      <c r="B230">
        <f t="shared" si="76"/>
        <v>5</v>
      </c>
      <c r="C230">
        <f t="shared" si="79"/>
        <v>1.4000000000000004</v>
      </c>
      <c r="D230" s="15">
        <f t="shared" si="77"/>
        <v>3.3333333333333335</v>
      </c>
      <c r="E230">
        <f t="shared" si="80"/>
        <v>1</v>
      </c>
      <c r="F230" s="3">
        <f t="shared" si="93"/>
        <v>180.00000000000009</v>
      </c>
      <c r="G230" s="3">
        <f t="shared" si="94"/>
        <v>3.1415926535897944</v>
      </c>
      <c r="H230" s="18">
        <f t="shared" si="81"/>
        <v>-1.4000000000000004</v>
      </c>
      <c r="I230" s="3">
        <f t="shared" si="82"/>
        <v>-1.6936538976830567E-15</v>
      </c>
      <c r="J230" s="19" t="str">
        <f t="shared" si="78"/>
        <v>Oth</v>
      </c>
      <c r="K230" s="20" t="e">
        <f t="shared" si="83"/>
        <v>#N/A</v>
      </c>
      <c r="L230" s="20" t="e">
        <f t="shared" si="84"/>
        <v>#N/A</v>
      </c>
      <c r="M230" s="20" t="e">
        <f t="shared" si="85"/>
        <v>#N/A</v>
      </c>
      <c r="N230" s="20" t="e">
        <f t="shared" si="86"/>
        <v>#N/A</v>
      </c>
      <c r="O230" s="20" t="e">
        <f t="shared" si="87"/>
        <v>#N/A</v>
      </c>
      <c r="P230" s="20" t="e">
        <f t="shared" si="88"/>
        <v>#N/A</v>
      </c>
      <c r="Q230" s="20" t="e">
        <f t="shared" si="89"/>
        <v>#N/A</v>
      </c>
      <c r="R230" s="20" t="e">
        <f t="shared" si="90"/>
        <v>#N/A</v>
      </c>
      <c r="S230" s="20">
        <f t="shared" si="91"/>
        <v>-1.4000000000000004</v>
      </c>
      <c r="T230" s="20">
        <f t="shared" si="92"/>
        <v>-1.6936538976830567E-15</v>
      </c>
      <c r="U230" s="3"/>
      <c r="AA230" s="4"/>
    </row>
    <row r="231" spans="1:27" x14ac:dyDescent="0.25">
      <c r="A231">
        <f t="shared" si="95"/>
        <v>229</v>
      </c>
      <c r="B231">
        <f t="shared" si="76"/>
        <v>6</v>
      </c>
      <c r="C231">
        <f t="shared" si="79"/>
        <v>1.5000000000000004</v>
      </c>
      <c r="D231" s="15">
        <f t="shared" si="77"/>
        <v>3.0508474576271185</v>
      </c>
      <c r="E231">
        <f t="shared" si="80"/>
        <v>0</v>
      </c>
      <c r="F231" s="3">
        <f t="shared" si="93"/>
        <v>0</v>
      </c>
      <c r="G231" s="3">
        <f t="shared" si="94"/>
        <v>0</v>
      </c>
      <c r="H231" s="18">
        <f t="shared" si="81"/>
        <v>1.5000000000000004</v>
      </c>
      <c r="I231" s="3">
        <f t="shared" si="82"/>
        <v>0</v>
      </c>
      <c r="J231" s="19" t="str">
        <f t="shared" si="78"/>
        <v>L</v>
      </c>
      <c r="K231" s="20">
        <f t="shared" si="83"/>
        <v>1.5000000000000004</v>
      </c>
      <c r="L231" s="20">
        <f t="shared" si="84"/>
        <v>0</v>
      </c>
      <c r="M231" s="20" t="e">
        <f t="shared" si="85"/>
        <v>#N/A</v>
      </c>
      <c r="N231" s="20" t="e">
        <f t="shared" si="86"/>
        <v>#N/A</v>
      </c>
      <c r="O231" s="20" t="e">
        <f t="shared" si="87"/>
        <v>#N/A</v>
      </c>
      <c r="P231" s="20" t="e">
        <f t="shared" si="88"/>
        <v>#N/A</v>
      </c>
      <c r="Q231" s="20" t="e">
        <f t="shared" si="89"/>
        <v>#N/A</v>
      </c>
      <c r="R231" s="20" t="e">
        <f t="shared" si="90"/>
        <v>#N/A</v>
      </c>
      <c r="S231" s="20" t="e">
        <f t="shared" si="91"/>
        <v>#N/A</v>
      </c>
      <c r="T231" s="20" t="e">
        <f t="shared" si="92"/>
        <v>#N/A</v>
      </c>
      <c r="U231" s="3"/>
      <c r="AA231" s="4"/>
    </row>
    <row r="232" spans="1:27" x14ac:dyDescent="0.25">
      <c r="A232">
        <f t="shared" si="95"/>
        <v>230</v>
      </c>
      <c r="B232">
        <f t="shared" si="76"/>
        <v>6</v>
      </c>
      <c r="C232">
        <f t="shared" si="79"/>
        <v>1.5000000000000004</v>
      </c>
      <c r="D232" s="15">
        <f t="shared" si="77"/>
        <v>3.0508474576271185</v>
      </c>
      <c r="E232">
        <f t="shared" si="80"/>
        <v>1</v>
      </c>
      <c r="F232" s="3">
        <f t="shared" si="93"/>
        <v>3.0508474576271185</v>
      </c>
      <c r="G232" s="3">
        <f t="shared" si="94"/>
        <v>5.3247333111691407E-2</v>
      </c>
      <c r="H232" s="18">
        <f t="shared" si="81"/>
        <v>1.4978740435151434</v>
      </c>
      <c r="I232" s="3">
        <f t="shared" si="82"/>
        <v>7.9833262263267993E-2</v>
      </c>
      <c r="J232" s="19" t="str">
        <f t="shared" si="78"/>
        <v>L</v>
      </c>
      <c r="K232" s="20">
        <f t="shared" si="83"/>
        <v>1.4978740435151434</v>
      </c>
      <c r="L232" s="20">
        <f t="shared" si="84"/>
        <v>7.9833262263267993E-2</v>
      </c>
      <c r="M232" s="20" t="e">
        <f t="shared" si="85"/>
        <v>#N/A</v>
      </c>
      <c r="N232" s="20" t="e">
        <f t="shared" si="86"/>
        <v>#N/A</v>
      </c>
      <c r="O232" s="20" t="e">
        <f t="shared" si="87"/>
        <v>#N/A</v>
      </c>
      <c r="P232" s="20" t="e">
        <f t="shared" si="88"/>
        <v>#N/A</v>
      </c>
      <c r="Q232" s="20" t="e">
        <f t="shared" si="89"/>
        <v>#N/A</v>
      </c>
      <c r="R232" s="20" t="e">
        <f t="shared" si="90"/>
        <v>#N/A</v>
      </c>
      <c r="S232" s="20" t="e">
        <f t="shared" si="91"/>
        <v>#N/A</v>
      </c>
      <c r="T232" s="20" t="e">
        <f t="shared" si="92"/>
        <v>#N/A</v>
      </c>
      <c r="U232" s="3"/>
      <c r="AA232" s="4"/>
    </row>
    <row r="233" spans="1:27" x14ac:dyDescent="0.25">
      <c r="A233">
        <f t="shared" si="95"/>
        <v>231</v>
      </c>
      <c r="B233">
        <f t="shared" si="76"/>
        <v>6</v>
      </c>
      <c r="C233">
        <f t="shared" si="79"/>
        <v>1.5000000000000004</v>
      </c>
      <c r="D233" s="15">
        <f t="shared" si="77"/>
        <v>3.0508474576271185</v>
      </c>
      <c r="E233">
        <f t="shared" si="80"/>
        <v>1</v>
      </c>
      <c r="F233" s="3">
        <f t="shared" si="93"/>
        <v>6.101694915254237</v>
      </c>
      <c r="G233" s="3">
        <f t="shared" si="94"/>
        <v>0.10649466622338281</v>
      </c>
      <c r="H233" s="18">
        <f t="shared" si="81"/>
        <v>1.4915022003152061</v>
      </c>
      <c r="I233" s="3">
        <f t="shared" si="82"/>
        <v>0.15944022847104816</v>
      </c>
      <c r="J233" s="19" t="str">
        <f t="shared" si="78"/>
        <v>L</v>
      </c>
      <c r="K233" s="20">
        <f t="shared" si="83"/>
        <v>1.4915022003152061</v>
      </c>
      <c r="L233" s="20">
        <f t="shared" si="84"/>
        <v>0.15944022847104816</v>
      </c>
      <c r="M233" s="20" t="e">
        <f t="shared" si="85"/>
        <v>#N/A</v>
      </c>
      <c r="N233" s="20" t="e">
        <f t="shared" si="86"/>
        <v>#N/A</v>
      </c>
      <c r="O233" s="20" t="e">
        <f t="shared" si="87"/>
        <v>#N/A</v>
      </c>
      <c r="P233" s="20" t="e">
        <f t="shared" si="88"/>
        <v>#N/A</v>
      </c>
      <c r="Q233" s="20" t="e">
        <f t="shared" si="89"/>
        <v>#N/A</v>
      </c>
      <c r="R233" s="20" t="e">
        <f t="shared" si="90"/>
        <v>#N/A</v>
      </c>
      <c r="S233" s="20" t="e">
        <f t="shared" si="91"/>
        <v>#N/A</v>
      </c>
      <c r="T233" s="20" t="e">
        <f t="shared" si="92"/>
        <v>#N/A</v>
      </c>
      <c r="U233" s="3"/>
      <c r="AA233" s="4"/>
    </row>
    <row r="234" spans="1:27" x14ac:dyDescent="0.25">
      <c r="A234">
        <f t="shared" si="95"/>
        <v>232</v>
      </c>
      <c r="B234">
        <f t="shared" si="76"/>
        <v>6</v>
      </c>
      <c r="C234">
        <f t="shared" si="79"/>
        <v>1.5000000000000004</v>
      </c>
      <c r="D234" s="15">
        <f t="shared" si="77"/>
        <v>3.0508474576271185</v>
      </c>
      <c r="E234">
        <f t="shared" si="80"/>
        <v>1</v>
      </c>
      <c r="F234" s="3">
        <f t="shared" si="93"/>
        <v>9.1525423728813564</v>
      </c>
      <c r="G234" s="3">
        <f t="shared" si="94"/>
        <v>0.15974199933507424</v>
      </c>
      <c r="H234" s="18">
        <f t="shared" si="81"/>
        <v>1.4809025320820173</v>
      </c>
      <c r="I234" s="3">
        <f t="shared" si="82"/>
        <v>0.23859524402860818</v>
      </c>
      <c r="J234" s="19" t="str">
        <f t="shared" si="78"/>
        <v>L</v>
      </c>
      <c r="K234" s="20">
        <f t="shared" si="83"/>
        <v>1.4809025320820173</v>
      </c>
      <c r="L234" s="20">
        <f t="shared" si="84"/>
        <v>0.23859524402860818</v>
      </c>
      <c r="M234" s="20" t="e">
        <f t="shared" si="85"/>
        <v>#N/A</v>
      </c>
      <c r="N234" s="20" t="e">
        <f t="shared" si="86"/>
        <v>#N/A</v>
      </c>
      <c r="O234" s="20" t="e">
        <f t="shared" si="87"/>
        <v>#N/A</v>
      </c>
      <c r="P234" s="20" t="e">
        <f t="shared" si="88"/>
        <v>#N/A</v>
      </c>
      <c r="Q234" s="20" t="e">
        <f t="shared" si="89"/>
        <v>#N/A</v>
      </c>
      <c r="R234" s="20" t="e">
        <f t="shared" si="90"/>
        <v>#N/A</v>
      </c>
      <c r="S234" s="20" t="e">
        <f t="shared" si="91"/>
        <v>#N/A</v>
      </c>
      <c r="T234" s="20" t="e">
        <f t="shared" si="92"/>
        <v>#N/A</v>
      </c>
      <c r="U234" s="3"/>
      <c r="AA234" s="4"/>
    </row>
    <row r="235" spans="1:27" x14ac:dyDescent="0.25">
      <c r="A235">
        <f t="shared" si="95"/>
        <v>233</v>
      </c>
      <c r="B235">
        <f t="shared" si="76"/>
        <v>6</v>
      </c>
      <c r="C235">
        <f t="shared" si="79"/>
        <v>1.5000000000000004</v>
      </c>
      <c r="D235" s="15">
        <f t="shared" si="77"/>
        <v>3.0508474576271185</v>
      </c>
      <c r="E235">
        <f t="shared" si="80"/>
        <v>1</v>
      </c>
      <c r="F235" s="3">
        <f t="shared" si="93"/>
        <v>12.203389830508474</v>
      </c>
      <c r="G235" s="3">
        <f t="shared" si="94"/>
        <v>0.21298933244676563</v>
      </c>
      <c r="H235" s="18">
        <f t="shared" si="81"/>
        <v>1.4661050847268005</v>
      </c>
      <c r="I235" s="3">
        <f t="shared" si="82"/>
        <v>0.31707393544443657</v>
      </c>
      <c r="J235" s="19" t="str">
        <f t="shared" si="78"/>
        <v>L</v>
      </c>
      <c r="K235" s="20">
        <f t="shared" si="83"/>
        <v>1.4661050847268005</v>
      </c>
      <c r="L235" s="20">
        <f t="shared" si="84"/>
        <v>0.31707393544443657</v>
      </c>
      <c r="M235" s="20" t="e">
        <f t="shared" si="85"/>
        <v>#N/A</v>
      </c>
      <c r="N235" s="20" t="e">
        <f t="shared" si="86"/>
        <v>#N/A</v>
      </c>
      <c r="O235" s="20" t="e">
        <f t="shared" si="87"/>
        <v>#N/A</v>
      </c>
      <c r="P235" s="20" t="e">
        <f t="shared" si="88"/>
        <v>#N/A</v>
      </c>
      <c r="Q235" s="20" t="e">
        <f t="shared" si="89"/>
        <v>#N/A</v>
      </c>
      <c r="R235" s="20" t="e">
        <f t="shared" si="90"/>
        <v>#N/A</v>
      </c>
      <c r="S235" s="20" t="e">
        <f t="shared" si="91"/>
        <v>#N/A</v>
      </c>
      <c r="T235" s="20" t="e">
        <f t="shared" si="92"/>
        <v>#N/A</v>
      </c>
      <c r="U235" s="3"/>
      <c r="AA235" s="4"/>
    </row>
    <row r="236" spans="1:27" x14ac:dyDescent="0.25">
      <c r="A236">
        <f t="shared" si="95"/>
        <v>234</v>
      </c>
      <c r="B236">
        <f t="shared" si="76"/>
        <v>6</v>
      </c>
      <c r="C236">
        <f t="shared" si="79"/>
        <v>1.5000000000000004</v>
      </c>
      <c r="D236" s="15">
        <f t="shared" si="77"/>
        <v>3.0508474576271185</v>
      </c>
      <c r="E236">
        <f t="shared" si="80"/>
        <v>1</v>
      </c>
      <c r="F236" s="3">
        <f t="shared" si="93"/>
        <v>15.254237288135592</v>
      </c>
      <c r="G236" s="3">
        <f t="shared" si="94"/>
        <v>0.26623666555845704</v>
      </c>
      <c r="H236" s="18">
        <f t="shared" si="81"/>
        <v>1.4471518032217743</v>
      </c>
      <c r="I236" s="3">
        <f t="shared" si="82"/>
        <v>0.39465384634128203</v>
      </c>
      <c r="J236" s="19" t="str">
        <f t="shared" si="78"/>
        <v>L</v>
      </c>
      <c r="K236" s="20">
        <f t="shared" si="83"/>
        <v>1.4471518032217743</v>
      </c>
      <c r="L236" s="20">
        <f t="shared" si="84"/>
        <v>0.39465384634128203</v>
      </c>
      <c r="M236" s="20" t="e">
        <f t="shared" si="85"/>
        <v>#N/A</v>
      </c>
      <c r="N236" s="20" t="e">
        <f t="shared" si="86"/>
        <v>#N/A</v>
      </c>
      <c r="O236" s="20" t="e">
        <f t="shared" si="87"/>
        <v>#N/A</v>
      </c>
      <c r="P236" s="20" t="e">
        <f t="shared" si="88"/>
        <v>#N/A</v>
      </c>
      <c r="Q236" s="20" t="e">
        <f t="shared" si="89"/>
        <v>#N/A</v>
      </c>
      <c r="R236" s="20" t="e">
        <f t="shared" si="90"/>
        <v>#N/A</v>
      </c>
      <c r="S236" s="20" t="e">
        <f t="shared" si="91"/>
        <v>#N/A</v>
      </c>
      <c r="T236" s="20" t="e">
        <f t="shared" si="92"/>
        <v>#N/A</v>
      </c>
      <c r="U236" s="3"/>
      <c r="AA236" s="4"/>
    </row>
    <row r="237" spans="1:27" x14ac:dyDescent="0.25">
      <c r="A237">
        <f t="shared" si="95"/>
        <v>235</v>
      </c>
      <c r="B237">
        <f t="shared" si="76"/>
        <v>6</v>
      </c>
      <c r="C237">
        <f t="shared" si="79"/>
        <v>1.5000000000000004</v>
      </c>
      <c r="D237" s="15">
        <f t="shared" si="77"/>
        <v>3.0508474576271185</v>
      </c>
      <c r="E237">
        <f t="shared" si="80"/>
        <v>1</v>
      </c>
      <c r="F237" s="3">
        <f t="shared" si="93"/>
        <v>18.305084745762709</v>
      </c>
      <c r="G237" s="3">
        <f t="shared" si="94"/>
        <v>0.31948399867014837</v>
      </c>
      <c r="H237" s="18">
        <f t="shared" si="81"/>
        <v>1.4240964127025724</v>
      </c>
      <c r="I237" s="3">
        <f t="shared" si="82"/>
        <v>0.47111506803292319</v>
      </c>
      <c r="J237" s="19" t="str">
        <f t="shared" si="78"/>
        <v>L</v>
      </c>
      <c r="K237" s="20">
        <f t="shared" si="83"/>
        <v>1.4240964127025724</v>
      </c>
      <c r="L237" s="20">
        <f t="shared" si="84"/>
        <v>0.47111506803292319</v>
      </c>
      <c r="M237" s="20" t="e">
        <f t="shared" si="85"/>
        <v>#N/A</v>
      </c>
      <c r="N237" s="20" t="e">
        <f t="shared" si="86"/>
        <v>#N/A</v>
      </c>
      <c r="O237" s="20" t="e">
        <f t="shared" si="87"/>
        <v>#N/A</v>
      </c>
      <c r="P237" s="20" t="e">
        <f t="shared" si="88"/>
        <v>#N/A</v>
      </c>
      <c r="Q237" s="20" t="e">
        <f t="shared" si="89"/>
        <v>#N/A</v>
      </c>
      <c r="R237" s="20" t="e">
        <f t="shared" si="90"/>
        <v>#N/A</v>
      </c>
      <c r="S237" s="20" t="e">
        <f t="shared" si="91"/>
        <v>#N/A</v>
      </c>
      <c r="T237" s="20" t="e">
        <f t="shared" si="92"/>
        <v>#N/A</v>
      </c>
      <c r="U237" s="3"/>
      <c r="AA237" s="4"/>
    </row>
    <row r="238" spans="1:27" x14ac:dyDescent="0.25">
      <c r="A238">
        <f t="shared" si="95"/>
        <v>236</v>
      </c>
      <c r="B238">
        <f t="shared" si="76"/>
        <v>6</v>
      </c>
      <c r="C238">
        <f t="shared" si="79"/>
        <v>1.5000000000000004</v>
      </c>
      <c r="D238" s="15">
        <f t="shared" si="77"/>
        <v>3.0508474576271185</v>
      </c>
      <c r="E238">
        <f t="shared" si="80"/>
        <v>1</v>
      </c>
      <c r="F238" s="3">
        <f t="shared" si="93"/>
        <v>21.355932203389827</v>
      </c>
      <c r="G238" s="3">
        <f t="shared" si="94"/>
        <v>0.37273133178183976</v>
      </c>
      <c r="H238" s="18">
        <f t="shared" si="81"/>
        <v>1.397004266178508</v>
      </c>
      <c r="I238" s="3">
        <f t="shared" si="82"/>
        <v>0.54624086287923324</v>
      </c>
      <c r="J238" s="19" t="str">
        <f t="shared" si="78"/>
        <v>L</v>
      </c>
      <c r="K238" s="20">
        <f t="shared" si="83"/>
        <v>1.397004266178508</v>
      </c>
      <c r="L238" s="20">
        <f t="shared" si="84"/>
        <v>0.54624086287923324</v>
      </c>
      <c r="M238" s="20" t="e">
        <f t="shared" si="85"/>
        <v>#N/A</v>
      </c>
      <c r="N238" s="20" t="e">
        <f t="shared" si="86"/>
        <v>#N/A</v>
      </c>
      <c r="O238" s="20" t="e">
        <f t="shared" si="87"/>
        <v>#N/A</v>
      </c>
      <c r="P238" s="20" t="e">
        <f t="shared" si="88"/>
        <v>#N/A</v>
      </c>
      <c r="Q238" s="20" t="e">
        <f t="shared" si="89"/>
        <v>#N/A</v>
      </c>
      <c r="R238" s="20" t="e">
        <f t="shared" si="90"/>
        <v>#N/A</v>
      </c>
      <c r="S238" s="20" t="e">
        <f t="shared" si="91"/>
        <v>#N/A</v>
      </c>
      <c r="T238" s="20" t="e">
        <f t="shared" si="92"/>
        <v>#N/A</v>
      </c>
      <c r="U238" s="3"/>
      <c r="AA238" s="4"/>
    </row>
    <row r="239" spans="1:27" x14ac:dyDescent="0.25">
      <c r="A239">
        <f t="shared" si="95"/>
        <v>237</v>
      </c>
      <c r="B239">
        <f t="shared" si="76"/>
        <v>6</v>
      </c>
      <c r="C239">
        <f t="shared" si="79"/>
        <v>1.5000000000000004</v>
      </c>
      <c r="D239" s="15">
        <f t="shared" si="77"/>
        <v>3.0508474576271185</v>
      </c>
      <c r="E239">
        <f t="shared" si="80"/>
        <v>1</v>
      </c>
      <c r="F239" s="3">
        <f t="shared" si="93"/>
        <v>24.406779661016945</v>
      </c>
      <c r="G239" s="3">
        <f t="shared" si="94"/>
        <v>0.4259786648935312</v>
      </c>
      <c r="H239" s="18">
        <f t="shared" si="81"/>
        <v>1.3659521592823702</v>
      </c>
      <c r="I239" s="3">
        <f t="shared" si="82"/>
        <v>0.61981827865256733</v>
      </c>
      <c r="J239" s="19" t="str">
        <f t="shared" si="78"/>
        <v>L</v>
      </c>
      <c r="K239" s="20">
        <f t="shared" si="83"/>
        <v>1.3659521592823702</v>
      </c>
      <c r="L239" s="20">
        <f t="shared" si="84"/>
        <v>0.61981827865256733</v>
      </c>
      <c r="M239" s="20" t="e">
        <f t="shared" si="85"/>
        <v>#N/A</v>
      </c>
      <c r="N239" s="20" t="e">
        <f t="shared" si="86"/>
        <v>#N/A</v>
      </c>
      <c r="O239" s="20" t="e">
        <f t="shared" si="87"/>
        <v>#N/A</v>
      </c>
      <c r="P239" s="20" t="e">
        <f t="shared" si="88"/>
        <v>#N/A</v>
      </c>
      <c r="Q239" s="20" t="e">
        <f t="shared" si="89"/>
        <v>#N/A</v>
      </c>
      <c r="R239" s="20" t="e">
        <f t="shared" si="90"/>
        <v>#N/A</v>
      </c>
      <c r="S239" s="20" t="e">
        <f t="shared" si="91"/>
        <v>#N/A</v>
      </c>
      <c r="T239" s="20" t="e">
        <f t="shared" si="92"/>
        <v>#N/A</v>
      </c>
      <c r="U239" s="3"/>
      <c r="AA239" s="4"/>
    </row>
    <row r="240" spans="1:27" x14ac:dyDescent="0.25">
      <c r="A240">
        <f t="shared" si="95"/>
        <v>238</v>
      </c>
      <c r="B240">
        <f t="shared" si="76"/>
        <v>6</v>
      </c>
      <c r="C240">
        <f t="shared" si="79"/>
        <v>1.5000000000000004</v>
      </c>
      <c r="D240" s="15">
        <f t="shared" si="77"/>
        <v>3.0508474576271185</v>
      </c>
      <c r="E240">
        <f t="shared" si="80"/>
        <v>1</v>
      </c>
      <c r="F240" s="3">
        <f t="shared" si="93"/>
        <v>27.457627118644062</v>
      </c>
      <c r="G240" s="3">
        <f t="shared" si="94"/>
        <v>0.47922599800522264</v>
      </c>
      <c r="H240" s="18">
        <f t="shared" si="81"/>
        <v>1.331028112584858</v>
      </c>
      <c r="I240" s="3">
        <f t="shared" si="82"/>
        <v>0.69163875217398885</v>
      </c>
      <c r="J240" s="19" t="str">
        <f t="shared" si="78"/>
        <v>L</v>
      </c>
      <c r="K240" s="20">
        <f t="shared" si="83"/>
        <v>1.331028112584858</v>
      </c>
      <c r="L240" s="20">
        <f t="shared" si="84"/>
        <v>0.69163875217398885</v>
      </c>
      <c r="M240" s="20" t="e">
        <f t="shared" si="85"/>
        <v>#N/A</v>
      </c>
      <c r="N240" s="20" t="e">
        <f t="shared" si="86"/>
        <v>#N/A</v>
      </c>
      <c r="O240" s="20" t="e">
        <f t="shared" si="87"/>
        <v>#N/A</v>
      </c>
      <c r="P240" s="20" t="e">
        <f t="shared" si="88"/>
        <v>#N/A</v>
      </c>
      <c r="Q240" s="20" t="e">
        <f t="shared" si="89"/>
        <v>#N/A</v>
      </c>
      <c r="R240" s="20" t="e">
        <f t="shared" si="90"/>
        <v>#N/A</v>
      </c>
      <c r="S240" s="20" t="e">
        <f t="shared" si="91"/>
        <v>#N/A</v>
      </c>
      <c r="T240" s="20" t="e">
        <f t="shared" si="92"/>
        <v>#N/A</v>
      </c>
      <c r="U240" s="3"/>
      <c r="AA240" s="4"/>
    </row>
    <row r="241" spans="1:27" x14ac:dyDescent="0.25">
      <c r="A241">
        <f t="shared" si="95"/>
        <v>239</v>
      </c>
      <c r="B241">
        <f t="shared" si="76"/>
        <v>6</v>
      </c>
      <c r="C241">
        <f t="shared" si="79"/>
        <v>1.5000000000000004</v>
      </c>
      <c r="D241" s="15">
        <f t="shared" si="77"/>
        <v>3.0508474576271185</v>
      </c>
      <c r="E241">
        <f t="shared" si="80"/>
        <v>1</v>
      </c>
      <c r="F241" s="3">
        <f t="shared" si="93"/>
        <v>30.50847457627118</v>
      </c>
      <c r="G241" s="3">
        <f t="shared" si="94"/>
        <v>0.53247333111691397</v>
      </c>
      <c r="H241" s="18">
        <f t="shared" si="81"/>
        <v>1.2923311220907097</v>
      </c>
      <c r="I241" s="3">
        <f t="shared" si="82"/>
        <v>0.76149870050825996</v>
      </c>
      <c r="J241" s="19" t="str">
        <f t="shared" si="78"/>
        <v>L</v>
      </c>
      <c r="K241" s="20">
        <f t="shared" si="83"/>
        <v>1.2923311220907097</v>
      </c>
      <c r="L241" s="20">
        <f t="shared" si="84"/>
        <v>0.76149870050825996</v>
      </c>
      <c r="M241" s="20" t="e">
        <f t="shared" si="85"/>
        <v>#N/A</v>
      </c>
      <c r="N241" s="20" t="e">
        <f t="shared" si="86"/>
        <v>#N/A</v>
      </c>
      <c r="O241" s="20" t="e">
        <f t="shared" si="87"/>
        <v>#N/A</v>
      </c>
      <c r="P241" s="20" t="e">
        <f t="shared" si="88"/>
        <v>#N/A</v>
      </c>
      <c r="Q241" s="20" t="e">
        <f t="shared" si="89"/>
        <v>#N/A</v>
      </c>
      <c r="R241" s="20" t="e">
        <f t="shared" si="90"/>
        <v>#N/A</v>
      </c>
      <c r="S241" s="20" t="e">
        <f t="shared" si="91"/>
        <v>#N/A</v>
      </c>
      <c r="T241" s="20" t="e">
        <f t="shared" si="92"/>
        <v>#N/A</v>
      </c>
      <c r="U241" s="3"/>
      <c r="AA241" s="4"/>
    </row>
    <row r="242" spans="1:27" x14ac:dyDescent="0.25">
      <c r="A242">
        <f t="shared" si="95"/>
        <v>240</v>
      </c>
      <c r="B242">
        <f t="shared" si="76"/>
        <v>6</v>
      </c>
      <c r="C242">
        <f t="shared" si="79"/>
        <v>1.5000000000000004</v>
      </c>
      <c r="D242" s="15">
        <f t="shared" si="77"/>
        <v>3.0508474576271185</v>
      </c>
      <c r="E242">
        <f t="shared" si="80"/>
        <v>1</v>
      </c>
      <c r="F242" s="3">
        <f t="shared" si="93"/>
        <v>33.559322033898297</v>
      </c>
      <c r="G242" s="3">
        <f t="shared" si="94"/>
        <v>0.58572066422860536</v>
      </c>
      <c r="H242" s="18">
        <f t="shared" si="81"/>
        <v>1.2499708786237729</v>
      </c>
      <c r="I242" s="3">
        <f t="shared" si="82"/>
        <v>0.82920009804179018</v>
      </c>
      <c r="J242" s="19" t="str">
        <f t="shared" si="78"/>
        <v>L</v>
      </c>
      <c r="K242" s="20">
        <f t="shared" si="83"/>
        <v>1.2499708786237729</v>
      </c>
      <c r="L242" s="20">
        <f t="shared" si="84"/>
        <v>0.82920009804179018</v>
      </c>
      <c r="M242" s="20" t="e">
        <f t="shared" si="85"/>
        <v>#N/A</v>
      </c>
      <c r="N242" s="20" t="e">
        <f t="shared" si="86"/>
        <v>#N/A</v>
      </c>
      <c r="O242" s="20" t="e">
        <f t="shared" si="87"/>
        <v>#N/A</v>
      </c>
      <c r="P242" s="20" t="e">
        <f t="shared" si="88"/>
        <v>#N/A</v>
      </c>
      <c r="Q242" s="20" t="e">
        <f t="shared" si="89"/>
        <v>#N/A</v>
      </c>
      <c r="R242" s="20" t="e">
        <f t="shared" si="90"/>
        <v>#N/A</v>
      </c>
      <c r="S242" s="20" t="e">
        <f t="shared" si="91"/>
        <v>#N/A</v>
      </c>
      <c r="T242" s="20" t="e">
        <f t="shared" si="92"/>
        <v>#N/A</v>
      </c>
      <c r="U242" s="3"/>
      <c r="AA242" s="4"/>
    </row>
    <row r="243" spans="1:27" x14ac:dyDescent="0.25">
      <c r="A243">
        <f t="shared" si="95"/>
        <v>241</v>
      </c>
      <c r="B243">
        <f t="shared" si="76"/>
        <v>6</v>
      </c>
      <c r="C243">
        <f t="shared" si="79"/>
        <v>1.5000000000000004</v>
      </c>
      <c r="D243" s="15">
        <f t="shared" si="77"/>
        <v>3.0508474576271185</v>
      </c>
      <c r="E243">
        <f t="shared" si="80"/>
        <v>1</v>
      </c>
      <c r="F243" s="3">
        <f t="shared" si="93"/>
        <v>36.610169491525419</v>
      </c>
      <c r="G243" s="3">
        <f t="shared" si="94"/>
        <v>0.63896799734029675</v>
      </c>
      <c r="H243" s="18">
        <f t="shared" si="81"/>
        <v>1.204067456896446</v>
      </c>
      <c r="I243" s="3">
        <f t="shared" si="82"/>
        <v>0.89455103780775225</v>
      </c>
      <c r="J243" s="19" t="str">
        <f t="shared" si="78"/>
        <v>L</v>
      </c>
      <c r="K243" s="20">
        <f t="shared" si="83"/>
        <v>1.204067456896446</v>
      </c>
      <c r="L243" s="20">
        <f t="shared" si="84"/>
        <v>0.89455103780775225</v>
      </c>
      <c r="M243" s="20" t="e">
        <f t="shared" si="85"/>
        <v>#N/A</v>
      </c>
      <c r="N243" s="20" t="e">
        <f t="shared" si="86"/>
        <v>#N/A</v>
      </c>
      <c r="O243" s="20" t="e">
        <f t="shared" si="87"/>
        <v>#N/A</v>
      </c>
      <c r="P243" s="20" t="e">
        <f t="shared" si="88"/>
        <v>#N/A</v>
      </c>
      <c r="Q243" s="20" t="e">
        <f t="shared" si="89"/>
        <v>#N/A</v>
      </c>
      <c r="R243" s="20" t="e">
        <f t="shared" si="90"/>
        <v>#N/A</v>
      </c>
      <c r="S243" s="20" t="e">
        <f t="shared" si="91"/>
        <v>#N/A</v>
      </c>
      <c r="T243" s="20" t="e">
        <f t="shared" si="92"/>
        <v>#N/A</v>
      </c>
      <c r="U243" s="3"/>
      <c r="AA243" s="4"/>
    </row>
    <row r="244" spans="1:27" x14ac:dyDescent="0.25">
      <c r="A244">
        <f t="shared" si="95"/>
        <v>242</v>
      </c>
      <c r="B244">
        <f t="shared" si="76"/>
        <v>6</v>
      </c>
      <c r="C244">
        <f t="shared" si="79"/>
        <v>1.5000000000000004</v>
      </c>
      <c r="D244" s="15">
        <f t="shared" si="77"/>
        <v>3.0508474576271185</v>
      </c>
      <c r="E244">
        <f t="shared" si="80"/>
        <v>1</v>
      </c>
      <c r="F244" s="3">
        <f t="shared" si="93"/>
        <v>39.66101694915254</v>
      </c>
      <c r="G244" s="3">
        <f t="shared" si="94"/>
        <v>0.69221533045198835</v>
      </c>
      <c r="H244" s="18">
        <f t="shared" si="81"/>
        <v>1.1547509751448597</v>
      </c>
      <c r="I244" s="3">
        <f t="shared" si="82"/>
        <v>0.95736627546723041</v>
      </c>
      <c r="J244" s="19" t="str">
        <f t="shared" si="78"/>
        <v>L</v>
      </c>
      <c r="K244" s="20">
        <f t="shared" si="83"/>
        <v>1.1547509751448597</v>
      </c>
      <c r="L244" s="20">
        <f t="shared" si="84"/>
        <v>0.95736627546723041</v>
      </c>
      <c r="M244" s="20" t="e">
        <f t="shared" si="85"/>
        <v>#N/A</v>
      </c>
      <c r="N244" s="20" t="e">
        <f t="shared" si="86"/>
        <v>#N/A</v>
      </c>
      <c r="O244" s="20" t="e">
        <f t="shared" si="87"/>
        <v>#N/A</v>
      </c>
      <c r="P244" s="20" t="e">
        <f t="shared" si="88"/>
        <v>#N/A</v>
      </c>
      <c r="Q244" s="20" t="e">
        <f t="shared" si="89"/>
        <v>#N/A</v>
      </c>
      <c r="R244" s="20" t="e">
        <f t="shared" si="90"/>
        <v>#N/A</v>
      </c>
      <c r="S244" s="20" t="e">
        <f t="shared" si="91"/>
        <v>#N/A</v>
      </c>
      <c r="T244" s="20" t="e">
        <f t="shared" si="92"/>
        <v>#N/A</v>
      </c>
      <c r="U244" s="3"/>
      <c r="AA244" s="4"/>
    </row>
    <row r="245" spans="1:27" x14ac:dyDescent="0.25">
      <c r="A245">
        <f t="shared" si="95"/>
        <v>243</v>
      </c>
      <c r="B245">
        <f t="shared" si="76"/>
        <v>6</v>
      </c>
      <c r="C245">
        <f t="shared" si="79"/>
        <v>1.5000000000000004</v>
      </c>
      <c r="D245" s="15">
        <f t="shared" si="77"/>
        <v>3.0508474576271185</v>
      </c>
      <c r="E245">
        <f t="shared" si="80"/>
        <v>1</v>
      </c>
      <c r="F245" s="3">
        <f t="shared" si="93"/>
        <v>42.711864406779661</v>
      </c>
      <c r="G245" s="3">
        <f t="shared" si="94"/>
        <v>0.74546266356367974</v>
      </c>
      <c r="H245" s="18">
        <f t="shared" si="81"/>
        <v>1.1021612262946012</v>
      </c>
      <c r="I245" s="3">
        <f t="shared" si="82"/>
        <v>1.0174677544044244</v>
      </c>
      <c r="J245" s="19" t="str">
        <f t="shared" si="78"/>
        <v>L</v>
      </c>
      <c r="K245" s="20">
        <f t="shared" si="83"/>
        <v>1.1021612262946012</v>
      </c>
      <c r="L245" s="20">
        <f t="shared" si="84"/>
        <v>1.0174677544044244</v>
      </c>
      <c r="M245" s="20" t="e">
        <f t="shared" si="85"/>
        <v>#N/A</v>
      </c>
      <c r="N245" s="20" t="e">
        <f t="shared" si="86"/>
        <v>#N/A</v>
      </c>
      <c r="O245" s="20" t="e">
        <f t="shared" si="87"/>
        <v>#N/A</v>
      </c>
      <c r="P245" s="20" t="e">
        <f t="shared" si="88"/>
        <v>#N/A</v>
      </c>
      <c r="Q245" s="20" t="e">
        <f t="shared" si="89"/>
        <v>#N/A</v>
      </c>
      <c r="R245" s="20" t="e">
        <f t="shared" si="90"/>
        <v>#N/A</v>
      </c>
      <c r="S245" s="20" t="e">
        <f t="shared" si="91"/>
        <v>#N/A</v>
      </c>
      <c r="T245" s="20" t="e">
        <f t="shared" si="92"/>
        <v>#N/A</v>
      </c>
      <c r="U245" s="3"/>
      <c r="AA245" s="4"/>
    </row>
    <row r="246" spans="1:27" x14ac:dyDescent="0.25">
      <c r="A246">
        <f t="shared" si="95"/>
        <v>244</v>
      </c>
      <c r="B246">
        <f t="shared" si="76"/>
        <v>6</v>
      </c>
      <c r="C246">
        <f t="shared" si="79"/>
        <v>1.5000000000000004</v>
      </c>
      <c r="D246" s="15">
        <f t="shared" si="77"/>
        <v>3.0508474576271185</v>
      </c>
      <c r="E246">
        <f t="shared" si="80"/>
        <v>1</v>
      </c>
      <c r="F246" s="3">
        <f t="shared" si="93"/>
        <v>45.762711864406782</v>
      </c>
      <c r="G246" s="3">
        <f t="shared" si="94"/>
        <v>0.79870999667537113</v>
      </c>
      <c r="H246" s="18">
        <f t="shared" si="81"/>
        <v>1.0464472817024775</v>
      </c>
      <c r="I246" s="3">
        <f t="shared" si="82"/>
        <v>1.0746851104474728</v>
      </c>
      <c r="J246" s="19" t="str">
        <f t="shared" si="78"/>
        <v>L</v>
      </c>
      <c r="K246" s="20">
        <f t="shared" si="83"/>
        <v>1.0464472817024775</v>
      </c>
      <c r="L246" s="20">
        <f t="shared" si="84"/>
        <v>1.0746851104474728</v>
      </c>
      <c r="M246" s="20" t="e">
        <f t="shared" si="85"/>
        <v>#N/A</v>
      </c>
      <c r="N246" s="20" t="e">
        <f t="shared" si="86"/>
        <v>#N/A</v>
      </c>
      <c r="O246" s="20" t="e">
        <f t="shared" si="87"/>
        <v>#N/A</v>
      </c>
      <c r="P246" s="20" t="e">
        <f t="shared" si="88"/>
        <v>#N/A</v>
      </c>
      <c r="Q246" s="20" t="e">
        <f t="shared" si="89"/>
        <v>#N/A</v>
      </c>
      <c r="R246" s="20" t="e">
        <f t="shared" si="90"/>
        <v>#N/A</v>
      </c>
      <c r="S246" s="20" t="e">
        <f t="shared" si="91"/>
        <v>#N/A</v>
      </c>
      <c r="T246" s="20" t="e">
        <f t="shared" si="92"/>
        <v>#N/A</v>
      </c>
      <c r="U246" s="3"/>
      <c r="AA246" s="4"/>
    </row>
    <row r="247" spans="1:27" x14ac:dyDescent="0.25">
      <c r="A247">
        <f t="shared" si="95"/>
        <v>245</v>
      </c>
      <c r="B247">
        <f t="shared" si="76"/>
        <v>6</v>
      </c>
      <c r="C247">
        <f t="shared" si="79"/>
        <v>1.5000000000000004</v>
      </c>
      <c r="D247" s="15">
        <f t="shared" si="77"/>
        <v>3.0508474576271185</v>
      </c>
      <c r="E247">
        <f t="shared" si="80"/>
        <v>1</v>
      </c>
      <c r="F247" s="3">
        <f t="shared" si="93"/>
        <v>48.813559322033903</v>
      </c>
      <c r="G247" s="3">
        <f t="shared" si="94"/>
        <v>0.85195732978706273</v>
      </c>
      <c r="H247" s="18">
        <f t="shared" si="81"/>
        <v>0.98776706859755814</v>
      </c>
      <c r="I247" s="3">
        <f t="shared" si="82"/>
        <v>1.1288561547842082</v>
      </c>
      <c r="J247" s="19" t="str">
        <f t="shared" si="78"/>
        <v>L</v>
      </c>
      <c r="K247" s="20">
        <f t="shared" si="83"/>
        <v>0.98776706859755814</v>
      </c>
      <c r="L247" s="20">
        <f t="shared" si="84"/>
        <v>1.1288561547842082</v>
      </c>
      <c r="M247" s="20" t="e">
        <f t="shared" si="85"/>
        <v>#N/A</v>
      </c>
      <c r="N247" s="20" t="e">
        <f t="shared" si="86"/>
        <v>#N/A</v>
      </c>
      <c r="O247" s="20" t="e">
        <f t="shared" si="87"/>
        <v>#N/A</v>
      </c>
      <c r="P247" s="20" t="e">
        <f t="shared" si="88"/>
        <v>#N/A</v>
      </c>
      <c r="Q247" s="20" t="e">
        <f t="shared" si="89"/>
        <v>#N/A</v>
      </c>
      <c r="R247" s="20" t="e">
        <f t="shared" si="90"/>
        <v>#N/A</v>
      </c>
      <c r="S247" s="20" t="e">
        <f t="shared" si="91"/>
        <v>#N/A</v>
      </c>
      <c r="T247" s="20" t="e">
        <f t="shared" si="92"/>
        <v>#N/A</v>
      </c>
      <c r="U247" s="3"/>
      <c r="AA247" s="4"/>
    </row>
    <row r="248" spans="1:27" x14ac:dyDescent="0.25">
      <c r="A248">
        <f t="shared" si="95"/>
        <v>246</v>
      </c>
      <c r="B248">
        <f t="shared" si="76"/>
        <v>6</v>
      </c>
      <c r="C248">
        <f t="shared" si="79"/>
        <v>1.5000000000000004</v>
      </c>
      <c r="D248" s="15">
        <f t="shared" si="77"/>
        <v>3.0508474576271185</v>
      </c>
      <c r="E248">
        <f t="shared" si="80"/>
        <v>1</v>
      </c>
      <c r="F248" s="3">
        <f t="shared" si="93"/>
        <v>51.864406779661024</v>
      </c>
      <c r="G248" s="3">
        <f t="shared" si="94"/>
        <v>0.90520466289875412</v>
      </c>
      <c r="H248" s="18">
        <f t="shared" si="81"/>
        <v>0.92628692241928801</v>
      </c>
      <c r="I248" s="3">
        <f t="shared" si="82"/>
        <v>1.1798273337039642</v>
      </c>
      <c r="J248" s="19" t="str">
        <f t="shared" si="78"/>
        <v>L</v>
      </c>
      <c r="K248" s="20">
        <f t="shared" si="83"/>
        <v>0.92628692241928801</v>
      </c>
      <c r="L248" s="20">
        <f t="shared" si="84"/>
        <v>1.1798273337039642</v>
      </c>
      <c r="M248" s="20" t="e">
        <f t="shared" si="85"/>
        <v>#N/A</v>
      </c>
      <c r="N248" s="20" t="e">
        <f t="shared" si="86"/>
        <v>#N/A</v>
      </c>
      <c r="O248" s="20" t="e">
        <f t="shared" si="87"/>
        <v>#N/A</v>
      </c>
      <c r="P248" s="20" t="e">
        <f t="shared" si="88"/>
        <v>#N/A</v>
      </c>
      <c r="Q248" s="20" t="e">
        <f t="shared" si="89"/>
        <v>#N/A</v>
      </c>
      <c r="R248" s="20" t="e">
        <f t="shared" si="90"/>
        <v>#N/A</v>
      </c>
      <c r="S248" s="20" t="e">
        <f t="shared" si="91"/>
        <v>#N/A</v>
      </c>
      <c r="T248" s="20" t="e">
        <f t="shared" si="92"/>
        <v>#N/A</v>
      </c>
      <c r="U248" s="3"/>
      <c r="AA248" s="4"/>
    </row>
    <row r="249" spans="1:27" x14ac:dyDescent="0.25">
      <c r="A249">
        <f t="shared" si="95"/>
        <v>247</v>
      </c>
      <c r="B249">
        <f t="shared" si="76"/>
        <v>6</v>
      </c>
      <c r="C249">
        <f t="shared" si="79"/>
        <v>1.5000000000000004</v>
      </c>
      <c r="D249" s="15">
        <f t="shared" si="77"/>
        <v>3.0508474576271185</v>
      </c>
      <c r="E249">
        <f t="shared" si="80"/>
        <v>1</v>
      </c>
      <c r="F249" s="3">
        <f t="shared" si="93"/>
        <v>54.915254237288146</v>
      </c>
      <c r="G249" s="3">
        <f t="shared" si="94"/>
        <v>0.95845199601044562</v>
      </c>
      <c r="H249" s="18">
        <f t="shared" si="81"/>
        <v>0.86218111532161035</v>
      </c>
      <c r="I249" s="3">
        <f t="shared" si="82"/>
        <v>1.227454163862254</v>
      </c>
      <c r="J249" s="19" t="str">
        <f t="shared" si="78"/>
        <v>L</v>
      </c>
      <c r="K249" s="20">
        <f t="shared" si="83"/>
        <v>0.86218111532161035</v>
      </c>
      <c r="L249" s="20">
        <f t="shared" si="84"/>
        <v>1.227454163862254</v>
      </c>
      <c r="M249" s="20" t="e">
        <f t="shared" si="85"/>
        <v>#N/A</v>
      </c>
      <c r="N249" s="20" t="e">
        <f t="shared" si="86"/>
        <v>#N/A</v>
      </c>
      <c r="O249" s="20" t="e">
        <f t="shared" si="87"/>
        <v>#N/A</v>
      </c>
      <c r="P249" s="20" t="e">
        <f t="shared" si="88"/>
        <v>#N/A</v>
      </c>
      <c r="Q249" s="20" t="e">
        <f t="shared" si="89"/>
        <v>#N/A</v>
      </c>
      <c r="R249" s="20" t="e">
        <f t="shared" si="90"/>
        <v>#N/A</v>
      </c>
      <c r="S249" s="20" t="e">
        <f t="shared" si="91"/>
        <v>#N/A</v>
      </c>
      <c r="T249" s="20" t="e">
        <f t="shared" si="92"/>
        <v>#N/A</v>
      </c>
      <c r="U249" s="3"/>
      <c r="AA249" s="4"/>
    </row>
    <row r="250" spans="1:27" x14ac:dyDescent="0.25">
      <c r="A250">
        <f t="shared" si="95"/>
        <v>248</v>
      </c>
      <c r="B250">
        <f t="shared" si="76"/>
        <v>6</v>
      </c>
      <c r="C250">
        <f t="shared" si="79"/>
        <v>1.5000000000000004</v>
      </c>
      <c r="D250" s="15">
        <f t="shared" si="77"/>
        <v>3.0508474576271185</v>
      </c>
      <c r="E250">
        <f t="shared" si="80"/>
        <v>1</v>
      </c>
      <c r="F250" s="3">
        <f t="shared" si="93"/>
        <v>57.966101694915267</v>
      </c>
      <c r="G250" s="3">
        <f t="shared" si="94"/>
        <v>1.011699329122137</v>
      </c>
      <c r="H250" s="18">
        <f t="shared" si="81"/>
        <v>0.79563136217961372</v>
      </c>
      <c r="I250" s="3">
        <f t="shared" si="82"/>
        <v>1.2716016418345069</v>
      </c>
      <c r="J250" s="19" t="str">
        <f t="shared" si="78"/>
        <v>L</v>
      </c>
      <c r="K250" s="20">
        <f t="shared" si="83"/>
        <v>0.79563136217961372</v>
      </c>
      <c r="L250" s="20">
        <f t="shared" si="84"/>
        <v>1.2716016418345069</v>
      </c>
      <c r="M250" s="20" t="e">
        <f t="shared" si="85"/>
        <v>#N/A</v>
      </c>
      <c r="N250" s="20" t="e">
        <f t="shared" si="86"/>
        <v>#N/A</v>
      </c>
      <c r="O250" s="20" t="e">
        <f t="shared" si="87"/>
        <v>#N/A</v>
      </c>
      <c r="P250" s="20" t="e">
        <f t="shared" si="88"/>
        <v>#N/A</v>
      </c>
      <c r="Q250" s="20" t="e">
        <f t="shared" si="89"/>
        <v>#N/A</v>
      </c>
      <c r="R250" s="20" t="e">
        <f t="shared" si="90"/>
        <v>#N/A</v>
      </c>
      <c r="S250" s="20" t="e">
        <f t="shared" si="91"/>
        <v>#N/A</v>
      </c>
      <c r="T250" s="20" t="e">
        <f t="shared" si="92"/>
        <v>#N/A</v>
      </c>
      <c r="U250" s="3"/>
      <c r="AA250" s="4"/>
    </row>
    <row r="251" spans="1:27" x14ac:dyDescent="0.25">
      <c r="A251">
        <f t="shared" si="95"/>
        <v>249</v>
      </c>
      <c r="B251">
        <f t="shared" si="76"/>
        <v>6</v>
      </c>
      <c r="C251">
        <f t="shared" si="79"/>
        <v>1.5000000000000004</v>
      </c>
      <c r="D251" s="15">
        <f t="shared" si="77"/>
        <v>3.0508474576271185</v>
      </c>
      <c r="E251">
        <f t="shared" si="80"/>
        <v>1</v>
      </c>
      <c r="F251" s="3">
        <f t="shared" si="93"/>
        <v>61.016949152542388</v>
      </c>
      <c r="G251" s="3">
        <f t="shared" si="94"/>
        <v>1.0649466622338284</v>
      </c>
      <c r="H251" s="18">
        <f t="shared" si="81"/>
        <v>0.72682630549897531</v>
      </c>
      <c r="I251" s="3">
        <f t="shared" si="82"/>
        <v>1.3121446267979424</v>
      </c>
      <c r="J251" s="19" t="str">
        <f t="shared" si="78"/>
        <v>L</v>
      </c>
      <c r="K251" s="20">
        <f t="shared" si="83"/>
        <v>0.72682630549897531</v>
      </c>
      <c r="L251" s="20">
        <f t="shared" si="84"/>
        <v>1.3121446267979424</v>
      </c>
      <c r="M251" s="20" t="e">
        <f t="shared" si="85"/>
        <v>#N/A</v>
      </c>
      <c r="N251" s="20" t="e">
        <f t="shared" si="86"/>
        <v>#N/A</v>
      </c>
      <c r="O251" s="20" t="e">
        <f t="shared" si="87"/>
        <v>#N/A</v>
      </c>
      <c r="P251" s="20" t="e">
        <f t="shared" si="88"/>
        <v>#N/A</v>
      </c>
      <c r="Q251" s="20" t="e">
        <f t="shared" si="89"/>
        <v>#N/A</v>
      </c>
      <c r="R251" s="20" t="e">
        <f t="shared" si="90"/>
        <v>#N/A</v>
      </c>
      <c r="S251" s="20" t="e">
        <f t="shared" si="91"/>
        <v>#N/A</v>
      </c>
      <c r="T251" s="20" t="e">
        <f t="shared" si="92"/>
        <v>#N/A</v>
      </c>
      <c r="U251" s="3"/>
      <c r="AA251" s="4"/>
    </row>
    <row r="252" spans="1:27" x14ac:dyDescent="0.25">
      <c r="A252">
        <f t="shared" si="95"/>
        <v>250</v>
      </c>
      <c r="B252">
        <f t="shared" si="76"/>
        <v>6</v>
      </c>
      <c r="C252">
        <f t="shared" si="79"/>
        <v>1.5000000000000004</v>
      </c>
      <c r="D252" s="15">
        <f t="shared" si="77"/>
        <v>3.0508474576271185</v>
      </c>
      <c r="E252">
        <f t="shared" si="80"/>
        <v>1</v>
      </c>
      <c r="F252" s="3">
        <f t="shared" si="93"/>
        <v>64.067796610169509</v>
      </c>
      <c r="G252" s="3">
        <f t="shared" si="94"/>
        <v>1.11819399534552</v>
      </c>
      <c r="H252" s="18">
        <f t="shared" si="81"/>
        <v>0.65596098068828279</v>
      </c>
      <c r="I252" s="3">
        <f t="shared" si="82"/>
        <v>1.3489681952568295</v>
      </c>
      <c r="J252" s="19" t="str">
        <f t="shared" si="78"/>
        <v>L</v>
      </c>
      <c r="K252" s="20">
        <f t="shared" si="83"/>
        <v>0.65596098068828279</v>
      </c>
      <c r="L252" s="20">
        <f t="shared" si="84"/>
        <v>1.3489681952568295</v>
      </c>
      <c r="M252" s="20" t="e">
        <f t="shared" si="85"/>
        <v>#N/A</v>
      </c>
      <c r="N252" s="20" t="e">
        <f t="shared" si="86"/>
        <v>#N/A</v>
      </c>
      <c r="O252" s="20" t="e">
        <f t="shared" si="87"/>
        <v>#N/A</v>
      </c>
      <c r="P252" s="20" t="e">
        <f t="shared" si="88"/>
        <v>#N/A</v>
      </c>
      <c r="Q252" s="20" t="e">
        <f t="shared" si="89"/>
        <v>#N/A</v>
      </c>
      <c r="R252" s="20" t="e">
        <f t="shared" si="90"/>
        <v>#N/A</v>
      </c>
      <c r="S252" s="20" t="e">
        <f t="shared" si="91"/>
        <v>#N/A</v>
      </c>
      <c r="T252" s="20" t="e">
        <f t="shared" si="92"/>
        <v>#N/A</v>
      </c>
      <c r="U252" s="3"/>
      <c r="AA252" s="4"/>
    </row>
    <row r="253" spans="1:27" x14ac:dyDescent="0.25">
      <c r="A253">
        <f t="shared" si="95"/>
        <v>251</v>
      </c>
      <c r="B253">
        <f t="shared" si="76"/>
        <v>6</v>
      </c>
      <c r="C253">
        <f t="shared" si="79"/>
        <v>1.5000000000000004</v>
      </c>
      <c r="D253" s="15">
        <f t="shared" si="77"/>
        <v>3.0508474576271185</v>
      </c>
      <c r="E253">
        <f t="shared" si="80"/>
        <v>1</v>
      </c>
      <c r="F253" s="3">
        <f t="shared" si="93"/>
        <v>67.118644067796623</v>
      </c>
      <c r="G253" s="3">
        <f t="shared" si="94"/>
        <v>1.1714413284572112</v>
      </c>
      <c r="H253" s="18">
        <f t="shared" si="81"/>
        <v>0.58323626320998101</v>
      </c>
      <c r="I253" s="3">
        <f t="shared" si="82"/>
        <v>1.38196796680562</v>
      </c>
      <c r="J253" s="19" t="str">
        <f t="shared" si="78"/>
        <v>L</v>
      </c>
      <c r="K253" s="20">
        <f t="shared" si="83"/>
        <v>0.58323626320998101</v>
      </c>
      <c r="L253" s="20">
        <f t="shared" si="84"/>
        <v>1.38196796680562</v>
      </c>
      <c r="M253" s="20" t="e">
        <f t="shared" si="85"/>
        <v>#N/A</v>
      </c>
      <c r="N253" s="20" t="e">
        <f t="shared" si="86"/>
        <v>#N/A</v>
      </c>
      <c r="O253" s="20" t="e">
        <f t="shared" si="87"/>
        <v>#N/A</v>
      </c>
      <c r="P253" s="20" t="e">
        <f t="shared" si="88"/>
        <v>#N/A</v>
      </c>
      <c r="Q253" s="20" t="e">
        <f t="shared" si="89"/>
        <v>#N/A</v>
      </c>
      <c r="R253" s="20" t="e">
        <f t="shared" si="90"/>
        <v>#N/A</v>
      </c>
      <c r="S253" s="20" t="e">
        <f t="shared" si="91"/>
        <v>#N/A</v>
      </c>
      <c r="T253" s="20" t="e">
        <f t="shared" si="92"/>
        <v>#N/A</v>
      </c>
      <c r="U253" s="3"/>
      <c r="AA253" s="4"/>
    </row>
    <row r="254" spans="1:27" x14ac:dyDescent="0.25">
      <c r="A254">
        <f t="shared" si="95"/>
        <v>252</v>
      </c>
      <c r="B254">
        <f t="shared" si="76"/>
        <v>6</v>
      </c>
      <c r="C254">
        <f t="shared" si="79"/>
        <v>1.5000000000000004</v>
      </c>
      <c r="D254" s="15">
        <f t="shared" si="77"/>
        <v>3.0508474576271185</v>
      </c>
      <c r="E254">
        <f t="shared" si="80"/>
        <v>1</v>
      </c>
      <c r="F254" s="3">
        <f t="shared" si="93"/>
        <v>70.169491525423737</v>
      </c>
      <c r="G254" s="3">
        <f t="shared" si="94"/>
        <v>1.2246886615689025</v>
      </c>
      <c r="H254" s="18">
        <f t="shared" si="81"/>
        <v>0.50885829917704539</v>
      </c>
      <c r="I254" s="3">
        <f t="shared" si="82"/>
        <v>1.4110504000065505</v>
      </c>
      <c r="J254" s="19" t="str">
        <f t="shared" si="78"/>
        <v>L</v>
      </c>
      <c r="K254" s="20">
        <f t="shared" si="83"/>
        <v>0.50885829917704539</v>
      </c>
      <c r="L254" s="20">
        <f t="shared" si="84"/>
        <v>1.4110504000065505</v>
      </c>
      <c r="M254" s="20" t="e">
        <f t="shared" si="85"/>
        <v>#N/A</v>
      </c>
      <c r="N254" s="20" t="e">
        <f t="shared" si="86"/>
        <v>#N/A</v>
      </c>
      <c r="O254" s="20" t="e">
        <f t="shared" si="87"/>
        <v>#N/A</v>
      </c>
      <c r="P254" s="20" t="e">
        <f t="shared" si="88"/>
        <v>#N/A</v>
      </c>
      <c r="Q254" s="20" t="e">
        <f t="shared" si="89"/>
        <v>#N/A</v>
      </c>
      <c r="R254" s="20" t="e">
        <f t="shared" si="90"/>
        <v>#N/A</v>
      </c>
      <c r="S254" s="20" t="e">
        <f t="shared" si="91"/>
        <v>#N/A</v>
      </c>
      <c r="T254" s="20" t="e">
        <f t="shared" si="92"/>
        <v>#N/A</v>
      </c>
      <c r="U254" s="3"/>
      <c r="AA254" s="4"/>
    </row>
    <row r="255" spans="1:27" x14ac:dyDescent="0.25">
      <c r="A255">
        <f t="shared" si="95"/>
        <v>253</v>
      </c>
      <c r="B255">
        <f t="shared" si="76"/>
        <v>6</v>
      </c>
      <c r="C255">
        <f t="shared" si="79"/>
        <v>1.5000000000000004</v>
      </c>
      <c r="D255" s="15">
        <f t="shared" si="77"/>
        <v>3.0508474576271185</v>
      </c>
      <c r="E255">
        <f t="shared" si="80"/>
        <v>1</v>
      </c>
      <c r="F255" s="3">
        <f t="shared" si="93"/>
        <v>73.220338983050851</v>
      </c>
      <c r="G255" s="3">
        <f t="shared" si="94"/>
        <v>1.2779359946805939</v>
      </c>
      <c r="H255" s="18">
        <f t="shared" si="81"/>
        <v>0.43303792100943156</v>
      </c>
      <c r="I255" s="3">
        <f t="shared" si="82"/>
        <v>1.4361330575430087</v>
      </c>
      <c r="J255" s="19" t="str">
        <f t="shared" si="78"/>
        <v>L</v>
      </c>
      <c r="K255" s="20">
        <f t="shared" si="83"/>
        <v>0.43303792100943156</v>
      </c>
      <c r="L255" s="20">
        <f t="shared" si="84"/>
        <v>1.4361330575430087</v>
      </c>
      <c r="M255" s="20" t="e">
        <f t="shared" si="85"/>
        <v>#N/A</v>
      </c>
      <c r="N255" s="20" t="e">
        <f t="shared" si="86"/>
        <v>#N/A</v>
      </c>
      <c r="O255" s="20" t="e">
        <f t="shared" si="87"/>
        <v>#N/A</v>
      </c>
      <c r="P255" s="20" t="e">
        <f t="shared" si="88"/>
        <v>#N/A</v>
      </c>
      <c r="Q255" s="20" t="e">
        <f t="shared" si="89"/>
        <v>#N/A</v>
      </c>
      <c r="R255" s="20" t="e">
        <f t="shared" si="90"/>
        <v>#N/A</v>
      </c>
      <c r="S255" s="20" t="e">
        <f t="shared" si="91"/>
        <v>#N/A</v>
      </c>
      <c r="T255" s="20" t="e">
        <f t="shared" si="92"/>
        <v>#N/A</v>
      </c>
      <c r="U255" s="3"/>
      <c r="AA255" s="4"/>
    </row>
    <row r="256" spans="1:27" x14ac:dyDescent="0.25">
      <c r="A256">
        <f t="shared" si="95"/>
        <v>254</v>
      </c>
      <c r="B256">
        <f t="shared" si="76"/>
        <v>6</v>
      </c>
      <c r="C256">
        <f t="shared" si="79"/>
        <v>1.5000000000000004</v>
      </c>
      <c r="D256" s="15">
        <f t="shared" si="77"/>
        <v>3.0508474576271185</v>
      </c>
      <c r="E256">
        <f t="shared" si="80"/>
        <v>1</v>
      </c>
      <c r="F256" s="3">
        <f t="shared" si="93"/>
        <v>76.271186440677965</v>
      </c>
      <c r="G256" s="3">
        <f t="shared" si="94"/>
        <v>1.3311833277922851</v>
      </c>
      <c r="H256" s="18">
        <f t="shared" si="81"/>
        <v>0.35599004980667259</v>
      </c>
      <c r="I256" s="3">
        <f t="shared" si="82"/>
        <v>1.4571448398970654</v>
      </c>
      <c r="J256" s="19" t="str">
        <f t="shared" si="78"/>
        <v>L</v>
      </c>
      <c r="K256" s="20">
        <f t="shared" si="83"/>
        <v>0.35599004980667259</v>
      </c>
      <c r="L256" s="20">
        <f t="shared" si="84"/>
        <v>1.4571448398970654</v>
      </c>
      <c r="M256" s="20" t="e">
        <f t="shared" si="85"/>
        <v>#N/A</v>
      </c>
      <c r="N256" s="20" t="e">
        <f t="shared" si="86"/>
        <v>#N/A</v>
      </c>
      <c r="O256" s="20" t="e">
        <f t="shared" si="87"/>
        <v>#N/A</v>
      </c>
      <c r="P256" s="20" t="e">
        <f t="shared" si="88"/>
        <v>#N/A</v>
      </c>
      <c r="Q256" s="20" t="e">
        <f t="shared" si="89"/>
        <v>#N/A</v>
      </c>
      <c r="R256" s="20" t="e">
        <f t="shared" si="90"/>
        <v>#N/A</v>
      </c>
      <c r="S256" s="20" t="e">
        <f t="shared" si="91"/>
        <v>#N/A</v>
      </c>
      <c r="T256" s="20" t="e">
        <f t="shared" si="92"/>
        <v>#N/A</v>
      </c>
      <c r="U256" s="3"/>
      <c r="AA256" s="4"/>
    </row>
    <row r="257" spans="1:27" x14ac:dyDescent="0.25">
      <c r="A257">
        <f t="shared" si="95"/>
        <v>255</v>
      </c>
      <c r="B257">
        <f t="shared" si="76"/>
        <v>6</v>
      </c>
      <c r="C257">
        <f t="shared" si="79"/>
        <v>1.5000000000000004</v>
      </c>
      <c r="D257" s="15">
        <f t="shared" si="77"/>
        <v>3.0508474576271185</v>
      </c>
      <c r="E257">
        <f t="shared" si="80"/>
        <v>1</v>
      </c>
      <c r="F257" s="3">
        <f t="shared" si="93"/>
        <v>79.322033898305079</v>
      </c>
      <c r="G257" s="3">
        <f t="shared" si="94"/>
        <v>1.3844306609039767</v>
      </c>
      <c r="H257" s="18">
        <f t="shared" si="81"/>
        <v>0.27793308613067153</v>
      </c>
      <c r="I257" s="3">
        <f t="shared" si="82"/>
        <v>1.4740261868887818</v>
      </c>
      <c r="J257" s="19" t="str">
        <f t="shared" si="78"/>
        <v>L</v>
      </c>
      <c r="K257" s="20">
        <f t="shared" si="83"/>
        <v>0.27793308613067153</v>
      </c>
      <c r="L257" s="20">
        <f t="shared" si="84"/>
        <v>1.4740261868887818</v>
      </c>
      <c r="M257" s="20" t="e">
        <f t="shared" si="85"/>
        <v>#N/A</v>
      </c>
      <c r="N257" s="20" t="e">
        <f t="shared" si="86"/>
        <v>#N/A</v>
      </c>
      <c r="O257" s="20" t="e">
        <f t="shared" si="87"/>
        <v>#N/A</v>
      </c>
      <c r="P257" s="20" t="e">
        <f t="shared" si="88"/>
        <v>#N/A</v>
      </c>
      <c r="Q257" s="20" t="e">
        <f t="shared" si="89"/>
        <v>#N/A</v>
      </c>
      <c r="R257" s="20" t="e">
        <f t="shared" si="90"/>
        <v>#N/A</v>
      </c>
      <c r="S257" s="20" t="e">
        <f t="shared" si="91"/>
        <v>#N/A</v>
      </c>
      <c r="T257" s="20" t="e">
        <f t="shared" si="92"/>
        <v>#N/A</v>
      </c>
      <c r="U257" s="3"/>
      <c r="AA257" s="4"/>
    </row>
    <row r="258" spans="1:27" x14ac:dyDescent="0.25">
      <c r="A258">
        <f t="shared" si="95"/>
        <v>256</v>
      </c>
      <c r="B258">
        <f t="shared" si="76"/>
        <v>6</v>
      </c>
      <c r="C258">
        <f t="shared" si="79"/>
        <v>1.5000000000000004</v>
      </c>
      <c r="D258" s="15">
        <f t="shared" si="77"/>
        <v>3.0508474576271185</v>
      </c>
      <c r="E258">
        <f t="shared" si="80"/>
        <v>1</v>
      </c>
      <c r="F258" s="3">
        <f t="shared" si="93"/>
        <v>82.372881355932194</v>
      </c>
      <c r="G258" s="3">
        <f t="shared" si="94"/>
        <v>1.4376779940156679</v>
      </c>
      <c r="H258" s="18">
        <f t="shared" si="81"/>
        <v>0.19908829092558336</v>
      </c>
      <c r="I258" s="3">
        <f t="shared" si="82"/>
        <v>1.4867292465060111</v>
      </c>
      <c r="J258" s="19" t="str">
        <f t="shared" si="78"/>
        <v>L</v>
      </c>
      <c r="K258" s="20">
        <f t="shared" si="83"/>
        <v>0.19908829092558336</v>
      </c>
      <c r="L258" s="20">
        <f t="shared" si="84"/>
        <v>1.4867292465060111</v>
      </c>
      <c r="M258" s="20" t="e">
        <f t="shared" si="85"/>
        <v>#N/A</v>
      </c>
      <c r="N258" s="20" t="e">
        <f t="shared" si="86"/>
        <v>#N/A</v>
      </c>
      <c r="O258" s="20" t="e">
        <f t="shared" si="87"/>
        <v>#N/A</v>
      </c>
      <c r="P258" s="20" t="e">
        <f t="shared" si="88"/>
        <v>#N/A</v>
      </c>
      <c r="Q258" s="20" t="e">
        <f t="shared" si="89"/>
        <v>#N/A</v>
      </c>
      <c r="R258" s="20" t="e">
        <f t="shared" si="90"/>
        <v>#N/A</v>
      </c>
      <c r="S258" s="20" t="e">
        <f t="shared" si="91"/>
        <v>#N/A</v>
      </c>
      <c r="T258" s="20" t="e">
        <f t="shared" si="92"/>
        <v>#N/A</v>
      </c>
      <c r="U258" s="3"/>
      <c r="AA258" s="4"/>
    </row>
    <row r="259" spans="1:27" x14ac:dyDescent="0.25">
      <c r="A259">
        <f t="shared" si="95"/>
        <v>257</v>
      </c>
      <c r="B259">
        <f t="shared" ref="B259:B322" si="96">VLOOKUP(A259,$Y$2:$Z$13,2,1)</f>
        <v>6</v>
      </c>
      <c r="C259">
        <f t="shared" si="79"/>
        <v>1.5000000000000004</v>
      </c>
      <c r="D259" s="15">
        <f t="shared" ref="D259:D322" si="97">VLOOKUP(B259,$V$2:$AC$13,8,0)</f>
        <v>3.0508474576271185</v>
      </c>
      <c r="E259">
        <f t="shared" si="80"/>
        <v>1</v>
      </c>
      <c r="F259" s="3">
        <f t="shared" si="93"/>
        <v>85.423728813559308</v>
      </c>
      <c r="G259" s="3">
        <f t="shared" si="94"/>
        <v>1.490925327127359</v>
      </c>
      <c r="H259" s="18">
        <f t="shared" si="81"/>
        <v>0.11967915832962536</v>
      </c>
      <c r="I259" s="3">
        <f t="shared" si="82"/>
        <v>1.4952180105461257</v>
      </c>
      <c r="J259" s="19" t="str">
        <f t="shared" ref="J259:J322" si="98">VLOOKUP(A259,$AQ$3:$AR$58,2,1)</f>
        <v>L</v>
      </c>
      <c r="K259" s="20">
        <f t="shared" si="83"/>
        <v>0.11967915832962536</v>
      </c>
      <c r="L259" s="20">
        <f t="shared" si="84"/>
        <v>1.4952180105461257</v>
      </c>
      <c r="M259" s="20" t="e">
        <f t="shared" si="85"/>
        <v>#N/A</v>
      </c>
      <c r="N259" s="20" t="e">
        <f t="shared" si="86"/>
        <v>#N/A</v>
      </c>
      <c r="O259" s="20" t="e">
        <f t="shared" si="87"/>
        <v>#N/A</v>
      </c>
      <c r="P259" s="20" t="e">
        <f t="shared" si="88"/>
        <v>#N/A</v>
      </c>
      <c r="Q259" s="20" t="e">
        <f t="shared" si="89"/>
        <v>#N/A</v>
      </c>
      <c r="R259" s="20" t="e">
        <f t="shared" si="90"/>
        <v>#N/A</v>
      </c>
      <c r="S259" s="20" t="e">
        <f t="shared" si="91"/>
        <v>#N/A</v>
      </c>
      <c r="T259" s="20" t="e">
        <f t="shared" si="92"/>
        <v>#N/A</v>
      </c>
      <c r="U259" s="3"/>
      <c r="AA259" s="4"/>
    </row>
    <row r="260" spans="1:27" x14ac:dyDescent="0.25">
      <c r="A260">
        <f t="shared" si="95"/>
        <v>258</v>
      </c>
      <c r="B260">
        <f t="shared" si="96"/>
        <v>6</v>
      </c>
      <c r="C260">
        <f t="shared" ref="C260:C323" si="99">VLOOKUP(B260,$V$2:$AB$14,7,0)</f>
        <v>1.5000000000000004</v>
      </c>
      <c r="D260" s="15">
        <f t="shared" si="97"/>
        <v>3.0508474576271185</v>
      </c>
      <c r="E260">
        <f t="shared" ref="E260:E323" si="100">IF(OR(A260=$Y$3,A260=$Y$4,A260=$Y$5,A260=$Y$6,A260=$Y$7,A260=$Y$8,A260=$Y$9,A260=$Y$10,A260=$Y$11,A260=$Y$12,A260=$Y$12),0,1)</f>
        <v>1</v>
      </c>
      <c r="F260" s="3">
        <f t="shared" si="93"/>
        <v>88.474576271186422</v>
      </c>
      <c r="G260" s="3">
        <f t="shared" si="94"/>
        <v>1.5441726602390506</v>
      </c>
      <c r="H260" s="18">
        <f t="shared" ref="H260:H323" si="101">C260*COS(G260)</f>
        <v>3.9930782156662563E-2</v>
      </c>
      <c r="I260" s="3">
        <f t="shared" ref="I260:I323" si="102">C260*SIN(G260)</f>
        <v>1.4994684166851793</v>
      </c>
      <c r="J260" s="19" t="str">
        <f t="shared" si="98"/>
        <v>L</v>
      </c>
      <c r="K260" s="20">
        <f t="shared" ref="K260:K323" si="103">IF(J260="L",H260,NA())</f>
        <v>3.9930782156662563E-2</v>
      </c>
      <c r="L260" s="20">
        <f t="shared" ref="L260:L323" si="104">IF(J260="l",I260,NA())</f>
        <v>1.4994684166851793</v>
      </c>
      <c r="M260" s="20" t="e">
        <f t="shared" ref="M260:M323" si="105">IF(J260="C",H260,NA())</f>
        <v>#N/A</v>
      </c>
      <c r="N260" s="20" t="e">
        <f t="shared" ref="N260:N323" si="106">IF(J260="C",I260,NA())</f>
        <v>#N/A</v>
      </c>
      <c r="O260" s="20" t="e">
        <f t="shared" ref="O260:O323" si="107">IF(J260="LD",H260,NA())</f>
        <v>#N/A</v>
      </c>
      <c r="P260" s="20" t="e">
        <f t="shared" ref="P260:P323" si="108">IF(J260="LD",I260,NA())</f>
        <v>#N/A</v>
      </c>
      <c r="Q260" s="20" t="e">
        <f t="shared" ref="Q260:Q323" si="109">IF(J260="SNP",H260,NA())</f>
        <v>#N/A</v>
      </c>
      <c r="R260" s="20" t="e">
        <f t="shared" ref="R260:R323" si="110">IF(J260="SNP",I260,NA())</f>
        <v>#N/A</v>
      </c>
      <c r="S260" s="20" t="e">
        <f t="shared" ref="S260:S323" si="111">IF(J260="Oth",H260,NA())</f>
        <v>#N/A</v>
      </c>
      <c r="T260" s="20" t="e">
        <f t="shared" ref="T260:T323" si="112">IF(J260="oth",I260,NA())</f>
        <v>#N/A</v>
      </c>
      <c r="U260" s="3"/>
      <c r="AA260" s="4"/>
    </row>
    <row r="261" spans="1:27" x14ac:dyDescent="0.25">
      <c r="A261">
        <f t="shared" si="95"/>
        <v>259</v>
      </c>
      <c r="B261">
        <f t="shared" si="96"/>
        <v>6</v>
      </c>
      <c r="C261">
        <f t="shared" si="99"/>
        <v>1.5000000000000004</v>
      </c>
      <c r="D261" s="15">
        <f t="shared" si="97"/>
        <v>3.0508474576271185</v>
      </c>
      <c r="E261">
        <f t="shared" si="100"/>
        <v>1</v>
      </c>
      <c r="F261" s="3">
        <f t="shared" si="93"/>
        <v>91.525423728813536</v>
      </c>
      <c r="G261" s="3">
        <f t="shared" si="94"/>
        <v>1.5974199933507418</v>
      </c>
      <c r="H261" s="18">
        <f t="shared" si="101"/>
        <v>-3.9930782156661383E-2</v>
      </c>
      <c r="I261" s="3">
        <f t="shared" si="102"/>
        <v>1.4994684166851793</v>
      </c>
      <c r="J261" s="19" t="str">
        <f t="shared" si="98"/>
        <v>L</v>
      </c>
      <c r="K261" s="20">
        <f t="shared" si="103"/>
        <v>-3.9930782156661383E-2</v>
      </c>
      <c r="L261" s="20">
        <f t="shared" si="104"/>
        <v>1.4994684166851793</v>
      </c>
      <c r="M261" s="20" t="e">
        <f t="shared" si="105"/>
        <v>#N/A</v>
      </c>
      <c r="N261" s="20" t="e">
        <f t="shared" si="106"/>
        <v>#N/A</v>
      </c>
      <c r="O261" s="20" t="e">
        <f t="shared" si="107"/>
        <v>#N/A</v>
      </c>
      <c r="P261" s="20" t="e">
        <f t="shared" si="108"/>
        <v>#N/A</v>
      </c>
      <c r="Q261" s="20" t="e">
        <f t="shared" si="109"/>
        <v>#N/A</v>
      </c>
      <c r="R261" s="20" t="e">
        <f t="shared" si="110"/>
        <v>#N/A</v>
      </c>
      <c r="S261" s="20" t="e">
        <f t="shared" si="111"/>
        <v>#N/A</v>
      </c>
      <c r="T261" s="20" t="e">
        <f t="shared" si="112"/>
        <v>#N/A</v>
      </c>
      <c r="U261" s="3"/>
      <c r="AA261" s="4"/>
    </row>
    <row r="262" spans="1:27" x14ac:dyDescent="0.25">
      <c r="A262">
        <f t="shared" si="95"/>
        <v>260</v>
      </c>
      <c r="B262">
        <f t="shared" si="96"/>
        <v>6</v>
      </c>
      <c r="C262">
        <f t="shared" si="99"/>
        <v>1.5000000000000004</v>
      </c>
      <c r="D262" s="15">
        <f t="shared" si="97"/>
        <v>3.0508474576271185</v>
      </c>
      <c r="E262">
        <f t="shared" si="100"/>
        <v>1</v>
      </c>
      <c r="F262" s="3">
        <f t="shared" ref="F262:F325" si="113">IF(E262=0,0,D262+F261)</f>
        <v>94.57627118644065</v>
      </c>
      <c r="G262" s="3">
        <f t="shared" ref="G262:G325" si="114">(F262/180)*PI()</f>
        <v>1.6506673264624332</v>
      </c>
      <c r="H262" s="18">
        <f t="shared" si="101"/>
        <v>-0.11967915832962386</v>
      </c>
      <c r="I262" s="3">
        <f t="shared" si="102"/>
        <v>1.4952180105461257</v>
      </c>
      <c r="J262" s="19" t="str">
        <f t="shared" si="98"/>
        <v>L</v>
      </c>
      <c r="K262" s="20">
        <f t="shared" si="103"/>
        <v>-0.11967915832962386</v>
      </c>
      <c r="L262" s="20">
        <f t="shared" si="104"/>
        <v>1.4952180105461257</v>
      </c>
      <c r="M262" s="20" t="e">
        <f t="shared" si="105"/>
        <v>#N/A</v>
      </c>
      <c r="N262" s="20" t="e">
        <f t="shared" si="106"/>
        <v>#N/A</v>
      </c>
      <c r="O262" s="20" t="e">
        <f t="shared" si="107"/>
        <v>#N/A</v>
      </c>
      <c r="P262" s="20" t="e">
        <f t="shared" si="108"/>
        <v>#N/A</v>
      </c>
      <c r="Q262" s="20" t="e">
        <f t="shared" si="109"/>
        <v>#N/A</v>
      </c>
      <c r="R262" s="20" t="e">
        <f t="shared" si="110"/>
        <v>#N/A</v>
      </c>
      <c r="S262" s="20" t="e">
        <f t="shared" si="111"/>
        <v>#N/A</v>
      </c>
      <c r="T262" s="20" t="e">
        <f t="shared" si="112"/>
        <v>#N/A</v>
      </c>
      <c r="U262" s="3"/>
      <c r="AA262" s="4"/>
    </row>
    <row r="263" spans="1:27" x14ac:dyDescent="0.25">
      <c r="A263">
        <f t="shared" si="95"/>
        <v>261</v>
      </c>
      <c r="B263">
        <f t="shared" si="96"/>
        <v>6</v>
      </c>
      <c r="C263">
        <f t="shared" si="99"/>
        <v>1.5000000000000004</v>
      </c>
      <c r="D263" s="15">
        <f t="shared" si="97"/>
        <v>3.0508474576271185</v>
      </c>
      <c r="E263">
        <f t="shared" si="100"/>
        <v>1</v>
      </c>
      <c r="F263" s="3">
        <f t="shared" si="113"/>
        <v>97.627118644067764</v>
      </c>
      <c r="G263" s="3">
        <f t="shared" si="114"/>
        <v>1.7039146595741244</v>
      </c>
      <c r="H263" s="18">
        <f t="shared" si="101"/>
        <v>-0.19908829092558186</v>
      </c>
      <c r="I263" s="3">
        <f t="shared" si="102"/>
        <v>1.4867292465060113</v>
      </c>
      <c r="J263" s="19" t="str">
        <f t="shared" si="98"/>
        <v>L</v>
      </c>
      <c r="K263" s="20">
        <f t="shared" si="103"/>
        <v>-0.19908829092558186</v>
      </c>
      <c r="L263" s="20">
        <f t="shared" si="104"/>
        <v>1.4867292465060113</v>
      </c>
      <c r="M263" s="20" t="e">
        <f t="shared" si="105"/>
        <v>#N/A</v>
      </c>
      <c r="N263" s="20" t="e">
        <f t="shared" si="106"/>
        <v>#N/A</v>
      </c>
      <c r="O263" s="20" t="e">
        <f t="shared" si="107"/>
        <v>#N/A</v>
      </c>
      <c r="P263" s="20" t="e">
        <f t="shared" si="108"/>
        <v>#N/A</v>
      </c>
      <c r="Q263" s="20" t="e">
        <f t="shared" si="109"/>
        <v>#N/A</v>
      </c>
      <c r="R263" s="20" t="e">
        <f t="shared" si="110"/>
        <v>#N/A</v>
      </c>
      <c r="S263" s="20" t="e">
        <f t="shared" si="111"/>
        <v>#N/A</v>
      </c>
      <c r="T263" s="20" t="e">
        <f t="shared" si="112"/>
        <v>#N/A</v>
      </c>
      <c r="U263" s="3"/>
      <c r="AA263" s="4"/>
    </row>
    <row r="264" spans="1:27" x14ac:dyDescent="0.25">
      <c r="A264">
        <f t="shared" si="95"/>
        <v>262</v>
      </c>
      <c r="B264">
        <f t="shared" si="96"/>
        <v>6</v>
      </c>
      <c r="C264">
        <f t="shared" si="99"/>
        <v>1.5000000000000004</v>
      </c>
      <c r="D264" s="15">
        <f t="shared" si="97"/>
        <v>3.0508474576271185</v>
      </c>
      <c r="E264">
        <f t="shared" si="100"/>
        <v>1</v>
      </c>
      <c r="F264" s="3">
        <f t="shared" si="113"/>
        <v>100.67796610169488</v>
      </c>
      <c r="G264" s="3">
        <f t="shared" si="114"/>
        <v>1.757161992685816</v>
      </c>
      <c r="H264" s="18">
        <f t="shared" si="101"/>
        <v>-0.27793308613067069</v>
      </c>
      <c r="I264" s="3">
        <f t="shared" si="102"/>
        <v>1.4740261868887821</v>
      </c>
      <c r="J264" s="19" t="str">
        <f t="shared" si="98"/>
        <v>L</v>
      </c>
      <c r="K264" s="20">
        <f t="shared" si="103"/>
        <v>-0.27793308613067069</v>
      </c>
      <c r="L264" s="20">
        <f t="shared" si="104"/>
        <v>1.4740261868887821</v>
      </c>
      <c r="M264" s="20" t="e">
        <f t="shared" si="105"/>
        <v>#N/A</v>
      </c>
      <c r="N264" s="20" t="e">
        <f t="shared" si="106"/>
        <v>#N/A</v>
      </c>
      <c r="O264" s="20" t="e">
        <f t="shared" si="107"/>
        <v>#N/A</v>
      </c>
      <c r="P264" s="20" t="e">
        <f t="shared" si="108"/>
        <v>#N/A</v>
      </c>
      <c r="Q264" s="20" t="e">
        <f t="shared" si="109"/>
        <v>#N/A</v>
      </c>
      <c r="R264" s="20" t="e">
        <f t="shared" si="110"/>
        <v>#N/A</v>
      </c>
      <c r="S264" s="20" t="e">
        <f t="shared" si="111"/>
        <v>#N/A</v>
      </c>
      <c r="T264" s="20" t="e">
        <f t="shared" si="112"/>
        <v>#N/A</v>
      </c>
      <c r="U264" s="3"/>
      <c r="AA264" s="4"/>
    </row>
    <row r="265" spans="1:27" x14ac:dyDescent="0.25">
      <c r="A265">
        <f t="shared" si="95"/>
        <v>263</v>
      </c>
      <c r="B265">
        <f t="shared" si="96"/>
        <v>6</v>
      </c>
      <c r="C265">
        <f t="shared" si="99"/>
        <v>1.5000000000000004</v>
      </c>
      <c r="D265" s="15">
        <f t="shared" si="97"/>
        <v>3.0508474576271185</v>
      </c>
      <c r="E265">
        <f t="shared" si="100"/>
        <v>1</v>
      </c>
      <c r="F265" s="3">
        <f t="shared" si="113"/>
        <v>103.72881355932199</v>
      </c>
      <c r="G265" s="3">
        <f t="shared" si="114"/>
        <v>1.8104093257975074</v>
      </c>
      <c r="H265" s="18">
        <f t="shared" si="101"/>
        <v>-0.35599004980667143</v>
      </c>
      <c r="I265" s="3">
        <f t="shared" si="102"/>
        <v>1.4571448398970654</v>
      </c>
      <c r="J265" s="19" t="str">
        <f t="shared" si="98"/>
        <v>L</v>
      </c>
      <c r="K265" s="20">
        <f t="shared" si="103"/>
        <v>-0.35599004980667143</v>
      </c>
      <c r="L265" s="20">
        <f t="shared" si="104"/>
        <v>1.4571448398970654</v>
      </c>
      <c r="M265" s="20" t="e">
        <f t="shared" si="105"/>
        <v>#N/A</v>
      </c>
      <c r="N265" s="20" t="e">
        <f t="shared" si="106"/>
        <v>#N/A</v>
      </c>
      <c r="O265" s="20" t="e">
        <f t="shared" si="107"/>
        <v>#N/A</v>
      </c>
      <c r="P265" s="20" t="e">
        <f t="shared" si="108"/>
        <v>#N/A</v>
      </c>
      <c r="Q265" s="20" t="e">
        <f t="shared" si="109"/>
        <v>#N/A</v>
      </c>
      <c r="R265" s="20" t="e">
        <f t="shared" si="110"/>
        <v>#N/A</v>
      </c>
      <c r="S265" s="20" t="e">
        <f t="shared" si="111"/>
        <v>#N/A</v>
      </c>
      <c r="T265" s="20" t="e">
        <f t="shared" si="112"/>
        <v>#N/A</v>
      </c>
      <c r="U265" s="3"/>
      <c r="AA265" s="4"/>
    </row>
    <row r="266" spans="1:27" x14ac:dyDescent="0.25">
      <c r="A266">
        <f t="shared" si="95"/>
        <v>264</v>
      </c>
      <c r="B266">
        <f t="shared" si="96"/>
        <v>6</v>
      </c>
      <c r="C266">
        <f t="shared" si="99"/>
        <v>1.5000000000000004</v>
      </c>
      <c r="D266" s="15">
        <f t="shared" si="97"/>
        <v>3.0508474576271185</v>
      </c>
      <c r="E266">
        <f t="shared" si="100"/>
        <v>1</v>
      </c>
      <c r="F266" s="3">
        <f t="shared" si="113"/>
        <v>106.77966101694911</v>
      </c>
      <c r="G266" s="3">
        <f t="shared" si="114"/>
        <v>1.8636566589091985</v>
      </c>
      <c r="H266" s="18">
        <f t="shared" si="101"/>
        <v>-0.43303792100943039</v>
      </c>
      <c r="I266" s="3">
        <f t="shared" si="102"/>
        <v>1.4361330575430089</v>
      </c>
      <c r="J266" s="19" t="str">
        <f t="shared" si="98"/>
        <v>L</v>
      </c>
      <c r="K266" s="20">
        <f t="shared" si="103"/>
        <v>-0.43303792100943039</v>
      </c>
      <c r="L266" s="20">
        <f t="shared" si="104"/>
        <v>1.4361330575430089</v>
      </c>
      <c r="M266" s="20" t="e">
        <f t="shared" si="105"/>
        <v>#N/A</v>
      </c>
      <c r="N266" s="20" t="e">
        <f t="shared" si="106"/>
        <v>#N/A</v>
      </c>
      <c r="O266" s="20" t="e">
        <f t="shared" si="107"/>
        <v>#N/A</v>
      </c>
      <c r="P266" s="20" t="e">
        <f t="shared" si="108"/>
        <v>#N/A</v>
      </c>
      <c r="Q266" s="20" t="e">
        <f t="shared" si="109"/>
        <v>#N/A</v>
      </c>
      <c r="R266" s="20" t="e">
        <f t="shared" si="110"/>
        <v>#N/A</v>
      </c>
      <c r="S266" s="20" t="e">
        <f t="shared" si="111"/>
        <v>#N/A</v>
      </c>
      <c r="T266" s="20" t="e">
        <f t="shared" si="112"/>
        <v>#N/A</v>
      </c>
      <c r="U266" s="3"/>
      <c r="AA266" s="4"/>
    </row>
    <row r="267" spans="1:27" x14ac:dyDescent="0.25">
      <c r="A267">
        <f t="shared" si="95"/>
        <v>265</v>
      </c>
      <c r="B267">
        <f t="shared" si="96"/>
        <v>6</v>
      </c>
      <c r="C267">
        <f t="shared" si="99"/>
        <v>1.5000000000000004</v>
      </c>
      <c r="D267" s="15">
        <f t="shared" si="97"/>
        <v>3.0508474576271185</v>
      </c>
      <c r="E267">
        <f t="shared" si="100"/>
        <v>1</v>
      </c>
      <c r="F267" s="3">
        <f t="shared" si="113"/>
        <v>109.83050847457622</v>
      </c>
      <c r="G267" s="3">
        <f t="shared" si="114"/>
        <v>1.9169039920208899</v>
      </c>
      <c r="H267" s="18">
        <f t="shared" si="101"/>
        <v>-0.50885829917704428</v>
      </c>
      <c r="I267" s="3">
        <f t="shared" si="102"/>
        <v>1.4110504000065507</v>
      </c>
      <c r="J267" s="19" t="str">
        <f t="shared" si="98"/>
        <v>L</v>
      </c>
      <c r="K267" s="20">
        <f t="shared" si="103"/>
        <v>-0.50885829917704428</v>
      </c>
      <c r="L267" s="20">
        <f t="shared" si="104"/>
        <v>1.4110504000065507</v>
      </c>
      <c r="M267" s="20" t="e">
        <f t="shared" si="105"/>
        <v>#N/A</v>
      </c>
      <c r="N267" s="20" t="e">
        <f t="shared" si="106"/>
        <v>#N/A</v>
      </c>
      <c r="O267" s="20" t="e">
        <f t="shared" si="107"/>
        <v>#N/A</v>
      </c>
      <c r="P267" s="20" t="e">
        <f t="shared" si="108"/>
        <v>#N/A</v>
      </c>
      <c r="Q267" s="20" t="e">
        <f t="shared" si="109"/>
        <v>#N/A</v>
      </c>
      <c r="R267" s="20" t="e">
        <f t="shared" si="110"/>
        <v>#N/A</v>
      </c>
      <c r="S267" s="20" t="e">
        <f t="shared" si="111"/>
        <v>#N/A</v>
      </c>
      <c r="T267" s="20" t="e">
        <f t="shared" si="112"/>
        <v>#N/A</v>
      </c>
      <c r="U267" s="3"/>
      <c r="AA267" s="4"/>
    </row>
    <row r="268" spans="1:27" x14ac:dyDescent="0.25">
      <c r="A268">
        <f t="shared" si="95"/>
        <v>266</v>
      </c>
      <c r="B268">
        <f t="shared" si="96"/>
        <v>6</v>
      </c>
      <c r="C268">
        <f t="shared" si="99"/>
        <v>1.5000000000000004</v>
      </c>
      <c r="D268" s="15">
        <f t="shared" si="97"/>
        <v>3.0508474576271185</v>
      </c>
      <c r="E268">
        <f t="shared" si="100"/>
        <v>1</v>
      </c>
      <c r="F268" s="3">
        <f t="shared" si="113"/>
        <v>112.88135593220333</v>
      </c>
      <c r="G268" s="3">
        <f t="shared" si="114"/>
        <v>1.9701513251325811</v>
      </c>
      <c r="H268" s="18">
        <f t="shared" si="101"/>
        <v>-0.58323626320997957</v>
      </c>
      <c r="I268" s="3">
        <f t="shared" si="102"/>
        <v>1.3819679668056206</v>
      </c>
      <c r="J268" s="19" t="str">
        <f t="shared" si="98"/>
        <v>L</v>
      </c>
      <c r="K268" s="20">
        <f t="shared" si="103"/>
        <v>-0.58323626320997957</v>
      </c>
      <c r="L268" s="20">
        <f t="shared" si="104"/>
        <v>1.3819679668056206</v>
      </c>
      <c r="M268" s="20" t="e">
        <f t="shared" si="105"/>
        <v>#N/A</v>
      </c>
      <c r="N268" s="20" t="e">
        <f t="shared" si="106"/>
        <v>#N/A</v>
      </c>
      <c r="O268" s="20" t="e">
        <f t="shared" si="107"/>
        <v>#N/A</v>
      </c>
      <c r="P268" s="20" t="e">
        <f t="shared" si="108"/>
        <v>#N/A</v>
      </c>
      <c r="Q268" s="20" t="e">
        <f t="shared" si="109"/>
        <v>#N/A</v>
      </c>
      <c r="R268" s="20" t="e">
        <f t="shared" si="110"/>
        <v>#N/A</v>
      </c>
      <c r="S268" s="20" t="e">
        <f t="shared" si="111"/>
        <v>#N/A</v>
      </c>
      <c r="T268" s="20" t="e">
        <f t="shared" si="112"/>
        <v>#N/A</v>
      </c>
      <c r="U268" s="3"/>
      <c r="AA268" s="4"/>
    </row>
    <row r="269" spans="1:27" x14ac:dyDescent="0.25">
      <c r="A269">
        <f t="shared" si="95"/>
        <v>267</v>
      </c>
      <c r="B269">
        <f t="shared" si="96"/>
        <v>6</v>
      </c>
      <c r="C269">
        <f t="shared" si="99"/>
        <v>1.5000000000000004</v>
      </c>
      <c r="D269" s="15">
        <f t="shared" si="97"/>
        <v>3.0508474576271185</v>
      </c>
      <c r="E269">
        <f t="shared" si="100"/>
        <v>1</v>
      </c>
      <c r="F269" s="3">
        <f t="shared" si="113"/>
        <v>115.93220338983045</v>
      </c>
      <c r="G269" s="3">
        <f t="shared" si="114"/>
        <v>2.0233986582442722</v>
      </c>
      <c r="H269" s="18">
        <f t="shared" si="101"/>
        <v>-0.65596098068828146</v>
      </c>
      <c r="I269" s="3">
        <f t="shared" si="102"/>
        <v>1.3489681952568302</v>
      </c>
      <c r="J269" s="19" t="str">
        <f t="shared" si="98"/>
        <v>C</v>
      </c>
      <c r="K269" s="20" t="e">
        <f t="shared" si="103"/>
        <v>#N/A</v>
      </c>
      <c r="L269" s="20" t="e">
        <f t="shared" si="104"/>
        <v>#N/A</v>
      </c>
      <c r="M269" s="20">
        <f t="shared" si="105"/>
        <v>-0.65596098068828146</v>
      </c>
      <c r="N269" s="20">
        <f t="shared" si="106"/>
        <v>1.3489681952568302</v>
      </c>
      <c r="O269" s="20" t="e">
        <f t="shared" si="107"/>
        <v>#N/A</v>
      </c>
      <c r="P269" s="20" t="e">
        <f t="shared" si="108"/>
        <v>#N/A</v>
      </c>
      <c r="Q269" s="20" t="e">
        <f t="shared" si="109"/>
        <v>#N/A</v>
      </c>
      <c r="R269" s="20" t="e">
        <f t="shared" si="110"/>
        <v>#N/A</v>
      </c>
      <c r="S269" s="20" t="e">
        <f t="shared" si="111"/>
        <v>#N/A</v>
      </c>
      <c r="T269" s="20" t="e">
        <f t="shared" si="112"/>
        <v>#N/A</v>
      </c>
      <c r="U269" s="3"/>
      <c r="AA269" s="4"/>
    </row>
    <row r="270" spans="1:27" x14ac:dyDescent="0.25">
      <c r="A270">
        <f t="shared" si="95"/>
        <v>268</v>
      </c>
      <c r="B270">
        <f t="shared" si="96"/>
        <v>6</v>
      </c>
      <c r="C270">
        <f t="shared" si="99"/>
        <v>1.5000000000000004</v>
      </c>
      <c r="D270" s="15">
        <f t="shared" si="97"/>
        <v>3.0508474576271185</v>
      </c>
      <c r="E270">
        <f t="shared" si="100"/>
        <v>1</v>
      </c>
      <c r="F270" s="3">
        <f t="shared" si="113"/>
        <v>118.98305084745756</v>
      </c>
      <c r="G270" s="3">
        <f t="shared" si="114"/>
        <v>2.0766459913559641</v>
      </c>
      <c r="H270" s="18">
        <f t="shared" si="101"/>
        <v>-0.7268263054989742</v>
      </c>
      <c r="I270" s="3">
        <f t="shared" si="102"/>
        <v>1.3121446267979429</v>
      </c>
      <c r="J270" s="19" t="str">
        <f t="shared" si="98"/>
        <v>C</v>
      </c>
      <c r="K270" s="20" t="e">
        <f t="shared" si="103"/>
        <v>#N/A</v>
      </c>
      <c r="L270" s="20" t="e">
        <f t="shared" si="104"/>
        <v>#N/A</v>
      </c>
      <c r="M270" s="20">
        <f t="shared" si="105"/>
        <v>-0.7268263054989742</v>
      </c>
      <c r="N270" s="20">
        <f t="shared" si="106"/>
        <v>1.3121446267979429</v>
      </c>
      <c r="O270" s="20" t="e">
        <f t="shared" si="107"/>
        <v>#N/A</v>
      </c>
      <c r="P270" s="20" t="e">
        <f t="shared" si="108"/>
        <v>#N/A</v>
      </c>
      <c r="Q270" s="20" t="e">
        <f t="shared" si="109"/>
        <v>#N/A</v>
      </c>
      <c r="R270" s="20" t="e">
        <f t="shared" si="110"/>
        <v>#N/A</v>
      </c>
      <c r="S270" s="20" t="e">
        <f t="shared" si="111"/>
        <v>#N/A</v>
      </c>
      <c r="T270" s="20" t="e">
        <f t="shared" si="112"/>
        <v>#N/A</v>
      </c>
      <c r="U270" s="3"/>
      <c r="AA270" s="4"/>
    </row>
    <row r="271" spans="1:27" x14ac:dyDescent="0.25">
      <c r="A271">
        <f t="shared" ref="A271:A334" si="115">A270+1</f>
        <v>269</v>
      </c>
      <c r="B271">
        <f t="shared" si="96"/>
        <v>6</v>
      </c>
      <c r="C271">
        <f t="shared" si="99"/>
        <v>1.5000000000000004</v>
      </c>
      <c r="D271" s="15">
        <f t="shared" si="97"/>
        <v>3.0508474576271185</v>
      </c>
      <c r="E271">
        <f t="shared" si="100"/>
        <v>1</v>
      </c>
      <c r="F271" s="3">
        <f t="shared" si="113"/>
        <v>122.03389830508468</v>
      </c>
      <c r="G271" s="3">
        <f t="shared" si="114"/>
        <v>2.129893324467655</v>
      </c>
      <c r="H271" s="18">
        <f t="shared" si="101"/>
        <v>-0.79563136217961217</v>
      </c>
      <c r="I271" s="3">
        <f t="shared" si="102"/>
        <v>1.271601641834508</v>
      </c>
      <c r="J271" s="19" t="str">
        <f t="shared" si="98"/>
        <v>C</v>
      </c>
      <c r="K271" s="20" t="e">
        <f t="shared" si="103"/>
        <v>#N/A</v>
      </c>
      <c r="L271" s="20" t="e">
        <f t="shared" si="104"/>
        <v>#N/A</v>
      </c>
      <c r="M271" s="20">
        <f t="shared" si="105"/>
        <v>-0.79563136217961217</v>
      </c>
      <c r="N271" s="20">
        <f t="shared" si="106"/>
        <v>1.271601641834508</v>
      </c>
      <c r="O271" s="20" t="e">
        <f t="shared" si="107"/>
        <v>#N/A</v>
      </c>
      <c r="P271" s="20" t="e">
        <f t="shared" si="108"/>
        <v>#N/A</v>
      </c>
      <c r="Q271" s="20" t="e">
        <f t="shared" si="109"/>
        <v>#N/A</v>
      </c>
      <c r="R271" s="20" t="e">
        <f t="shared" si="110"/>
        <v>#N/A</v>
      </c>
      <c r="S271" s="20" t="e">
        <f t="shared" si="111"/>
        <v>#N/A</v>
      </c>
      <c r="T271" s="20" t="e">
        <f t="shared" si="112"/>
        <v>#N/A</v>
      </c>
      <c r="U271" s="3"/>
      <c r="AA271" s="4"/>
    </row>
    <row r="272" spans="1:27" x14ac:dyDescent="0.25">
      <c r="A272">
        <f t="shared" si="115"/>
        <v>270</v>
      </c>
      <c r="B272">
        <f t="shared" si="96"/>
        <v>6</v>
      </c>
      <c r="C272">
        <f t="shared" si="99"/>
        <v>1.5000000000000004</v>
      </c>
      <c r="D272" s="15">
        <f t="shared" si="97"/>
        <v>3.0508474576271185</v>
      </c>
      <c r="E272">
        <f t="shared" si="100"/>
        <v>1</v>
      </c>
      <c r="F272" s="3">
        <f t="shared" si="113"/>
        <v>125.08474576271179</v>
      </c>
      <c r="G272" s="3">
        <f t="shared" si="114"/>
        <v>2.1831406575793464</v>
      </c>
      <c r="H272" s="18">
        <f t="shared" si="101"/>
        <v>-0.86218111532160879</v>
      </c>
      <c r="I272" s="3">
        <f t="shared" si="102"/>
        <v>1.2274541638622551</v>
      </c>
      <c r="J272" s="19" t="str">
        <f t="shared" si="98"/>
        <v>C</v>
      </c>
      <c r="K272" s="20" t="e">
        <f t="shared" si="103"/>
        <v>#N/A</v>
      </c>
      <c r="L272" s="20" t="e">
        <f t="shared" si="104"/>
        <v>#N/A</v>
      </c>
      <c r="M272" s="20">
        <f t="shared" si="105"/>
        <v>-0.86218111532160879</v>
      </c>
      <c r="N272" s="20">
        <f t="shared" si="106"/>
        <v>1.2274541638622551</v>
      </c>
      <c r="O272" s="20" t="e">
        <f t="shared" si="107"/>
        <v>#N/A</v>
      </c>
      <c r="P272" s="20" t="e">
        <f t="shared" si="108"/>
        <v>#N/A</v>
      </c>
      <c r="Q272" s="20" t="e">
        <f t="shared" si="109"/>
        <v>#N/A</v>
      </c>
      <c r="R272" s="20" t="e">
        <f t="shared" si="110"/>
        <v>#N/A</v>
      </c>
      <c r="S272" s="20" t="e">
        <f t="shared" si="111"/>
        <v>#N/A</v>
      </c>
      <c r="T272" s="20" t="e">
        <f t="shared" si="112"/>
        <v>#N/A</v>
      </c>
      <c r="U272" s="3"/>
      <c r="AA272" s="4"/>
    </row>
    <row r="273" spans="1:27" x14ac:dyDescent="0.25">
      <c r="A273">
        <f t="shared" si="115"/>
        <v>271</v>
      </c>
      <c r="B273">
        <f t="shared" si="96"/>
        <v>6</v>
      </c>
      <c r="C273">
        <f t="shared" si="99"/>
        <v>1.5000000000000004</v>
      </c>
      <c r="D273" s="15">
        <f t="shared" si="97"/>
        <v>3.0508474576271185</v>
      </c>
      <c r="E273">
        <f t="shared" si="100"/>
        <v>1</v>
      </c>
      <c r="F273" s="3">
        <f t="shared" si="113"/>
        <v>128.1355932203389</v>
      </c>
      <c r="G273" s="3">
        <f t="shared" si="114"/>
        <v>2.2363879906910378</v>
      </c>
      <c r="H273" s="18">
        <f t="shared" si="101"/>
        <v>-0.92628692241928634</v>
      </c>
      <c r="I273" s="3">
        <f t="shared" si="102"/>
        <v>1.1798273337039653</v>
      </c>
      <c r="J273" s="19" t="str">
        <f t="shared" si="98"/>
        <v>C</v>
      </c>
      <c r="K273" s="20" t="e">
        <f t="shared" si="103"/>
        <v>#N/A</v>
      </c>
      <c r="L273" s="20" t="e">
        <f t="shared" si="104"/>
        <v>#N/A</v>
      </c>
      <c r="M273" s="20">
        <f t="shared" si="105"/>
        <v>-0.92628692241928634</v>
      </c>
      <c r="N273" s="20">
        <f t="shared" si="106"/>
        <v>1.1798273337039653</v>
      </c>
      <c r="O273" s="20" t="e">
        <f t="shared" si="107"/>
        <v>#N/A</v>
      </c>
      <c r="P273" s="20" t="e">
        <f t="shared" si="108"/>
        <v>#N/A</v>
      </c>
      <c r="Q273" s="20" t="e">
        <f t="shared" si="109"/>
        <v>#N/A</v>
      </c>
      <c r="R273" s="20" t="e">
        <f t="shared" si="110"/>
        <v>#N/A</v>
      </c>
      <c r="S273" s="20" t="e">
        <f t="shared" si="111"/>
        <v>#N/A</v>
      </c>
      <c r="T273" s="20" t="e">
        <f t="shared" si="112"/>
        <v>#N/A</v>
      </c>
      <c r="U273" s="3"/>
      <c r="AA273" s="4"/>
    </row>
    <row r="274" spans="1:27" x14ac:dyDescent="0.25">
      <c r="A274">
        <f t="shared" si="115"/>
        <v>272</v>
      </c>
      <c r="B274">
        <f t="shared" si="96"/>
        <v>6</v>
      </c>
      <c r="C274">
        <f t="shared" si="99"/>
        <v>1.5000000000000004</v>
      </c>
      <c r="D274" s="15">
        <f t="shared" si="97"/>
        <v>3.0508474576271185</v>
      </c>
      <c r="E274">
        <f t="shared" si="100"/>
        <v>1</v>
      </c>
      <c r="F274" s="3">
        <f t="shared" si="113"/>
        <v>131.18644067796603</v>
      </c>
      <c r="G274" s="3">
        <f t="shared" si="114"/>
        <v>2.2896353238027292</v>
      </c>
      <c r="H274" s="18">
        <f t="shared" si="101"/>
        <v>-0.98776706859755659</v>
      </c>
      <c r="I274" s="3">
        <f t="shared" si="102"/>
        <v>1.1288561547842095</v>
      </c>
      <c r="J274" s="19" t="str">
        <f t="shared" si="98"/>
        <v>C</v>
      </c>
      <c r="K274" s="20" t="e">
        <f t="shared" si="103"/>
        <v>#N/A</v>
      </c>
      <c r="L274" s="20" t="e">
        <f t="shared" si="104"/>
        <v>#N/A</v>
      </c>
      <c r="M274" s="20">
        <f t="shared" si="105"/>
        <v>-0.98776706859755659</v>
      </c>
      <c r="N274" s="20">
        <f t="shared" si="106"/>
        <v>1.1288561547842095</v>
      </c>
      <c r="O274" s="20" t="e">
        <f t="shared" si="107"/>
        <v>#N/A</v>
      </c>
      <c r="P274" s="20" t="e">
        <f t="shared" si="108"/>
        <v>#N/A</v>
      </c>
      <c r="Q274" s="20" t="e">
        <f t="shared" si="109"/>
        <v>#N/A</v>
      </c>
      <c r="R274" s="20" t="e">
        <f t="shared" si="110"/>
        <v>#N/A</v>
      </c>
      <c r="S274" s="20" t="e">
        <f t="shared" si="111"/>
        <v>#N/A</v>
      </c>
      <c r="T274" s="20" t="e">
        <f t="shared" si="112"/>
        <v>#N/A</v>
      </c>
      <c r="U274" s="3"/>
      <c r="AA274" s="4"/>
    </row>
    <row r="275" spans="1:27" x14ac:dyDescent="0.25">
      <c r="A275">
        <f t="shared" si="115"/>
        <v>273</v>
      </c>
      <c r="B275">
        <f t="shared" si="96"/>
        <v>6</v>
      </c>
      <c r="C275">
        <f t="shared" si="99"/>
        <v>1.5000000000000004</v>
      </c>
      <c r="D275" s="15">
        <f t="shared" si="97"/>
        <v>3.0508474576271185</v>
      </c>
      <c r="E275">
        <f t="shared" si="100"/>
        <v>1</v>
      </c>
      <c r="F275" s="3">
        <f t="shared" si="113"/>
        <v>134.23728813559316</v>
      </c>
      <c r="G275" s="3">
        <f t="shared" si="114"/>
        <v>2.342882656914421</v>
      </c>
      <c r="H275" s="18">
        <f t="shared" si="101"/>
        <v>-1.0464472817024761</v>
      </c>
      <c r="I275" s="3">
        <f t="shared" si="102"/>
        <v>1.0746851104474742</v>
      </c>
      <c r="J275" s="19" t="str">
        <f t="shared" si="98"/>
        <v>C</v>
      </c>
      <c r="K275" s="20" t="e">
        <f t="shared" si="103"/>
        <v>#N/A</v>
      </c>
      <c r="L275" s="20" t="e">
        <f t="shared" si="104"/>
        <v>#N/A</v>
      </c>
      <c r="M275" s="20">
        <f t="shared" si="105"/>
        <v>-1.0464472817024761</v>
      </c>
      <c r="N275" s="20">
        <f t="shared" si="106"/>
        <v>1.0746851104474742</v>
      </c>
      <c r="O275" s="20" t="e">
        <f t="shared" si="107"/>
        <v>#N/A</v>
      </c>
      <c r="P275" s="20" t="e">
        <f t="shared" si="108"/>
        <v>#N/A</v>
      </c>
      <c r="Q275" s="20" t="e">
        <f t="shared" si="109"/>
        <v>#N/A</v>
      </c>
      <c r="R275" s="20" t="e">
        <f t="shared" si="110"/>
        <v>#N/A</v>
      </c>
      <c r="S275" s="20" t="e">
        <f t="shared" si="111"/>
        <v>#N/A</v>
      </c>
      <c r="T275" s="20" t="e">
        <f t="shared" si="112"/>
        <v>#N/A</v>
      </c>
      <c r="U275" s="3"/>
      <c r="AA275" s="4"/>
    </row>
    <row r="276" spans="1:27" x14ac:dyDescent="0.25">
      <c r="A276">
        <f t="shared" si="115"/>
        <v>274</v>
      </c>
      <c r="B276">
        <f t="shared" si="96"/>
        <v>6</v>
      </c>
      <c r="C276">
        <f t="shared" si="99"/>
        <v>1.5000000000000004</v>
      </c>
      <c r="D276" s="15">
        <f t="shared" si="97"/>
        <v>3.0508474576271185</v>
      </c>
      <c r="E276">
        <f t="shared" si="100"/>
        <v>1</v>
      </c>
      <c r="F276" s="3">
        <f t="shared" si="113"/>
        <v>137.28813559322029</v>
      </c>
      <c r="G276" s="3">
        <f t="shared" si="114"/>
        <v>2.3961299900261124</v>
      </c>
      <c r="H276" s="18">
        <f t="shared" si="101"/>
        <v>-1.1021612262946001</v>
      </c>
      <c r="I276" s="3">
        <f t="shared" si="102"/>
        <v>1.0174677544044257</v>
      </c>
      <c r="J276" s="19" t="str">
        <f t="shared" si="98"/>
        <v>C</v>
      </c>
      <c r="K276" s="20" t="e">
        <f t="shared" si="103"/>
        <v>#N/A</v>
      </c>
      <c r="L276" s="20" t="e">
        <f t="shared" si="104"/>
        <v>#N/A</v>
      </c>
      <c r="M276" s="20">
        <f t="shared" si="105"/>
        <v>-1.1021612262946001</v>
      </c>
      <c r="N276" s="20">
        <f t="shared" si="106"/>
        <v>1.0174677544044257</v>
      </c>
      <c r="O276" s="20" t="e">
        <f t="shared" si="107"/>
        <v>#N/A</v>
      </c>
      <c r="P276" s="20" t="e">
        <f t="shared" si="108"/>
        <v>#N/A</v>
      </c>
      <c r="Q276" s="20" t="e">
        <f t="shared" si="109"/>
        <v>#N/A</v>
      </c>
      <c r="R276" s="20" t="e">
        <f t="shared" si="110"/>
        <v>#N/A</v>
      </c>
      <c r="S276" s="20" t="e">
        <f t="shared" si="111"/>
        <v>#N/A</v>
      </c>
      <c r="T276" s="20" t="e">
        <f t="shared" si="112"/>
        <v>#N/A</v>
      </c>
      <c r="U276" s="3"/>
      <c r="AA276" s="4"/>
    </row>
    <row r="277" spans="1:27" x14ac:dyDescent="0.25">
      <c r="A277">
        <f t="shared" si="115"/>
        <v>275</v>
      </c>
      <c r="B277">
        <f t="shared" si="96"/>
        <v>6</v>
      </c>
      <c r="C277">
        <f t="shared" si="99"/>
        <v>1.5000000000000004</v>
      </c>
      <c r="D277" s="15">
        <f t="shared" si="97"/>
        <v>3.0508474576271185</v>
      </c>
      <c r="E277">
        <f t="shared" si="100"/>
        <v>1</v>
      </c>
      <c r="F277" s="3">
        <f t="shared" si="113"/>
        <v>140.33898305084742</v>
      </c>
      <c r="G277" s="3">
        <f t="shared" si="114"/>
        <v>2.4493773231378042</v>
      </c>
      <c r="H277" s="18">
        <f t="shared" si="101"/>
        <v>-1.154750975144859</v>
      </c>
      <c r="I277" s="3">
        <f t="shared" si="102"/>
        <v>0.95736627546723119</v>
      </c>
      <c r="J277" s="19" t="str">
        <f t="shared" si="98"/>
        <v>C</v>
      </c>
      <c r="K277" s="20" t="e">
        <f t="shared" si="103"/>
        <v>#N/A</v>
      </c>
      <c r="L277" s="20" t="e">
        <f t="shared" si="104"/>
        <v>#N/A</v>
      </c>
      <c r="M277" s="20">
        <f t="shared" si="105"/>
        <v>-1.154750975144859</v>
      </c>
      <c r="N277" s="20">
        <f t="shared" si="106"/>
        <v>0.95736627546723119</v>
      </c>
      <c r="O277" s="20" t="e">
        <f t="shared" si="107"/>
        <v>#N/A</v>
      </c>
      <c r="P277" s="20" t="e">
        <f t="shared" si="108"/>
        <v>#N/A</v>
      </c>
      <c r="Q277" s="20" t="e">
        <f t="shared" si="109"/>
        <v>#N/A</v>
      </c>
      <c r="R277" s="20" t="e">
        <f t="shared" si="110"/>
        <v>#N/A</v>
      </c>
      <c r="S277" s="20" t="e">
        <f t="shared" si="111"/>
        <v>#N/A</v>
      </c>
      <c r="T277" s="20" t="e">
        <f t="shared" si="112"/>
        <v>#N/A</v>
      </c>
      <c r="U277" s="3"/>
      <c r="AA277" s="4"/>
    </row>
    <row r="278" spans="1:27" x14ac:dyDescent="0.25">
      <c r="A278">
        <f t="shared" si="115"/>
        <v>276</v>
      </c>
      <c r="B278">
        <f t="shared" si="96"/>
        <v>6</v>
      </c>
      <c r="C278">
        <f t="shared" si="99"/>
        <v>1.5000000000000004</v>
      </c>
      <c r="D278" s="15">
        <f t="shared" si="97"/>
        <v>3.0508474576271185</v>
      </c>
      <c r="E278">
        <f t="shared" si="100"/>
        <v>1</v>
      </c>
      <c r="F278" s="3">
        <f t="shared" si="113"/>
        <v>143.38983050847455</v>
      </c>
      <c r="G278" s="3">
        <f t="shared" si="114"/>
        <v>2.502624656249496</v>
      </c>
      <c r="H278" s="18">
        <f t="shared" si="101"/>
        <v>-1.2040674568964456</v>
      </c>
      <c r="I278" s="3">
        <f t="shared" si="102"/>
        <v>0.89455103780775269</v>
      </c>
      <c r="J278" s="19" t="str">
        <f t="shared" si="98"/>
        <v>C</v>
      </c>
      <c r="K278" s="20" t="e">
        <f t="shared" si="103"/>
        <v>#N/A</v>
      </c>
      <c r="L278" s="20" t="e">
        <f t="shared" si="104"/>
        <v>#N/A</v>
      </c>
      <c r="M278" s="20">
        <f t="shared" si="105"/>
        <v>-1.2040674568964456</v>
      </c>
      <c r="N278" s="20">
        <f t="shared" si="106"/>
        <v>0.89455103780775269</v>
      </c>
      <c r="O278" s="20" t="e">
        <f t="shared" si="107"/>
        <v>#N/A</v>
      </c>
      <c r="P278" s="20" t="e">
        <f t="shared" si="108"/>
        <v>#N/A</v>
      </c>
      <c r="Q278" s="20" t="e">
        <f t="shared" si="109"/>
        <v>#N/A</v>
      </c>
      <c r="R278" s="20" t="e">
        <f t="shared" si="110"/>
        <v>#N/A</v>
      </c>
      <c r="S278" s="20" t="e">
        <f t="shared" si="111"/>
        <v>#N/A</v>
      </c>
      <c r="T278" s="20" t="e">
        <f t="shared" si="112"/>
        <v>#N/A</v>
      </c>
      <c r="U278" s="3"/>
      <c r="AA278" s="4"/>
    </row>
    <row r="279" spans="1:27" x14ac:dyDescent="0.25">
      <c r="A279">
        <f t="shared" si="115"/>
        <v>277</v>
      </c>
      <c r="B279">
        <f t="shared" si="96"/>
        <v>6</v>
      </c>
      <c r="C279">
        <f t="shared" si="99"/>
        <v>1.5000000000000004</v>
      </c>
      <c r="D279" s="15">
        <f t="shared" si="97"/>
        <v>3.0508474576271185</v>
      </c>
      <c r="E279">
        <f t="shared" si="100"/>
        <v>1</v>
      </c>
      <c r="F279" s="3">
        <f t="shared" si="113"/>
        <v>146.44067796610167</v>
      </c>
      <c r="G279" s="3">
        <f t="shared" si="114"/>
        <v>2.555871989361187</v>
      </c>
      <c r="H279" s="18">
        <f t="shared" si="101"/>
        <v>-1.2499708786237722</v>
      </c>
      <c r="I279" s="3">
        <f t="shared" si="102"/>
        <v>0.82920009804179118</v>
      </c>
      <c r="J279" s="19" t="str">
        <f t="shared" si="98"/>
        <v>C</v>
      </c>
      <c r="K279" s="20" t="e">
        <f t="shared" si="103"/>
        <v>#N/A</v>
      </c>
      <c r="L279" s="20" t="e">
        <f t="shared" si="104"/>
        <v>#N/A</v>
      </c>
      <c r="M279" s="20">
        <f t="shared" si="105"/>
        <v>-1.2499708786237722</v>
      </c>
      <c r="N279" s="20">
        <f t="shared" si="106"/>
        <v>0.82920009804179118</v>
      </c>
      <c r="O279" s="20" t="e">
        <f t="shared" si="107"/>
        <v>#N/A</v>
      </c>
      <c r="P279" s="20" t="e">
        <f t="shared" si="108"/>
        <v>#N/A</v>
      </c>
      <c r="Q279" s="20" t="e">
        <f t="shared" si="109"/>
        <v>#N/A</v>
      </c>
      <c r="R279" s="20" t="e">
        <f t="shared" si="110"/>
        <v>#N/A</v>
      </c>
      <c r="S279" s="20" t="e">
        <f t="shared" si="111"/>
        <v>#N/A</v>
      </c>
      <c r="T279" s="20" t="e">
        <f t="shared" si="112"/>
        <v>#N/A</v>
      </c>
      <c r="U279" s="3"/>
      <c r="AA279" s="4"/>
    </row>
    <row r="280" spans="1:27" x14ac:dyDescent="0.25">
      <c r="A280">
        <f t="shared" si="115"/>
        <v>278</v>
      </c>
      <c r="B280">
        <f t="shared" si="96"/>
        <v>6</v>
      </c>
      <c r="C280">
        <f t="shared" si="99"/>
        <v>1.5000000000000004</v>
      </c>
      <c r="D280" s="15">
        <f t="shared" si="97"/>
        <v>3.0508474576271185</v>
      </c>
      <c r="E280">
        <f t="shared" si="100"/>
        <v>1</v>
      </c>
      <c r="F280" s="3">
        <f t="shared" si="113"/>
        <v>149.4915254237288</v>
      </c>
      <c r="G280" s="3">
        <f t="shared" si="114"/>
        <v>2.6091193224728788</v>
      </c>
      <c r="H280" s="18">
        <f t="shared" si="101"/>
        <v>-1.2923311220907092</v>
      </c>
      <c r="I280" s="3">
        <f t="shared" si="102"/>
        <v>0.76149870050826063</v>
      </c>
      <c r="J280" s="19" t="str">
        <f t="shared" si="98"/>
        <v>LD</v>
      </c>
      <c r="K280" s="20" t="e">
        <f t="shared" si="103"/>
        <v>#N/A</v>
      </c>
      <c r="L280" s="20" t="e">
        <f t="shared" si="104"/>
        <v>#N/A</v>
      </c>
      <c r="M280" s="20" t="e">
        <f t="shared" si="105"/>
        <v>#N/A</v>
      </c>
      <c r="N280" s="20" t="e">
        <f t="shared" si="106"/>
        <v>#N/A</v>
      </c>
      <c r="O280" s="20">
        <f t="shared" si="107"/>
        <v>-1.2923311220907092</v>
      </c>
      <c r="P280" s="20">
        <f t="shared" si="108"/>
        <v>0.76149870050826063</v>
      </c>
      <c r="Q280" s="20" t="e">
        <f t="shared" si="109"/>
        <v>#N/A</v>
      </c>
      <c r="R280" s="20" t="e">
        <f t="shared" si="110"/>
        <v>#N/A</v>
      </c>
      <c r="S280" s="20" t="e">
        <f t="shared" si="111"/>
        <v>#N/A</v>
      </c>
      <c r="T280" s="20" t="e">
        <f t="shared" si="112"/>
        <v>#N/A</v>
      </c>
      <c r="U280" s="3"/>
      <c r="AA280" s="4"/>
    </row>
    <row r="281" spans="1:27" x14ac:dyDescent="0.25">
      <c r="A281">
        <f t="shared" si="115"/>
        <v>279</v>
      </c>
      <c r="B281">
        <f t="shared" si="96"/>
        <v>6</v>
      </c>
      <c r="C281">
        <f t="shared" si="99"/>
        <v>1.5000000000000004</v>
      </c>
      <c r="D281" s="15">
        <f t="shared" si="97"/>
        <v>3.0508474576271185</v>
      </c>
      <c r="E281">
        <f t="shared" si="100"/>
        <v>1</v>
      </c>
      <c r="F281" s="3">
        <f t="shared" si="113"/>
        <v>152.54237288135593</v>
      </c>
      <c r="G281" s="3">
        <f t="shared" si="114"/>
        <v>2.6623666555845702</v>
      </c>
      <c r="H281" s="18">
        <f t="shared" si="101"/>
        <v>-1.3310281125848575</v>
      </c>
      <c r="I281" s="3">
        <f t="shared" si="102"/>
        <v>0.69163875217398951</v>
      </c>
      <c r="J281" s="19" t="str">
        <f t="shared" si="98"/>
        <v>LD</v>
      </c>
      <c r="K281" s="20" t="e">
        <f t="shared" si="103"/>
        <v>#N/A</v>
      </c>
      <c r="L281" s="20" t="e">
        <f t="shared" si="104"/>
        <v>#N/A</v>
      </c>
      <c r="M281" s="20" t="e">
        <f t="shared" si="105"/>
        <v>#N/A</v>
      </c>
      <c r="N281" s="20" t="e">
        <f t="shared" si="106"/>
        <v>#N/A</v>
      </c>
      <c r="O281" s="20">
        <f t="shared" si="107"/>
        <v>-1.3310281125848575</v>
      </c>
      <c r="P281" s="20">
        <f t="shared" si="108"/>
        <v>0.69163875217398951</v>
      </c>
      <c r="Q281" s="20" t="e">
        <f t="shared" si="109"/>
        <v>#N/A</v>
      </c>
      <c r="R281" s="20" t="e">
        <f t="shared" si="110"/>
        <v>#N/A</v>
      </c>
      <c r="S281" s="20" t="e">
        <f t="shared" si="111"/>
        <v>#N/A</v>
      </c>
      <c r="T281" s="20" t="e">
        <f t="shared" si="112"/>
        <v>#N/A</v>
      </c>
      <c r="U281" s="3"/>
      <c r="AA281" s="4"/>
    </row>
    <row r="282" spans="1:27" x14ac:dyDescent="0.25">
      <c r="A282">
        <f t="shared" si="115"/>
        <v>280</v>
      </c>
      <c r="B282">
        <f t="shared" si="96"/>
        <v>6</v>
      </c>
      <c r="C282">
        <f t="shared" si="99"/>
        <v>1.5000000000000004</v>
      </c>
      <c r="D282" s="15">
        <f t="shared" si="97"/>
        <v>3.0508474576271185</v>
      </c>
      <c r="E282">
        <f t="shared" si="100"/>
        <v>1</v>
      </c>
      <c r="F282" s="3">
        <f t="shared" si="113"/>
        <v>155.59322033898306</v>
      </c>
      <c r="G282" s="3">
        <f t="shared" si="114"/>
        <v>2.715613988696262</v>
      </c>
      <c r="H282" s="18">
        <f t="shared" si="101"/>
        <v>-1.3659521592823702</v>
      </c>
      <c r="I282" s="3">
        <f t="shared" si="102"/>
        <v>0.61981827865256733</v>
      </c>
      <c r="J282" s="19" t="str">
        <f t="shared" si="98"/>
        <v>LD</v>
      </c>
      <c r="K282" s="20" t="e">
        <f t="shared" si="103"/>
        <v>#N/A</v>
      </c>
      <c r="L282" s="20" t="e">
        <f t="shared" si="104"/>
        <v>#N/A</v>
      </c>
      <c r="M282" s="20" t="e">
        <f t="shared" si="105"/>
        <v>#N/A</v>
      </c>
      <c r="N282" s="20" t="e">
        <f t="shared" si="106"/>
        <v>#N/A</v>
      </c>
      <c r="O282" s="20">
        <f t="shared" si="107"/>
        <v>-1.3659521592823702</v>
      </c>
      <c r="P282" s="20">
        <f t="shared" si="108"/>
        <v>0.61981827865256733</v>
      </c>
      <c r="Q282" s="20" t="e">
        <f t="shared" si="109"/>
        <v>#N/A</v>
      </c>
      <c r="R282" s="20" t="e">
        <f t="shared" si="110"/>
        <v>#N/A</v>
      </c>
      <c r="S282" s="20" t="e">
        <f t="shared" si="111"/>
        <v>#N/A</v>
      </c>
      <c r="T282" s="20" t="e">
        <f t="shared" si="112"/>
        <v>#N/A</v>
      </c>
      <c r="U282" s="3"/>
      <c r="AA282" s="4"/>
    </row>
    <row r="283" spans="1:27" x14ac:dyDescent="0.25">
      <c r="A283">
        <f t="shared" si="115"/>
        <v>281</v>
      </c>
      <c r="B283">
        <f t="shared" si="96"/>
        <v>6</v>
      </c>
      <c r="C283">
        <f t="shared" si="99"/>
        <v>1.5000000000000004</v>
      </c>
      <c r="D283" s="15">
        <f t="shared" si="97"/>
        <v>3.0508474576271185</v>
      </c>
      <c r="E283">
        <f t="shared" si="100"/>
        <v>1</v>
      </c>
      <c r="F283" s="3">
        <f t="shared" si="113"/>
        <v>158.64406779661019</v>
      </c>
      <c r="G283" s="3">
        <f t="shared" si="114"/>
        <v>2.7688613218079534</v>
      </c>
      <c r="H283" s="18">
        <f t="shared" si="101"/>
        <v>-1.397004266178508</v>
      </c>
      <c r="I283" s="3">
        <f t="shared" si="102"/>
        <v>0.54624086287923335</v>
      </c>
      <c r="J283" s="19" t="str">
        <f t="shared" si="98"/>
        <v>LD</v>
      </c>
      <c r="K283" s="20" t="e">
        <f t="shared" si="103"/>
        <v>#N/A</v>
      </c>
      <c r="L283" s="20" t="e">
        <f t="shared" si="104"/>
        <v>#N/A</v>
      </c>
      <c r="M283" s="20" t="e">
        <f t="shared" si="105"/>
        <v>#N/A</v>
      </c>
      <c r="N283" s="20" t="e">
        <f t="shared" si="106"/>
        <v>#N/A</v>
      </c>
      <c r="O283" s="20">
        <f t="shared" si="107"/>
        <v>-1.397004266178508</v>
      </c>
      <c r="P283" s="20">
        <f t="shared" si="108"/>
        <v>0.54624086287923335</v>
      </c>
      <c r="Q283" s="20" t="e">
        <f t="shared" si="109"/>
        <v>#N/A</v>
      </c>
      <c r="R283" s="20" t="e">
        <f t="shared" si="110"/>
        <v>#N/A</v>
      </c>
      <c r="S283" s="20" t="e">
        <f t="shared" si="111"/>
        <v>#N/A</v>
      </c>
      <c r="T283" s="20" t="e">
        <f t="shared" si="112"/>
        <v>#N/A</v>
      </c>
      <c r="U283" s="3"/>
      <c r="AA283" s="4"/>
    </row>
    <row r="284" spans="1:27" x14ac:dyDescent="0.25">
      <c r="A284">
        <f t="shared" si="115"/>
        <v>282</v>
      </c>
      <c r="B284">
        <f t="shared" si="96"/>
        <v>6</v>
      </c>
      <c r="C284">
        <f t="shared" si="99"/>
        <v>1.5000000000000004</v>
      </c>
      <c r="D284" s="15">
        <f t="shared" si="97"/>
        <v>3.0508474576271185</v>
      </c>
      <c r="E284">
        <f t="shared" si="100"/>
        <v>1</v>
      </c>
      <c r="F284" s="3">
        <f t="shared" si="113"/>
        <v>161.69491525423732</v>
      </c>
      <c r="G284" s="3">
        <f t="shared" si="114"/>
        <v>2.8221086549196452</v>
      </c>
      <c r="H284" s="18">
        <f t="shared" si="101"/>
        <v>-1.4240964127025726</v>
      </c>
      <c r="I284" s="3">
        <f t="shared" si="102"/>
        <v>0.47111506803292269</v>
      </c>
      <c r="J284" s="19" t="str">
        <f t="shared" si="98"/>
        <v>LD</v>
      </c>
      <c r="K284" s="20" t="e">
        <f t="shared" si="103"/>
        <v>#N/A</v>
      </c>
      <c r="L284" s="20" t="e">
        <f t="shared" si="104"/>
        <v>#N/A</v>
      </c>
      <c r="M284" s="20" t="e">
        <f t="shared" si="105"/>
        <v>#N/A</v>
      </c>
      <c r="N284" s="20" t="e">
        <f t="shared" si="106"/>
        <v>#N/A</v>
      </c>
      <c r="O284" s="20">
        <f t="shared" si="107"/>
        <v>-1.4240964127025726</v>
      </c>
      <c r="P284" s="20">
        <f t="shared" si="108"/>
        <v>0.47111506803292269</v>
      </c>
      <c r="Q284" s="20" t="e">
        <f t="shared" si="109"/>
        <v>#N/A</v>
      </c>
      <c r="R284" s="20" t="e">
        <f t="shared" si="110"/>
        <v>#N/A</v>
      </c>
      <c r="S284" s="20" t="e">
        <f t="shared" si="111"/>
        <v>#N/A</v>
      </c>
      <c r="T284" s="20" t="e">
        <f t="shared" si="112"/>
        <v>#N/A</v>
      </c>
      <c r="U284" s="3"/>
      <c r="AA284" s="4"/>
    </row>
    <row r="285" spans="1:27" x14ac:dyDescent="0.25">
      <c r="A285">
        <f t="shared" si="115"/>
        <v>283</v>
      </c>
      <c r="B285">
        <f t="shared" si="96"/>
        <v>6</v>
      </c>
      <c r="C285">
        <f t="shared" si="99"/>
        <v>1.5000000000000004</v>
      </c>
      <c r="D285" s="15">
        <f t="shared" si="97"/>
        <v>3.0508474576271185</v>
      </c>
      <c r="E285">
        <f t="shared" si="100"/>
        <v>1</v>
      </c>
      <c r="F285" s="3">
        <f t="shared" si="113"/>
        <v>164.74576271186444</v>
      </c>
      <c r="G285" s="3">
        <f t="shared" si="114"/>
        <v>2.8753559880313366</v>
      </c>
      <c r="H285" s="18">
        <f t="shared" si="101"/>
        <v>-1.4471518032217745</v>
      </c>
      <c r="I285" s="3">
        <f t="shared" si="102"/>
        <v>0.39465384634128137</v>
      </c>
      <c r="J285" s="19" t="str">
        <f t="shared" si="98"/>
        <v>LD</v>
      </c>
      <c r="K285" s="20" t="e">
        <f t="shared" si="103"/>
        <v>#N/A</v>
      </c>
      <c r="L285" s="20" t="e">
        <f t="shared" si="104"/>
        <v>#N/A</v>
      </c>
      <c r="M285" s="20" t="e">
        <f t="shared" si="105"/>
        <v>#N/A</v>
      </c>
      <c r="N285" s="20" t="e">
        <f t="shared" si="106"/>
        <v>#N/A</v>
      </c>
      <c r="O285" s="20">
        <f t="shared" si="107"/>
        <v>-1.4471518032217745</v>
      </c>
      <c r="P285" s="20">
        <f t="shared" si="108"/>
        <v>0.39465384634128137</v>
      </c>
      <c r="Q285" s="20" t="e">
        <f t="shared" si="109"/>
        <v>#N/A</v>
      </c>
      <c r="R285" s="20" t="e">
        <f t="shared" si="110"/>
        <v>#N/A</v>
      </c>
      <c r="S285" s="20" t="e">
        <f t="shared" si="111"/>
        <v>#N/A</v>
      </c>
      <c r="T285" s="20" t="e">
        <f t="shared" si="112"/>
        <v>#N/A</v>
      </c>
      <c r="U285" s="3"/>
      <c r="AA285" s="4"/>
    </row>
    <row r="286" spans="1:27" x14ac:dyDescent="0.25">
      <c r="A286">
        <f t="shared" si="115"/>
        <v>284</v>
      </c>
      <c r="B286">
        <f t="shared" si="96"/>
        <v>6</v>
      </c>
      <c r="C286">
        <f t="shared" si="99"/>
        <v>1.5000000000000004</v>
      </c>
      <c r="D286" s="15">
        <f t="shared" si="97"/>
        <v>3.0508474576271185</v>
      </c>
      <c r="E286">
        <f t="shared" si="100"/>
        <v>1</v>
      </c>
      <c r="F286" s="3">
        <f t="shared" si="113"/>
        <v>167.79661016949157</v>
      </c>
      <c r="G286" s="3">
        <f t="shared" si="114"/>
        <v>2.9286033211430285</v>
      </c>
      <c r="H286" s="18">
        <f t="shared" si="101"/>
        <v>-1.4661050847268007</v>
      </c>
      <c r="I286" s="3">
        <f t="shared" si="102"/>
        <v>0.3170739354444353</v>
      </c>
      <c r="J286" s="19" t="str">
        <f t="shared" si="98"/>
        <v>LD</v>
      </c>
      <c r="K286" s="20" t="e">
        <f t="shared" si="103"/>
        <v>#N/A</v>
      </c>
      <c r="L286" s="20" t="e">
        <f t="shared" si="104"/>
        <v>#N/A</v>
      </c>
      <c r="M286" s="20" t="e">
        <f t="shared" si="105"/>
        <v>#N/A</v>
      </c>
      <c r="N286" s="20" t="e">
        <f t="shared" si="106"/>
        <v>#N/A</v>
      </c>
      <c r="O286" s="20">
        <f t="shared" si="107"/>
        <v>-1.4661050847268007</v>
      </c>
      <c r="P286" s="20">
        <f t="shared" si="108"/>
        <v>0.3170739354444353</v>
      </c>
      <c r="Q286" s="20" t="e">
        <f t="shared" si="109"/>
        <v>#N/A</v>
      </c>
      <c r="R286" s="20" t="e">
        <f t="shared" si="110"/>
        <v>#N/A</v>
      </c>
      <c r="S286" s="20" t="e">
        <f t="shared" si="111"/>
        <v>#N/A</v>
      </c>
      <c r="T286" s="20" t="e">
        <f t="shared" si="112"/>
        <v>#N/A</v>
      </c>
      <c r="U286" s="3"/>
      <c r="AA286" s="4"/>
    </row>
    <row r="287" spans="1:27" x14ac:dyDescent="0.25">
      <c r="A287">
        <f t="shared" si="115"/>
        <v>285</v>
      </c>
      <c r="B287">
        <f t="shared" si="96"/>
        <v>6</v>
      </c>
      <c r="C287">
        <f t="shared" si="99"/>
        <v>1.5000000000000004</v>
      </c>
      <c r="D287" s="15">
        <f t="shared" si="97"/>
        <v>3.0508474576271185</v>
      </c>
      <c r="E287">
        <f t="shared" si="100"/>
        <v>1</v>
      </c>
      <c r="F287" s="3">
        <f t="shared" si="113"/>
        <v>170.8474576271187</v>
      </c>
      <c r="G287" s="3">
        <f t="shared" si="114"/>
        <v>2.9818506542547198</v>
      </c>
      <c r="H287" s="18">
        <f t="shared" si="101"/>
        <v>-1.4809025320820175</v>
      </c>
      <c r="I287" s="3">
        <f t="shared" si="102"/>
        <v>0.23859524402860691</v>
      </c>
      <c r="J287" s="19" t="str">
        <f t="shared" si="98"/>
        <v>SNP</v>
      </c>
      <c r="K287" s="20" t="e">
        <f t="shared" si="103"/>
        <v>#N/A</v>
      </c>
      <c r="L287" s="20" t="e">
        <f t="shared" si="104"/>
        <v>#N/A</v>
      </c>
      <c r="M287" s="20" t="e">
        <f t="shared" si="105"/>
        <v>#N/A</v>
      </c>
      <c r="N287" s="20" t="e">
        <f t="shared" si="106"/>
        <v>#N/A</v>
      </c>
      <c r="O287" s="20" t="e">
        <f t="shared" si="107"/>
        <v>#N/A</v>
      </c>
      <c r="P287" s="20" t="e">
        <f t="shared" si="108"/>
        <v>#N/A</v>
      </c>
      <c r="Q287" s="20">
        <f t="shared" si="109"/>
        <v>-1.4809025320820175</v>
      </c>
      <c r="R287" s="20">
        <f t="shared" si="110"/>
        <v>0.23859524402860691</v>
      </c>
      <c r="S287" s="20" t="e">
        <f t="shared" si="111"/>
        <v>#N/A</v>
      </c>
      <c r="T287" s="20" t="e">
        <f t="shared" si="112"/>
        <v>#N/A</v>
      </c>
      <c r="U287" s="3"/>
      <c r="AA287" s="4"/>
    </row>
    <row r="288" spans="1:27" x14ac:dyDescent="0.25">
      <c r="A288">
        <f t="shared" si="115"/>
        <v>286</v>
      </c>
      <c r="B288">
        <f t="shared" si="96"/>
        <v>6</v>
      </c>
      <c r="C288">
        <f t="shared" si="99"/>
        <v>1.5000000000000004</v>
      </c>
      <c r="D288" s="15">
        <f t="shared" si="97"/>
        <v>3.0508474576271185</v>
      </c>
      <c r="E288">
        <f t="shared" si="100"/>
        <v>1</v>
      </c>
      <c r="F288" s="3">
        <f t="shared" si="113"/>
        <v>173.89830508474583</v>
      </c>
      <c r="G288" s="3">
        <f t="shared" si="114"/>
        <v>3.0350979873664112</v>
      </c>
      <c r="H288" s="18">
        <f t="shared" si="101"/>
        <v>-1.4915022003152063</v>
      </c>
      <c r="I288" s="3">
        <f t="shared" si="102"/>
        <v>0.15944022847104694</v>
      </c>
      <c r="J288" s="19" t="str">
        <f t="shared" si="98"/>
        <v>Oth</v>
      </c>
      <c r="K288" s="20" t="e">
        <f t="shared" si="103"/>
        <v>#N/A</v>
      </c>
      <c r="L288" s="20" t="e">
        <f t="shared" si="104"/>
        <v>#N/A</v>
      </c>
      <c r="M288" s="20" t="e">
        <f t="shared" si="105"/>
        <v>#N/A</v>
      </c>
      <c r="N288" s="20" t="e">
        <f t="shared" si="106"/>
        <v>#N/A</v>
      </c>
      <c r="O288" s="20" t="e">
        <f t="shared" si="107"/>
        <v>#N/A</v>
      </c>
      <c r="P288" s="20" t="e">
        <f t="shared" si="108"/>
        <v>#N/A</v>
      </c>
      <c r="Q288" s="20" t="e">
        <f t="shared" si="109"/>
        <v>#N/A</v>
      </c>
      <c r="R288" s="20" t="e">
        <f t="shared" si="110"/>
        <v>#N/A</v>
      </c>
      <c r="S288" s="20">
        <f t="shared" si="111"/>
        <v>-1.4915022003152063</v>
      </c>
      <c r="T288" s="20">
        <f t="shared" si="112"/>
        <v>0.15944022847104694</v>
      </c>
      <c r="U288" s="3"/>
      <c r="AA288" s="4"/>
    </row>
    <row r="289" spans="1:27" x14ac:dyDescent="0.25">
      <c r="A289">
        <f t="shared" si="115"/>
        <v>287</v>
      </c>
      <c r="B289">
        <f t="shared" si="96"/>
        <v>6</v>
      </c>
      <c r="C289">
        <f t="shared" si="99"/>
        <v>1.5000000000000004</v>
      </c>
      <c r="D289" s="15">
        <f t="shared" si="97"/>
        <v>3.0508474576271185</v>
      </c>
      <c r="E289">
        <f t="shared" si="100"/>
        <v>1</v>
      </c>
      <c r="F289" s="3">
        <f t="shared" si="113"/>
        <v>176.94915254237296</v>
      </c>
      <c r="G289" s="3">
        <f t="shared" si="114"/>
        <v>3.0883453204781031</v>
      </c>
      <c r="H289" s="18">
        <f t="shared" si="101"/>
        <v>-1.4978740435151434</v>
      </c>
      <c r="I289" s="3">
        <f t="shared" si="102"/>
        <v>7.9833262263266161E-2</v>
      </c>
      <c r="J289" s="19" t="str">
        <f t="shared" si="98"/>
        <v>Oth</v>
      </c>
      <c r="K289" s="20" t="e">
        <f t="shared" si="103"/>
        <v>#N/A</v>
      </c>
      <c r="L289" s="20" t="e">
        <f t="shared" si="104"/>
        <v>#N/A</v>
      </c>
      <c r="M289" s="20" t="e">
        <f t="shared" si="105"/>
        <v>#N/A</v>
      </c>
      <c r="N289" s="20" t="e">
        <f t="shared" si="106"/>
        <v>#N/A</v>
      </c>
      <c r="O289" s="20" t="e">
        <f t="shared" si="107"/>
        <v>#N/A</v>
      </c>
      <c r="P289" s="20" t="e">
        <f t="shared" si="108"/>
        <v>#N/A</v>
      </c>
      <c r="Q289" s="20" t="e">
        <f t="shared" si="109"/>
        <v>#N/A</v>
      </c>
      <c r="R289" s="20" t="e">
        <f t="shared" si="110"/>
        <v>#N/A</v>
      </c>
      <c r="S289" s="20">
        <f t="shared" si="111"/>
        <v>-1.4978740435151434</v>
      </c>
      <c r="T289" s="20">
        <f t="shared" si="112"/>
        <v>7.9833262263266161E-2</v>
      </c>
      <c r="U289" s="3"/>
      <c r="AA289" s="4"/>
    </row>
    <row r="290" spans="1:27" x14ac:dyDescent="0.25">
      <c r="A290">
        <f t="shared" si="115"/>
        <v>288</v>
      </c>
      <c r="B290">
        <f t="shared" si="96"/>
        <v>6</v>
      </c>
      <c r="C290">
        <f t="shared" si="99"/>
        <v>1.5000000000000004</v>
      </c>
      <c r="D290" s="15">
        <f t="shared" si="97"/>
        <v>3.0508474576271185</v>
      </c>
      <c r="E290">
        <f t="shared" si="100"/>
        <v>1</v>
      </c>
      <c r="F290" s="3">
        <f t="shared" si="113"/>
        <v>180.00000000000009</v>
      </c>
      <c r="G290" s="3">
        <f t="shared" si="114"/>
        <v>3.1415926535897944</v>
      </c>
      <c r="H290" s="18">
        <f t="shared" si="101"/>
        <v>-1.5000000000000004</v>
      </c>
      <c r="I290" s="3">
        <f t="shared" si="102"/>
        <v>-1.8146291760889892E-15</v>
      </c>
      <c r="J290" s="19" t="str">
        <f t="shared" si="98"/>
        <v>Oth</v>
      </c>
      <c r="K290" s="20" t="e">
        <f t="shared" si="103"/>
        <v>#N/A</v>
      </c>
      <c r="L290" s="20" t="e">
        <f t="shared" si="104"/>
        <v>#N/A</v>
      </c>
      <c r="M290" s="20" t="e">
        <f t="shared" si="105"/>
        <v>#N/A</v>
      </c>
      <c r="N290" s="20" t="e">
        <f t="shared" si="106"/>
        <v>#N/A</v>
      </c>
      <c r="O290" s="20" t="e">
        <f t="shared" si="107"/>
        <v>#N/A</v>
      </c>
      <c r="P290" s="20" t="e">
        <f t="shared" si="108"/>
        <v>#N/A</v>
      </c>
      <c r="Q290" s="20" t="e">
        <f t="shared" si="109"/>
        <v>#N/A</v>
      </c>
      <c r="R290" s="20" t="e">
        <f t="shared" si="110"/>
        <v>#N/A</v>
      </c>
      <c r="S290" s="20">
        <f t="shared" si="111"/>
        <v>-1.5000000000000004</v>
      </c>
      <c r="T290" s="20">
        <f t="shared" si="112"/>
        <v>-1.8146291760889892E-15</v>
      </c>
      <c r="U290" s="3"/>
      <c r="AA290" s="4"/>
    </row>
    <row r="291" spans="1:27" x14ac:dyDescent="0.25">
      <c r="A291">
        <f t="shared" si="115"/>
        <v>289</v>
      </c>
      <c r="B291">
        <f t="shared" si="96"/>
        <v>7</v>
      </c>
      <c r="C291">
        <f t="shared" si="99"/>
        <v>1.6000000000000005</v>
      </c>
      <c r="D291" s="15">
        <f t="shared" si="97"/>
        <v>2.8125</v>
      </c>
      <c r="E291">
        <f t="shared" si="100"/>
        <v>0</v>
      </c>
      <c r="F291" s="3">
        <f t="shared" si="113"/>
        <v>0</v>
      </c>
      <c r="G291" s="3">
        <f t="shared" si="114"/>
        <v>0</v>
      </c>
      <c r="H291" s="18">
        <f t="shared" si="101"/>
        <v>1.6000000000000005</v>
      </c>
      <c r="I291" s="3">
        <f t="shared" si="102"/>
        <v>0</v>
      </c>
      <c r="J291" s="19" t="str">
        <f t="shared" si="98"/>
        <v>L</v>
      </c>
      <c r="K291" s="20">
        <f t="shared" si="103"/>
        <v>1.6000000000000005</v>
      </c>
      <c r="L291" s="20">
        <f t="shared" si="104"/>
        <v>0</v>
      </c>
      <c r="M291" s="20" t="e">
        <f t="shared" si="105"/>
        <v>#N/A</v>
      </c>
      <c r="N291" s="20" t="e">
        <f t="shared" si="106"/>
        <v>#N/A</v>
      </c>
      <c r="O291" s="20" t="e">
        <f t="shared" si="107"/>
        <v>#N/A</v>
      </c>
      <c r="P291" s="20" t="e">
        <f t="shared" si="108"/>
        <v>#N/A</v>
      </c>
      <c r="Q291" s="20" t="e">
        <f t="shared" si="109"/>
        <v>#N/A</v>
      </c>
      <c r="R291" s="20" t="e">
        <f t="shared" si="110"/>
        <v>#N/A</v>
      </c>
      <c r="S291" s="20" t="e">
        <f t="shared" si="111"/>
        <v>#N/A</v>
      </c>
      <c r="T291" s="20" t="e">
        <f t="shared" si="112"/>
        <v>#N/A</v>
      </c>
      <c r="U291" s="3"/>
      <c r="AA291" s="4"/>
    </row>
    <row r="292" spans="1:27" x14ac:dyDescent="0.25">
      <c r="A292">
        <f t="shared" si="115"/>
        <v>290</v>
      </c>
      <c r="B292">
        <f t="shared" si="96"/>
        <v>7</v>
      </c>
      <c r="C292">
        <f t="shared" si="99"/>
        <v>1.6000000000000005</v>
      </c>
      <c r="D292" s="15">
        <f t="shared" si="97"/>
        <v>2.8125</v>
      </c>
      <c r="E292">
        <f t="shared" si="100"/>
        <v>1</v>
      </c>
      <c r="F292" s="3">
        <f t="shared" si="113"/>
        <v>2.8125</v>
      </c>
      <c r="G292" s="3">
        <f t="shared" si="114"/>
        <v>4.9087385212340517E-2</v>
      </c>
      <c r="H292" s="18">
        <f t="shared" si="101"/>
        <v>1.5980727299282764</v>
      </c>
      <c r="I292" s="3">
        <f t="shared" si="102"/>
        <v>7.8508278923868843E-2</v>
      </c>
      <c r="J292" s="19" t="str">
        <f t="shared" si="98"/>
        <v>L</v>
      </c>
      <c r="K292" s="20">
        <f t="shared" si="103"/>
        <v>1.5980727299282764</v>
      </c>
      <c r="L292" s="20">
        <f t="shared" si="104"/>
        <v>7.8508278923868843E-2</v>
      </c>
      <c r="M292" s="20" t="e">
        <f t="shared" si="105"/>
        <v>#N/A</v>
      </c>
      <c r="N292" s="20" t="e">
        <f t="shared" si="106"/>
        <v>#N/A</v>
      </c>
      <c r="O292" s="20" t="e">
        <f t="shared" si="107"/>
        <v>#N/A</v>
      </c>
      <c r="P292" s="20" t="e">
        <f t="shared" si="108"/>
        <v>#N/A</v>
      </c>
      <c r="Q292" s="20" t="e">
        <f t="shared" si="109"/>
        <v>#N/A</v>
      </c>
      <c r="R292" s="20" t="e">
        <f t="shared" si="110"/>
        <v>#N/A</v>
      </c>
      <c r="S292" s="20" t="e">
        <f t="shared" si="111"/>
        <v>#N/A</v>
      </c>
      <c r="T292" s="20" t="e">
        <f t="shared" si="112"/>
        <v>#N/A</v>
      </c>
      <c r="U292" s="3"/>
      <c r="AA292" s="4"/>
    </row>
    <row r="293" spans="1:27" x14ac:dyDescent="0.25">
      <c r="A293">
        <f t="shared" si="115"/>
        <v>291</v>
      </c>
      <c r="B293">
        <f t="shared" si="96"/>
        <v>7</v>
      </c>
      <c r="C293">
        <f t="shared" si="99"/>
        <v>1.6000000000000005</v>
      </c>
      <c r="D293" s="15">
        <f t="shared" si="97"/>
        <v>2.8125</v>
      </c>
      <c r="E293">
        <f t="shared" si="100"/>
        <v>1</v>
      </c>
      <c r="F293" s="3">
        <f t="shared" si="113"/>
        <v>5.625</v>
      </c>
      <c r="G293" s="3">
        <f t="shared" si="114"/>
        <v>9.8174770424681035E-2</v>
      </c>
      <c r="H293" s="18">
        <f t="shared" si="101"/>
        <v>1.5922955626755155</v>
      </c>
      <c r="I293" s="3">
        <f t="shared" si="102"/>
        <v>0.156827424527297</v>
      </c>
      <c r="J293" s="19" t="str">
        <f t="shared" si="98"/>
        <v>L</v>
      </c>
      <c r="K293" s="20">
        <f t="shared" si="103"/>
        <v>1.5922955626755155</v>
      </c>
      <c r="L293" s="20">
        <f t="shared" si="104"/>
        <v>0.156827424527297</v>
      </c>
      <c r="M293" s="20" t="e">
        <f t="shared" si="105"/>
        <v>#N/A</v>
      </c>
      <c r="N293" s="20" t="e">
        <f t="shared" si="106"/>
        <v>#N/A</v>
      </c>
      <c r="O293" s="20" t="e">
        <f t="shared" si="107"/>
        <v>#N/A</v>
      </c>
      <c r="P293" s="20" t="e">
        <f t="shared" si="108"/>
        <v>#N/A</v>
      </c>
      <c r="Q293" s="20" t="e">
        <f t="shared" si="109"/>
        <v>#N/A</v>
      </c>
      <c r="R293" s="20" t="e">
        <f t="shared" si="110"/>
        <v>#N/A</v>
      </c>
      <c r="S293" s="20" t="e">
        <f t="shared" si="111"/>
        <v>#N/A</v>
      </c>
      <c r="T293" s="20" t="e">
        <f t="shared" si="112"/>
        <v>#N/A</v>
      </c>
      <c r="U293" s="3"/>
      <c r="AA293" s="4"/>
    </row>
    <row r="294" spans="1:27" x14ac:dyDescent="0.25">
      <c r="A294">
        <f t="shared" si="115"/>
        <v>292</v>
      </c>
      <c r="B294">
        <f t="shared" si="96"/>
        <v>7</v>
      </c>
      <c r="C294">
        <f t="shared" si="99"/>
        <v>1.6000000000000005</v>
      </c>
      <c r="D294" s="15">
        <f t="shared" si="97"/>
        <v>2.8125</v>
      </c>
      <c r="E294">
        <f t="shared" si="100"/>
        <v>1</v>
      </c>
      <c r="F294" s="3">
        <f t="shared" si="113"/>
        <v>8.4375</v>
      </c>
      <c r="G294" s="3">
        <f t="shared" si="114"/>
        <v>0.14726215563702155</v>
      </c>
      <c r="H294" s="18">
        <f t="shared" si="101"/>
        <v>1.5826824159436501</v>
      </c>
      <c r="I294" s="3">
        <f t="shared" si="102"/>
        <v>0.23476875912857886</v>
      </c>
      <c r="J294" s="19" t="str">
        <f t="shared" si="98"/>
        <v>L</v>
      </c>
      <c r="K294" s="20">
        <f t="shared" si="103"/>
        <v>1.5826824159436501</v>
      </c>
      <c r="L294" s="20">
        <f t="shared" si="104"/>
        <v>0.23476875912857886</v>
      </c>
      <c r="M294" s="20" t="e">
        <f t="shared" si="105"/>
        <v>#N/A</v>
      </c>
      <c r="N294" s="20" t="e">
        <f t="shared" si="106"/>
        <v>#N/A</v>
      </c>
      <c r="O294" s="20" t="e">
        <f t="shared" si="107"/>
        <v>#N/A</v>
      </c>
      <c r="P294" s="20" t="e">
        <f t="shared" si="108"/>
        <v>#N/A</v>
      </c>
      <c r="Q294" s="20" t="e">
        <f t="shared" si="109"/>
        <v>#N/A</v>
      </c>
      <c r="R294" s="20" t="e">
        <f t="shared" si="110"/>
        <v>#N/A</v>
      </c>
      <c r="S294" s="20" t="e">
        <f t="shared" si="111"/>
        <v>#N/A</v>
      </c>
      <c r="T294" s="20" t="e">
        <f t="shared" si="112"/>
        <v>#N/A</v>
      </c>
      <c r="U294" s="3"/>
      <c r="AA294" s="4"/>
    </row>
    <row r="295" spans="1:27" x14ac:dyDescent="0.25">
      <c r="A295">
        <f t="shared" si="115"/>
        <v>293</v>
      </c>
      <c r="B295">
        <f t="shared" si="96"/>
        <v>7</v>
      </c>
      <c r="C295">
        <f t="shared" si="99"/>
        <v>1.6000000000000005</v>
      </c>
      <c r="D295" s="15">
        <f t="shared" si="97"/>
        <v>2.8125</v>
      </c>
      <c r="E295">
        <f t="shared" si="100"/>
        <v>1</v>
      </c>
      <c r="F295" s="3">
        <f t="shared" si="113"/>
        <v>11.25</v>
      </c>
      <c r="G295" s="3">
        <f t="shared" si="114"/>
        <v>0.19634954084936207</v>
      </c>
      <c r="H295" s="18">
        <f t="shared" si="101"/>
        <v>1.5692564486451692</v>
      </c>
      <c r="I295" s="3">
        <f t="shared" si="102"/>
        <v>0.31214451522580527</v>
      </c>
      <c r="J295" s="19" t="str">
        <f t="shared" si="98"/>
        <v>L</v>
      </c>
      <c r="K295" s="20">
        <f t="shared" si="103"/>
        <v>1.5692564486451692</v>
      </c>
      <c r="L295" s="20">
        <f t="shared" si="104"/>
        <v>0.31214451522580527</v>
      </c>
      <c r="M295" s="20" t="e">
        <f t="shared" si="105"/>
        <v>#N/A</v>
      </c>
      <c r="N295" s="20" t="e">
        <f t="shared" si="106"/>
        <v>#N/A</v>
      </c>
      <c r="O295" s="20" t="e">
        <f t="shared" si="107"/>
        <v>#N/A</v>
      </c>
      <c r="P295" s="20" t="e">
        <f t="shared" si="108"/>
        <v>#N/A</v>
      </c>
      <c r="Q295" s="20" t="e">
        <f t="shared" si="109"/>
        <v>#N/A</v>
      </c>
      <c r="R295" s="20" t="e">
        <f t="shared" si="110"/>
        <v>#N/A</v>
      </c>
      <c r="S295" s="20" t="e">
        <f t="shared" si="111"/>
        <v>#N/A</v>
      </c>
      <c r="T295" s="20" t="e">
        <f t="shared" si="112"/>
        <v>#N/A</v>
      </c>
      <c r="U295" s="3"/>
      <c r="AA295" s="4"/>
    </row>
    <row r="296" spans="1:27" x14ac:dyDescent="0.25">
      <c r="A296">
        <f t="shared" si="115"/>
        <v>294</v>
      </c>
      <c r="B296">
        <f t="shared" si="96"/>
        <v>7</v>
      </c>
      <c r="C296">
        <f t="shared" si="99"/>
        <v>1.6000000000000005</v>
      </c>
      <c r="D296" s="15">
        <f t="shared" si="97"/>
        <v>2.8125</v>
      </c>
      <c r="E296">
        <f t="shared" si="100"/>
        <v>1</v>
      </c>
      <c r="F296" s="3">
        <f t="shared" si="113"/>
        <v>14.0625</v>
      </c>
      <c r="G296" s="3">
        <f t="shared" si="114"/>
        <v>0.24543692606170259</v>
      </c>
      <c r="H296" s="18">
        <f t="shared" si="101"/>
        <v>1.5520500051112709</v>
      </c>
      <c r="I296" s="3">
        <f t="shared" si="102"/>
        <v>0.38876828784522233</v>
      </c>
      <c r="J296" s="19" t="str">
        <f t="shared" si="98"/>
        <v>L</v>
      </c>
      <c r="K296" s="20">
        <f t="shared" si="103"/>
        <v>1.5520500051112709</v>
      </c>
      <c r="L296" s="20">
        <f t="shared" si="104"/>
        <v>0.38876828784522233</v>
      </c>
      <c r="M296" s="20" t="e">
        <f t="shared" si="105"/>
        <v>#N/A</v>
      </c>
      <c r="N296" s="20" t="e">
        <f t="shared" si="106"/>
        <v>#N/A</v>
      </c>
      <c r="O296" s="20" t="e">
        <f t="shared" si="107"/>
        <v>#N/A</v>
      </c>
      <c r="P296" s="20" t="e">
        <f t="shared" si="108"/>
        <v>#N/A</v>
      </c>
      <c r="Q296" s="20" t="e">
        <f t="shared" si="109"/>
        <v>#N/A</v>
      </c>
      <c r="R296" s="20" t="e">
        <f t="shared" si="110"/>
        <v>#N/A</v>
      </c>
      <c r="S296" s="20" t="e">
        <f t="shared" si="111"/>
        <v>#N/A</v>
      </c>
      <c r="T296" s="20" t="e">
        <f t="shared" si="112"/>
        <v>#N/A</v>
      </c>
      <c r="U296" s="3"/>
      <c r="AA296" s="4"/>
    </row>
    <row r="297" spans="1:27" x14ac:dyDescent="0.25">
      <c r="A297">
        <f t="shared" si="115"/>
        <v>295</v>
      </c>
      <c r="B297">
        <f t="shared" si="96"/>
        <v>7</v>
      </c>
      <c r="C297">
        <f t="shared" si="99"/>
        <v>1.6000000000000005</v>
      </c>
      <c r="D297" s="15">
        <f t="shared" si="97"/>
        <v>2.8125</v>
      </c>
      <c r="E297">
        <f t="shared" si="100"/>
        <v>1</v>
      </c>
      <c r="F297" s="3">
        <f t="shared" si="113"/>
        <v>16.875</v>
      </c>
      <c r="G297" s="3">
        <f t="shared" si="114"/>
        <v>0.2945243112740431</v>
      </c>
      <c r="H297" s="18">
        <f t="shared" si="101"/>
        <v>1.5311045371715346</v>
      </c>
      <c r="I297" s="3">
        <f t="shared" si="102"/>
        <v>0.4644554836071399</v>
      </c>
      <c r="J297" s="19" t="str">
        <f t="shared" si="98"/>
        <v>L</v>
      </c>
      <c r="K297" s="20">
        <f t="shared" si="103"/>
        <v>1.5311045371715346</v>
      </c>
      <c r="L297" s="20">
        <f t="shared" si="104"/>
        <v>0.4644554836071399</v>
      </c>
      <c r="M297" s="20" t="e">
        <f t="shared" si="105"/>
        <v>#N/A</v>
      </c>
      <c r="N297" s="20" t="e">
        <f t="shared" si="106"/>
        <v>#N/A</v>
      </c>
      <c r="O297" s="20" t="e">
        <f t="shared" si="107"/>
        <v>#N/A</v>
      </c>
      <c r="P297" s="20" t="e">
        <f t="shared" si="108"/>
        <v>#N/A</v>
      </c>
      <c r="Q297" s="20" t="e">
        <f t="shared" si="109"/>
        <v>#N/A</v>
      </c>
      <c r="R297" s="20" t="e">
        <f t="shared" si="110"/>
        <v>#N/A</v>
      </c>
      <c r="S297" s="20" t="e">
        <f t="shared" si="111"/>
        <v>#N/A</v>
      </c>
      <c r="T297" s="20" t="e">
        <f t="shared" si="112"/>
        <v>#N/A</v>
      </c>
      <c r="U297" s="3"/>
      <c r="AA297" s="4"/>
    </row>
    <row r="298" spans="1:27" x14ac:dyDescent="0.25">
      <c r="A298">
        <f t="shared" si="115"/>
        <v>296</v>
      </c>
      <c r="B298">
        <f t="shared" si="96"/>
        <v>7</v>
      </c>
      <c r="C298">
        <f t="shared" si="99"/>
        <v>1.6000000000000005</v>
      </c>
      <c r="D298" s="15">
        <f t="shared" si="97"/>
        <v>2.8125</v>
      </c>
      <c r="E298">
        <f t="shared" si="100"/>
        <v>1</v>
      </c>
      <c r="F298" s="3">
        <f t="shared" si="113"/>
        <v>19.6875</v>
      </c>
      <c r="G298" s="3">
        <f t="shared" si="114"/>
        <v>0.34361169648638362</v>
      </c>
      <c r="H298" s="18">
        <f t="shared" si="101"/>
        <v>1.5064705042928337</v>
      </c>
      <c r="I298" s="3">
        <f t="shared" si="102"/>
        <v>0.53902376542755226</v>
      </c>
      <c r="J298" s="19" t="str">
        <f t="shared" si="98"/>
        <v>L</v>
      </c>
      <c r="K298" s="20">
        <f t="shared" si="103"/>
        <v>1.5064705042928337</v>
      </c>
      <c r="L298" s="20">
        <f t="shared" si="104"/>
        <v>0.53902376542755226</v>
      </c>
      <c r="M298" s="20" t="e">
        <f t="shared" si="105"/>
        <v>#N/A</v>
      </c>
      <c r="N298" s="20" t="e">
        <f t="shared" si="106"/>
        <v>#N/A</v>
      </c>
      <c r="O298" s="20" t="e">
        <f t="shared" si="107"/>
        <v>#N/A</v>
      </c>
      <c r="P298" s="20" t="e">
        <f t="shared" si="108"/>
        <v>#N/A</v>
      </c>
      <c r="Q298" s="20" t="e">
        <f t="shared" si="109"/>
        <v>#N/A</v>
      </c>
      <c r="R298" s="20" t="e">
        <f t="shared" si="110"/>
        <v>#N/A</v>
      </c>
      <c r="S298" s="20" t="e">
        <f t="shared" si="111"/>
        <v>#N/A</v>
      </c>
      <c r="T298" s="20" t="e">
        <f t="shared" si="112"/>
        <v>#N/A</v>
      </c>
      <c r="U298" s="3"/>
      <c r="AA298" s="4"/>
    </row>
    <row r="299" spans="1:27" x14ac:dyDescent="0.25">
      <c r="A299">
        <f t="shared" si="115"/>
        <v>297</v>
      </c>
      <c r="B299">
        <f t="shared" si="96"/>
        <v>7</v>
      </c>
      <c r="C299">
        <f t="shared" si="99"/>
        <v>1.6000000000000005</v>
      </c>
      <c r="D299" s="15">
        <f t="shared" si="97"/>
        <v>2.8125</v>
      </c>
      <c r="E299">
        <f t="shared" si="100"/>
        <v>1</v>
      </c>
      <c r="F299" s="3">
        <f t="shared" si="113"/>
        <v>22.5</v>
      </c>
      <c r="G299" s="3">
        <f t="shared" si="114"/>
        <v>0.39269908169872414</v>
      </c>
      <c r="H299" s="18">
        <f t="shared" si="101"/>
        <v>1.4782072520180594</v>
      </c>
      <c r="I299" s="3">
        <f t="shared" si="102"/>
        <v>0.61229349178414383</v>
      </c>
      <c r="J299" s="19" t="str">
        <f t="shared" si="98"/>
        <v>L</v>
      </c>
      <c r="K299" s="20">
        <f t="shared" si="103"/>
        <v>1.4782072520180594</v>
      </c>
      <c r="L299" s="20">
        <f t="shared" si="104"/>
        <v>0.61229349178414383</v>
      </c>
      <c r="M299" s="20" t="e">
        <f t="shared" si="105"/>
        <v>#N/A</v>
      </c>
      <c r="N299" s="20" t="e">
        <f t="shared" si="106"/>
        <v>#N/A</v>
      </c>
      <c r="O299" s="20" t="e">
        <f t="shared" si="107"/>
        <v>#N/A</v>
      </c>
      <c r="P299" s="20" t="e">
        <f t="shared" si="108"/>
        <v>#N/A</v>
      </c>
      <c r="Q299" s="20" t="e">
        <f t="shared" si="109"/>
        <v>#N/A</v>
      </c>
      <c r="R299" s="20" t="e">
        <f t="shared" si="110"/>
        <v>#N/A</v>
      </c>
      <c r="S299" s="20" t="e">
        <f t="shared" si="111"/>
        <v>#N/A</v>
      </c>
      <c r="T299" s="20" t="e">
        <f t="shared" si="112"/>
        <v>#N/A</v>
      </c>
      <c r="U299" s="3"/>
      <c r="AA299" s="4"/>
    </row>
    <row r="300" spans="1:27" x14ac:dyDescent="0.25">
      <c r="A300">
        <f t="shared" si="115"/>
        <v>298</v>
      </c>
      <c r="B300">
        <f t="shared" si="96"/>
        <v>7</v>
      </c>
      <c r="C300">
        <f t="shared" si="99"/>
        <v>1.6000000000000005</v>
      </c>
      <c r="D300" s="15">
        <f t="shared" si="97"/>
        <v>2.8125</v>
      </c>
      <c r="E300">
        <f t="shared" si="100"/>
        <v>1</v>
      </c>
      <c r="F300" s="3">
        <f t="shared" si="113"/>
        <v>25.3125</v>
      </c>
      <c r="G300" s="3">
        <f t="shared" si="114"/>
        <v>0.44178646691106466</v>
      </c>
      <c r="H300" s="18">
        <f t="shared" si="101"/>
        <v>1.4463828689975098</v>
      </c>
      <c r="I300" s="3">
        <f t="shared" si="102"/>
        <v>0.68408814948845154</v>
      </c>
      <c r="J300" s="19" t="str">
        <f t="shared" si="98"/>
        <v>L</v>
      </c>
      <c r="K300" s="20">
        <f t="shared" si="103"/>
        <v>1.4463828689975098</v>
      </c>
      <c r="L300" s="20">
        <f t="shared" si="104"/>
        <v>0.68408814948845154</v>
      </c>
      <c r="M300" s="20" t="e">
        <f t="shared" si="105"/>
        <v>#N/A</v>
      </c>
      <c r="N300" s="20" t="e">
        <f t="shared" si="106"/>
        <v>#N/A</v>
      </c>
      <c r="O300" s="20" t="e">
        <f t="shared" si="107"/>
        <v>#N/A</v>
      </c>
      <c r="P300" s="20" t="e">
        <f t="shared" si="108"/>
        <v>#N/A</v>
      </c>
      <c r="Q300" s="20" t="e">
        <f t="shared" si="109"/>
        <v>#N/A</v>
      </c>
      <c r="R300" s="20" t="e">
        <f t="shared" si="110"/>
        <v>#N/A</v>
      </c>
      <c r="S300" s="20" t="e">
        <f t="shared" si="111"/>
        <v>#N/A</v>
      </c>
      <c r="T300" s="20" t="e">
        <f t="shared" si="112"/>
        <v>#N/A</v>
      </c>
      <c r="U300" s="3"/>
      <c r="AA300" s="4"/>
    </row>
    <row r="301" spans="1:27" x14ac:dyDescent="0.25">
      <c r="A301">
        <f t="shared" si="115"/>
        <v>299</v>
      </c>
      <c r="B301">
        <f t="shared" si="96"/>
        <v>7</v>
      </c>
      <c r="C301">
        <f t="shared" si="99"/>
        <v>1.6000000000000005</v>
      </c>
      <c r="D301" s="15">
        <f t="shared" si="97"/>
        <v>2.8125</v>
      </c>
      <c r="E301">
        <f t="shared" si="100"/>
        <v>1</v>
      </c>
      <c r="F301" s="3">
        <f t="shared" si="113"/>
        <v>28.125</v>
      </c>
      <c r="G301" s="3">
        <f t="shared" si="114"/>
        <v>0.49087385212340517</v>
      </c>
      <c r="H301" s="18">
        <f t="shared" si="101"/>
        <v>1.4110740229573686</v>
      </c>
      <c r="I301" s="3">
        <f t="shared" si="102"/>
        <v>0.75423477892159652</v>
      </c>
      <c r="J301" s="19" t="str">
        <f t="shared" si="98"/>
        <v>L</v>
      </c>
      <c r="K301" s="20">
        <f t="shared" si="103"/>
        <v>1.4110740229573686</v>
      </c>
      <c r="L301" s="20">
        <f t="shared" si="104"/>
        <v>0.75423477892159652</v>
      </c>
      <c r="M301" s="20" t="e">
        <f t="shared" si="105"/>
        <v>#N/A</v>
      </c>
      <c r="N301" s="20" t="e">
        <f t="shared" si="106"/>
        <v>#N/A</v>
      </c>
      <c r="O301" s="20" t="e">
        <f t="shared" si="107"/>
        <v>#N/A</v>
      </c>
      <c r="P301" s="20" t="e">
        <f t="shared" si="108"/>
        <v>#N/A</v>
      </c>
      <c r="Q301" s="20" t="e">
        <f t="shared" si="109"/>
        <v>#N/A</v>
      </c>
      <c r="R301" s="20" t="e">
        <f t="shared" si="110"/>
        <v>#N/A</v>
      </c>
      <c r="S301" s="20" t="e">
        <f t="shared" si="111"/>
        <v>#N/A</v>
      </c>
      <c r="T301" s="20" t="e">
        <f t="shared" si="112"/>
        <v>#N/A</v>
      </c>
      <c r="U301" s="3"/>
      <c r="AA301" s="4"/>
    </row>
    <row r="302" spans="1:27" x14ac:dyDescent="0.25">
      <c r="A302">
        <f t="shared" si="115"/>
        <v>300</v>
      </c>
      <c r="B302">
        <f t="shared" si="96"/>
        <v>7</v>
      </c>
      <c r="C302">
        <f t="shared" si="99"/>
        <v>1.6000000000000005</v>
      </c>
      <c r="D302" s="15">
        <f t="shared" si="97"/>
        <v>2.8125</v>
      </c>
      <c r="E302">
        <f t="shared" si="100"/>
        <v>1</v>
      </c>
      <c r="F302" s="3">
        <f t="shared" si="113"/>
        <v>30.9375</v>
      </c>
      <c r="G302" s="3">
        <f t="shared" si="114"/>
        <v>0.53996123733574564</v>
      </c>
      <c r="H302" s="18">
        <f t="shared" si="101"/>
        <v>1.3723657760004357</v>
      </c>
      <c r="I302" s="3">
        <f t="shared" si="102"/>
        <v>0.82256439070915488</v>
      </c>
      <c r="J302" s="19" t="str">
        <f t="shared" si="98"/>
        <v>L</v>
      </c>
      <c r="K302" s="20">
        <f t="shared" si="103"/>
        <v>1.3723657760004357</v>
      </c>
      <c r="L302" s="20">
        <f t="shared" si="104"/>
        <v>0.82256439070915488</v>
      </c>
      <c r="M302" s="20" t="e">
        <f t="shared" si="105"/>
        <v>#N/A</v>
      </c>
      <c r="N302" s="20" t="e">
        <f t="shared" si="106"/>
        <v>#N/A</v>
      </c>
      <c r="O302" s="20" t="e">
        <f t="shared" si="107"/>
        <v>#N/A</v>
      </c>
      <c r="P302" s="20" t="e">
        <f t="shared" si="108"/>
        <v>#N/A</v>
      </c>
      <c r="Q302" s="20" t="e">
        <f t="shared" si="109"/>
        <v>#N/A</v>
      </c>
      <c r="R302" s="20" t="e">
        <f t="shared" si="110"/>
        <v>#N/A</v>
      </c>
      <c r="S302" s="20" t="e">
        <f t="shared" si="111"/>
        <v>#N/A</v>
      </c>
      <c r="T302" s="20" t="e">
        <f t="shared" si="112"/>
        <v>#N/A</v>
      </c>
      <c r="U302" s="3"/>
      <c r="AA302" s="4"/>
    </row>
    <row r="303" spans="1:27" x14ac:dyDescent="0.25">
      <c r="A303">
        <f t="shared" si="115"/>
        <v>301</v>
      </c>
      <c r="B303">
        <f t="shared" si="96"/>
        <v>7</v>
      </c>
      <c r="C303">
        <f t="shared" si="99"/>
        <v>1.6000000000000005</v>
      </c>
      <c r="D303" s="15">
        <f t="shared" si="97"/>
        <v>2.8125</v>
      </c>
      <c r="E303">
        <f t="shared" si="100"/>
        <v>1</v>
      </c>
      <c r="F303" s="3">
        <f t="shared" si="113"/>
        <v>33.75</v>
      </c>
      <c r="G303" s="3">
        <f t="shared" si="114"/>
        <v>0.58904862254808621</v>
      </c>
      <c r="H303" s="18">
        <f t="shared" si="101"/>
        <v>1.3303513796840729</v>
      </c>
      <c r="I303" s="3">
        <f t="shared" si="102"/>
        <v>0.88891237283136382</v>
      </c>
      <c r="J303" s="19" t="str">
        <f t="shared" si="98"/>
        <v>L</v>
      </c>
      <c r="K303" s="20">
        <f t="shared" si="103"/>
        <v>1.3303513796840729</v>
      </c>
      <c r="L303" s="20">
        <f t="shared" si="104"/>
        <v>0.88891237283136382</v>
      </c>
      <c r="M303" s="20" t="e">
        <f t="shared" si="105"/>
        <v>#N/A</v>
      </c>
      <c r="N303" s="20" t="e">
        <f t="shared" si="106"/>
        <v>#N/A</v>
      </c>
      <c r="O303" s="20" t="e">
        <f t="shared" si="107"/>
        <v>#N/A</v>
      </c>
      <c r="P303" s="20" t="e">
        <f t="shared" si="108"/>
        <v>#N/A</v>
      </c>
      <c r="Q303" s="20" t="e">
        <f t="shared" si="109"/>
        <v>#N/A</v>
      </c>
      <c r="R303" s="20" t="e">
        <f t="shared" si="110"/>
        <v>#N/A</v>
      </c>
      <c r="S303" s="20" t="e">
        <f t="shared" si="111"/>
        <v>#N/A</v>
      </c>
      <c r="T303" s="20" t="e">
        <f t="shared" si="112"/>
        <v>#N/A</v>
      </c>
      <c r="U303" s="3"/>
      <c r="AA303" s="4"/>
    </row>
    <row r="304" spans="1:27" x14ac:dyDescent="0.25">
      <c r="A304">
        <f t="shared" si="115"/>
        <v>302</v>
      </c>
      <c r="B304">
        <f t="shared" si="96"/>
        <v>7</v>
      </c>
      <c r="C304">
        <f t="shared" si="99"/>
        <v>1.6000000000000005</v>
      </c>
      <c r="D304" s="15">
        <f t="shared" si="97"/>
        <v>2.8125</v>
      </c>
      <c r="E304">
        <f t="shared" si="100"/>
        <v>1</v>
      </c>
      <c r="F304" s="3">
        <f t="shared" si="113"/>
        <v>36.5625</v>
      </c>
      <c r="G304" s="3">
        <f t="shared" si="114"/>
        <v>0.63813600776042678</v>
      </c>
      <c r="H304" s="18">
        <f t="shared" si="101"/>
        <v>1.2851320503690324</v>
      </c>
      <c r="I304" s="3">
        <f t="shared" si="102"/>
        <v>0.95311888718789373</v>
      </c>
      <c r="J304" s="19" t="str">
        <f t="shared" si="98"/>
        <v>L</v>
      </c>
      <c r="K304" s="20">
        <f t="shared" si="103"/>
        <v>1.2851320503690324</v>
      </c>
      <c r="L304" s="20">
        <f t="shared" si="104"/>
        <v>0.95311888718789373</v>
      </c>
      <c r="M304" s="20" t="e">
        <f t="shared" si="105"/>
        <v>#N/A</v>
      </c>
      <c r="N304" s="20" t="e">
        <f t="shared" si="106"/>
        <v>#N/A</v>
      </c>
      <c r="O304" s="20" t="e">
        <f t="shared" si="107"/>
        <v>#N/A</v>
      </c>
      <c r="P304" s="20" t="e">
        <f t="shared" si="108"/>
        <v>#N/A</v>
      </c>
      <c r="Q304" s="20" t="e">
        <f t="shared" si="109"/>
        <v>#N/A</v>
      </c>
      <c r="R304" s="20" t="e">
        <f t="shared" si="110"/>
        <v>#N/A</v>
      </c>
      <c r="S304" s="20" t="e">
        <f t="shared" si="111"/>
        <v>#N/A</v>
      </c>
      <c r="T304" s="20" t="e">
        <f t="shared" si="112"/>
        <v>#N/A</v>
      </c>
      <c r="U304" s="3"/>
      <c r="AA304" s="4"/>
    </row>
    <row r="305" spans="1:27" x14ac:dyDescent="0.25">
      <c r="A305">
        <f t="shared" si="115"/>
        <v>303</v>
      </c>
      <c r="B305">
        <f t="shared" si="96"/>
        <v>7</v>
      </c>
      <c r="C305">
        <f t="shared" si="99"/>
        <v>1.6000000000000005</v>
      </c>
      <c r="D305" s="15">
        <f t="shared" si="97"/>
        <v>2.8125</v>
      </c>
      <c r="E305">
        <f t="shared" si="100"/>
        <v>1</v>
      </c>
      <c r="F305" s="3">
        <f t="shared" si="113"/>
        <v>39.375</v>
      </c>
      <c r="G305" s="3">
        <f t="shared" si="114"/>
        <v>0.68722339297276724</v>
      </c>
      <c r="H305" s="18">
        <f t="shared" si="101"/>
        <v>1.2368167253803797</v>
      </c>
      <c r="I305" s="3">
        <f t="shared" si="102"/>
        <v>1.0150292546618331</v>
      </c>
      <c r="J305" s="19" t="str">
        <f t="shared" si="98"/>
        <v>L</v>
      </c>
      <c r="K305" s="20">
        <f t="shared" si="103"/>
        <v>1.2368167253803797</v>
      </c>
      <c r="L305" s="20">
        <f t="shared" si="104"/>
        <v>1.0150292546618331</v>
      </c>
      <c r="M305" s="20" t="e">
        <f t="shared" si="105"/>
        <v>#N/A</v>
      </c>
      <c r="N305" s="20" t="e">
        <f t="shared" si="106"/>
        <v>#N/A</v>
      </c>
      <c r="O305" s="20" t="e">
        <f t="shared" si="107"/>
        <v>#N/A</v>
      </c>
      <c r="P305" s="20" t="e">
        <f t="shared" si="108"/>
        <v>#N/A</v>
      </c>
      <c r="Q305" s="20" t="e">
        <f t="shared" si="109"/>
        <v>#N/A</v>
      </c>
      <c r="R305" s="20" t="e">
        <f t="shared" si="110"/>
        <v>#N/A</v>
      </c>
      <c r="S305" s="20" t="e">
        <f t="shared" si="111"/>
        <v>#N/A</v>
      </c>
      <c r="T305" s="20" t="e">
        <f t="shared" si="112"/>
        <v>#N/A</v>
      </c>
      <c r="U305" s="3"/>
      <c r="AA305" s="4"/>
    </row>
    <row r="306" spans="1:27" x14ac:dyDescent="0.25">
      <c r="A306">
        <f t="shared" si="115"/>
        <v>304</v>
      </c>
      <c r="B306">
        <f t="shared" si="96"/>
        <v>7</v>
      </c>
      <c r="C306">
        <f t="shared" si="99"/>
        <v>1.6000000000000005</v>
      </c>
      <c r="D306" s="15">
        <f t="shared" si="97"/>
        <v>2.8125</v>
      </c>
      <c r="E306">
        <f t="shared" si="100"/>
        <v>1</v>
      </c>
      <c r="F306" s="3">
        <f t="shared" si="113"/>
        <v>42.1875</v>
      </c>
      <c r="G306" s="3">
        <f t="shared" si="114"/>
        <v>0.73631077818510771</v>
      </c>
      <c r="H306" s="18">
        <f t="shared" si="101"/>
        <v>1.1855218005679349</v>
      </c>
      <c r="I306" s="3">
        <f t="shared" si="102"/>
        <v>1.0744943277552297</v>
      </c>
      <c r="J306" s="19" t="str">
        <f t="shared" si="98"/>
        <v>L</v>
      </c>
      <c r="K306" s="20">
        <f t="shared" si="103"/>
        <v>1.1855218005679349</v>
      </c>
      <c r="L306" s="20">
        <f t="shared" si="104"/>
        <v>1.0744943277552297</v>
      </c>
      <c r="M306" s="20" t="e">
        <f t="shared" si="105"/>
        <v>#N/A</v>
      </c>
      <c r="N306" s="20" t="e">
        <f t="shared" si="106"/>
        <v>#N/A</v>
      </c>
      <c r="O306" s="20" t="e">
        <f t="shared" si="107"/>
        <v>#N/A</v>
      </c>
      <c r="P306" s="20" t="e">
        <f t="shared" si="108"/>
        <v>#N/A</v>
      </c>
      <c r="Q306" s="20" t="e">
        <f t="shared" si="109"/>
        <v>#N/A</v>
      </c>
      <c r="R306" s="20" t="e">
        <f t="shared" si="110"/>
        <v>#N/A</v>
      </c>
      <c r="S306" s="20" t="e">
        <f t="shared" si="111"/>
        <v>#N/A</v>
      </c>
      <c r="T306" s="20" t="e">
        <f t="shared" si="112"/>
        <v>#N/A</v>
      </c>
      <c r="U306" s="3"/>
      <c r="AA306" s="4"/>
    </row>
    <row r="307" spans="1:27" x14ac:dyDescent="0.25">
      <c r="A307">
        <f t="shared" si="115"/>
        <v>305</v>
      </c>
      <c r="B307">
        <f t="shared" si="96"/>
        <v>7</v>
      </c>
      <c r="C307">
        <f t="shared" si="99"/>
        <v>1.6000000000000005</v>
      </c>
      <c r="D307" s="15">
        <f t="shared" si="97"/>
        <v>2.8125</v>
      </c>
      <c r="E307">
        <f t="shared" si="100"/>
        <v>1</v>
      </c>
      <c r="F307" s="3">
        <f t="shared" si="113"/>
        <v>45</v>
      </c>
      <c r="G307" s="3">
        <f t="shared" si="114"/>
        <v>0.78539816339744828</v>
      </c>
      <c r="H307" s="18">
        <f t="shared" si="101"/>
        <v>1.1313708498984765</v>
      </c>
      <c r="I307" s="3">
        <f t="shared" si="102"/>
        <v>1.1313708498984762</v>
      </c>
      <c r="J307" s="19" t="str">
        <f t="shared" si="98"/>
        <v>L</v>
      </c>
      <c r="K307" s="20">
        <f t="shared" si="103"/>
        <v>1.1313708498984765</v>
      </c>
      <c r="L307" s="20">
        <f t="shared" si="104"/>
        <v>1.1313708498984762</v>
      </c>
      <c r="M307" s="20" t="e">
        <f t="shared" si="105"/>
        <v>#N/A</v>
      </c>
      <c r="N307" s="20" t="e">
        <f t="shared" si="106"/>
        <v>#N/A</v>
      </c>
      <c r="O307" s="20" t="e">
        <f t="shared" si="107"/>
        <v>#N/A</v>
      </c>
      <c r="P307" s="20" t="e">
        <f t="shared" si="108"/>
        <v>#N/A</v>
      </c>
      <c r="Q307" s="20" t="e">
        <f t="shared" si="109"/>
        <v>#N/A</v>
      </c>
      <c r="R307" s="20" t="e">
        <f t="shared" si="110"/>
        <v>#N/A</v>
      </c>
      <c r="S307" s="20" t="e">
        <f t="shared" si="111"/>
        <v>#N/A</v>
      </c>
      <c r="T307" s="20" t="e">
        <f t="shared" si="112"/>
        <v>#N/A</v>
      </c>
      <c r="U307" s="3"/>
      <c r="AA307" s="4"/>
    </row>
    <row r="308" spans="1:27" x14ac:dyDescent="0.25">
      <c r="A308">
        <f t="shared" si="115"/>
        <v>306</v>
      </c>
      <c r="B308">
        <f t="shared" si="96"/>
        <v>7</v>
      </c>
      <c r="C308">
        <f t="shared" si="99"/>
        <v>1.6000000000000005</v>
      </c>
      <c r="D308" s="15">
        <f t="shared" si="97"/>
        <v>2.8125</v>
      </c>
      <c r="E308">
        <f t="shared" si="100"/>
        <v>1</v>
      </c>
      <c r="F308" s="3">
        <f t="shared" si="113"/>
        <v>47.8125</v>
      </c>
      <c r="G308" s="3">
        <f t="shared" si="114"/>
        <v>0.83448554860978885</v>
      </c>
      <c r="H308" s="18">
        <f t="shared" si="101"/>
        <v>1.0744943277552297</v>
      </c>
      <c r="I308" s="3">
        <f t="shared" si="102"/>
        <v>1.1855218005679349</v>
      </c>
      <c r="J308" s="19" t="str">
        <f t="shared" si="98"/>
        <v>L</v>
      </c>
      <c r="K308" s="20">
        <f t="shared" si="103"/>
        <v>1.0744943277552297</v>
      </c>
      <c r="L308" s="20">
        <f t="shared" si="104"/>
        <v>1.1855218005679349</v>
      </c>
      <c r="M308" s="20" t="e">
        <f t="shared" si="105"/>
        <v>#N/A</v>
      </c>
      <c r="N308" s="20" t="e">
        <f t="shared" si="106"/>
        <v>#N/A</v>
      </c>
      <c r="O308" s="20" t="e">
        <f t="shared" si="107"/>
        <v>#N/A</v>
      </c>
      <c r="P308" s="20" t="e">
        <f t="shared" si="108"/>
        <v>#N/A</v>
      </c>
      <c r="Q308" s="20" t="e">
        <f t="shared" si="109"/>
        <v>#N/A</v>
      </c>
      <c r="R308" s="20" t="e">
        <f t="shared" si="110"/>
        <v>#N/A</v>
      </c>
      <c r="S308" s="20" t="e">
        <f t="shared" si="111"/>
        <v>#N/A</v>
      </c>
      <c r="T308" s="20" t="e">
        <f t="shared" si="112"/>
        <v>#N/A</v>
      </c>
      <c r="U308" s="3"/>
      <c r="AA308" s="4"/>
    </row>
    <row r="309" spans="1:27" x14ac:dyDescent="0.25">
      <c r="A309">
        <f t="shared" si="115"/>
        <v>307</v>
      </c>
      <c r="B309">
        <f t="shared" si="96"/>
        <v>7</v>
      </c>
      <c r="C309">
        <f t="shared" si="99"/>
        <v>1.6000000000000005</v>
      </c>
      <c r="D309" s="15">
        <f t="shared" si="97"/>
        <v>2.8125</v>
      </c>
      <c r="E309">
        <f t="shared" si="100"/>
        <v>1</v>
      </c>
      <c r="F309" s="3">
        <f t="shared" si="113"/>
        <v>50.625</v>
      </c>
      <c r="G309" s="3">
        <f t="shared" si="114"/>
        <v>0.88357293382212931</v>
      </c>
      <c r="H309" s="18">
        <f t="shared" si="101"/>
        <v>1.0150292546618331</v>
      </c>
      <c r="I309" s="3">
        <f t="shared" si="102"/>
        <v>1.2368167253803797</v>
      </c>
      <c r="J309" s="19" t="str">
        <f t="shared" si="98"/>
        <v>L</v>
      </c>
      <c r="K309" s="20">
        <f t="shared" si="103"/>
        <v>1.0150292546618331</v>
      </c>
      <c r="L309" s="20">
        <f t="shared" si="104"/>
        <v>1.2368167253803797</v>
      </c>
      <c r="M309" s="20" t="e">
        <f t="shared" si="105"/>
        <v>#N/A</v>
      </c>
      <c r="N309" s="20" t="e">
        <f t="shared" si="106"/>
        <v>#N/A</v>
      </c>
      <c r="O309" s="20" t="e">
        <f t="shared" si="107"/>
        <v>#N/A</v>
      </c>
      <c r="P309" s="20" t="e">
        <f t="shared" si="108"/>
        <v>#N/A</v>
      </c>
      <c r="Q309" s="20" t="e">
        <f t="shared" si="109"/>
        <v>#N/A</v>
      </c>
      <c r="R309" s="20" t="e">
        <f t="shared" si="110"/>
        <v>#N/A</v>
      </c>
      <c r="S309" s="20" t="e">
        <f t="shared" si="111"/>
        <v>#N/A</v>
      </c>
      <c r="T309" s="20" t="e">
        <f t="shared" si="112"/>
        <v>#N/A</v>
      </c>
      <c r="U309" s="3"/>
      <c r="AA309" s="4"/>
    </row>
    <row r="310" spans="1:27" x14ac:dyDescent="0.25">
      <c r="A310">
        <f t="shared" si="115"/>
        <v>308</v>
      </c>
      <c r="B310">
        <f t="shared" si="96"/>
        <v>7</v>
      </c>
      <c r="C310">
        <f t="shared" si="99"/>
        <v>1.6000000000000005</v>
      </c>
      <c r="D310" s="15">
        <f t="shared" si="97"/>
        <v>2.8125</v>
      </c>
      <c r="E310">
        <f t="shared" si="100"/>
        <v>1</v>
      </c>
      <c r="F310" s="3">
        <f t="shared" si="113"/>
        <v>53.4375</v>
      </c>
      <c r="G310" s="3">
        <f t="shared" si="114"/>
        <v>0.93266031903446978</v>
      </c>
      <c r="H310" s="18">
        <f t="shared" si="101"/>
        <v>0.95311888718789384</v>
      </c>
      <c r="I310" s="3">
        <f t="shared" si="102"/>
        <v>1.2851320503690322</v>
      </c>
      <c r="J310" s="19" t="str">
        <f t="shared" si="98"/>
        <v>L</v>
      </c>
      <c r="K310" s="20">
        <f t="shared" si="103"/>
        <v>0.95311888718789384</v>
      </c>
      <c r="L310" s="20">
        <f t="shared" si="104"/>
        <v>1.2851320503690322</v>
      </c>
      <c r="M310" s="20" t="e">
        <f t="shared" si="105"/>
        <v>#N/A</v>
      </c>
      <c r="N310" s="20" t="e">
        <f t="shared" si="106"/>
        <v>#N/A</v>
      </c>
      <c r="O310" s="20" t="e">
        <f t="shared" si="107"/>
        <v>#N/A</v>
      </c>
      <c r="P310" s="20" t="e">
        <f t="shared" si="108"/>
        <v>#N/A</v>
      </c>
      <c r="Q310" s="20" t="e">
        <f t="shared" si="109"/>
        <v>#N/A</v>
      </c>
      <c r="R310" s="20" t="e">
        <f t="shared" si="110"/>
        <v>#N/A</v>
      </c>
      <c r="S310" s="20" t="e">
        <f t="shared" si="111"/>
        <v>#N/A</v>
      </c>
      <c r="T310" s="20" t="e">
        <f t="shared" si="112"/>
        <v>#N/A</v>
      </c>
      <c r="U310" s="3"/>
      <c r="AA310" s="4"/>
    </row>
    <row r="311" spans="1:27" x14ac:dyDescent="0.25">
      <c r="A311">
        <f t="shared" si="115"/>
        <v>309</v>
      </c>
      <c r="B311">
        <f t="shared" si="96"/>
        <v>7</v>
      </c>
      <c r="C311">
        <f t="shared" si="99"/>
        <v>1.6000000000000005</v>
      </c>
      <c r="D311" s="15">
        <f t="shared" si="97"/>
        <v>2.8125</v>
      </c>
      <c r="E311">
        <f t="shared" si="100"/>
        <v>1</v>
      </c>
      <c r="F311" s="3">
        <f t="shared" si="113"/>
        <v>56.25</v>
      </c>
      <c r="G311" s="3">
        <f t="shared" si="114"/>
        <v>0.98174770424681035</v>
      </c>
      <c r="H311" s="18">
        <f t="shared" si="101"/>
        <v>0.88891237283136393</v>
      </c>
      <c r="I311" s="3">
        <f t="shared" si="102"/>
        <v>1.3303513796840729</v>
      </c>
      <c r="J311" s="19" t="str">
        <f t="shared" si="98"/>
        <v>L</v>
      </c>
      <c r="K311" s="20">
        <f t="shared" si="103"/>
        <v>0.88891237283136393</v>
      </c>
      <c r="L311" s="20">
        <f t="shared" si="104"/>
        <v>1.3303513796840729</v>
      </c>
      <c r="M311" s="20" t="e">
        <f t="shared" si="105"/>
        <v>#N/A</v>
      </c>
      <c r="N311" s="20" t="e">
        <f t="shared" si="106"/>
        <v>#N/A</v>
      </c>
      <c r="O311" s="20" t="e">
        <f t="shared" si="107"/>
        <v>#N/A</v>
      </c>
      <c r="P311" s="20" t="e">
        <f t="shared" si="108"/>
        <v>#N/A</v>
      </c>
      <c r="Q311" s="20" t="e">
        <f t="shared" si="109"/>
        <v>#N/A</v>
      </c>
      <c r="R311" s="20" t="e">
        <f t="shared" si="110"/>
        <v>#N/A</v>
      </c>
      <c r="S311" s="20" t="e">
        <f t="shared" si="111"/>
        <v>#N/A</v>
      </c>
      <c r="T311" s="20" t="e">
        <f t="shared" si="112"/>
        <v>#N/A</v>
      </c>
      <c r="U311" s="3"/>
      <c r="AA311" s="4"/>
    </row>
    <row r="312" spans="1:27" x14ac:dyDescent="0.25">
      <c r="A312">
        <f t="shared" si="115"/>
        <v>310</v>
      </c>
      <c r="B312">
        <f t="shared" si="96"/>
        <v>7</v>
      </c>
      <c r="C312">
        <f t="shared" si="99"/>
        <v>1.6000000000000005</v>
      </c>
      <c r="D312" s="15">
        <f t="shared" si="97"/>
        <v>2.8125</v>
      </c>
      <c r="E312">
        <f t="shared" si="100"/>
        <v>1</v>
      </c>
      <c r="F312" s="3">
        <f t="shared" si="113"/>
        <v>59.0625</v>
      </c>
      <c r="G312" s="3">
        <f t="shared" si="114"/>
        <v>1.0308350894591509</v>
      </c>
      <c r="H312" s="18">
        <f t="shared" si="101"/>
        <v>0.82256439070915488</v>
      </c>
      <c r="I312" s="3">
        <f t="shared" si="102"/>
        <v>1.3723657760004357</v>
      </c>
      <c r="J312" s="19" t="str">
        <f t="shared" si="98"/>
        <v>L</v>
      </c>
      <c r="K312" s="20">
        <f t="shared" si="103"/>
        <v>0.82256439070915488</v>
      </c>
      <c r="L312" s="20">
        <f t="shared" si="104"/>
        <v>1.3723657760004357</v>
      </c>
      <c r="M312" s="20" t="e">
        <f t="shared" si="105"/>
        <v>#N/A</v>
      </c>
      <c r="N312" s="20" t="e">
        <f t="shared" si="106"/>
        <v>#N/A</v>
      </c>
      <c r="O312" s="20" t="e">
        <f t="shared" si="107"/>
        <v>#N/A</v>
      </c>
      <c r="P312" s="20" t="e">
        <f t="shared" si="108"/>
        <v>#N/A</v>
      </c>
      <c r="Q312" s="20" t="e">
        <f t="shared" si="109"/>
        <v>#N/A</v>
      </c>
      <c r="R312" s="20" t="e">
        <f t="shared" si="110"/>
        <v>#N/A</v>
      </c>
      <c r="S312" s="20" t="e">
        <f t="shared" si="111"/>
        <v>#N/A</v>
      </c>
      <c r="T312" s="20" t="e">
        <f t="shared" si="112"/>
        <v>#N/A</v>
      </c>
      <c r="U312" s="3"/>
      <c r="AA312" s="4"/>
    </row>
    <row r="313" spans="1:27" x14ac:dyDescent="0.25">
      <c r="A313">
        <f t="shared" si="115"/>
        <v>311</v>
      </c>
      <c r="B313">
        <f t="shared" si="96"/>
        <v>7</v>
      </c>
      <c r="C313">
        <f t="shared" si="99"/>
        <v>1.6000000000000005</v>
      </c>
      <c r="D313" s="15">
        <f t="shared" si="97"/>
        <v>2.8125</v>
      </c>
      <c r="E313">
        <f t="shared" si="100"/>
        <v>1</v>
      </c>
      <c r="F313" s="3">
        <f t="shared" si="113"/>
        <v>61.875</v>
      </c>
      <c r="G313" s="3">
        <f t="shared" si="114"/>
        <v>1.0799224746714913</v>
      </c>
      <c r="H313" s="18">
        <f t="shared" si="101"/>
        <v>0.75423477892159674</v>
      </c>
      <c r="I313" s="3">
        <f t="shared" si="102"/>
        <v>1.4110740229573684</v>
      </c>
      <c r="J313" s="19" t="str">
        <f t="shared" si="98"/>
        <v>L</v>
      </c>
      <c r="K313" s="20">
        <f t="shared" si="103"/>
        <v>0.75423477892159674</v>
      </c>
      <c r="L313" s="20">
        <f t="shared" si="104"/>
        <v>1.4110740229573684</v>
      </c>
      <c r="M313" s="20" t="e">
        <f t="shared" si="105"/>
        <v>#N/A</v>
      </c>
      <c r="N313" s="20" t="e">
        <f t="shared" si="106"/>
        <v>#N/A</v>
      </c>
      <c r="O313" s="20" t="e">
        <f t="shared" si="107"/>
        <v>#N/A</v>
      </c>
      <c r="P313" s="20" t="e">
        <f t="shared" si="108"/>
        <v>#N/A</v>
      </c>
      <c r="Q313" s="20" t="e">
        <f t="shared" si="109"/>
        <v>#N/A</v>
      </c>
      <c r="R313" s="20" t="e">
        <f t="shared" si="110"/>
        <v>#N/A</v>
      </c>
      <c r="S313" s="20" t="e">
        <f t="shared" si="111"/>
        <v>#N/A</v>
      </c>
      <c r="T313" s="20" t="e">
        <f t="shared" si="112"/>
        <v>#N/A</v>
      </c>
      <c r="U313" s="3"/>
      <c r="AA313" s="4"/>
    </row>
    <row r="314" spans="1:27" x14ac:dyDescent="0.25">
      <c r="A314">
        <f t="shared" si="115"/>
        <v>312</v>
      </c>
      <c r="B314">
        <f t="shared" si="96"/>
        <v>7</v>
      </c>
      <c r="C314">
        <f t="shared" si="99"/>
        <v>1.6000000000000005</v>
      </c>
      <c r="D314" s="15">
        <f t="shared" si="97"/>
        <v>2.8125</v>
      </c>
      <c r="E314">
        <f t="shared" si="100"/>
        <v>1</v>
      </c>
      <c r="F314" s="3">
        <f t="shared" si="113"/>
        <v>64.6875</v>
      </c>
      <c r="G314" s="3">
        <f t="shared" si="114"/>
        <v>1.1290098598838318</v>
      </c>
      <c r="H314" s="18">
        <f t="shared" si="101"/>
        <v>0.68408814948845176</v>
      </c>
      <c r="I314" s="3">
        <f t="shared" si="102"/>
        <v>1.4463828689975098</v>
      </c>
      <c r="J314" s="19" t="str">
        <f t="shared" si="98"/>
        <v>L</v>
      </c>
      <c r="K314" s="20">
        <f t="shared" si="103"/>
        <v>0.68408814948845176</v>
      </c>
      <c r="L314" s="20">
        <f t="shared" si="104"/>
        <v>1.4463828689975098</v>
      </c>
      <c r="M314" s="20" t="e">
        <f t="shared" si="105"/>
        <v>#N/A</v>
      </c>
      <c r="N314" s="20" t="e">
        <f t="shared" si="106"/>
        <v>#N/A</v>
      </c>
      <c r="O314" s="20" t="e">
        <f t="shared" si="107"/>
        <v>#N/A</v>
      </c>
      <c r="P314" s="20" t="e">
        <f t="shared" si="108"/>
        <v>#N/A</v>
      </c>
      <c r="Q314" s="20" t="e">
        <f t="shared" si="109"/>
        <v>#N/A</v>
      </c>
      <c r="R314" s="20" t="e">
        <f t="shared" si="110"/>
        <v>#N/A</v>
      </c>
      <c r="S314" s="20" t="e">
        <f t="shared" si="111"/>
        <v>#N/A</v>
      </c>
      <c r="T314" s="20" t="e">
        <f t="shared" si="112"/>
        <v>#N/A</v>
      </c>
      <c r="U314" s="3"/>
      <c r="AA314" s="4"/>
    </row>
    <row r="315" spans="1:27" x14ac:dyDescent="0.25">
      <c r="A315">
        <f t="shared" si="115"/>
        <v>313</v>
      </c>
      <c r="B315">
        <f t="shared" si="96"/>
        <v>7</v>
      </c>
      <c r="C315">
        <f t="shared" si="99"/>
        <v>1.6000000000000005</v>
      </c>
      <c r="D315" s="15">
        <f t="shared" si="97"/>
        <v>2.8125</v>
      </c>
      <c r="E315">
        <f t="shared" si="100"/>
        <v>1</v>
      </c>
      <c r="F315" s="3">
        <f t="shared" si="113"/>
        <v>67.5</v>
      </c>
      <c r="G315" s="3">
        <f t="shared" si="114"/>
        <v>1.1780972450961724</v>
      </c>
      <c r="H315" s="18">
        <f t="shared" si="101"/>
        <v>0.61229349178414394</v>
      </c>
      <c r="I315" s="3">
        <f t="shared" si="102"/>
        <v>1.4782072520180594</v>
      </c>
      <c r="J315" s="19" t="str">
        <f t="shared" si="98"/>
        <v>L</v>
      </c>
      <c r="K315" s="20">
        <f t="shared" si="103"/>
        <v>0.61229349178414394</v>
      </c>
      <c r="L315" s="20">
        <f t="shared" si="104"/>
        <v>1.4782072520180594</v>
      </c>
      <c r="M315" s="20" t="e">
        <f t="shared" si="105"/>
        <v>#N/A</v>
      </c>
      <c r="N315" s="20" t="e">
        <f t="shared" si="106"/>
        <v>#N/A</v>
      </c>
      <c r="O315" s="20" t="e">
        <f t="shared" si="107"/>
        <v>#N/A</v>
      </c>
      <c r="P315" s="20" t="e">
        <f t="shared" si="108"/>
        <v>#N/A</v>
      </c>
      <c r="Q315" s="20" t="e">
        <f t="shared" si="109"/>
        <v>#N/A</v>
      </c>
      <c r="R315" s="20" t="e">
        <f t="shared" si="110"/>
        <v>#N/A</v>
      </c>
      <c r="S315" s="20" t="e">
        <f t="shared" si="111"/>
        <v>#N/A</v>
      </c>
      <c r="T315" s="20" t="e">
        <f t="shared" si="112"/>
        <v>#N/A</v>
      </c>
      <c r="U315" s="3"/>
      <c r="AA315" s="4"/>
    </row>
    <row r="316" spans="1:27" x14ac:dyDescent="0.25">
      <c r="A316">
        <f t="shared" si="115"/>
        <v>314</v>
      </c>
      <c r="B316">
        <f t="shared" si="96"/>
        <v>7</v>
      </c>
      <c r="C316">
        <f t="shared" si="99"/>
        <v>1.6000000000000005</v>
      </c>
      <c r="D316" s="15">
        <f t="shared" si="97"/>
        <v>2.8125</v>
      </c>
      <c r="E316">
        <f t="shared" si="100"/>
        <v>1</v>
      </c>
      <c r="F316" s="3">
        <f t="shared" si="113"/>
        <v>70.3125</v>
      </c>
      <c r="G316" s="3">
        <f t="shared" si="114"/>
        <v>1.227184630308513</v>
      </c>
      <c r="H316" s="18">
        <f t="shared" si="101"/>
        <v>0.53902376542755226</v>
      </c>
      <c r="I316" s="3">
        <f t="shared" si="102"/>
        <v>1.5064705042928337</v>
      </c>
      <c r="J316" s="19" t="str">
        <f t="shared" si="98"/>
        <v>L</v>
      </c>
      <c r="K316" s="20">
        <f t="shared" si="103"/>
        <v>0.53902376542755226</v>
      </c>
      <c r="L316" s="20">
        <f t="shared" si="104"/>
        <v>1.5064705042928337</v>
      </c>
      <c r="M316" s="20" t="e">
        <f t="shared" si="105"/>
        <v>#N/A</v>
      </c>
      <c r="N316" s="20" t="e">
        <f t="shared" si="106"/>
        <v>#N/A</v>
      </c>
      <c r="O316" s="20" t="e">
        <f t="shared" si="107"/>
        <v>#N/A</v>
      </c>
      <c r="P316" s="20" t="e">
        <f t="shared" si="108"/>
        <v>#N/A</v>
      </c>
      <c r="Q316" s="20" t="e">
        <f t="shared" si="109"/>
        <v>#N/A</v>
      </c>
      <c r="R316" s="20" t="e">
        <f t="shared" si="110"/>
        <v>#N/A</v>
      </c>
      <c r="S316" s="20" t="e">
        <f t="shared" si="111"/>
        <v>#N/A</v>
      </c>
      <c r="T316" s="20" t="e">
        <f t="shared" si="112"/>
        <v>#N/A</v>
      </c>
      <c r="U316" s="3"/>
      <c r="AA316" s="4"/>
    </row>
    <row r="317" spans="1:27" x14ac:dyDescent="0.25">
      <c r="A317">
        <f t="shared" si="115"/>
        <v>315</v>
      </c>
      <c r="B317">
        <f t="shared" si="96"/>
        <v>7</v>
      </c>
      <c r="C317">
        <f t="shared" si="99"/>
        <v>1.6000000000000005</v>
      </c>
      <c r="D317" s="15">
        <f t="shared" si="97"/>
        <v>2.8125</v>
      </c>
      <c r="E317">
        <f t="shared" si="100"/>
        <v>1</v>
      </c>
      <c r="F317" s="3">
        <f t="shared" si="113"/>
        <v>73.125</v>
      </c>
      <c r="G317" s="3">
        <f t="shared" si="114"/>
        <v>1.2762720155208536</v>
      </c>
      <c r="H317" s="18">
        <f t="shared" si="101"/>
        <v>0.4644554836071399</v>
      </c>
      <c r="I317" s="3">
        <f t="shared" si="102"/>
        <v>1.5311045371715348</v>
      </c>
      <c r="J317" s="19" t="str">
        <f t="shared" si="98"/>
        <v>L</v>
      </c>
      <c r="K317" s="20">
        <f t="shared" si="103"/>
        <v>0.4644554836071399</v>
      </c>
      <c r="L317" s="20">
        <f t="shared" si="104"/>
        <v>1.5311045371715348</v>
      </c>
      <c r="M317" s="20" t="e">
        <f t="shared" si="105"/>
        <v>#N/A</v>
      </c>
      <c r="N317" s="20" t="e">
        <f t="shared" si="106"/>
        <v>#N/A</v>
      </c>
      <c r="O317" s="20" t="e">
        <f t="shared" si="107"/>
        <v>#N/A</v>
      </c>
      <c r="P317" s="20" t="e">
        <f t="shared" si="108"/>
        <v>#N/A</v>
      </c>
      <c r="Q317" s="20" t="e">
        <f t="shared" si="109"/>
        <v>#N/A</v>
      </c>
      <c r="R317" s="20" t="e">
        <f t="shared" si="110"/>
        <v>#N/A</v>
      </c>
      <c r="S317" s="20" t="e">
        <f t="shared" si="111"/>
        <v>#N/A</v>
      </c>
      <c r="T317" s="20" t="e">
        <f t="shared" si="112"/>
        <v>#N/A</v>
      </c>
      <c r="U317" s="3"/>
      <c r="AA317" s="4"/>
    </row>
    <row r="318" spans="1:27" x14ac:dyDescent="0.25">
      <c r="A318">
        <f t="shared" si="115"/>
        <v>316</v>
      </c>
      <c r="B318">
        <f t="shared" si="96"/>
        <v>7</v>
      </c>
      <c r="C318">
        <f t="shared" si="99"/>
        <v>1.6000000000000005</v>
      </c>
      <c r="D318" s="15">
        <f t="shared" si="97"/>
        <v>2.8125</v>
      </c>
      <c r="E318">
        <f t="shared" si="100"/>
        <v>1</v>
      </c>
      <c r="F318" s="3">
        <f t="shared" si="113"/>
        <v>75.9375</v>
      </c>
      <c r="G318" s="3">
        <f t="shared" si="114"/>
        <v>1.3253594007331939</v>
      </c>
      <c r="H318" s="18">
        <f t="shared" si="101"/>
        <v>0.38876828784522249</v>
      </c>
      <c r="I318" s="3">
        <f t="shared" si="102"/>
        <v>1.5520500051112709</v>
      </c>
      <c r="J318" s="19" t="str">
        <f t="shared" si="98"/>
        <v>L</v>
      </c>
      <c r="K318" s="20">
        <f t="shared" si="103"/>
        <v>0.38876828784522249</v>
      </c>
      <c r="L318" s="20">
        <f t="shared" si="104"/>
        <v>1.5520500051112709</v>
      </c>
      <c r="M318" s="20" t="e">
        <f t="shared" si="105"/>
        <v>#N/A</v>
      </c>
      <c r="N318" s="20" t="e">
        <f t="shared" si="106"/>
        <v>#N/A</v>
      </c>
      <c r="O318" s="20" t="e">
        <f t="shared" si="107"/>
        <v>#N/A</v>
      </c>
      <c r="P318" s="20" t="e">
        <f t="shared" si="108"/>
        <v>#N/A</v>
      </c>
      <c r="Q318" s="20" t="e">
        <f t="shared" si="109"/>
        <v>#N/A</v>
      </c>
      <c r="R318" s="20" t="e">
        <f t="shared" si="110"/>
        <v>#N/A</v>
      </c>
      <c r="S318" s="20" t="e">
        <f t="shared" si="111"/>
        <v>#N/A</v>
      </c>
      <c r="T318" s="20" t="e">
        <f t="shared" si="112"/>
        <v>#N/A</v>
      </c>
      <c r="U318" s="3"/>
      <c r="AA318" s="4"/>
    </row>
    <row r="319" spans="1:27" x14ac:dyDescent="0.25">
      <c r="A319">
        <f t="shared" si="115"/>
        <v>317</v>
      </c>
      <c r="B319">
        <f t="shared" si="96"/>
        <v>7</v>
      </c>
      <c r="C319">
        <f t="shared" si="99"/>
        <v>1.6000000000000005</v>
      </c>
      <c r="D319" s="15">
        <f t="shared" si="97"/>
        <v>2.8125</v>
      </c>
      <c r="E319">
        <f t="shared" si="100"/>
        <v>1</v>
      </c>
      <c r="F319" s="3">
        <f t="shared" si="113"/>
        <v>78.75</v>
      </c>
      <c r="G319" s="3">
        <f t="shared" si="114"/>
        <v>1.3744467859455345</v>
      </c>
      <c r="H319" s="18">
        <f t="shared" si="101"/>
        <v>0.31214451522580544</v>
      </c>
      <c r="I319" s="3">
        <f t="shared" si="102"/>
        <v>1.5692564486451692</v>
      </c>
      <c r="J319" s="19" t="str">
        <f t="shared" si="98"/>
        <v>L</v>
      </c>
      <c r="K319" s="20">
        <f t="shared" si="103"/>
        <v>0.31214451522580544</v>
      </c>
      <c r="L319" s="20">
        <f t="shared" si="104"/>
        <v>1.5692564486451692</v>
      </c>
      <c r="M319" s="20" t="e">
        <f t="shared" si="105"/>
        <v>#N/A</v>
      </c>
      <c r="N319" s="20" t="e">
        <f t="shared" si="106"/>
        <v>#N/A</v>
      </c>
      <c r="O319" s="20" t="e">
        <f t="shared" si="107"/>
        <v>#N/A</v>
      </c>
      <c r="P319" s="20" t="e">
        <f t="shared" si="108"/>
        <v>#N/A</v>
      </c>
      <c r="Q319" s="20" t="e">
        <f t="shared" si="109"/>
        <v>#N/A</v>
      </c>
      <c r="R319" s="20" t="e">
        <f t="shared" si="110"/>
        <v>#N/A</v>
      </c>
      <c r="S319" s="20" t="e">
        <f t="shared" si="111"/>
        <v>#N/A</v>
      </c>
      <c r="T319" s="20" t="e">
        <f t="shared" si="112"/>
        <v>#N/A</v>
      </c>
      <c r="U319" s="3"/>
      <c r="AA319" s="4"/>
    </row>
    <row r="320" spans="1:27" x14ac:dyDescent="0.25">
      <c r="A320">
        <f t="shared" si="115"/>
        <v>318</v>
      </c>
      <c r="B320">
        <f t="shared" si="96"/>
        <v>7</v>
      </c>
      <c r="C320">
        <f t="shared" si="99"/>
        <v>1.6000000000000005</v>
      </c>
      <c r="D320" s="15">
        <f t="shared" si="97"/>
        <v>2.8125</v>
      </c>
      <c r="E320">
        <f t="shared" si="100"/>
        <v>1</v>
      </c>
      <c r="F320" s="3">
        <f t="shared" si="113"/>
        <v>81.5625</v>
      </c>
      <c r="G320" s="3">
        <f t="shared" si="114"/>
        <v>1.4235341711578751</v>
      </c>
      <c r="H320" s="18">
        <f t="shared" si="101"/>
        <v>0.23476875912857886</v>
      </c>
      <c r="I320" s="3">
        <f t="shared" si="102"/>
        <v>1.5826824159436501</v>
      </c>
      <c r="J320" s="19" t="str">
        <f t="shared" si="98"/>
        <v>L</v>
      </c>
      <c r="K320" s="20">
        <f t="shared" si="103"/>
        <v>0.23476875912857886</v>
      </c>
      <c r="L320" s="20">
        <f t="shared" si="104"/>
        <v>1.5826824159436501</v>
      </c>
      <c r="M320" s="20" t="e">
        <f t="shared" si="105"/>
        <v>#N/A</v>
      </c>
      <c r="N320" s="20" t="e">
        <f t="shared" si="106"/>
        <v>#N/A</v>
      </c>
      <c r="O320" s="20" t="e">
        <f t="shared" si="107"/>
        <v>#N/A</v>
      </c>
      <c r="P320" s="20" t="e">
        <f t="shared" si="108"/>
        <v>#N/A</v>
      </c>
      <c r="Q320" s="20" t="e">
        <f t="shared" si="109"/>
        <v>#N/A</v>
      </c>
      <c r="R320" s="20" t="e">
        <f t="shared" si="110"/>
        <v>#N/A</v>
      </c>
      <c r="S320" s="20" t="e">
        <f t="shared" si="111"/>
        <v>#N/A</v>
      </c>
      <c r="T320" s="20" t="e">
        <f t="shared" si="112"/>
        <v>#N/A</v>
      </c>
      <c r="U320" s="3"/>
      <c r="AA320" s="4"/>
    </row>
    <row r="321" spans="1:27" x14ac:dyDescent="0.25">
      <c r="A321">
        <f t="shared" si="115"/>
        <v>319</v>
      </c>
      <c r="B321">
        <f t="shared" si="96"/>
        <v>7</v>
      </c>
      <c r="C321">
        <f t="shared" si="99"/>
        <v>1.6000000000000005</v>
      </c>
      <c r="D321" s="15">
        <f t="shared" si="97"/>
        <v>2.8125</v>
      </c>
      <c r="E321">
        <f t="shared" si="100"/>
        <v>1</v>
      </c>
      <c r="F321" s="3">
        <f t="shared" si="113"/>
        <v>84.375</v>
      </c>
      <c r="G321" s="3">
        <f t="shared" si="114"/>
        <v>1.4726215563702154</v>
      </c>
      <c r="H321" s="18">
        <f t="shared" si="101"/>
        <v>0.15682742452729728</v>
      </c>
      <c r="I321" s="3">
        <f t="shared" si="102"/>
        <v>1.5922955626755155</v>
      </c>
      <c r="J321" s="19" t="str">
        <f t="shared" si="98"/>
        <v>L</v>
      </c>
      <c r="K321" s="20">
        <f t="shared" si="103"/>
        <v>0.15682742452729728</v>
      </c>
      <c r="L321" s="20">
        <f t="shared" si="104"/>
        <v>1.5922955626755155</v>
      </c>
      <c r="M321" s="20" t="e">
        <f t="shared" si="105"/>
        <v>#N/A</v>
      </c>
      <c r="N321" s="20" t="e">
        <f t="shared" si="106"/>
        <v>#N/A</v>
      </c>
      <c r="O321" s="20" t="e">
        <f t="shared" si="107"/>
        <v>#N/A</v>
      </c>
      <c r="P321" s="20" t="e">
        <f t="shared" si="108"/>
        <v>#N/A</v>
      </c>
      <c r="Q321" s="20" t="e">
        <f t="shared" si="109"/>
        <v>#N/A</v>
      </c>
      <c r="R321" s="20" t="e">
        <f t="shared" si="110"/>
        <v>#N/A</v>
      </c>
      <c r="S321" s="20" t="e">
        <f t="shared" si="111"/>
        <v>#N/A</v>
      </c>
      <c r="T321" s="20" t="e">
        <f t="shared" si="112"/>
        <v>#N/A</v>
      </c>
      <c r="U321" s="3"/>
      <c r="AA321" s="4"/>
    </row>
    <row r="322" spans="1:27" x14ac:dyDescent="0.25">
      <c r="A322">
        <f t="shared" si="115"/>
        <v>320</v>
      </c>
      <c r="B322">
        <f t="shared" si="96"/>
        <v>7</v>
      </c>
      <c r="C322">
        <f t="shared" si="99"/>
        <v>1.6000000000000005</v>
      </c>
      <c r="D322" s="15">
        <f t="shared" si="97"/>
        <v>2.8125</v>
      </c>
      <c r="E322">
        <f t="shared" si="100"/>
        <v>1</v>
      </c>
      <c r="F322" s="3">
        <f t="shared" si="113"/>
        <v>87.1875</v>
      </c>
      <c r="G322" s="3">
        <f t="shared" si="114"/>
        <v>1.521708941582556</v>
      </c>
      <c r="H322" s="18">
        <f t="shared" si="101"/>
        <v>7.8508278923869024E-2</v>
      </c>
      <c r="I322" s="3">
        <f t="shared" si="102"/>
        <v>1.5980727299282764</v>
      </c>
      <c r="J322" s="19" t="str">
        <f t="shared" si="98"/>
        <v>L</v>
      </c>
      <c r="K322" s="20">
        <f t="shared" si="103"/>
        <v>7.8508278923869024E-2</v>
      </c>
      <c r="L322" s="20">
        <f t="shared" si="104"/>
        <v>1.5980727299282764</v>
      </c>
      <c r="M322" s="20" t="e">
        <f t="shared" si="105"/>
        <v>#N/A</v>
      </c>
      <c r="N322" s="20" t="e">
        <f t="shared" si="106"/>
        <v>#N/A</v>
      </c>
      <c r="O322" s="20" t="e">
        <f t="shared" si="107"/>
        <v>#N/A</v>
      </c>
      <c r="P322" s="20" t="e">
        <f t="shared" si="108"/>
        <v>#N/A</v>
      </c>
      <c r="Q322" s="20" t="e">
        <f t="shared" si="109"/>
        <v>#N/A</v>
      </c>
      <c r="R322" s="20" t="e">
        <f t="shared" si="110"/>
        <v>#N/A</v>
      </c>
      <c r="S322" s="20" t="e">
        <f t="shared" si="111"/>
        <v>#N/A</v>
      </c>
      <c r="T322" s="20" t="e">
        <f t="shared" si="112"/>
        <v>#N/A</v>
      </c>
      <c r="U322" s="3"/>
      <c r="AA322" s="4"/>
    </row>
    <row r="323" spans="1:27" x14ac:dyDescent="0.25">
      <c r="A323">
        <f t="shared" si="115"/>
        <v>321</v>
      </c>
      <c r="B323">
        <f t="shared" ref="B323:B386" si="116">VLOOKUP(A323,$Y$2:$Z$13,2,1)</f>
        <v>7</v>
      </c>
      <c r="C323">
        <f t="shared" si="99"/>
        <v>1.6000000000000005</v>
      </c>
      <c r="D323" s="15">
        <f t="shared" ref="D323:D386" si="117">VLOOKUP(B323,$V$2:$AC$13,8,0)</f>
        <v>2.8125</v>
      </c>
      <c r="E323">
        <f t="shared" si="100"/>
        <v>1</v>
      </c>
      <c r="F323" s="3">
        <f t="shared" si="113"/>
        <v>90</v>
      </c>
      <c r="G323" s="3">
        <f t="shared" si="114"/>
        <v>1.5707963267948966</v>
      </c>
      <c r="H323" s="18">
        <f t="shared" si="101"/>
        <v>9.8011876392689638E-17</v>
      </c>
      <c r="I323" s="3">
        <f t="shared" si="102"/>
        <v>1.6000000000000005</v>
      </c>
      <c r="J323" s="19" t="str">
        <f t="shared" ref="J323:J386" si="118">VLOOKUP(A323,$AQ$3:$AR$58,2,1)</f>
        <v>L</v>
      </c>
      <c r="K323" s="20">
        <f t="shared" si="103"/>
        <v>9.8011876392689638E-17</v>
      </c>
      <c r="L323" s="20">
        <f t="shared" si="104"/>
        <v>1.6000000000000005</v>
      </c>
      <c r="M323" s="20" t="e">
        <f t="shared" si="105"/>
        <v>#N/A</v>
      </c>
      <c r="N323" s="20" t="e">
        <f t="shared" si="106"/>
        <v>#N/A</v>
      </c>
      <c r="O323" s="20" t="e">
        <f t="shared" si="107"/>
        <v>#N/A</v>
      </c>
      <c r="P323" s="20" t="e">
        <f t="shared" si="108"/>
        <v>#N/A</v>
      </c>
      <c r="Q323" s="20" t="e">
        <f t="shared" si="109"/>
        <v>#N/A</v>
      </c>
      <c r="R323" s="20" t="e">
        <f t="shared" si="110"/>
        <v>#N/A</v>
      </c>
      <c r="S323" s="20" t="e">
        <f t="shared" si="111"/>
        <v>#N/A</v>
      </c>
      <c r="T323" s="20" t="e">
        <f t="shared" si="112"/>
        <v>#N/A</v>
      </c>
      <c r="U323" s="3"/>
      <c r="AA323" s="4"/>
    </row>
    <row r="324" spans="1:27" x14ac:dyDescent="0.25">
      <c r="A324">
        <f t="shared" si="115"/>
        <v>322</v>
      </c>
      <c r="B324">
        <f t="shared" si="116"/>
        <v>7</v>
      </c>
      <c r="C324">
        <f t="shared" ref="C324:C387" si="119">VLOOKUP(B324,$V$2:$AB$14,7,0)</f>
        <v>1.6000000000000005</v>
      </c>
      <c r="D324" s="15">
        <f t="shared" si="117"/>
        <v>2.8125</v>
      </c>
      <c r="E324">
        <f t="shared" ref="E324:E387" si="120">IF(OR(A324=$Y$3,A324=$Y$4,A324=$Y$5,A324=$Y$6,A324=$Y$7,A324=$Y$8,A324=$Y$9,A324=$Y$10,A324=$Y$11,A324=$Y$12,A324=$Y$12),0,1)</f>
        <v>1</v>
      </c>
      <c r="F324" s="3">
        <f t="shared" si="113"/>
        <v>92.8125</v>
      </c>
      <c r="G324" s="3">
        <f t="shared" si="114"/>
        <v>1.6198837120072371</v>
      </c>
      <c r="H324" s="18">
        <f t="shared" ref="H324:H387" si="121">C324*COS(G324)</f>
        <v>-7.8508278923868843E-2</v>
      </c>
      <c r="I324" s="3">
        <f t="shared" ref="I324:I387" si="122">C324*SIN(G324)</f>
        <v>1.5980727299282764</v>
      </c>
      <c r="J324" s="19" t="str">
        <f t="shared" si="118"/>
        <v>L</v>
      </c>
      <c r="K324" s="20">
        <f t="shared" ref="K324:K387" si="123">IF(J324="L",H324,NA())</f>
        <v>-7.8508278923868843E-2</v>
      </c>
      <c r="L324" s="20">
        <f t="shared" ref="L324:L387" si="124">IF(J324="l",I324,NA())</f>
        <v>1.5980727299282764</v>
      </c>
      <c r="M324" s="20" t="e">
        <f t="shared" ref="M324:M387" si="125">IF(J324="C",H324,NA())</f>
        <v>#N/A</v>
      </c>
      <c r="N324" s="20" t="e">
        <f t="shared" ref="N324:N387" si="126">IF(J324="C",I324,NA())</f>
        <v>#N/A</v>
      </c>
      <c r="O324" s="20" t="e">
        <f t="shared" ref="O324:O387" si="127">IF(J324="LD",H324,NA())</f>
        <v>#N/A</v>
      </c>
      <c r="P324" s="20" t="e">
        <f t="shared" ref="P324:P387" si="128">IF(J324="LD",I324,NA())</f>
        <v>#N/A</v>
      </c>
      <c r="Q324" s="20" t="e">
        <f t="shared" ref="Q324:Q387" si="129">IF(J324="SNP",H324,NA())</f>
        <v>#N/A</v>
      </c>
      <c r="R324" s="20" t="e">
        <f t="shared" ref="R324:R387" si="130">IF(J324="SNP",I324,NA())</f>
        <v>#N/A</v>
      </c>
      <c r="S324" s="20" t="e">
        <f t="shared" ref="S324:S387" si="131">IF(J324="Oth",H324,NA())</f>
        <v>#N/A</v>
      </c>
      <c r="T324" s="20" t="e">
        <f t="shared" ref="T324:T387" si="132">IF(J324="oth",I324,NA())</f>
        <v>#N/A</v>
      </c>
      <c r="U324" s="3"/>
      <c r="AA324" s="4"/>
    </row>
    <row r="325" spans="1:27" x14ac:dyDescent="0.25">
      <c r="A325">
        <f t="shared" si="115"/>
        <v>323</v>
      </c>
      <c r="B325">
        <f t="shared" si="116"/>
        <v>7</v>
      </c>
      <c r="C325">
        <f t="shared" si="119"/>
        <v>1.6000000000000005</v>
      </c>
      <c r="D325" s="15">
        <f t="shared" si="117"/>
        <v>2.8125</v>
      </c>
      <c r="E325">
        <f t="shared" si="120"/>
        <v>1</v>
      </c>
      <c r="F325" s="3">
        <f t="shared" si="113"/>
        <v>95.625</v>
      </c>
      <c r="G325" s="3">
        <f t="shared" si="114"/>
        <v>1.6689710972195777</v>
      </c>
      <c r="H325" s="18">
        <f t="shared" si="121"/>
        <v>-0.15682742452729709</v>
      </c>
      <c r="I325" s="3">
        <f t="shared" si="122"/>
        <v>1.5922955626755155</v>
      </c>
      <c r="J325" s="19" t="str">
        <f t="shared" si="118"/>
        <v>L</v>
      </c>
      <c r="K325" s="20">
        <f t="shared" si="123"/>
        <v>-0.15682742452729709</v>
      </c>
      <c r="L325" s="20">
        <f t="shared" si="124"/>
        <v>1.5922955626755155</v>
      </c>
      <c r="M325" s="20" t="e">
        <f t="shared" si="125"/>
        <v>#N/A</v>
      </c>
      <c r="N325" s="20" t="e">
        <f t="shared" si="126"/>
        <v>#N/A</v>
      </c>
      <c r="O325" s="20" t="e">
        <f t="shared" si="127"/>
        <v>#N/A</v>
      </c>
      <c r="P325" s="20" t="e">
        <f t="shared" si="128"/>
        <v>#N/A</v>
      </c>
      <c r="Q325" s="20" t="e">
        <f t="shared" si="129"/>
        <v>#N/A</v>
      </c>
      <c r="R325" s="20" t="e">
        <f t="shared" si="130"/>
        <v>#N/A</v>
      </c>
      <c r="S325" s="20" t="e">
        <f t="shared" si="131"/>
        <v>#N/A</v>
      </c>
      <c r="T325" s="20" t="e">
        <f t="shared" si="132"/>
        <v>#N/A</v>
      </c>
      <c r="U325" s="3"/>
      <c r="AA325" s="4"/>
    </row>
    <row r="326" spans="1:27" x14ac:dyDescent="0.25">
      <c r="A326">
        <f t="shared" si="115"/>
        <v>324</v>
      </c>
      <c r="B326">
        <f t="shared" si="116"/>
        <v>7</v>
      </c>
      <c r="C326">
        <f t="shared" si="119"/>
        <v>1.6000000000000005</v>
      </c>
      <c r="D326" s="15">
        <f t="shared" si="117"/>
        <v>2.8125</v>
      </c>
      <c r="E326">
        <f t="shared" si="120"/>
        <v>1</v>
      </c>
      <c r="F326" s="3">
        <f t="shared" ref="F326:F389" si="133">IF(E326=0,0,D326+F325)</f>
        <v>98.4375</v>
      </c>
      <c r="G326" s="3">
        <f t="shared" ref="G326:G389" si="134">(F326/180)*PI()</f>
        <v>1.7180584824319181</v>
      </c>
      <c r="H326" s="18">
        <f t="shared" si="121"/>
        <v>-0.2347687591285787</v>
      </c>
      <c r="I326" s="3">
        <f t="shared" si="122"/>
        <v>1.5826824159436501</v>
      </c>
      <c r="J326" s="19" t="str">
        <f t="shared" si="118"/>
        <v>L</v>
      </c>
      <c r="K326" s="20">
        <f t="shared" si="123"/>
        <v>-0.2347687591285787</v>
      </c>
      <c r="L326" s="20">
        <f t="shared" si="124"/>
        <v>1.5826824159436501</v>
      </c>
      <c r="M326" s="20" t="e">
        <f t="shared" si="125"/>
        <v>#N/A</v>
      </c>
      <c r="N326" s="20" t="e">
        <f t="shared" si="126"/>
        <v>#N/A</v>
      </c>
      <c r="O326" s="20" t="e">
        <f t="shared" si="127"/>
        <v>#N/A</v>
      </c>
      <c r="P326" s="20" t="e">
        <f t="shared" si="128"/>
        <v>#N/A</v>
      </c>
      <c r="Q326" s="20" t="e">
        <f t="shared" si="129"/>
        <v>#N/A</v>
      </c>
      <c r="R326" s="20" t="e">
        <f t="shared" si="130"/>
        <v>#N/A</v>
      </c>
      <c r="S326" s="20" t="e">
        <f t="shared" si="131"/>
        <v>#N/A</v>
      </c>
      <c r="T326" s="20" t="e">
        <f t="shared" si="132"/>
        <v>#N/A</v>
      </c>
      <c r="U326" s="3"/>
      <c r="AA326" s="4"/>
    </row>
    <row r="327" spans="1:27" x14ac:dyDescent="0.25">
      <c r="A327">
        <f t="shared" si="115"/>
        <v>325</v>
      </c>
      <c r="B327">
        <f t="shared" si="116"/>
        <v>7</v>
      </c>
      <c r="C327">
        <f t="shared" si="119"/>
        <v>1.6000000000000005</v>
      </c>
      <c r="D327" s="15">
        <f t="shared" si="117"/>
        <v>2.8125</v>
      </c>
      <c r="E327">
        <f t="shared" si="120"/>
        <v>1</v>
      </c>
      <c r="F327" s="3">
        <f t="shared" si="133"/>
        <v>101.25</v>
      </c>
      <c r="G327" s="3">
        <f t="shared" si="134"/>
        <v>1.7671458676442586</v>
      </c>
      <c r="H327" s="18">
        <f t="shared" si="121"/>
        <v>-0.31214451522580522</v>
      </c>
      <c r="I327" s="3">
        <f t="shared" si="122"/>
        <v>1.5692564486451692</v>
      </c>
      <c r="J327" s="19" t="str">
        <f t="shared" si="118"/>
        <v>L</v>
      </c>
      <c r="K327" s="20">
        <f t="shared" si="123"/>
        <v>-0.31214451522580522</v>
      </c>
      <c r="L327" s="20">
        <f t="shared" si="124"/>
        <v>1.5692564486451692</v>
      </c>
      <c r="M327" s="20" t="e">
        <f t="shared" si="125"/>
        <v>#N/A</v>
      </c>
      <c r="N327" s="20" t="e">
        <f t="shared" si="126"/>
        <v>#N/A</v>
      </c>
      <c r="O327" s="20" t="e">
        <f t="shared" si="127"/>
        <v>#N/A</v>
      </c>
      <c r="P327" s="20" t="e">
        <f t="shared" si="128"/>
        <v>#N/A</v>
      </c>
      <c r="Q327" s="20" t="e">
        <f t="shared" si="129"/>
        <v>#N/A</v>
      </c>
      <c r="R327" s="20" t="e">
        <f t="shared" si="130"/>
        <v>#N/A</v>
      </c>
      <c r="S327" s="20" t="e">
        <f t="shared" si="131"/>
        <v>#N/A</v>
      </c>
      <c r="T327" s="20" t="e">
        <f t="shared" si="132"/>
        <v>#N/A</v>
      </c>
      <c r="U327" s="3"/>
      <c r="AA327" s="4"/>
    </row>
    <row r="328" spans="1:27" x14ac:dyDescent="0.25">
      <c r="A328">
        <f t="shared" si="115"/>
        <v>326</v>
      </c>
      <c r="B328">
        <f t="shared" si="116"/>
        <v>7</v>
      </c>
      <c r="C328">
        <f t="shared" si="119"/>
        <v>1.6000000000000005</v>
      </c>
      <c r="D328" s="15">
        <f t="shared" si="117"/>
        <v>2.8125</v>
      </c>
      <c r="E328">
        <f t="shared" si="120"/>
        <v>1</v>
      </c>
      <c r="F328" s="3">
        <f t="shared" si="133"/>
        <v>104.0625</v>
      </c>
      <c r="G328" s="3">
        <f t="shared" si="134"/>
        <v>1.8162332528565992</v>
      </c>
      <c r="H328" s="18">
        <f t="shared" si="121"/>
        <v>-0.38876828784522233</v>
      </c>
      <c r="I328" s="3">
        <f t="shared" si="122"/>
        <v>1.5520500051112709</v>
      </c>
      <c r="J328" s="19" t="str">
        <f t="shared" si="118"/>
        <v>L</v>
      </c>
      <c r="K328" s="20">
        <f t="shared" si="123"/>
        <v>-0.38876828784522233</v>
      </c>
      <c r="L328" s="20">
        <f t="shared" si="124"/>
        <v>1.5520500051112709</v>
      </c>
      <c r="M328" s="20" t="e">
        <f t="shared" si="125"/>
        <v>#N/A</v>
      </c>
      <c r="N328" s="20" t="e">
        <f t="shared" si="126"/>
        <v>#N/A</v>
      </c>
      <c r="O328" s="20" t="e">
        <f t="shared" si="127"/>
        <v>#N/A</v>
      </c>
      <c r="P328" s="20" t="e">
        <f t="shared" si="128"/>
        <v>#N/A</v>
      </c>
      <c r="Q328" s="20" t="e">
        <f t="shared" si="129"/>
        <v>#N/A</v>
      </c>
      <c r="R328" s="20" t="e">
        <f t="shared" si="130"/>
        <v>#N/A</v>
      </c>
      <c r="S328" s="20" t="e">
        <f t="shared" si="131"/>
        <v>#N/A</v>
      </c>
      <c r="T328" s="20" t="e">
        <f t="shared" si="132"/>
        <v>#N/A</v>
      </c>
      <c r="U328" s="3"/>
      <c r="AA328" s="4"/>
    </row>
    <row r="329" spans="1:27" x14ac:dyDescent="0.25">
      <c r="A329">
        <f t="shared" si="115"/>
        <v>327</v>
      </c>
      <c r="B329">
        <f t="shared" si="116"/>
        <v>7</v>
      </c>
      <c r="C329">
        <f t="shared" si="119"/>
        <v>1.6000000000000005</v>
      </c>
      <c r="D329" s="15">
        <f t="shared" si="117"/>
        <v>2.8125</v>
      </c>
      <c r="E329">
        <f t="shared" si="120"/>
        <v>1</v>
      </c>
      <c r="F329" s="3">
        <f t="shared" si="133"/>
        <v>106.875</v>
      </c>
      <c r="G329" s="3">
        <f t="shared" si="134"/>
        <v>1.8653206380689396</v>
      </c>
      <c r="H329" s="18">
        <f t="shared" si="121"/>
        <v>-0.46445548360713962</v>
      </c>
      <c r="I329" s="3">
        <f t="shared" si="122"/>
        <v>1.5311045371715348</v>
      </c>
      <c r="J329" s="19" t="str">
        <f t="shared" si="118"/>
        <v>L</v>
      </c>
      <c r="K329" s="20">
        <f t="shared" si="123"/>
        <v>-0.46445548360713962</v>
      </c>
      <c r="L329" s="20">
        <f t="shared" si="124"/>
        <v>1.5311045371715348</v>
      </c>
      <c r="M329" s="20" t="e">
        <f t="shared" si="125"/>
        <v>#N/A</v>
      </c>
      <c r="N329" s="20" t="e">
        <f t="shared" si="126"/>
        <v>#N/A</v>
      </c>
      <c r="O329" s="20" t="e">
        <f t="shared" si="127"/>
        <v>#N/A</v>
      </c>
      <c r="P329" s="20" t="e">
        <f t="shared" si="128"/>
        <v>#N/A</v>
      </c>
      <c r="Q329" s="20" t="e">
        <f t="shared" si="129"/>
        <v>#N/A</v>
      </c>
      <c r="R329" s="20" t="e">
        <f t="shared" si="130"/>
        <v>#N/A</v>
      </c>
      <c r="S329" s="20" t="e">
        <f t="shared" si="131"/>
        <v>#N/A</v>
      </c>
      <c r="T329" s="20" t="e">
        <f t="shared" si="132"/>
        <v>#N/A</v>
      </c>
      <c r="U329" s="3"/>
      <c r="AA329" s="4"/>
    </row>
    <row r="330" spans="1:27" x14ac:dyDescent="0.25">
      <c r="A330">
        <f t="shared" si="115"/>
        <v>328</v>
      </c>
      <c r="B330">
        <f t="shared" si="116"/>
        <v>7</v>
      </c>
      <c r="C330">
        <f t="shared" si="119"/>
        <v>1.6000000000000005</v>
      </c>
      <c r="D330" s="15">
        <f t="shared" si="117"/>
        <v>2.8125</v>
      </c>
      <c r="E330">
        <f t="shared" si="120"/>
        <v>1</v>
      </c>
      <c r="F330" s="3">
        <f t="shared" si="133"/>
        <v>109.6875</v>
      </c>
      <c r="G330" s="3">
        <f t="shared" si="134"/>
        <v>1.9144080232812801</v>
      </c>
      <c r="H330" s="18">
        <f t="shared" si="121"/>
        <v>-0.53902376542755204</v>
      </c>
      <c r="I330" s="3">
        <f t="shared" si="122"/>
        <v>1.5064705042928337</v>
      </c>
      <c r="J330" s="19" t="str">
        <f t="shared" si="118"/>
        <v>L</v>
      </c>
      <c r="K330" s="20">
        <f t="shared" si="123"/>
        <v>-0.53902376542755204</v>
      </c>
      <c r="L330" s="20">
        <f t="shared" si="124"/>
        <v>1.5064705042928337</v>
      </c>
      <c r="M330" s="20" t="e">
        <f t="shared" si="125"/>
        <v>#N/A</v>
      </c>
      <c r="N330" s="20" t="e">
        <f t="shared" si="126"/>
        <v>#N/A</v>
      </c>
      <c r="O330" s="20" t="e">
        <f t="shared" si="127"/>
        <v>#N/A</v>
      </c>
      <c r="P330" s="20" t="e">
        <f t="shared" si="128"/>
        <v>#N/A</v>
      </c>
      <c r="Q330" s="20" t="e">
        <f t="shared" si="129"/>
        <v>#N/A</v>
      </c>
      <c r="R330" s="20" t="e">
        <f t="shared" si="130"/>
        <v>#N/A</v>
      </c>
      <c r="S330" s="20" t="e">
        <f t="shared" si="131"/>
        <v>#N/A</v>
      </c>
      <c r="T330" s="20" t="e">
        <f t="shared" si="132"/>
        <v>#N/A</v>
      </c>
      <c r="U330" s="3"/>
      <c r="AA330" s="4"/>
    </row>
    <row r="331" spans="1:27" x14ac:dyDescent="0.25">
      <c r="A331">
        <f t="shared" si="115"/>
        <v>329</v>
      </c>
      <c r="B331">
        <f t="shared" si="116"/>
        <v>7</v>
      </c>
      <c r="C331">
        <f t="shared" si="119"/>
        <v>1.6000000000000005</v>
      </c>
      <c r="D331" s="15">
        <f t="shared" si="117"/>
        <v>2.8125</v>
      </c>
      <c r="E331">
        <f t="shared" si="120"/>
        <v>1</v>
      </c>
      <c r="F331" s="3">
        <f t="shared" si="133"/>
        <v>112.5</v>
      </c>
      <c r="G331" s="3">
        <f t="shared" si="134"/>
        <v>1.9634954084936207</v>
      </c>
      <c r="H331" s="18">
        <f t="shared" si="121"/>
        <v>-0.61229349178414372</v>
      </c>
      <c r="I331" s="3">
        <f t="shared" si="122"/>
        <v>1.4782072520180594</v>
      </c>
      <c r="J331" s="19" t="str">
        <f t="shared" si="118"/>
        <v>L</v>
      </c>
      <c r="K331" s="20">
        <f t="shared" si="123"/>
        <v>-0.61229349178414372</v>
      </c>
      <c r="L331" s="20">
        <f t="shared" si="124"/>
        <v>1.4782072520180594</v>
      </c>
      <c r="M331" s="20" t="e">
        <f t="shared" si="125"/>
        <v>#N/A</v>
      </c>
      <c r="N331" s="20" t="e">
        <f t="shared" si="126"/>
        <v>#N/A</v>
      </c>
      <c r="O331" s="20" t="e">
        <f t="shared" si="127"/>
        <v>#N/A</v>
      </c>
      <c r="P331" s="20" t="e">
        <f t="shared" si="128"/>
        <v>#N/A</v>
      </c>
      <c r="Q331" s="20" t="e">
        <f t="shared" si="129"/>
        <v>#N/A</v>
      </c>
      <c r="R331" s="20" t="e">
        <f t="shared" si="130"/>
        <v>#N/A</v>
      </c>
      <c r="S331" s="20" t="e">
        <f t="shared" si="131"/>
        <v>#N/A</v>
      </c>
      <c r="T331" s="20" t="e">
        <f t="shared" si="132"/>
        <v>#N/A</v>
      </c>
      <c r="U331" s="3"/>
      <c r="AA331" s="4"/>
    </row>
    <row r="332" spans="1:27" x14ac:dyDescent="0.25">
      <c r="A332">
        <f t="shared" si="115"/>
        <v>330</v>
      </c>
      <c r="B332">
        <f t="shared" si="116"/>
        <v>7</v>
      </c>
      <c r="C332">
        <f t="shared" si="119"/>
        <v>1.6000000000000005</v>
      </c>
      <c r="D332" s="15">
        <f t="shared" si="117"/>
        <v>2.8125</v>
      </c>
      <c r="E332">
        <f t="shared" si="120"/>
        <v>1</v>
      </c>
      <c r="F332" s="3">
        <f t="shared" si="133"/>
        <v>115.3125</v>
      </c>
      <c r="G332" s="3">
        <f t="shared" si="134"/>
        <v>2.012582793705961</v>
      </c>
      <c r="H332" s="18">
        <f t="shared" si="121"/>
        <v>-0.6840881494884512</v>
      </c>
      <c r="I332" s="3">
        <f t="shared" si="122"/>
        <v>1.44638286899751</v>
      </c>
      <c r="J332" s="19" t="str">
        <f t="shared" si="118"/>
        <v>L</v>
      </c>
      <c r="K332" s="20">
        <f t="shared" si="123"/>
        <v>-0.6840881494884512</v>
      </c>
      <c r="L332" s="20">
        <f t="shared" si="124"/>
        <v>1.44638286899751</v>
      </c>
      <c r="M332" s="20" t="e">
        <f t="shared" si="125"/>
        <v>#N/A</v>
      </c>
      <c r="N332" s="20" t="e">
        <f t="shared" si="126"/>
        <v>#N/A</v>
      </c>
      <c r="O332" s="20" t="e">
        <f t="shared" si="127"/>
        <v>#N/A</v>
      </c>
      <c r="P332" s="20" t="e">
        <f t="shared" si="128"/>
        <v>#N/A</v>
      </c>
      <c r="Q332" s="20" t="e">
        <f t="shared" si="129"/>
        <v>#N/A</v>
      </c>
      <c r="R332" s="20" t="e">
        <f t="shared" si="130"/>
        <v>#N/A</v>
      </c>
      <c r="S332" s="20" t="e">
        <f t="shared" si="131"/>
        <v>#N/A</v>
      </c>
      <c r="T332" s="20" t="e">
        <f t="shared" si="132"/>
        <v>#N/A</v>
      </c>
      <c r="U332" s="3"/>
      <c r="AA332" s="4"/>
    </row>
    <row r="333" spans="1:27" x14ac:dyDescent="0.25">
      <c r="A333">
        <f t="shared" si="115"/>
        <v>331</v>
      </c>
      <c r="B333">
        <f t="shared" si="116"/>
        <v>7</v>
      </c>
      <c r="C333">
        <f t="shared" si="119"/>
        <v>1.6000000000000005</v>
      </c>
      <c r="D333" s="15">
        <f t="shared" si="117"/>
        <v>2.8125</v>
      </c>
      <c r="E333">
        <f t="shared" si="120"/>
        <v>1</v>
      </c>
      <c r="F333" s="3">
        <f t="shared" si="133"/>
        <v>118.125</v>
      </c>
      <c r="G333" s="3">
        <f t="shared" si="134"/>
        <v>2.0616701789183018</v>
      </c>
      <c r="H333" s="18">
        <f t="shared" si="121"/>
        <v>-0.75423477892159652</v>
      </c>
      <c r="I333" s="3">
        <f t="shared" si="122"/>
        <v>1.4110740229573686</v>
      </c>
      <c r="J333" s="19" t="str">
        <f t="shared" si="118"/>
        <v>C</v>
      </c>
      <c r="K333" s="20" t="e">
        <f t="shared" si="123"/>
        <v>#N/A</v>
      </c>
      <c r="L333" s="20" t="e">
        <f t="shared" si="124"/>
        <v>#N/A</v>
      </c>
      <c r="M333" s="20">
        <f t="shared" si="125"/>
        <v>-0.75423477892159652</v>
      </c>
      <c r="N333" s="20">
        <f t="shared" si="126"/>
        <v>1.4110740229573686</v>
      </c>
      <c r="O333" s="20" t="e">
        <f t="shared" si="127"/>
        <v>#N/A</v>
      </c>
      <c r="P333" s="20" t="e">
        <f t="shared" si="128"/>
        <v>#N/A</v>
      </c>
      <c r="Q333" s="20" t="e">
        <f t="shared" si="129"/>
        <v>#N/A</v>
      </c>
      <c r="R333" s="20" t="e">
        <f t="shared" si="130"/>
        <v>#N/A</v>
      </c>
      <c r="S333" s="20" t="e">
        <f t="shared" si="131"/>
        <v>#N/A</v>
      </c>
      <c r="T333" s="20" t="e">
        <f t="shared" si="132"/>
        <v>#N/A</v>
      </c>
      <c r="U333" s="3"/>
      <c r="AA333" s="4"/>
    </row>
    <row r="334" spans="1:27" x14ac:dyDescent="0.25">
      <c r="A334">
        <f t="shared" si="115"/>
        <v>332</v>
      </c>
      <c r="B334">
        <f t="shared" si="116"/>
        <v>7</v>
      </c>
      <c r="C334">
        <f t="shared" si="119"/>
        <v>1.6000000000000005</v>
      </c>
      <c r="D334" s="15">
        <f t="shared" si="117"/>
        <v>2.8125</v>
      </c>
      <c r="E334">
        <f t="shared" si="120"/>
        <v>1</v>
      </c>
      <c r="F334" s="3">
        <f t="shared" si="133"/>
        <v>120.9375</v>
      </c>
      <c r="G334" s="3">
        <f t="shared" si="134"/>
        <v>2.1107575641306422</v>
      </c>
      <c r="H334" s="18">
        <f t="shared" si="121"/>
        <v>-0.82256439070915488</v>
      </c>
      <c r="I334" s="3">
        <f t="shared" si="122"/>
        <v>1.3723657760004357</v>
      </c>
      <c r="J334" s="19" t="str">
        <f t="shared" si="118"/>
        <v>C</v>
      </c>
      <c r="K334" s="20" t="e">
        <f t="shared" si="123"/>
        <v>#N/A</v>
      </c>
      <c r="L334" s="20" t="e">
        <f t="shared" si="124"/>
        <v>#N/A</v>
      </c>
      <c r="M334" s="20">
        <f t="shared" si="125"/>
        <v>-0.82256439070915488</v>
      </c>
      <c r="N334" s="20">
        <f t="shared" si="126"/>
        <v>1.3723657760004357</v>
      </c>
      <c r="O334" s="20" t="e">
        <f t="shared" si="127"/>
        <v>#N/A</v>
      </c>
      <c r="P334" s="20" t="e">
        <f t="shared" si="128"/>
        <v>#N/A</v>
      </c>
      <c r="Q334" s="20" t="e">
        <f t="shared" si="129"/>
        <v>#N/A</v>
      </c>
      <c r="R334" s="20" t="e">
        <f t="shared" si="130"/>
        <v>#N/A</v>
      </c>
      <c r="S334" s="20" t="e">
        <f t="shared" si="131"/>
        <v>#N/A</v>
      </c>
      <c r="T334" s="20" t="e">
        <f t="shared" si="132"/>
        <v>#N/A</v>
      </c>
      <c r="U334" s="3"/>
      <c r="AA334" s="4"/>
    </row>
    <row r="335" spans="1:27" x14ac:dyDescent="0.25">
      <c r="A335">
        <f t="shared" ref="A335:A398" si="135">A334+1</f>
        <v>333</v>
      </c>
      <c r="B335">
        <f t="shared" si="116"/>
        <v>7</v>
      </c>
      <c r="C335">
        <f t="shared" si="119"/>
        <v>1.6000000000000005</v>
      </c>
      <c r="D335" s="15">
        <f t="shared" si="117"/>
        <v>2.8125</v>
      </c>
      <c r="E335">
        <f t="shared" si="120"/>
        <v>1</v>
      </c>
      <c r="F335" s="3">
        <f t="shared" si="133"/>
        <v>123.75</v>
      </c>
      <c r="G335" s="3">
        <f t="shared" si="134"/>
        <v>2.1598449493429825</v>
      </c>
      <c r="H335" s="18">
        <f t="shared" si="121"/>
        <v>-0.88891237283136337</v>
      </c>
      <c r="I335" s="3">
        <f t="shared" si="122"/>
        <v>1.3303513796840731</v>
      </c>
      <c r="J335" s="19" t="str">
        <f t="shared" si="118"/>
        <v>C</v>
      </c>
      <c r="K335" s="20" t="e">
        <f t="shared" si="123"/>
        <v>#N/A</v>
      </c>
      <c r="L335" s="20" t="e">
        <f t="shared" si="124"/>
        <v>#N/A</v>
      </c>
      <c r="M335" s="20">
        <f t="shared" si="125"/>
        <v>-0.88891237283136337</v>
      </c>
      <c r="N335" s="20">
        <f t="shared" si="126"/>
        <v>1.3303513796840731</v>
      </c>
      <c r="O335" s="20" t="e">
        <f t="shared" si="127"/>
        <v>#N/A</v>
      </c>
      <c r="P335" s="20" t="e">
        <f t="shared" si="128"/>
        <v>#N/A</v>
      </c>
      <c r="Q335" s="20" t="e">
        <f t="shared" si="129"/>
        <v>#N/A</v>
      </c>
      <c r="R335" s="20" t="e">
        <f t="shared" si="130"/>
        <v>#N/A</v>
      </c>
      <c r="S335" s="20" t="e">
        <f t="shared" si="131"/>
        <v>#N/A</v>
      </c>
      <c r="T335" s="20" t="e">
        <f t="shared" si="132"/>
        <v>#N/A</v>
      </c>
      <c r="U335" s="3"/>
      <c r="AA335" s="4"/>
    </row>
    <row r="336" spans="1:27" x14ac:dyDescent="0.25">
      <c r="A336">
        <f t="shared" si="135"/>
        <v>334</v>
      </c>
      <c r="B336">
        <f t="shared" si="116"/>
        <v>7</v>
      </c>
      <c r="C336">
        <f t="shared" si="119"/>
        <v>1.6000000000000005</v>
      </c>
      <c r="D336" s="15">
        <f t="shared" si="117"/>
        <v>2.8125</v>
      </c>
      <c r="E336">
        <f t="shared" si="120"/>
        <v>1</v>
      </c>
      <c r="F336" s="3">
        <f t="shared" si="133"/>
        <v>126.5625</v>
      </c>
      <c r="G336" s="3">
        <f t="shared" si="134"/>
        <v>2.2089323345553233</v>
      </c>
      <c r="H336" s="18">
        <f t="shared" si="121"/>
        <v>-0.95311888718789373</v>
      </c>
      <c r="I336" s="3">
        <f t="shared" si="122"/>
        <v>1.2851320503690324</v>
      </c>
      <c r="J336" s="19" t="str">
        <f t="shared" si="118"/>
        <v>C</v>
      </c>
      <c r="K336" s="20" t="e">
        <f t="shared" si="123"/>
        <v>#N/A</v>
      </c>
      <c r="L336" s="20" t="e">
        <f t="shared" si="124"/>
        <v>#N/A</v>
      </c>
      <c r="M336" s="20">
        <f t="shared" si="125"/>
        <v>-0.95311888718789373</v>
      </c>
      <c r="N336" s="20">
        <f t="shared" si="126"/>
        <v>1.2851320503690324</v>
      </c>
      <c r="O336" s="20" t="e">
        <f t="shared" si="127"/>
        <v>#N/A</v>
      </c>
      <c r="P336" s="20" t="e">
        <f t="shared" si="128"/>
        <v>#N/A</v>
      </c>
      <c r="Q336" s="20" t="e">
        <f t="shared" si="129"/>
        <v>#N/A</v>
      </c>
      <c r="R336" s="20" t="e">
        <f t="shared" si="130"/>
        <v>#N/A</v>
      </c>
      <c r="S336" s="20" t="e">
        <f t="shared" si="131"/>
        <v>#N/A</v>
      </c>
      <c r="T336" s="20" t="e">
        <f t="shared" si="132"/>
        <v>#N/A</v>
      </c>
      <c r="U336" s="3"/>
      <c r="AA336" s="4"/>
    </row>
    <row r="337" spans="1:27" x14ac:dyDescent="0.25">
      <c r="A337">
        <f t="shared" si="135"/>
        <v>335</v>
      </c>
      <c r="B337">
        <f t="shared" si="116"/>
        <v>7</v>
      </c>
      <c r="C337">
        <f t="shared" si="119"/>
        <v>1.6000000000000005</v>
      </c>
      <c r="D337" s="15">
        <f t="shared" si="117"/>
        <v>2.8125</v>
      </c>
      <c r="E337">
        <f t="shared" si="120"/>
        <v>1</v>
      </c>
      <c r="F337" s="3">
        <f t="shared" si="133"/>
        <v>129.375</v>
      </c>
      <c r="G337" s="3">
        <f t="shared" si="134"/>
        <v>2.2580197197676637</v>
      </c>
      <c r="H337" s="18">
        <f t="shared" si="121"/>
        <v>-1.0150292546618329</v>
      </c>
      <c r="I337" s="3">
        <f t="shared" si="122"/>
        <v>1.2368167253803797</v>
      </c>
      <c r="J337" s="19" t="str">
        <f t="shared" si="118"/>
        <v>C</v>
      </c>
      <c r="K337" s="20" t="e">
        <f t="shared" si="123"/>
        <v>#N/A</v>
      </c>
      <c r="L337" s="20" t="e">
        <f t="shared" si="124"/>
        <v>#N/A</v>
      </c>
      <c r="M337" s="20">
        <f t="shared" si="125"/>
        <v>-1.0150292546618329</v>
      </c>
      <c r="N337" s="20">
        <f t="shared" si="126"/>
        <v>1.2368167253803797</v>
      </c>
      <c r="O337" s="20" t="e">
        <f t="shared" si="127"/>
        <v>#N/A</v>
      </c>
      <c r="P337" s="20" t="e">
        <f t="shared" si="128"/>
        <v>#N/A</v>
      </c>
      <c r="Q337" s="20" t="e">
        <f t="shared" si="129"/>
        <v>#N/A</v>
      </c>
      <c r="R337" s="20" t="e">
        <f t="shared" si="130"/>
        <v>#N/A</v>
      </c>
      <c r="S337" s="20" t="e">
        <f t="shared" si="131"/>
        <v>#N/A</v>
      </c>
      <c r="T337" s="20" t="e">
        <f t="shared" si="132"/>
        <v>#N/A</v>
      </c>
      <c r="U337" s="3"/>
      <c r="AA337" s="4"/>
    </row>
    <row r="338" spans="1:27" x14ac:dyDescent="0.25">
      <c r="A338">
        <f t="shared" si="135"/>
        <v>336</v>
      </c>
      <c r="B338">
        <f t="shared" si="116"/>
        <v>7</v>
      </c>
      <c r="C338">
        <f t="shared" si="119"/>
        <v>1.6000000000000005</v>
      </c>
      <c r="D338" s="15">
        <f t="shared" si="117"/>
        <v>2.8125</v>
      </c>
      <c r="E338">
        <f t="shared" si="120"/>
        <v>1</v>
      </c>
      <c r="F338" s="3">
        <f t="shared" si="133"/>
        <v>132.1875</v>
      </c>
      <c r="G338" s="3">
        <f t="shared" si="134"/>
        <v>2.3071071049800045</v>
      </c>
      <c r="H338" s="18">
        <f t="shared" si="121"/>
        <v>-1.0744943277552299</v>
      </c>
      <c r="I338" s="3">
        <f t="shared" si="122"/>
        <v>1.1855218005679349</v>
      </c>
      <c r="J338" s="19" t="str">
        <f t="shared" si="118"/>
        <v>C</v>
      </c>
      <c r="K338" s="20" t="e">
        <f t="shared" si="123"/>
        <v>#N/A</v>
      </c>
      <c r="L338" s="20" t="e">
        <f t="shared" si="124"/>
        <v>#N/A</v>
      </c>
      <c r="M338" s="20">
        <f t="shared" si="125"/>
        <v>-1.0744943277552299</v>
      </c>
      <c r="N338" s="20">
        <f t="shared" si="126"/>
        <v>1.1855218005679349</v>
      </c>
      <c r="O338" s="20" t="e">
        <f t="shared" si="127"/>
        <v>#N/A</v>
      </c>
      <c r="P338" s="20" t="e">
        <f t="shared" si="128"/>
        <v>#N/A</v>
      </c>
      <c r="Q338" s="20" t="e">
        <f t="shared" si="129"/>
        <v>#N/A</v>
      </c>
      <c r="R338" s="20" t="e">
        <f t="shared" si="130"/>
        <v>#N/A</v>
      </c>
      <c r="S338" s="20" t="e">
        <f t="shared" si="131"/>
        <v>#N/A</v>
      </c>
      <c r="T338" s="20" t="e">
        <f t="shared" si="132"/>
        <v>#N/A</v>
      </c>
      <c r="U338" s="3"/>
      <c r="AA338" s="4"/>
    </row>
    <row r="339" spans="1:27" x14ac:dyDescent="0.25">
      <c r="A339">
        <f t="shared" si="135"/>
        <v>337</v>
      </c>
      <c r="B339">
        <f t="shared" si="116"/>
        <v>7</v>
      </c>
      <c r="C339">
        <f t="shared" si="119"/>
        <v>1.6000000000000005</v>
      </c>
      <c r="D339" s="15">
        <f t="shared" si="117"/>
        <v>2.8125</v>
      </c>
      <c r="E339">
        <f t="shared" si="120"/>
        <v>1</v>
      </c>
      <c r="F339" s="3">
        <f t="shared" si="133"/>
        <v>135</v>
      </c>
      <c r="G339" s="3">
        <f t="shared" si="134"/>
        <v>2.3561944901923448</v>
      </c>
      <c r="H339" s="18">
        <f t="shared" si="121"/>
        <v>-1.1313708498984762</v>
      </c>
      <c r="I339" s="3">
        <f t="shared" si="122"/>
        <v>1.1313708498984765</v>
      </c>
      <c r="J339" s="19" t="str">
        <f t="shared" si="118"/>
        <v>C</v>
      </c>
      <c r="K339" s="20" t="e">
        <f t="shared" si="123"/>
        <v>#N/A</v>
      </c>
      <c r="L339" s="20" t="e">
        <f t="shared" si="124"/>
        <v>#N/A</v>
      </c>
      <c r="M339" s="20">
        <f t="shared" si="125"/>
        <v>-1.1313708498984762</v>
      </c>
      <c r="N339" s="20">
        <f t="shared" si="126"/>
        <v>1.1313708498984765</v>
      </c>
      <c r="O339" s="20" t="e">
        <f t="shared" si="127"/>
        <v>#N/A</v>
      </c>
      <c r="P339" s="20" t="e">
        <f t="shared" si="128"/>
        <v>#N/A</v>
      </c>
      <c r="Q339" s="20" t="e">
        <f t="shared" si="129"/>
        <v>#N/A</v>
      </c>
      <c r="R339" s="20" t="e">
        <f t="shared" si="130"/>
        <v>#N/A</v>
      </c>
      <c r="S339" s="20" t="e">
        <f t="shared" si="131"/>
        <v>#N/A</v>
      </c>
      <c r="T339" s="20" t="e">
        <f t="shared" si="132"/>
        <v>#N/A</v>
      </c>
      <c r="U339" s="3"/>
      <c r="AA339" s="4"/>
    </row>
    <row r="340" spans="1:27" x14ac:dyDescent="0.25">
      <c r="A340">
        <f t="shared" si="135"/>
        <v>338</v>
      </c>
      <c r="B340">
        <f t="shared" si="116"/>
        <v>7</v>
      </c>
      <c r="C340">
        <f t="shared" si="119"/>
        <v>1.6000000000000005</v>
      </c>
      <c r="D340" s="15">
        <f t="shared" si="117"/>
        <v>2.8125</v>
      </c>
      <c r="E340">
        <f t="shared" si="120"/>
        <v>1</v>
      </c>
      <c r="F340" s="3">
        <f t="shared" si="133"/>
        <v>137.8125</v>
      </c>
      <c r="G340" s="3">
        <f t="shared" si="134"/>
        <v>2.4052818754046852</v>
      </c>
      <c r="H340" s="18">
        <f t="shared" si="121"/>
        <v>-1.1855218005679347</v>
      </c>
      <c r="I340" s="3">
        <f t="shared" si="122"/>
        <v>1.0744943277552301</v>
      </c>
      <c r="J340" s="19" t="str">
        <f t="shared" si="118"/>
        <v>C</v>
      </c>
      <c r="K340" s="20" t="e">
        <f t="shared" si="123"/>
        <v>#N/A</v>
      </c>
      <c r="L340" s="20" t="e">
        <f t="shared" si="124"/>
        <v>#N/A</v>
      </c>
      <c r="M340" s="20">
        <f t="shared" si="125"/>
        <v>-1.1855218005679347</v>
      </c>
      <c r="N340" s="20">
        <f t="shared" si="126"/>
        <v>1.0744943277552301</v>
      </c>
      <c r="O340" s="20" t="e">
        <f t="shared" si="127"/>
        <v>#N/A</v>
      </c>
      <c r="P340" s="20" t="e">
        <f t="shared" si="128"/>
        <v>#N/A</v>
      </c>
      <c r="Q340" s="20" t="e">
        <f t="shared" si="129"/>
        <v>#N/A</v>
      </c>
      <c r="R340" s="20" t="e">
        <f t="shared" si="130"/>
        <v>#N/A</v>
      </c>
      <c r="S340" s="20" t="e">
        <f t="shared" si="131"/>
        <v>#N/A</v>
      </c>
      <c r="T340" s="20" t="e">
        <f t="shared" si="132"/>
        <v>#N/A</v>
      </c>
      <c r="U340" s="3"/>
      <c r="AA340" s="4"/>
    </row>
    <row r="341" spans="1:27" x14ac:dyDescent="0.25">
      <c r="A341">
        <f t="shared" si="135"/>
        <v>339</v>
      </c>
      <c r="B341">
        <f t="shared" si="116"/>
        <v>7</v>
      </c>
      <c r="C341">
        <f t="shared" si="119"/>
        <v>1.6000000000000005</v>
      </c>
      <c r="D341" s="15">
        <f t="shared" si="117"/>
        <v>2.8125</v>
      </c>
      <c r="E341">
        <f t="shared" si="120"/>
        <v>1</v>
      </c>
      <c r="F341" s="3">
        <f t="shared" si="133"/>
        <v>140.625</v>
      </c>
      <c r="G341" s="3">
        <f t="shared" si="134"/>
        <v>2.454369260617026</v>
      </c>
      <c r="H341" s="18">
        <f t="shared" si="121"/>
        <v>-1.2368167253803797</v>
      </c>
      <c r="I341" s="3">
        <f t="shared" si="122"/>
        <v>1.0150292546618331</v>
      </c>
      <c r="J341" s="19" t="str">
        <f t="shared" si="118"/>
        <v>C</v>
      </c>
      <c r="K341" s="20" t="e">
        <f t="shared" si="123"/>
        <v>#N/A</v>
      </c>
      <c r="L341" s="20" t="e">
        <f t="shared" si="124"/>
        <v>#N/A</v>
      </c>
      <c r="M341" s="20">
        <f t="shared" si="125"/>
        <v>-1.2368167253803797</v>
      </c>
      <c r="N341" s="20">
        <f t="shared" si="126"/>
        <v>1.0150292546618331</v>
      </c>
      <c r="O341" s="20" t="e">
        <f t="shared" si="127"/>
        <v>#N/A</v>
      </c>
      <c r="P341" s="20" t="e">
        <f t="shared" si="128"/>
        <v>#N/A</v>
      </c>
      <c r="Q341" s="20" t="e">
        <f t="shared" si="129"/>
        <v>#N/A</v>
      </c>
      <c r="R341" s="20" t="e">
        <f t="shared" si="130"/>
        <v>#N/A</v>
      </c>
      <c r="S341" s="20" t="e">
        <f t="shared" si="131"/>
        <v>#N/A</v>
      </c>
      <c r="T341" s="20" t="e">
        <f t="shared" si="132"/>
        <v>#N/A</v>
      </c>
      <c r="U341" s="3"/>
      <c r="AA341" s="4"/>
    </row>
    <row r="342" spans="1:27" x14ac:dyDescent="0.25">
      <c r="A342">
        <f t="shared" si="135"/>
        <v>340</v>
      </c>
      <c r="B342">
        <f t="shared" si="116"/>
        <v>7</v>
      </c>
      <c r="C342">
        <f t="shared" si="119"/>
        <v>1.6000000000000005</v>
      </c>
      <c r="D342" s="15">
        <f t="shared" si="117"/>
        <v>2.8125</v>
      </c>
      <c r="E342">
        <f t="shared" si="120"/>
        <v>1</v>
      </c>
      <c r="F342" s="3">
        <f t="shared" si="133"/>
        <v>143.4375</v>
      </c>
      <c r="G342" s="3">
        <f t="shared" si="134"/>
        <v>2.5034566458293663</v>
      </c>
      <c r="H342" s="18">
        <f t="shared" si="121"/>
        <v>-1.2851320503690322</v>
      </c>
      <c r="I342" s="3">
        <f t="shared" si="122"/>
        <v>0.95311888718789384</v>
      </c>
      <c r="J342" s="19" t="str">
        <f t="shared" si="118"/>
        <v>C</v>
      </c>
      <c r="K342" s="20" t="e">
        <f t="shared" si="123"/>
        <v>#N/A</v>
      </c>
      <c r="L342" s="20" t="e">
        <f t="shared" si="124"/>
        <v>#N/A</v>
      </c>
      <c r="M342" s="20">
        <f t="shared" si="125"/>
        <v>-1.2851320503690322</v>
      </c>
      <c r="N342" s="20">
        <f t="shared" si="126"/>
        <v>0.95311888718789384</v>
      </c>
      <c r="O342" s="20" t="e">
        <f t="shared" si="127"/>
        <v>#N/A</v>
      </c>
      <c r="P342" s="20" t="e">
        <f t="shared" si="128"/>
        <v>#N/A</v>
      </c>
      <c r="Q342" s="20" t="e">
        <f t="shared" si="129"/>
        <v>#N/A</v>
      </c>
      <c r="R342" s="20" t="e">
        <f t="shared" si="130"/>
        <v>#N/A</v>
      </c>
      <c r="S342" s="20" t="e">
        <f t="shared" si="131"/>
        <v>#N/A</v>
      </c>
      <c r="T342" s="20" t="e">
        <f t="shared" si="132"/>
        <v>#N/A</v>
      </c>
      <c r="U342" s="3"/>
      <c r="AA342" s="4"/>
    </row>
    <row r="343" spans="1:27" x14ac:dyDescent="0.25">
      <c r="A343">
        <f t="shared" si="135"/>
        <v>341</v>
      </c>
      <c r="B343">
        <f t="shared" si="116"/>
        <v>7</v>
      </c>
      <c r="C343">
        <f t="shared" si="119"/>
        <v>1.6000000000000005</v>
      </c>
      <c r="D343" s="15">
        <f t="shared" si="117"/>
        <v>2.8125</v>
      </c>
      <c r="E343">
        <f t="shared" si="120"/>
        <v>1</v>
      </c>
      <c r="F343" s="3">
        <f t="shared" si="133"/>
        <v>146.25</v>
      </c>
      <c r="G343" s="3">
        <f t="shared" si="134"/>
        <v>2.5525440310417071</v>
      </c>
      <c r="H343" s="18">
        <f t="shared" si="121"/>
        <v>-1.3303513796840729</v>
      </c>
      <c r="I343" s="3">
        <f t="shared" si="122"/>
        <v>0.88891237283136382</v>
      </c>
      <c r="J343" s="19" t="str">
        <f t="shared" si="118"/>
        <v>C</v>
      </c>
      <c r="K343" s="20" t="e">
        <f t="shared" si="123"/>
        <v>#N/A</v>
      </c>
      <c r="L343" s="20" t="e">
        <f t="shared" si="124"/>
        <v>#N/A</v>
      </c>
      <c r="M343" s="20">
        <f t="shared" si="125"/>
        <v>-1.3303513796840729</v>
      </c>
      <c r="N343" s="20">
        <f t="shared" si="126"/>
        <v>0.88891237283136382</v>
      </c>
      <c r="O343" s="20" t="e">
        <f t="shared" si="127"/>
        <v>#N/A</v>
      </c>
      <c r="P343" s="20" t="e">
        <f t="shared" si="128"/>
        <v>#N/A</v>
      </c>
      <c r="Q343" s="20" t="e">
        <f t="shared" si="129"/>
        <v>#N/A</v>
      </c>
      <c r="R343" s="20" t="e">
        <f t="shared" si="130"/>
        <v>#N/A</v>
      </c>
      <c r="S343" s="20" t="e">
        <f t="shared" si="131"/>
        <v>#N/A</v>
      </c>
      <c r="T343" s="20" t="e">
        <f t="shared" si="132"/>
        <v>#N/A</v>
      </c>
      <c r="U343" s="3"/>
      <c r="AA343" s="4"/>
    </row>
    <row r="344" spans="1:27" x14ac:dyDescent="0.25">
      <c r="A344">
        <f t="shared" si="135"/>
        <v>342</v>
      </c>
      <c r="B344">
        <f t="shared" si="116"/>
        <v>7</v>
      </c>
      <c r="C344">
        <f t="shared" si="119"/>
        <v>1.6000000000000005</v>
      </c>
      <c r="D344" s="15">
        <f t="shared" si="117"/>
        <v>2.8125</v>
      </c>
      <c r="E344">
        <f t="shared" si="120"/>
        <v>1</v>
      </c>
      <c r="F344" s="3">
        <f t="shared" si="133"/>
        <v>149.0625</v>
      </c>
      <c r="G344" s="3">
        <f t="shared" si="134"/>
        <v>2.6016314162540475</v>
      </c>
      <c r="H344" s="18">
        <f t="shared" si="121"/>
        <v>-1.3723657760004357</v>
      </c>
      <c r="I344" s="3">
        <f t="shared" si="122"/>
        <v>0.8225643907091551</v>
      </c>
      <c r="J344" s="19" t="str">
        <f t="shared" si="118"/>
        <v>C</v>
      </c>
      <c r="K344" s="20" t="e">
        <f t="shared" si="123"/>
        <v>#N/A</v>
      </c>
      <c r="L344" s="20" t="e">
        <f t="shared" si="124"/>
        <v>#N/A</v>
      </c>
      <c r="M344" s="20">
        <f t="shared" si="125"/>
        <v>-1.3723657760004357</v>
      </c>
      <c r="N344" s="20">
        <f t="shared" si="126"/>
        <v>0.8225643907091551</v>
      </c>
      <c r="O344" s="20" t="e">
        <f t="shared" si="127"/>
        <v>#N/A</v>
      </c>
      <c r="P344" s="20" t="e">
        <f t="shared" si="128"/>
        <v>#N/A</v>
      </c>
      <c r="Q344" s="20" t="e">
        <f t="shared" si="129"/>
        <v>#N/A</v>
      </c>
      <c r="R344" s="20" t="e">
        <f t="shared" si="130"/>
        <v>#N/A</v>
      </c>
      <c r="S344" s="20" t="e">
        <f t="shared" si="131"/>
        <v>#N/A</v>
      </c>
      <c r="T344" s="20" t="e">
        <f t="shared" si="132"/>
        <v>#N/A</v>
      </c>
      <c r="U344" s="3"/>
      <c r="AA344" s="4"/>
    </row>
    <row r="345" spans="1:27" x14ac:dyDescent="0.25">
      <c r="A345">
        <f t="shared" si="135"/>
        <v>343</v>
      </c>
      <c r="B345">
        <f t="shared" si="116"/>
        <v>7</v>
      </c>
      <c r="C345">
        <f t="shared" si="119"/>
        <v>1.6000000000000005</v>
      </c>
      <c r="D345" s="15">
        <f t="shared" si="117"/>
        <v>2.8125</v>
      </c>
      <c r="E345">
        <f t="shared" si="120"/>
        <v>1</v>
      </c>
      <c r="F345" s="3">
        <f t="shared" si="133"/>
        <v>151.875</v>
      </c>
      <c r="G345" s="3">
        <f t="shared" si="134"/>
        <v>2.6507188014663878</v>
      </c>
      <c r="H345" s="18">
        <f t="shared" si="121"/>
        <v>-1.4110740229573684</v>
      </c>
      <c r="I345" s="3">
        <f t="shared" si="122"/>
        <v>0.75423477892159685</v>
      </c>
      <c r="J345" s="19" t="str">
        <f t="shared" si="118"/>
        <v>LD</v>
      </c>
      <c r="K345" s="20" t="e">
        <f t="shared" si="123"/>
        <v>#N/A</v>
      </c>
      <c r="L345" s="20" t="e">
        <f t="shared" si="124"/>
        <v>#N/A</v>
      </c>
      <c r="M345" s="20" t="e">
        <f t="shared" si="125"/>
        <v>#N/A</v>
      </c>
      <c r="N345" s="20" t="e">
        <f t="shared" si="126"/>
        <v>#N/A</v>
      </c>
      <c r="O345" s="20">
        <f t="shared" si="127"/>
        <v>-1.4110740229573684</v>
      </c>
      <c r="P345" s="20">
        <f t="shared" si="128"/>
        <v>0.75423477892159685</v>
      </c>
      <c r="Q345" s="20" t="e">
        <f t="shared" si="129"/>
        <v>#N/A</v>
      </c>
      <c r="R345" s="20" t="e">
        <f t="shared" si="130"/>
        <v>#N/A</v>
      </c>
      <c r="S345" s="20" t="e">
        <f t="shared" si="131"/>
        <v>#N/A</v>
      </c>
      <c r="T345" s="20" t="e">
        <f t="shared" si="132"/>
        <v>#N/A</v>
      </c>
      <c r="U345" s="3"/>
      <c r="AA345" s="4"/>
    </row>
    <row r="346" spans="1:27" x14ac:dyDescent="0.25">
      <c r="A346">
        <f t="shared" si="135"/>
        <v>344</v>
      </c>
      <c r="B346">
        <f t="shared" si="116"/>
        <v>7</v>
      </c>
      <c r="C346">
        <f t="shared" si="119"/>
        <v>1.6000000000000005</v>
      </c>
      <c r="D346" s="15">
        <f t="shared" si="117"/>
        <v>2.8125</v>
      </c>
      <c r="E346">
        <f t="shared" si="120"/>
        <v>1</v>
      </c>
      <c r="F346" s="3">
        <f t="shared" si="133"/>
        <v>154.6875</v>
      </c>
      <c r="G346" s="3">
        <f t="shared" si="134"/>
        <v>2.6998061866787286</v>
      </c>
      <c r="H346" s="18">
        <f t="shared" si="121"/>
        <v>-1.4463828689975098</v>
      </c>
      <c r="I346" s="3">
        <f t="shared" si="122"/>
        <v>0.68408814948845142</v>
      </c>
      <c r="J346" s="19" t="str">
        <f t="shared" si="118"/>
        <v>LD</v>
      </c>
      <c r="K346" s="20" t="e">
        <f t="shared" si="123"/>
        <v>#N/A</v>
      </c>
      <c r="L346" s="20" t="e">
        <f t="shared" si="124"/>
        <v>#N/A</v>
      </c>
      <c r="M346" s="20" t="e">
        <f t="shared" si="125"/>
        <v>#N/A</v>
      </c>
      <c r="N346" s="20" t="e">
        <f t="shared" si="126"/>
        <v>#N/A</v>
      </c>
      <c r="O346" s="20">
        <f t="shared" si="127"/>
        <v>-1.4463828689975098</v>
      </c>
      <c r="P346" s="20">
        <f t="shared" si="128"/>
        <v>0.68408814948845142</v>
      </c>
      <c r="Q346" s="20" t="e">
        <f t="shared" si="129"/>
        <v>#N/A</v>
      </c>
      <c r="R346" s="20" t="e">
        <f t="shared" si="130"/>
        <v>#N/A</v>
      </c>
      <c r="S346" s="20" t="e">
        <f t="shared" si="131"/>
        <v>#N/A</v>
      </c>
      <c r="T346" s="20" t="e">
        <f t="shared" si="132"/>
        <v>#N/A</v>
      </c>
      <c r="U346" s="3"/>
      <c r="AA346" s="4"/>
    </row>
    <row r="347" spans="1:27" x14ac:dyDescent="0.25">
      <c r="A347">
        <f t="shared" si="135"/>
        <v>345</v>
      </c>
      <c r="B347">
        <f t="shared" si="116"/>
        <v>7</v>
      </c>
      <c r="C347">
        <f t="shared" si="119"/>
        <v>1.6000000000000005</v>
      </c>
      <c r="D347" s="15">
        <f t="shared" si="117"/>
        <v>2.8125</v>
      </c>
      <c r="E347">
        <f t="shared" si="120"/>
        <v>1</v>
      </c>
      <c r="F347" s="3">
        <f t="shared" si="133"/>
        <v>157.5</v>
      </c>
      <c r="G347" s="3">
        <f t="shared" si="134"/>
        <v>2.748893571891069</v>
      </c>
      <c r="H347" s="18">
        <f t="shared" si="121"/>
        <v>-1.4782072520180594</v>
      </c>
      <c r="I347" s="3">
        <f t="shared" si="122"/>
        <v>0.61229349178414405</v>
      </c>
      <c r="J347" s="19" t="str">
        <f t="shared" si="118"/>
        <v>LD</v>
      </c>
      <c r="K347" s="20" t="e">
        <f t="shared" si="123"/>
        <v>#N/A</v>
      </c>
      <c r="L347" s="20" t="e">
        <f t="shared" si="124"/>
        <v>#N/A</v>
      </c>
      <c r="M347" s="20" t="e">
        <f t="shared" si="125"/>
        <v>#N/A</v>
      </c>
      <c r="N347" s="20" t="e">
        <f t="shared" si="126"/>
        <v>#N/A</v>
      </c>
      <c r="O347" s="20">
        <f t="shared" si="127"/>
        <v>-1.4782072520180594</v>
      </c>
      <c r="P347" s="20">
        <f t="shared" si="128"/>
        <v>0.61229349178414405</v>
      </c>
      <c r="Q347" s="20" t="e">
        <f t="shared" si="129"/>
        <v>#N/A</v>
      </c>
      <c r="R347" s="20" t="e">
        <f t="shared" si="130"/>
        <v>#N/A</v>
      </c>
      <c r="S347" s="20" t="e">
        <f t="shared" si="131"/>
        <v>#N/A</v>
      </c>
      <c r="T347" s="20" t="e">
        <f t="shared" si="132"/>
        <v>#N/A</v>
      </c>
      <c r="U347" s="3"/>
      <c r="AA347" s="4"/>
    </row>
    <row r="348" spans="1:27" x14ac:dyDescent="0.25">
      <c r="A348">
        <f t="shared" si="135"/>
        <v>346</v>
      </c>
      <c r="B348">
        <f t="shared" si="116"/>
        <v>7</v>
      </c>
      <c r="C348">
        <f t="shared" si="119"/>
        <v>1.6000000000000005</v>
      </c>
      <c r="D348" s="15">
        <f t="shared" si="117"/>
        <v>2.8125</v>
      </c>
      <c r="E348">
        <f t="shared" si="120"/>
        <v>1</v>
      </c>
      <c r="F348" s="3">
        <f t="shared" si="133"/>
        <v>160.3125</v>
      </c>
      <c r="G348" s="3">
        <f t="shared" si="134"/>
        <v>2.7979809571034093</v>
      </c>
      <c r="H348" s="18">
        <f t="shared" si="121"/>
        <v>-1.5064705042928337</v>
      </c>
      <c r="I348" s="3">
        <f t="shared" si="122"/>
        <v>0.5390237654275527</v>
      </c>
      <c r="J348" s="19" t="str">
        <f t="shared" si="118"/>
        <v>LD</v>
      </c>
      <c r="K348" s="20" t="e">
        <f t="shared" si="123"/>
        <v>#N/A</v>
      </c>
      <c r="L348" s="20" t="e">
        <f t="shared" si="124"/>
        <v>#N/A</v>
      </c>
      <c r="M348" s="20" t="e">
        <f t="shared" si="125"/>
        <v>#N/A</v>
      </c>
      <c r="N348" s="20" t="e">
        <f t="shared" si="126"/>
        <v>#N/A</v>
      </c>
      <c r="O348" s="20">
        <f t="shared" si="127"/>
        <v>-1.5064705042928337</v>
      </c>
      <c r="P348" s="20">
        <f t="shared" si="128"/>
        <v>0.5390237654275527</v>
      </c>
      <c r="Q348" s="20" t="e">
        <f t="shared" si="129"/>
        <v>#N/A</v>
      </c>
      <c r="R348" s="20" t="e">
        <f t="shared" si="130"/>
        <v>#N/A</v>
      </c>
      <c r="S348" s="20" t="e">
        <f t="shared" si="131"/>
        <v>#N/A</v>
      </c>
      <c r="T348" s="20" t="e">
        <f t="shared" si="132"/>
        <v>#N/A</v>
      </c>
      <c r="U348" s="3"/>
      <c r="AA348" s="4"/>
    </row>
    <row r="349" spans="1:27" x14ac:dyDescent="0.25">
      <c r="A349">
        <f t="shared" si="135"/>
        <v>347</v>
      </c>
      <c r="B349">
        <f t="shared" si="116"/>
        <v>7</v>
      </c>
      <c r="C349">
        <f t="shared" si="119"/>
        <v>1.6000000000000005</v>
      </c>
      <c r="D349" s="15">
        <f t="shared" si="117"/>
        <v>2.8125</v>
      </c>
      <c r="E349">
        <f t="shared" si="120"/>
        <v>1</v>
      </c>
      <c r="F349" s="3">
        <f t="shared" si="133"/>
        <v>163.125</v>
      </c>
      <c r="G349" s="3">
        <f t="shared" si="134"/>
        <v>2.8470683423157501</v>
      </c>
      <c r="H349" s="18">
        <f t="shared" si="121"/>
        <v>-1.5311045371715346</v>
      </c>
      <c r="I349" s="3">
        <f t="shared" si="122"/>
        <v>0.46445548360713995</v>
      </c>
      <c r="J349" s="19" t="str">
        <f t="shared" si="118"/>
        <v>LD</v>
      </c>
      <c r="K349" s="20" t="e">
        <f t="shared" si="123"/>
        <v>#N/A</v>
      </c>
      <c r="L349" s="20" t="e">
        <f t="shared" si="124"/>
        <v>#N/A</v>
      </c>
      <c r="M349" s="20" t="e">
        <f t="shared" si="125"/>
        <v>#N/A</v>
      </c>
      <c r="N349" s="20" t="e">
        <f t="shared" si="126"/>
        <v>#N/A</v>
      </c>
      <c r="O349" s="20">
        <f t="shared" si="127"/>
        <v>-1.5311045371715346</v>
      </c>
      <c r="P349" s="20">
        <f t="shared" si="128"/>
        <v>0.46445548360713995</v>
      </c>
      <c r="Q349" s="20" t="e">
        <f t="shared" si="129"/>
        <v>#N/A</v>
      </c>
      <c r="R349" s="20" t="e">
        <f t="shared" si="130"/>
        <v>#N/A</v>
      </c>
      <c r="S349" s="20" t="e">
        <f t="shared" si="131"/>
        <v>#N/A</v>
      </c>
      <c r="T349" s="20" t="e">
        <f t="shared" si="132"/>
        <v>#N/A</v>
      </c>
      <c r="U349" s="3"/>
      <c r="AA349" s="4"/>
    </row>
    <row r="350" spans="1:27" x14ac:dyDescent="0.25">
      <c r="A350">
        <f t="shared" si="135"/>
        <v>348</v>
      </c>
      <c r="B350">
        <f t="shared" si="116"/>
        <v>7</v>
      </c>
      <c r="C350">
        <f t="shared" si="119"/>
        <v>1.6000000000000005</v>
      </c>
      <c r="D350" s="15">
        <f t="shared" si="117"/>
        <v>2.8125</v>
      </c>
      <c r="E350">
        <f t="shared" si="120"/>
        <v>1</v>
      </c>
      <c r="F350" s="3">
        <f t="shared" si="133"/>
        <v>165.9375</v>
      </c>
      <c r="G350" s="3">
        <f t="shared" si="134"/>
        <v>2.8961557275280905</v>
      </c>
      <c r="H350" s="18">
        <f t="shared" si="121"/>
        <v>-1.5520500051112709</v>
      </c>
      <c r="I350" s="3">
        <f t="shared" si="122"/>
        <v>0.38876828784522266</v>
      </c>
      <c r="J350" s="19" t="str">
        <f t="shared" si="118"/>
        <v>LD</v>
      </c>
      <c r="K350" s="20" t="e">
        <f t="shared" si="123"/>
        <v>#N/A</v>
      </c>
      <c r="L350" s="20" t="e">
        <f t="shared" si="124"/>
        <v>#N/A</v>
      </c>
      <c r="M350" s="20" t="e">
        <f t="shared" si="125"/>
        <v>#N/A</v>
      </c>
      <c r="N350" s="20" t="e">
        <f t="shared" si="126"/>
        <v>#N/A</v>
      </c>
      <c r="O350" s="20">
        <f t="shared" si="127"/>
        <v>-1.5520500051112709</v>
      </c>
      <c r="P350" s="20">
        <f t="shared" si="128"/>
        <v>0.38876828784522266</v>
      </c>
      <c r="Q350" s="20" t="e">
        <f t="shared" si="129"/>
        <v>#N/A</v>
      </c>
      <c r="R350" s="20" t="e">
        <f t="shared" si="130"/>
        <v>#N/A</v>
      </c>
      <c r="S350" s="20" t="e">
        <f t="shared" si="131"/>
        <v>#N/A</v>
      </c>
      <c r="T350" s="20" t="e">
        <f t="shared" si="132"/>
        <v>#N/A</v>
      </c>
      <c r="U350" s="3"/>
      <c r="AA350" s="4"/>
    </row>
    <row r="351" spans="1:27" x14ac:dyDescent="0.25">
      <c r="A351">
        <f t="shared" si="135"/>
        <v>349</v>
      </c>
      <c r="B351">
        <f t="shared" si="116"/>
        <v>7</v>
      </c>
      <c r="C351">
        <f t="shared" si="119"/>
        <v>1.6000000000000005</v>
      </c>
      <c r="D351" s="15">
        <f t="shared" si="117"/>
        <v>2.8125</v>
      </c>
      <c r="E351">
        <f t="shared" si="120"/>
        <v>1</v>
      </c>
      <c r="F351" s="3">
        <f t="shared" si="133"/>
        <v>168.75</v>
      </c>
      <c r="G351" s="3">
        <f t="shared" si="134"/>
        <v>2.9452431127404308</v>
      </c>
      <c r="H351" s="18">
        <f t="shared" si="121"/>
        <v>-1.5692564486451692</v>
      </c>
      <c r="I351" s="3">
        <f t="shared" si="122"/>
        <v>0.31214451522580589</v>
      </c>
      <c r="J351" s="19" t="str">
        <f t="shared" si="118"/>
        <v>LD</v>
      </c>
      <c r="K351" s="20" t="e">
        <f t="shared" si="123"/>
        <v>#N/A</v>
      </c>
      <c r="L351" s="20" t="e">
        <f t="shared" si="124"/>
        <v>#N/A</v>
      </c>
      <c r="M351" s="20" t="e">
        <f t="shared" si="125"/>
        <v>#N/A</v>
      </c>
      <c r="N351" s="20" t="e">
        <f t="shared" si="126"/>
        <v>#N/A</v>
      </c>
      <c r="O351" s="20">
        <f t="shared" si="127"/>
        <v>-1.5692564486451692</v>
      </c>
      <c r="P351" s="20">
        <f t="shared" si="128"/>
        <v>0.31214451522580589</v>
      </c>
      <c r="Q351" s="20" t="e">
        <f t="shared" si="129"/>
        <v>#N/A</v>
      </c>
      <c r="R351" s="20" t="e">
        <f t="shared" si="130"/>
        <v>#N/A</v>
      </c>
      <c r="S351" s="20" t="e">
        <f t="shared" si="131"/>
        <v>#N/A</v>
      </c>
      <c r="T351" s="20" t="e">
        <f t="shared" si="132"/>
        <v>#N/A</v>
      </c>
      <c r="U351" s="3"/>
      <c r="AA351" s="4"/>
    </row>
    <row r="352" spans="1:27" x14ac:dyDescent="0.25">
      <c r="A352">
        <f t="shared" si="135"/>
        <v>350</v>
      </c>
      <c r="B352">
        <f t="shared" si="116"/>
        <v>7</v>
      </c>
      <c r="C352">
        <f t="shared" si="119"/>
        <v>1.6000000000000005</v>
      </c>
      <c r="D352" s="15">
        <f t="shared" si="117"/>
        <v>2.8125</v>
      </c>
      <c r="E352">
        <f t="shared" si="120"/>
        <v>1</v>
      </c>
      <c r="F352" s="3">
        <f t="shared" si="133"/>
        <v>171.5625</v>
      </c>
      <c r="G352" s="3">
        <f t="shared" si="134"/>
        <v>2.9943304979527716</v>
      </c>
      <c r="H352" s="18">
        <f t="shared" si="121"/>
        <v>-1.5826824159436501</v>
      </c>
      <c r="I352" s="3">
        <f t="shared" si="122"/>
        <v>0.23476875912857897</v>
      </c>
      <c r="J352" s="19" t="str">
        <f t="shared" si="118"/>
        <v>SNP</v>
      </c>
      <c r="K352" s="20" t="e">
        <f t="shared" si="123"/>
        <v>#N/A</v>
      </c>
      <c r="L352" s="20" t="e">
        <f t="shared" si="124"/>
        <v>#N/A</v>
      </c>
      <c r="M352" s="20" t="e">
        <f t="shared" si="125"/>
        <v>#N/A</v>
      </c>
      <c r="N352" s="20" t="e">
        <f t="shared" si="126"/>
        <v>#N/A</v>
      </c>
      <c r="O352" s="20" t="e">
        <f t="shared" si="127"/>
        <v>#N/A</v>
      </c>
      <c r="P352" s="20" t="e">
        <f t="shared" si="128"/>
        <v>#N/A</v>
      </c>
      <c r="Q352" s="20">
        <f t="shared" si="129"/>
        <v>-1.5826824159436501</v>
      </c>
      <c r="R352" s="20">
        <f t="shared" si="130"/>
        <v>0.23476875912857897</v>
      </c>
      <c r="S352" s="20" t="e">
        <f t="shared" si="131"/>
        <v>#N/A</v>
      </c>
      <c r="T352" s="20" t="e">
        <f t="shared" si="132"/>
        <v>#N/A</v>
      </c>
      <c r="U352" s="3"/>
      <c r="AA352" s="4"/>
    </row>
    <row r="353" spans="1:27" x14ac:dyDescent="0.25">
      <c r="A353">
        <f t="shared" si="135"/>
        <v>351</v>
      </c>
      <c r="B353">
        <f t="shared" si="116"/>
        <v>7</v>
      </c>
      <c r="C353">
        <f t="shared" si="119"/>
        <v>1.6000000000000005</v>
      </c>
      <c r="D353" s="15">
        <f t="shared" si="117"/>
        <v>2.8125</v>
      </c>
      <c r="E353">
        <f t="shared" si="120"/>
        <v>1</v>
      </c>
      <c r="F353" s="3">
        <f t="shared" si="133"/>
        <v>174.375</v>
      </c>
      <c r="G353" s="3">
        <f t="shared" si="134"/>
        <v>3.043417883165112</v>
      </c>
      <c r="H353" s="18">
        <f t="shared" si="121"/>
        <v>-1.5922955626755155</v>
      </c>
      <c r="I353" s="3">
        <f t="shared" si="122"/>
        <v>0.15682742452729737</v>
      </c>
      <c r="J353" s="19" t="str">
        <f t="shared" si="118"/>
        <v>Oth</v>
      </c>
      <c r="K353" s="20" t="e">
        <f t="shared" si="123"/>
        <v>#N/A</v>
      </c>
      <c r="L353" s="20" t="e">
        <f t="shared" si="124"/>
        <v>#N/A</v>
      </c>
      <c r="M353" s="20" t="e">
        <f t="shared" si="125"/>
        <v>#N/A</v>
      </c>
      <c r="N353" s="20" t="e">
        <f t="shared" si="126"/>
        <v>#N/A</v>
      </c>
      <c r="O353" s="20" t="e">
        <f t="shared" si="127"/>
        <v>#N/A</v>
      </c>
      <c r="P353" s="20" t="e">
        <f t="shared" si="128"/>
        <v>#N/A</v>
      </c>
      <c r="Q353" s="20" t="e">
        <f t="shared" si="129"/>
        <v>#N/A</v>
      </c>
      <c r="R353" s="20" t="e">
        <f t="shared" si="130"/>
        <v>#N/A</v>
      </c>
      <c r="S353" s="20">
        <f t="shared" si="131"/>
        <v>-1.5922955626755155</v>
      </c>
      <c r="T353" s="20">
        <f t="shared" si="132"/>
        <v>0.15682742452729737</v>
      </c>
      <c r="U353" s="3"/>
      <c r="AA353" s="4"/>
    </row>
    <row r="354" spans="1:27" x14ac:dyDescent="0.25">
      <c r="A354">
        <f t="shared" si="135"/>
        <v>352</v>
      </c>
      <c r="B354">
        <f t="shared" si="116"/>
        <v>7</v>
      </c>
      <c r="C354">
        <f t="shared" si="119"/>
        <v>1.6000000000000005</v>
      </c>
      <c r="D354" s="15">
        <f t="shared" si="117"/>
        <v>2.8125</v>
      </c>
      <c r="E354">
        <f t="shared" si="120"/>
        <v>1</v>
      </c>
      <c r="F354" s="3">
        <f t="shared" si="133"/>
        <v>177.1875</v>
      </c>
      <c r="G354" s="3">
        <f t="shared" si="134"/>
        <v>3.0925052683774528</v>
      </c>
      <c r="H354" s="18">
        <f t="shared" si="121"/>
        <v>-1.5980727299282764</v>
      </c>
      <c r="I354" s="3">
        <f t="shared" si="122"/>
        <v>7.8508278923868774E-2</v>
      </c>
      <c r="J354" s="19" t="str">
        <f t="shared" si="118"/>
        <v>Oth</v>
      </c>
      <c r="K354" s="20" t="e">
        <f t="shared" si="123"/>
        <v>#N/A</v>
      </c>
      <c r="L354" s="20" t="e">
        <f t="shared" si="124"/>
        <v>#N/A</v>
      </c>
      <c r="M354" s="20" t="e">
        <f t="shared" si="125"/>
        <v>#N/A</v>
      </c>
      <c r="N354" s="20" t="e">
        <f t="shared" si="126"/>
        <v>#N/A</v>
      </c>
      <c r="O354" s="20" t="e">
        <f t="shared" si="127"/>
        <v>#N/A</v>
      </c>
      <c r="P354" s="20" t="e">
        <f t="shared" si="128"/>
        <v>#N/A</v>
      </c>
      <c r="Q354" s="20" t="e">
        <f t="shared" si="129"/>
        <v>#N/A</v>
      </c>
      <c r="R354" s="20" t="e">
        <f t="shared" si="130"/>
        <v>#N/A</v>
      </c>
      <c r="S354" s="20">
        <f t="shared" si="131"/>
        <v>-1.5980727299282764</v>
      </c>
      <c r="T354" s="20">
        <f t="shared" si="132"/>
        <v>7.8508278923868774E-2</v>
      </c>
      <c r="U354" s="3"/>
      <c r="AA354" s="4"/>
    </row>
    <row r="355" spans="1:27" x14ac:dyDescent="0.25">
      <c r="A355">
        <f t="shared" si="135"/>
        <v>353</v>
      </c>
      <c r="B355">
        <f t="shared" si="116"/>
        <v>7</v>
      </c>
      <c r="C355">
        <f t="shared" si="119"/>
        <v>1.6000000000000005</v>
      </c>
      <c r="D355" s="15">
        <f t="shared" si="117"/>
        <v>2.8125</v>
      </c>
      <c r="E355">
        <f t="shared" si="120"/>
        <v>1</v>
      </c>
      <c r="F355" s="3">
        <f t="shared" si="133"/>
        <v>180</v>
      </c>
      <c r="G355" s="3">
        <f t="shared" si="134"/>
        <v>3.1415926535897931</v>
      </c>
      <c r="H355" s="18">
        <f t="shared" si="121"/>
        <v>-1.6000000000000005</v>
      </c>
      <c r="I355" s="3">
        <f t="shared" si="122"/>
        <v>1.9602375278537928E-16</v>
      </c>
      <c r="J355" s="19" t="str">
        <f t="shared" si="118"/>
        <v>Oth</v>
      </c>
      <c r="K355" s="20" t="e">
        <f t="shared" si="123"/>
        <v>#N/A</v>
      </c>
      <c r="L355" s="20" t="e">
        <f t="shared" si="124"/>
        <v>#N/A</v>
      </c>
      <c r="M355" s="20" t="e">
        <f t="shared" si="125"/>
        <v>#N/A</v>
      </c>
      <c r="N355" s="20" t="e">
        <f t="shared" si="126"/>
        <v>#N/A</v>
      </c>
      <c r="O355" s="20" t="e">
        <f t="shared" si="127"/>
        <v>#N/A</v>
      </c>
      <c r="P355" s="20" t="e">
        <f t="shared" si="128"/>
        <v>#N/A</v>
      </c>
      <c r="Q355" s="20" t="e">
        <f t="shared" si="129"/>
        <v>#N/A</v>
      </c>
      <c r="R355" s="20" t="e">
        <f t="shared" si="130"/>
        <v>#N/A</v>
      </c>
      <c r="S355" s="20">
        <f t="shared" si="131"/>
        <v>-1.6000000000000005</v>
      </c>
      <c r="T355" s="20">
        <f t="shared" si="132"/>
        <v>1.9602375278537928E-16</v>
      </c>
      <c r="U355" s="3"/>
      <c r="AA355" s="4"/>
    </row>
    <row r="356" spans="1:27" x14ac:dyDescent="0.25">
      <c r="A356">
        <f t="shared" si="135"/>
        <v>354</v>
      </c>
      <c r="B356">
        <f t="shared" si="116"/>
        <v>8</v>
      </c>
      <c r="C356">
        <f t="shared" si="119"/>
        <v>1.7000000000000006</v>
      </c>
      <c r="D356" s="15">
        <f t="shared" si="117"/>
        <v>2.6470588235294117</v>
      </c>
      <c r="E356">
        <f t="shared" si="120"/>
        <v>0</v>
      </c>
      <c r="F356" s="3">
        <f t="shared" si="133"/>
        <v>0</v>
      </c>
      <c r="G356" s="3">
        <f t="shared" si="134"/>
        <v>0</v>
      </c>
      <c r="H356" s="18">
        <f t="shared" si="121"/>
        <v>1.7000000000000006</v>
      </c>
      <c r="I356" s="3">
        <f t="shared" si="122"/>
        <v>0</v>
      </c>
      <c r="J356" s="19" t="str">
        <f t="shared" si="118"/>
        <v>L</v>
      </c>
      <c r="K356" s="20">
        <f t="shared" si="123"/>
        <v>1.7000000000000006</v>
      </c>
      <c r="L356" s="20">
        <f t="shared" si="124"/>
        <v>0</v>
      </c>
      <c r="M356" s="20" t="e">
        <f t="shared" si="125"/>
        <v>#N/A</v>
      </c>
      <c r="N356" s="20" t="e">
        <f t="shared" si="126"/>
        <v>#N/A</v>
      </c>
      <c r="O356" s="20" t="e">
        <f t="shared" si="127"/>
        <v>#N/A</v>
      </c>
      <c r="P356" s="20" t="e">
        <f t="shared" si="128"/>
        <v>#N/A</v>
      </c>
      <c r="Q356" s="20" t="e">
        <f t="shared" si="129"/>
        <v>#N/A</v>
      </c>
      <c r="R356" s="20" t="e">
        <f t="shared" si="130"/>
        <v>#N/A</v>
      </c>
      <c r="S356" s="20" t="e">
        <f t="shared" si="131"/>
        <v>#N/A</v>
      </c>
      <c r="T356" s="20" t="e">
        <f t="shared" si="132"/>
        <v>#N/A</v>
      </c>
      <c r="U356" s="3"/>
      <c r="AA356" s="4"/>
    </row>
    <row r="357" spans="1:27" x14ac:dyDescent="0.25">
      <c r="A357">
        <f t="shared" si="135"/>
        <v>355</v>
      </c>
      <c r="B357">
        <f t="shared" si="116"/>
        <v>8</v>
      </c>
      <c r="C357">
        <f t="shared" si="119"/>
        <v>1.7000000000000006</v>
      </c>
      <c r="D357" s="15">
        <f t="shared" si="117"/>
        <v>2.6470588235294117</v>
      </c>
      <c r="E357">
        <f t="shared" si="120"/>
        <v>1</v>
      </c>
      <c r="F357" s="3">
        <f t="shared" si="133"/>
        <v>2.6470588235294117</v>
      </c>
      <c r="G357" s="3">
        <f t="shared" si="134"/>
        <v>4.6199891964555782E-2</v>
      </c>
      <c r="H357" s="18">
        <f t="shared" si="121"/>
        <v>1.6981860571640337</v>
      </c>
      <c r="I357" s="3">
        <f t="shared" si="122"/>
        <v>7.8511879697757331E-2</v>
      </c>
      <c r="J357" s="19" t="str">
        <f t="shared" si="118"/>
        <v>L</v>
      </c>
      <c r="K357" s="20">
        <f t="shared" si="123"/>
        <v>1.6981860571640337</v>
      </c>
      <c r="L357" s="20">
        <f t="shared" si="124"/>
        <v>7.8511879697757331E-2</v>
      </c>
      <c r="M357" s="20" t="e">
        <f t="shared" si="125"/>
        <v>#N/A</v>
      </c>
      <c r="N357" s="20" t="e">
        <f t="shared" si="126"/>
        <v>#N/A</v>
      </c>
      <c r="O357" s="20" t="e">
        <f t="shared" si="127"/>
        <v>#N/A</v>
      </c>
      <c r="P357" s="20" t="e">
        <f t="shared" si="128"/>
        <v>#N/A</v>
      </c>
      <c r="Q357" s="20" t="e">
        <f t="shared" si="129"/>
        <v>#N/A</v>
      </c>
      <c r="R357" s="20" t="e">
        <f t="shared" si="130"/>
        <v>#N/A</v>
      </c>
      <c r="S357" s="20" t="e">
        <f t="shared" si="131"/>
        <v>#N/A</v>
      </c>
      <c r="T357" s="20" t="e">
        <f t="shared" si="132"/>
        <v>#N/A</v>
      </c>
      <c r="U357" s="3"/>
      <c r="AA357" s="4"/>
    </row>
    <row r="358" spans="1:27" x14ac:dyDescent="0.25">
      <c r="A358">
        <f t="shared" si="135"/>
        <v>356</v>
      </c>
      <c r="B358">
        <f t="shared" si="116"/>
        <v>8</v>
      </c>
      <c r="C358">
        <f t="shared" si="119"/>
        <v>1.7000000000000006</v>
      </c>
      <c r="D358" s="15">
        <f t="shared" si="117"/>
        <v>2.6470588235294117</v>
      </c>
      <c r="E358">
        <f t="shared" si="120"/>
        <v>1</v>
      </c>
      <c r="F358" s="3">
        <f t="shared" si="133"/>
        <v>5.2941176470588234</v>
      </c>
      <c r="G358" s="3">
        <f t="shared" si="134"/>
        <v>9.2399783929111565E-2</v>
      </c>
      <c r="H358" s="18">
        <f t="shared" si="121"/>
        <v>1.6927480997015592</v>
      </c>
      <c r="I358" s="3">
        <f t="shared" si="122"/>
        <v>0.15685621108761344</v>
      </c>
      <c r="J358" s="19" t="str">
        <f t="shared" si="118"/>
        <v>L</v>
      </c>
      <c r="K358" s="20">
        <f t="shared" si="123"/>
        <v>1.6927480997015592</v>
      </c>
      <c r="L358" s="20">
        <f t="shared" si="124"/>
        <v>0.15685621108761344</v>
      </c>
      <c r="M358" s="20" t="e">
        <f t="shared" si="125"/>
        <v>#N/A</v>
      </c>
      <c r="N358" s="20" t="e">
        <f t="shared" si="126"/>
        <v>#N/A</v>
      </c>
      <c r="O358" s="20" t="e">
        <f t="shared" si="127"/>
        <v>#N/A</v>
      </c>
      <c r="P358" s="20" t="e">
        <f t="shared" si="128"/>
        <v>#N/A</v>
      </c>
      <c r="Q358" s="20" t="e">
        <f t="shared" si="129"/>
        <v>#N/A</v>
      </c>
      <c r="R358" s="20" t="e">
        <f t="shared" si="130"/>
        <v>#N/A</v>
      </c>
      <c r="S358" s="20" t="e">
        <f t="shared" si="131"/>
        <v>#N/A</v>
      </c>
      <c r="T358" s="20" t="e">
        <f t="shared" si="132"/>
        <v>#N/A</v>
      </c>
      <c r="U358" s="3"/>
      <c r="AA358" s="4"/>
    </row>
    <row r="359" spans="1:27" x14ac:dyDescent="0.25">
      <c r="A359">
        <f t="shared" si="135"/>
        <v>357</v>
      </c>
      <c r="B359">
        <f t="shared" si="116"/>
        <v>8</v>
      </c>
      <c r="C359">
        <f t="shared" si="119"/>
        <v>1.7000000000000006</v>
      </c>
      <c r="D359" s="15">
        <f t="shared" si="117"/>
        <v>2.6470588235294117</v>
      </c>
      <c r="E359">
        <f t="shared" si="120"/>
        <v>1</v>
      </c>
      <c r="F359" s="3">
        <f t="shared" si="133"/>
        <v>7.9411764705882355</v>
      </c>
      <c r="G359" s="3">
        <f t="shared" si="134"/>
        <v>0.13859967589366734</v>
      </c>
      <c r="H359" s="18">
        <f t="shared" si="121"/>
        <v>1.6836977324878495</v>
      </c>
      <c r="I359" s="3">
        <f t="shared" si="122"/>
        <v>0.23486580341819982</v>
      </c>
      <c r="J359" s="19" t="str">
        <f t="shared" si="118"/>
        <v>L</v>
      </c>
      <c r="K359" s="20">
        <f t="shared" si="123"/>
        <v>1.6836977324878495</v>
      </c>
      <c r="L359" s="20">
        <f t="shared" si="124"/>
        <v>0.23486580341819982</v>
      </c>
      <c r="M359" s="20" t="e">
        <f t="shared" si="125"/>
        <v>#N/A</v>
      </c>
      <c r="N359" s="20" t="e">
        <f t="shared" si="126"/>
        <v>#N/A</v>
      </c>
      <c r="O359" s="20" t="e">
        <f t="shared" si="127"/>
        <v>#N/A</v>
      </c>
      <c r="P359" s="20" t="e">
        <f t="shared" si="128"/>
        <v>#N/A</v>
      </c>
      <c r="Q359" s="20" t="e">
        <f t="shared" si="129"/>
        <v>#N/A</v>
      </c>
      <c r="R359" s="20" t="e">
        <f t="shared" si="130"/>
        <v>#N/A</v>
      </c>
      <c r="S359" s="20" t="e">
        <f t="shared" si="131"/>
        <v>#N/A</v>
      </c>
      <c r="T359" s="20" t="e">
        <f t="shared" si="132"/>
        <v>#N/A</v>
      </c>
      <c r="U359" s="3"/>
      <c r="AA359" s="4"/>
    </row>
    <row r="360" spans="1:27" x14ac:dyDescent="0.25">
      <c r="A360">
        <f t="shared" si="135"/>
        <v>358</v>
      </c>
      <c r="B360">
        <f t="shared" si="116"/>
        <v>8</v>
      </c>
      <c r="C360">
        <f t="shared" si="119"/>
        <v>1.7000000000000006</v>
      </c>
      <c r="D360" s="15">
        <f t="shared" si="117"/>
        <v>2.6470588235294117</v>
      </c>
      <c r="E360">
        <f t="shared" si="120"/>
        <v>1</v>
      </c>
      <c r="F360" s="3">
        <f t="shared" si="133"/>
        <v>10.588235294117647</v>
      </c>
      <c r="G360" s="3">
        <f t="shared" si="134"/>
        <v>0.18479956785822313</v>
      </c>
      <c r="H360" s="18">
        <f t="shared" si="121"/>
        <v>1.6710542694626336</v>
      </c>
      <c r="I360" s="3">
        <f t="shared" si="122"/>
        <v>0.31237418028816971</v>
      </c>
      <c r="J360" s="19" t="str">
        <f t="shared" si="118"/>
        <v>L</v>
      </c>
      <c r="K360" s="20">
        <f t="shared" si="123"/>
        <v>1.6710542694626336</v>
      </c>
      <c r="L360" s="20">
        <f t="shared" si="124"/>
        <v>0.31237418028816971</v>
      </c>
      <c r="M360" s="20" t="e">
        <f t="shared" si="125"/>
        <v>#N/A</v>
      </c>
      <c r="N360" s="20" t="e">
        <f t="shared" si="126"/>
        <v>#N/A</v>
      </c>
      <c r="O360" s="20" t="e">
        <f t="shared" si="127"/>
        <v>#N/A</v>
      </c>
      <c r="P360" s="20" t="e">
        <f t="shared" si="128"/>
        <v>#N/A</v>
      </c>
      <c r="Q360" s="20" t="e">
        <f t="shared" si="129"/>
        <v>#N/A</v>
      </c>
      <c r="R360" s="20" t="e">
        <f t="shared" si="130"/>
        <v>#N/A</v>
      </c>
      <c r="S360" s="20" t="e">
        <f t="shared" si="131"/>
        <v>#N/A</v>
      </c>
      <c r="T360" s="20" t="e">
        <f t="shared" si="132"/>
        <v>#N/A</v>
      </c>
      <c r="U360" s="3"/>
      <c r="AA360" s="4"/>
    </row>
    <row r="361" spans="1:27" x14ac:dyDescent="0.25">
      <c r="A361">
        <f t="shared" si="135"/>
        <v>359</v>
      </c>
      <c r="B361">
        <f t="shared" si="116"/>
        <v>8</v>
      </c>
      <c r="C361">
        <f t="shared" si="119"/>
        <v>1.7000000000000006</v>
      </c>
      <c r="D361" s="15">
        <f t="shared" si="117"/>
        <v>2.6470588235294117</v>
      </c>
      <c r="E361">
        <f t="shared" si="120"/>
        <v>1</v>
      </c>
      <c r="F361" s="3">
        <f t="shared" si="133"/>
        <v>13.235294117647058</v>
      </c>
      <c r="G361" s="3">
        <f t="shared" si="134"/>
        <v>0.23099945982277886</v>
      </c>
      <c r="H361" s="18">
        <f t="shared" si="121"/>
        <v>1.6548446924131786</v>
      </c>
      <c r="I361" s="3">
        <f t="shared" si="122"/>
        <v>0.38921593491522799</v>
      </c>
      <c r="J361" s="19" t="str">
        <f t="shared" si="118"/>
        <v>L</v>
      </c>
      <c r="K361" s="20">
        <f t="shared" si="123"/>
        <v>1.6548446924131786</v>
      </c>
      <c r="L361" s="20">
        <f t="shared" si="124"/>
        <v>0.38921593491522799</v>
      </c>
      <c r="M361" s="20" t="e">
        <f t="shared" si="125"/>
        <v>#N/A</v>
      </c>
      <c r="N361" s="20" t="e">
        <f t="shared" si="126"/>
        <v>#N/A</v>
      </c>
      <c r="O361" s="20" t="e">
        <f t="shared" si="127"/>
        <v>#N/A</v>
      </c>
      <c r="P361" s="20" t="e">
        <f t="shared" si="128"/>
        <v>#N/A</v>
      </c>
      <c r="Q361" s="20" t="e">
        <f t="shared" si="129"/>
        <v>#N/A</v>
      </c>
      <c r="R361" s="20" t="e">
        <f t="shared" si="130"/>
        <v>#N/A</v>
      </c>
      <c r="S361" s="20" t="e">
        <f t="shared" si="131"/>
        <v>#N/A</v>
      </c>
      <c r="T361" s="20" t="e">
        <f t="shared" si="132"/>
        <v>#N/A</v>
      </c>
      <c r="U361" s="3"/>
      <c r="AA361" s="4"/>
    </row>
    <row r="362" spans="1:27" x14ac:dyDescent="0.25">
      <c r="A362">
        <f t="shared" si="135"/>
        <v>360</v>
      </c>
      <c r="B362">
        <f t="shared" si="116"/>
        <v>8</v>
      </c>
      <c r="C362">
        <f t="shared" si="119"/>
        <v>1.7000000000000006</v>
      </c>
      <c r="D362" s="15">
        <f t="shared" si="117"/>
        <v>2.6470588235294117</v>
      </c>
      <c r="E362">
        <f t="shared" si="120"/>
        <v>1</v>
      </c>
      <c r="F362" s="3">
        <f t="shared" si="133"/>
        <v>15.882352941176469</v>
      </c>
      <c r="G362" s="3">
        <f t="shared" si="134"/>
        <v>0.27719935178733468</v>
      </c>
      <c r="H362" s="18">
        <f t="shared" si="121"/>
        <v>1.635103593393793</v>
      </c>
      <c r="I362" s="3">
        <f t="shared" si="122"/>
        <v>0.46522708312254096</v>
      </c>
      <c r="J362" s="19" t="str">
        <f t="shared" si="118"/>
        <v>L</v>
      </c>
      <c r="K362" s="20">
        <f t="shared" si="123"/>
        <v>1.635103593393793</v>
      </c>
      <c r="L362" s="20">
        <f t="shared" si="124"/>
        <v>0.46522708312254096</v>
      </c>
      <c r="M362" s="20" t="e">
        <f t="shared" si="125"/>
        <v>#N/A</v>
      </c>
      <c r="N362" s="20" t="e">
        <f t="shared" si="126"/>
        <v>#N/A</v>
      </c>
      <c r="O362" s="20" t="e">
        <f t="shared" si="127"/>
        <v>#N/A</v>
      </c>
      <c r="P362" s="20" t="e">
        <f t="shared" si="128"/>
        <v>#N/A</v>
      </c>
      <c r="Q362" s="20" t="e">
        <f t="shared" si="129"/>
        <v>#N/A</v>
      </c>
      <c r="R362" s="20" t="e">
        <f t="shared" si="130"/>
        <v>#N/A</v>
      </c>
      <c r="S362" s="20" t="e">
        <f t="shared" si="131"/>
        <v>#N/A</v>
      </c>
      <c r="T362" s="20" t="e">
        <f t="shared" si="132"/>
        <v>#N/A</v>
      </c>
      <c r="U362" s="3"/>
      <c r="AA362" s="4"/>
    </row>
    <row r="363" spans="1:27" x14ac:dyDescent="0.25">
      <c r="A363">
        <f t="shared" si="135"/>
        <v>361</v>
      </c>
      <c r="B363">
        <f t="shared" si="116"/>
        <v>8</v>
      </c>
      <c r="C363">
        <f t="shared" si="119"/>
        <v>1.7000000000000006</v>
      </c>
      <c r="D363" s="15">
        <f t="shared" si="117"/>
        <v>2.6470588235294117</v>
      </c>
      <c r="E363">
        <f t="shared" si="120"/>
        <v>1</v>
      </c>
      <c r="F363" s="3">
        <f t="shared" si="133"/>
        <v>18.52941176470588</v>
      </c>
      <c r="G363" s="3">
        <f t="shared" si="134"/>
        <v>0.32339924375189044</v>
      </c>
      <c r="H363" s="18">
        <f t="shared" si="121"/>
        <v>1.6118731009046425</v>
      </c>
      <c r="I363" s="3">
        <f t="shared" si="122"/>
        <v>0.54024541328923292</v>
      </c>
      <c r="J363" s="19" t="str">
        <f t="shared" si="118"/>
        <v>L</v>
      </c>
      <c r="K363" s="20">
        <f t="shared" si="123"/>
        <v>1.6118731009046425</v>
      </c>
      <c r="L363" s="20">
        <f t="shared" si="124"/>
        <v>0.54024541328923292</v>
      </c>
      <c r="M363" s="20" t="e">
        <f t="shared" si="125"/>
        <v>#N/A</v>
      </c>
      <c r="N363" s="20" t="e">
        <f t="shared" si="126"/>
        <v>#N/A</v>
      </c>
      <c r="O363" s="20" t="e">
        <f t="shared" si="127"/>
        <v>#N/A</v>
      </c>
      <c r="P363" s="20" t="e">
        <f t="shared" si="128"/>
        <v>#N/A</v>
      </c>
      <c r="Q363" s="20" t="e">
        <f t="shared" si="129"/>
        <v>#N/A</v>
      </c>
      <c r="R363" s="20" t="e">
        <f t="shared" si="130"/>
        <v>#N/A</v>
      </c>
      <c r="S363" s="20" t="e">
        <f t="shared" si="131"/>
        <v>#N/A</v>
      </c>
      <c r="T363" s="20" t="e">
        <f t="shared" si="132"/>
        <v>#N/A</v>
      </c>
      <c r="U363" s="3"/>
      <c r="AA363" s="4"/>
    </row>
    <row r="364" spans="1:27" x14ac:dyDescent="0.25">
      <c r="A364">
        <f t="shared" si="135"/>
        <v>362</v>
      </c>
      <c r="B364">
        <f t="shared" si="116"/>
        <v>8</v>
      </c>
      <c r="C364">
        <f t="shared" si="119"/>
        <v>1.7000000000000006</v>
      </c>
      <c r="D364" s="15">
        <f t="shared" si="117"/>
        <v>2.6470588235294117</v>
      </c>
      <c r="E364">
        <f t="shared" si="120"/>
        <v>1</v>
      </c>
      <c r="F364" s="3">
        <f t="shared" si="133"/>
        <v>21.176470588235293</v>
      </c>
      <c r="G364" s="3">
        <f t="shared" si="134"/>
        <v>0.36959913571644626</v>
      </c>
      <c r="H364" s="18">
        <f t="shared" si="121"/>
        <v>1.5852027899874055</v>
      </c>
      <c r="I364" s="3">
        <f t="shared" si="122"/>
        <v>0.61411083251816023</v>
      </c>
      <c r="J364" s="19" t="str">
        <f t="shared" si="118"/>
        <v>L</v>
      </c>
      <c r="K364" s="20">
        <f t="shared" si="123"/>
        <v>1.5852027899874055</v>
      </c>
      <c r="L364" s="20">
        <f t="shared" si="124"/>
        <v>0.61411083251816023</v>
      </c>
      <c r="M364" s="20" t="e">
        <f t="shared" si="125"/>
        <v>#N/A</v>
      </c>
      <c r="N364" s="20" t="e">
        <f t="shared" si="126"/>
        <v>#N/A</v>
      </c>
      <c r="O364" s="20" t="e">
        <f t="shared" si="127"/>
        <v>#N/A</v>
      </c>
      <c r="P364" s="20" t="e">
        <f t="shared" si="128"/>
        <v>#N/A</v>
      </c>
      <c r="Q364" s="20" t="e">
        <f t="shared" si="129"/>
        <v>#N/A</v>
      </c>
      <c r="R364" s="20" t="e">
        <f t="shared" si="130"/>
        <v>#N/A</v>
      </c>
      <c r="S364" s="20" t="e">
        <f t="shared" si="131"/>
        <v>#N/A</v>
      </c>
      <c r="T364" s="20" t="e">
        <f t="shared" si="132"/>
        <v>#N/A</v>
      </c>
      <c r="U364" s="3"/>
      <c r="AA364" s="4"/>
    </row>
    <row r="365" spans="1:27" x14ac:dyDescent="0.25">
      <c r="A365">
        <f t="shared" si="135"/>
        <v>363</v>
      </c>
      <c r="B365">
        <f t="shared" si="116"/>
        <v>8</v>
      </c>
      <c r="C365">
        <f t="shared" si="119"/>
        <v>1.7000000000000006</v>
      </c>
      <c r="D365" s="15">
        <f t="shared" si="117"/>
        <v>2.6470588235294117</v>
      </c>
      <c r="E365">
        <f t="shared" si="120"/>
        <v>1</v>
      </c>
      <c r="F365" s="3">
        <f t="shared" si="133"/>
        <v>23.823529411764707</v>
      </c>
      <c r="G365" s="3">
        <f t="shared" si="134"/>
        <v>0.41579902768100202</v>
      </c>
      <c r="H365" s="18">
        <f t="shared" si="121"/>
        <v>1.5551495764296364</v>
      </c>
      <c r="I365" s="3">
        <f t="shared" si="122"/>
        <v>0.68666570828222162</v>
      </c>
      <c r="J365" s="19" t="str">
        <f t="shared" si="118"/>
        <v>L</v>
      </c>
      <c r="K365" s="20">
        <f t="shared" si="123"/>
        <v>1.5551495764296364</v>
      </c>
      <c r="L365" s="20">
        <f t="shared" si="124"/>
        <v>0.68666570828222162</v>
      </c>
      <c r="M365" s="20" t="e">
        <f t="shared" si="125"/>
        <v>#N/A</v>
      </c>
      <c r="N365" s="20" t="e">
        <f t="shared" si="126"/>
        <v>#N/A</v>
      </c>
      <c r="O365" s="20" t="e">
        <f t="shared" si="127"/>
        <v>#N/A</v>
      </c>
      <c r="P365" s="20" t="e">
        <f t="shared" si="128"/>
        <v>#N/A</v>
      </c>
      <c r="Q365" s="20" t="e">
        <f t="shared" si="129"/>
        <v>#N/A</v>
      </c>
      <c r="R365" s="20" t="e">
        <f t="shared" si="130"/>
        <v>#N/A</v>
      </c>
      <c r="S365" s="20" t="e">
        <f t="shared" si="131"/>
        <v>#N/A</v>
      </c>
      <c r="T365" s="20" t="e">
        <f t="shared" si="132"/>
        <v>#N/A</v>
      </c>
      <c r="U365" s="3"/>
      <c r="AA365" s="4"/>
    </row>
    <row r="366" spans="1:27" x14ac:dyDescent="0.25">
      <c r="A366">
        <f t="shared" si="135"/>
        <v>364</v>
      </c>
      <c r="B366">
        <f t="shared" si="116"/>
        <v>8</v>
      </c>
      <c r="C366">
        <f t="shared" si="119"/>
        <v>1.7000000000000006</v>
      </c>
      <c r="D366" s="15">
        <f t="shared" si="117"/>
        <v>2.6470588235294117</v>
      </c>
      <c r="E366">
        <f t="shared" si="120"/>
        <v>1</v>
      </c>
      <c r="F366" s="3">
        <f t="shared" si="133"/>
        <v>26.47058823529412</v>
      </c>
      <c r="G366" s="3">
        <f t="shared" si="134"/>
        <v>0.46199891964555784</v>
      </c>
      <c r="H366" s="18">
        <f t="shared" si="121"/>
        <v>1.5217775953036066</v>
      </c>
      <c r="I366" s="3">
        <f t="shared" si="122"/>
        <v>0.75775520482011527</v>
      </c>
      <c r="J366" s="19" t="str">
        <f t="shared" si="118"/>
        <v>L</v>
      </c>
      <c r="K366" s="20">
        <f t="shared" si="123"/>
        <v>1.5217775953036066</v>
      </c>
      <c r="L366" s="20">
        <f t="shared" si="124"/>
        <v>0.75775520482011527</v>
      </c>
      <c r="M366" s="20" t="e">
        <f t="shared" si="125"/>
        <v>#N/A</v>
      </c>
      <c r="N366" s="20" t="e">
        <f t="shared" si="126"/>
        <v>#N/A</v>
      </c>
      <c r="O366" s="20" t="e">
        <f t="shared" si="127"/>
        <v>#N/A</v>
      </c>
      <c r="P366" s="20" t="e">
        <f t="shared" si="128"/>
        <v>#N/A</v>
      </c>
      <c r="Q366" s="20" t="e">
        <f t="shared" si="129"/>
        <v>#N/A</v>
      </c>
      <c r="R366" s="20" t="e">
        <f t="shared" si="130"/>
        <v>#N/A</v>
      </c>
      <c r="S366" s="20" t="e">
        <f t="shared" si="131"/>
        <v>#N/A</v>
      </c>
      <c r="T366" s="20" t="e">
        <f t="shared" si="132"/>
        <v>#N/A</v>
      </c>
      <c r="U366" s="3"/>
      <c r="AA366" s="4"/>
    </row>
    <row r="367" spans="1:27" x14ac:dyDescent="0.25">
      <c r="A367">
        <f t="shared" si="135"/>
        <v>365</v>
      </c>
      <c r="B367">
        <f t="shared" si="116"/>
        <v>8</v>
      </c>
      <c r="C367">
        <f t="shared" si="119"/>
        <v>1.7000000000000006</v>
      </c>
      <c r="D367" s="15">
        <f t="shared" si="117"/>
        <v>2.6470588235294117</v>
      </c>
      <c r="E367">
        <f t="shared" si="120"/>
        <v>1</v>
      </c>
      <c r="F367" s="3">
        <f t="shared" si="133"/>
        <v>29.117647058823533</v>
      </c>
      <c r="G367" s="3">
        <f t="shared" si="134"/>
        <v>0.5081988116101136</v>
      </c>
      <c r="H367" s="18">
        <f t="shared" si="121"/>
        <v>1.4851580640988289</v>
      </c>
      <c r="I367" s="3">
        <f t="shared" si="122"/>
        <v>0.82722761356365604</v>
      </c>
      <c r="J367" s="19" t="str">
        <f t="shared" si="118"/>
        <v>L</v>
      </c>
      <c r="K367" s="20">
        <f t="shared" si="123"/>
        <v>1.4851580640988289</v>
      </c>
      <c r="L367" s="20">
        <f t="shared" si="124"/>
        <v>0.82722761356365604</v>
      </c>
      <c r="M367" s="20" t="e">
        <f t="shared" si="125"/>
        <v>#N/A</v>
      </c>
      <c r="N367" s="20" t="e">
        <f t="shared" si="126"/>
        <v>#N/A</v>
      </c>
      <c r="O367" s="20" t="e">
        <f t="shared" si="127"/>
        <v>#N/A</v>
      </c>
      <c r="P367" s="20" t="e">
        <f t="shared" si="128"/>
        <v>#N/A</v>
      </c>
      <c r="Q367" s="20" t="e">
        <f t="shared" si="129"/>
        <v>#N/A</v>
      </c>
      <c r="R367" s="20" t="e">
        <f t="shared" si="130"/>
        <v>#N/A</v>
      </c>
      <c r="S367" s="20" t="e">
        <f t="shared" si="131"/>
        <v>#N/A</v>
      </c>
      <c r="T367" s="20" t="e">
        <f t="shared" si="132"/>
        <v>#N/A</v>
      </c>
      <c r="U367" s="3"/>
      <c r="AA367" s="4"/>
    </row>
    <row r="368" spans="1:27" x14ac:dyDescent="0.25">
      <c r="A368">
        <f t="shared" si="135"/>
        <v>366</v>
      </c>
      <c r="B368">
        <f t="shared" si="116"/>
        <v>8</v>
      </c>
      <c r="C368">
        <f t="shared" si="119"/>
        <v>1.7000000000000006</v>
      </c>
      <c r="D368" s="15">
        <f t="shared" si="117"/>
        <v>2.6470588235294117</v>
      </c>
      <c r="E368">
        <f t="shared" si="120"/>
        <v>1</v>
      </c>
      <c r="F368" s="3">
        <f t="shared" si="133"/>
        <v>31.764705882352946</v>
      </c>
      <c r="G368" s="3">
        <f t="shared" si="134"/>
        <v>0.55439870357466936</v>
      </c>
      <c r="H368" s="18">
        <f t="shared" si="121"/>
        <v>1.4453691307403447</v>
      </c>
      <c r="I368" s="3">
        <f t="shared" si="122"/>
        <v>0.89493467689150508</v>
      </c>
      <c r="J368" s="19" t="str">
        <f t="shared" si="118"/>
        <v>L</v>
      </c>
      <c r="K368" s="20">
        <f t="shared" si="123"/>
        <v>1.4453691307403447</v>
      </c>
      <c r="L368" s="20">
        <f t="shared" si="124"/>
        <v>0.89493467689150508</v>
      </c>
      <c r="M368" s="20" t="e">
        <f t="shared" si="125"/>
        <v>#N/A</v>
      </c>
      <c r="N368" s="20" t="e">
        <f t="shared" si="126"/>
        <v>#N/A</v>
      </c>
      <c r="O368" s="20" t="e">
        <f t="shared" si="127"/>
        <v>#N/A</v>
      </c>
      <c r="P368" s="20" t="e">
        <f t="shared" si="128"/>
        <v>#N/A</v>
      </c>
      <c r="Q368" s="20" t="e">
        <f t="shared" si="129"/>
        <v>#N/A</v>
      </c>
      <c r="R368" s="20" t="e">
        <f t="shared" si="130"/>
        <v>#N/A</v>
      </c>
      <c r="S368" s="20" t="e">
        <f t="shared" si="131"/>
        <v>#N/A</v>
      </c>
      <c r="T368" s="20" t="e">
        <f t="shared" si="132"/>
        <v>#N/A</v>
      </c>
      <c r="U368" s="3"/>
      <c r="AA368" s="4"/>
    </row>
    <row r="369" spans="1:27" x14ac:dyDescent="0.25">
      <c r="A369">
        <f t="shared" si="135"/>
        <v>367</v>
      </c>
      <c r="B369">
        <f t="shared" si="116"/>
        <v>8</v>
      </c>
      <c r="C369">
        <f t="shared" si="119"/>
        <v>1.7000000000000006</v>
      </c>
      <c r="D369" s="15">
        <f t="shared" si="117"/>
        <v>2.6470588235294117</v>
      </c>
      <c r="E369">
        <f t="shared" si="120"/>
        <v>1</v>
      </c>
      <c r="F369" s="3">
        <f t="shared" si="133"/>
        <v>34.411764705882355</v>
      </c>
      <c r="G369" s="3">
        <f t="shared" si="134"/>
        <v>0.60059859553922523</v>
      </c>
      <c r="H369" s="18">
        <f t="shared" si="121"/>
        <v>1.4024957068171144</v>
      </c>
      <c r="I369" s="3">
        <f t="shared" si="122"/>
        <v>0.96073190451840651</v>
      </c>
      <c r="J369" s="19" t="str">
        <f t="shared" si="118"/>
        <v>L</v>
      </c>
      <c r="K369" s="20">
        <f t="shared" si="123"/>
        <v>1.4024957068171144</v>
      </c>
      <c r="L369" s="20">
        <f t="shared" si="124"/>
        <v>0.96073190451840651</v>
      </c>
      <c r="M369" s="20" t="e">
        <f t="shared" si="125"/>
        <v>#N/A</v>
      </c>
      <c r="N369" s="20" t="e">
        <f t="shared" si="126"/>
        <v>#N/A</v>
      </c>
      <c r="O369" s="20" t="e">
        <f t="shared" si="127"/>
        <v>#N/A</v>
      </c>
      <c r="P369" s="20" t="e">
        <f t="shared" si="128"/>
        <v>#N/A</v>
      </c>
      <c r="Q369" s="20" t="e">
        <f t="shared" si="129"/>
        <v>#N/A</v>
      </c>
      <c r="R369" s="20" t="e">
        <f t="shared" si="130"/>
        <v>#N/A</v>
      </c>
      <c r="S369" s="20" t="e">
        <f t="shared" si="131"/>
        <v>#N/A</v>
      </c>
      <c r="T369" s="20" t="e">
        <f t="shared" si="132"/>
        <v>#N/A</v>
      </c>
      <c r="U369" s="3"/>
      <c r="AA369" s="4"/>
    </row>
    <row r="370" spans="1:27" x14ac:dyDescent="0.25">
      <c r="A370">
        <f t="shared" si="135"/>
        <v>368</v>
      </c>
      <c r="B370">
        <f t="shared" si="116"/>
        <v>8</v>
      </c>
      <c r="C370">
        <f t="shared" si="119"/>
        <v>1.7000000000000006</v>
      </c>
      <c r="D370" s="15">
        <f t="shared" si="117"/>
        <v>2.6470588235294117</v>
      </c>
      <c r="E370">
        <f t="shared" si="120"/>
        <v>1</v>
      </c>
      <c r="F370" s="3">
        <f t="shared" si="133"/>
        <v>37.058823529411768</v>
      </c>
      <c r="G370" s="3">
        <f t="shared" si="134"/>
        <v>0.64679848750378099</v>
      </c>
      <c r="H370" s="18">
        <f t="shared" si="121"/>
        <v>1.3566292863764076</v>
      </c>
      <c r="I370" s="3">
        <f t="shared" si="122"/>
        <v>1.0244788818447363</v>
      </c>
      <c r="J370" s="19" t="str">
        <f t="shared" si="118"/>
        <v>L</v>
      </c>
      <c r="K370" s="20">
        <f t="shared" si="123"/>
        <v>1.3566292863764076</v>
      </c>
      <c r="L370" s="20">
        <f t="shared" si="124"/>
        <v>1.0244788818447363</v>
      </c>
      <c r="M370" s="20" t="e">
        <f t="shared" si="125"/>
        <v>#N/A</v>
      </c>
      <c r="N370" s="20" t="e">
        <f t="shared" si="126"/>
        <v>#N/A</v>
      </c>
      <c r="O370" s="20" t="e">
        <f t="shared" si="127"/>
        <v>#N/A</v>
      </c>
      <c r="P370" s="20" t="e">
        <f t="shared" si="128"/>
        <v>#N/A</v>
      </c>
      <c r="Q370" s="20" t="e">
        <f t="shared" si="129"/>
        <v>#N/A</v>
      </c>
      <c r="R370" s="20" t="e">
        <f t="shared" si="130"/>
        <v>#N/A</v>
      </c>
      <c r="S370" s="20" t="e">
        <f t="shared" si="131"/>
        <v>#N/A</v>
      </c>
      <c r="T370" s="20" t="e">
        <f t="shared" si="132"/>
        <v>#N/A</v>
      </c>
      <c r="U370" s="3"/>
      <c r="AA370" s="4"/>
    </row>
    <row r="371" spans="1:27" x14ac:dyDescent="0.25">
      <c r="A371">
        <f t="shared" si="135"/>
        <v>369</v>
      </c>
      <c r="B371">
        <f t="shared" si="116"/>
        <v>8</v>
      </c>
      <c r="C371">
        <f t="shared" si="119"/>
        <v>1.7000000000000006</v>
      </c>
      <c r="D371" s="15">
        <f t="shared" si="117"/>
        <v>2.6470588235294117</v>
      </c>
      <c r="E371">
        <f t="shared" si="120"/>
        <v>1</v>
      </c>
      <c r="F371" s="3">
        <f t="shared" si="133"/>
        <v>39.705882352941181</v>
      </c>
      <c r="G371" s="3">
        <f t="shared" si="134"/>
        <v>0.69299837946833676</v>
      </c>
      <c r="H371" s="18">
        <f t="shared" si="121"/>
        <v>1.3078677506708947</v>
      </c>
      <c r="I371" s="3">
        <f t="shared" si="122"/>
        <v>1.0860395696083345</v>
      </c>
      <c r="J371" s="19" t="str">
        <f t="shared" si="118"/>
        <v>L</v>
      </c>
      <c r="K371" s="20">
        <f t="shared" si="123"/>
        <v>1.3078677506708947</v>
      </c>
      <c r="L371" s="20">
        <f t="shared" si="124"/>
        <v>1.0860395696083345</v>
      </c>
      <c r="M371" s="20" t="e">
        <f t="shared" si="125"/>
        <v>#N/A</v>
      </c>
      <c r="N371" s="20" t="e">
        <f t="shared" si="126"/>
        <v>#N/A</v>
      </c>
      <c r="O371" s="20" t="e">
        <f t="shared" si="127"/>
        <v>#N/A</v>
      </c>
      <c r="P371" s="20" t="e">
        <f t="shared" si="128"/>
        <v>#N/A</v>
      </c>
      <c r="Q371" s="20" t="e">
        <f t="shared" si="129"/>
        <v>#N/A</v>
      </c>
      <c r="R371" s="20" t="e">
        <f t="shared" si="130"/>
        <v>#N/A</v>
      </c>
      <c r="S371" s="20" t="e">
        <f t="shared" si="131"/>
        <v>#N/A</v>
      </c>
      <c r="T371" s="20" t="e">
        <f t="shared" si="132"/>
        <v>#N/A</v>
      </c>
      <c r="U371" s="3"/>
      <c r="AA371" s="4"/>
    </row>
    <row r="372" spans="1:27" x14ac:dyDescent="0.25">
      <c r="A372">
        <f t="shared" si="135"/>
        <v>370</v>
      </c>
      <c r="B372">
        <f t="shared" si="116"/>
        <v>8</v>
      </c>
      <c r="C372">
        <f t="shared" si="119"/>
        <v>1.7000000000000006</v>
      </c>
      <c r="D372" s="15">
        <f t="shared" si="117"/>
        <v>2.6470588235294117</v>
      </c>
      <c r="E372">
        <f t="shared" si="120"/>
        <v>1</v>
      </c>
      <c r="F372" s="3">
        <f t="shared" si="133"/>
        <v>42.352941176470594</v>
      </c>
      <c r="G372" s="3">
        <f t="shared" si="134"/>
        <v>0.73919827143289263</v>
      </c>
      <c r="H372" s="18">
        <f t="shared" si="121"/>
        <v>1.2563151592751209</v>
      </c>
      <c r="I372" s="3">
        <f t="shared" si="122"/>
        <v>1.1452825941991478</v>
      </c>
      <c r="J372" s="19" t="str">
        <f t="shared" si="118"/>
        <v>L</v>
      </c>
      <c r="K372" s="20">
        <f t="shared" si="123"/>
        <v>1.2563151592751209</v>
      </c>
      <c r="L372" s="20">
        <f t="shared" si="124"/>
        <v>1.1452825941991478</v>
      </c>
      <c r="M372" s="20" t="e">
        <f t="shared" si="125"/>
        <v>#N/A</v>
      </c>
      <c r="N372" s="20" t="e">
        <f t="shared" si="126"/>
        <v>#N/A</v>
      </c>
      <c r="O372" s="20" t="e">
        <f t="shared" si="127"/>
        <v>#N/A</v>
      </c>
      <c r="P372" s="20" t="e">
        <f t="shared" si="128"/>
        <v>#N/A</v>
      </c>
      <c r="Q372" s="20" t="e">
        <f t="shared" si="129"/>
        <v>#N/A</v>
      </c>
      <c r="R372" s="20" t="e">
        <f t="shared" si="130"/>
        <v>#N/A</v>
      </c>
      <c r="S372" s="20" t="e">
        <f t="shared" si="131"/>
        <v>#N/A</v>
      </c>
      <c r="T372" s="20" t="e">
        <f t="shared" si="132"/>
        <v>#N/A</v>
      </c>
      <c r="U372" s="3"/>
      <c r="AA372" s="4"/>
    </row>
    <row r="373" spans="1:27" x14ac:dyDescent="0.25">
      <c r="A373">
        <f t="shared" si="135"/>
        <v>371</v>
      </c>
      <c r="B373">
        <f t="shared" si="116"/>
        <v>8</v>
      </c>
      <c r="C373">
        <f t="shared" si="119"/>
        <v>1.7000000000000006</v>
      </c>
      <c r="D373" s="15">
        <f t="shared" si="117"/>
        <v>2.6470588235294117</v>
      </c>
      <c r="E373">
        <f t="shared" si="120"/>
        <v>1</v>
      </c>
      <c r="F373" s="3">
        <f t="shared" si="133"/>
        <v>45.000000000000007</v>
      </c>
      <c r="G373" s="3">
        <f t="shared" si="134"/>
        <v>0.7853981633974485</v>
      </c>
      <c r="H373" s="18">
        <f t="shared" si="121"/>
        <v>1.2020815280171309</v>
      </c>
      <c r="I373" s="3">
        <f t="shared" si="122"/>
        <v>1.2020815280171315</v>
      </c>
      <c r="J373" s="19" t="str">
        <f t="shared" si="118"/>
        <v>L</v>
      </c>
      <c r="K373" s="20">
        <f t="shared" si="123"/>
        <v>1.2020815280171309</v>
      </c>
      <c r="L373" s="20">
        <f t="shared" si="124"/>
        <v>1.2020815280171315</v>
      </c>
      <c r="M373" s="20" t="e">
        <f t="shared" si="125"/>
        <v>#N/A</v>
      </c>
      <c r="N373" s="20" t="e">
        <f t="shared" si="126"/>
        <v>#N/A</v>
      </c>
      <c r="O373" s="20" t="e">
        <f t="shared" si="127"/>
        <v>#N/A</v>
      </c>
      <c r="P373" s="20" t="e">
        <f t="shared" si="128"/>
        <v>#N/A</v>
      </c>
      <c r="Q373" s="20" t="e">
        <f t="shared" si="129"/>
        <v>#N/A</v>
      </c>
      <c r="R373" s="20" t="e">
        <f t="shared" si="130"/>
        <v>#N/A</v>
      </c>
      <c r="S373" s="20" t="e">
        <f t="shared" si="131"/>
        <v>#N/A</v>
      </c>
      <c r="T373" s="20" t="e">
        <f t="shared" si="132"/>
        <v>#N/A</v>
      </c>
      <c r="U373" s="3"/>
      <c r="AA373" s="4"/>
    </row>
    <row r="374" spans="1:27" x14ac:dyDescent="0.25">
      <c r="A374">
        <f t="shared" si="135"/>
        <v>372</v>
      </c>
      <c r="B374">
        <f t="shared" si="116"/>
        <v>8</v>
      </c>
      <c r="C374">
        <f t="shared" si="119"/>
        <v>1.7000000000000006</v>
      </c>
      <c r="D374" s="15">
        <f t="shared" si="117"/>
        <v>2.6470588235294117</v>
      </c>
      <c r="E374">
        <f t="shared" si="120"/>
        <v>1</v>
      </c>
      <c r="F374" s="3">
        <f t="shared" si="133"/>
        <v>47.64705882352942</v>
      </c>
      <c r="G374" s="3">
        <f t="shared" si="134"/>
        <v>0.83159805536200426</v>
      </c>
      <c r="H374" s="18">
        <f t="shared" si="121"/>
        <v>1.1452825941991476</v>
      </c>
      <c r="I374" s="3">
        <f t="shared" si="122"/>
        <v>1.2563151592751212</v>
      </c>
      <c r="J374" s="19" t="str">
        <f t="shared" si="118"/>
        <v>L</v>
      </c>
      <c r="K374" s="20">
        <f t="shared" si="123"/>
        <v>1.1452825941991476</v>
      </c>
      <c r="L374" s="20">
        <f t="shared" si="124"/>
        <v>1.2563151592751212</v>
      </c>
      <c r="M374" s="20" t="e">
        <f t="shared" si="125"/>
        <v>#N/A</v>
      </c>
      <c r="N374" s="20" t="e">
        <f t="shared" si="126"/>
        <v>#N/A</v>
      </c>
      <c r="O374" s="20" t="e">
        <f t="shared" si="127"/>
        <v>#N/A</v>
      </c>
      <c r="P374" s="20" t="e">
        <f t="shared" si="128"/>
        <v>#N/A</v>
      </c>
      <c r="Q374" s="20" t="e">
        <f t="shared" si="129"/>
        <v>#N/A</v>
      </c>
      <c r="R374" s="20" t="e">
        <f t="shared" si="130"/>
        <v>#N/A</v>
      </c>
      <c r="S374" s="20" t="e">
        <f t="shared" si="131"/>
        <v>#N/A</v>
      </c>
      <c r="T374" s="20" t="e">
        <f t="shared" si="132"/>
        <v>#N/A</v>
      </c>
      <c r="U374" s="3"/>
      <c r="AA374" s="4"/>
    </row>
    <row r="375" spans="1:27" x14ac:dyDescent="0.25">
      <c r="A375">
        <f t="shared" si="135"/>
        <v>373</v>
      </c>
      <c r="B375">
        <f t="shared" si="116"/>
        <v>8</v>
      </c>
      <c r="C375">
        <f t="shared" si="119"/>
        <v>1.7000000000000006</v>
      </c>
      <c r="D375" s="15">
        <f t="shared" si="117"/>
        <v>2.6470588235294117</v>
      </c>
      <c r="E375">
        <f t="shared" si="120"/>
        <v>1</v>
      </c>
      <c r="F375" s="3">
        <f t="shared" si="133"/>
        <v>50.294117647058833</v>
      </c>
      <c r="G375" s="3">
        <f t="shared" si="134"/>
        <v>0.87779794732656002</v>
      </c>
      <c r="H375" s="18">
        <f t="shared" si="121"/>
        <v>1.0860395696083345</v>
      </c>
      <c r="I375" s="3">
        <f t="shared" si="122"/>
        <v>1.3078677506708949</v>
      </c>
      <c r="J375" s="19" t="str">
        <f t="shared" si="118"/>
        <v>L</v>
      </c>
      <c r="K375" s="20">
        <f t="shared" si="123"/>
        <v>1.0860395696083345</v>
      </c>
      <c r="L375" s="20">
        <f t="shared" si="124"/>
        <v>1.3078677506708949</v>
      </c>
      <c r="M375" s="20" t="e">
        <f t="shared" si="125"/>
        <v>#N/A</v>
      </c>
      <c r="N375" s="20" t="e">
        <f t="shared" si="126"/>
        <v>#N/A</v>
      </c>
      <c r="O375" s="20" t="e">
        <f t="shared" si="127"/>
        <v>#N/A</v>
      </c>
      <c r="P375" s="20" t="e">
        <f t="shared" si="128"/>
        <v>#N/A</v>
      </c>
      <c r="Q375" s="20" t="e">
        <f t="shared" si="129"/>
        <v>#N/A</v>
      </c>
      <c r="R375" s="20" t="e">
        <f t="shared" si="130"/>
        <v>#N/A</v>
      </c>
      <c r="S375" s="20" t="e">
        <f t="shared" si="131"/>
        <v>#N/A</v>
      </c>
      <c r="T375" s="20" t="e">
        <f t="shared" si="132"/>
        <v>#N/A</v>
      </c>
      <c r="U375" s="3"/>
      <c r="AA375" s="4"/>
    </row>
    <row r="376" spans="1:27" x14ac:dyDescent="0.25">
      <c r="A376">
        <f t="shared" si="135"/>
        <v>374</v>
      </c>
      <c r="B376">
        <f t="shared" si="116"/>
        <v>8</v>
      </c>
      <c r="C376">
        <f t="shared" si="119"/>
        <v>1.7000000000000006</v>
      </c>
      <c r="D376" s="15">
        <f t="shared" si="117"/>
        <v>2.6470588235294117</v>
      </c>
      <c r="E376">
        <f t="shared" si="120"/>
        <v>1</v>
      </c>
      <c r="F376" s="3">
        <f t="shared" si="133"/>
        <v>52.941176470588246</v>
      </c>
      <c r="G376" s="3">
        <f t="shared" si="134"/>
        <v>0.92399783929111579</v>
      </c>
      <c r="H376" s="18">
        <f t="shared" si="121"/>
        <v>1.0244788818447361</v>
      </c>
      <c r="I376" s="3">
        <f t="shared" si="122"/>
        <v>1.3566292863764078</v>
      </c>
      <c r="J376" s="19" t="str">
        <f t="shared" si="118"/>
        <v>L</v>
      </c>
      <c r="K376" s="20">
        <f t="shared" si="123"/>
        <v>1.0244788818447361</v>
      </c>
      <c r="L376" s="20">
        <f t="shared" si="124"/>
        <v>1.3566292863764078</v>
      </c>
      <c r="M376" s="20" t="e">
        <f t="shared" si="125"/>
        <v>#N/A</v>
      </c>
      <c r="N376" s="20" t="e">
        <f t="shared" si="126"/>
        <v>#N/A</v>
      </c>
      <c r="O376" s="20" t="e">
        <f t="shared" si="127"/>
        <v>#N/A</v>
      </c>
      <c r="P376" s="20" t="e">
        <f t="shared" si="128"/>
        <v>#N/A</v>
      </c>
      <c r="Q376" s="20" t="e">
        <f t="shared" si="129"/>
        <v>#N/A</v>
      </c>
      <c r="R376" s="20" t="e">
        <f t="shared" si="130"/>
        <v>#N/A</v>
      </c>
      <c r="S376" s="20" t="e">
        <f t="shared" si="131"/>
        <v>#N/A</v>
      </c>
      <c r="T376" s="20" t="e">
        <f t="shared" si="132"/>
        <v>#N/A</v>
      </c>
      <c r="U376" s="3"/>
      <c r="AA376" s="4"/>
    </row>
    <row r="377" spans="1:27" x14ac:dyDescent="0.25">
      <c r="A377">
        <f t="shared" si="135"/>
        <v>375</v>
      </c>
      <c r="B377">
        <f t="shared" si="116"/>
        <v>8</v>
      </c>
      <c r="C377">
        <f t="shared" si="119"/>
        <v>1.7000000000000006</v>
      </c>
      <c r="D377" s="15">
        <f t="shared" si="117"/>
        <v>2.6470588235294117</v>
      </c>
      <c r="E377">
        <f t="shared" si="120"/>
        <v>1</v>
      </c>
      <c r="F377" s="3">
        <f t="shared" si="133"/>
        <v>55.588235294117659</v>
      </c>
      <c r="G377" s="3">
        <f t="shared" si="134"/>
        <v>0.97019773125567166</v>
      </c>
      <c r="H377" s="18">
        <f t="shared" si="121"/>
        <v>0.96073190451840618</v>
      </c>
      <c r="I377" s="3">
        <f t="shared" si="122"/>
        <v>1.4024957068171147</v>
      </c>
      <c r="J377" s="19" t="str">
        <f t="shared" si="118"/>
        <v>L</v>
      </c>
      <c r="K377" s="20">
        <f t="shared" si="123"/>
        <v>0.96073190451840618</v>
      </c>
      <c r="L377" s="20">
        <f t="shared" si="124"/>
        <v>1.4024957068171147</v>
      </c>
      <c r="M377" s="20" t="e">
        <f t="shared" si="125"/>
        <v>#N/A</v>
      </c>
      <c r="N377" s="20" t="e">
        <f t="shared" si="126"/>
        <v>#N/A</v>
      </c>
      <c r="O377" s="20" t="e">
        <f t="shared" si="127"/>
        <v>#N/A</v>
      </c>
      <c r="P377" s="20" t="e">
        <f t="shared" si="128"/>
        <v>#N/A</v>
      </c>
      <c r="Q377" s="20" t="e">
        <f t="shared" si="129"/>
        <v>#N/A</v>
      </c>
      <c r="R377" s="20" t="e">
        <f t="shared" si="130"/>
        <v>#N/A</v>
      </c>
      <c r="S377" s="20" t="e">
        <f t="shared" si="131"/>
        <v>#N/A</v>
      </c>
      <c r="T377" s="20" t="e">
        <f t="shared" si="132"/>
        <v>#N/A</v>
      </c>
      <c r="U377" s="3"/>
      <c r="AA377" s="4"/>
    </row>
    <row r="378" spans="1:27" x14ac:dyDescent="0.25">
      <c r="A378">
        <f t="shared" si="135"/>
        <v>376</v>
      </c>
      <c r="B378">
        <f t="shared" si="116"/>
        <v>8</v>
      </c>
      <c r="C378">
        <f t="shared" si="119"/>
        <v>1.7000000000000006</v>
      </c>
      <c r="D378" s="15">
        <f t="shared" si="117"/>
        <v>2.6470588235294117</v>
      </c>
      <c r="E378">
        <f t="shared" si="120"/>
        <v>1</v>
      </c>
      <c r="F378" s="3">
        <f t="shared" si="133"/>
        <v>58.235294117647072</v>
      </c>
      <c r="G378" s="3">
        <f t="shared" si="134"/>
        <v>1.0163976232202274</v>
      </c>
      <c r="H378" s="18">
        <f t="shared" si="121"/>
        <v>0.89493467689150485</v>
      </c>
      <c r="I378" s="3">
        <f t="shared" si="122"/>
        <v>1.4453691307403447</v>
      </c>
      <c r="J378" s="19" t="str">
        <f t="shared" si="118"/>
        <v>L</v>
      </c>
      <c r="K378" s="20">
        <f t="shared" si="123"/>
        <v>0.89493467689150485</v>
      </c>
      <c r="L378" s="20">
        <f t="shared" si="124"/>
        <v>1.4453691307403447</v>
      </c>
      <c r="M378" s="20" t="e">
        <f t="shared" si="125"/>
        <v>#N/A</v>
      </c>
      <c r="N378" s="20" t="e">
        <f t="shared" si="126"/>
        <v>#N/A</v>
      </c>
      <c r="O378" s="20" t="e">
        <f t="shared" si="127"/>
        <v>#N/A</v>
      </c>
      <c r="P378" s="20" t="e">
        <f t="shared" si="128"/>
        <v>#N/A</v>
      </c>
      <c r="Q378" s="20" t="e">
        <f t="shared" si="129"/>
        <v>#N/A</v>
      </c>
      <c r="R378" s="20" t="e">
        <f t="shared" si="130"/>
        <v>#N/A</v>
      </c>
      <c r="S378" s="20" t="e">
        <f t="shared" si="131"/>
        <v>#N/A</v>
      </c>
      <c r="T378" s="20" t="e">
        <f t="shared" si="132"/>
        <v>#N/A</v>
      </c>
      <c r="U378" s="3"/>
      <c r="AA378" s="4"/>
    </row>
    <row r="379" spans="1:27" x14ac:dyDescent="0.25">
      <c r="A379">
        <f t="shared" si="135"/>
        <v>377</v>
      </c>
      <c r="B379">
        <f t="shared" si="116"/>
        <v>8</v>
      </c>
      <c r="C379">
        <f t="shared" si="119"/>
        <v>1.7000000000000006</v>
      </c>
      <c r="D379" s="15">
        <f t="shared" si="117"/>
        <v>2.6470588235294117</v>
      </c>
      <c r="E379">
        <f t="shared" si="120"/>
        <v>1</v>
      </c>
      <c r="F379" s="3">
        <f t="shared" si="133"/>
        <v>60.882352941176485</v>
      </c>
      <c r="G379" s="3">
        <f t="shared" si="134"/>
        <v>1.0625975151847833</v>
      </c>
      <c r="H379" s="18">
        <f t="shared" si="121"/>
        <v>0.82722761356365548</v>
      </c>
      <c r="I379" s="3">
        <f t="shared" si="122"/>
        <v>1.4851580640988291</v>
      </c>
      <c r="J379" s="19" t="str">
        <f t="shared" si="118"/>
        <v>L</v>
      </c>
      <c r="K379" s="20">
        <f t="shared" si="123"/>
        <v>0.82722761356365548</v>
      </c>
      <c r="L379" s="20">
        <f t="shared" si="124"/>
        <v>1.4851580640988291</v>
      </c>
      <c r="M379" s="20" t="e">
        <f t="shared" si="125"/>
        <v>#N/A</v>
      </c>
      <c r="N379" s="20" t="e">
        <f t="shared" si="126"/>
        <v>#N/A</v>
      </c>
      <c r="O379" s="20" t="e">
        <f t="shared" si="127"/>
        <v>#N/A</v>
      </c>
      <c r="P379" s="20" t="e">
        <f t="shared" si="128"/>
        <v>#N/A</v>
      </c>
      <c r="Q379" s="20" t="e">
        <f t="shared" si="129"/>
        <v>#N/A</v>
      </c>
      <c r="R379" s="20" t="e">
        <f t="shared" si="130"/>
        <v>#N/A</v>
      </c>
      <c r="S379" s="20" t="e">
        <f t="shared" si="131"/>
        <v>#N/A</v>
      </c>
      <c r="T379" s="20" t="e">
        <f t="shared" si="132"/>
        <v>#N/A</v>
      </c>
      <c r="U379" s="3"/>
      <c r="AA379" s="4"/>
    </row>
    <row r="380" spans="1:27" x14ac:dyDescent="0.25">
      <c r="A380">
        <f t="shared" si="135"/>
        <v>378</v>
      </c>
      <c r="B380">
        <f t="shared" si="116"/>
        <v>8</v>
      </c>
      <c r="C380">
        <f t="shared" si="119"/>
        <v>1.7000000000000006</v>
      </c>
      <c r="D380" s="15">
        <f t="shared" si="117"/>
        <v>2.6470588235294117</v>
      </c>
      <c r="E380">
        <f t="shared" si="120"/>
        <v>1</v>
      </c>
      <c r="F380" s="3">
        <f t="shared" si="133"/>
        <v>63.529411764705898</v>
      </c>
      <c r="G380" s="3">
        <f t="shared" si="134"/>
        <v>1.1087974071493389</v>
      </c>
      <c r="H380" s="18">
        <f t="shared" si="121"/>
        <v>0.75775520482011516</v>
      </c>
      <c r="I380" s="3">
        <f t="shared" si="122"/>
        <v>1.5217775953036066</v>
      </c>
      <c r="J380" s="19" t="str">
        <f t="shared" si="118"/>
        <v>L</v>
      </c>
      <c r="K380" s="20">
        <f t="shared" si="123"/>
        <v>0.75775520482011516</v>
      </c>
      <c r="L380" s="20">
        <f t="shared" si="124"/>
        <v>1.5217775953036066</v>
      </c>
      <c r="M380" s="20" t="e">
        <f t="shared" si="125"/>
        <v>#N/A</v>
      </c>
      <c r="N380" s="20" t="e">
        <f t="shared" si="126"/>
        <v>#N/A</v>
      </c>
      <c r="O380" s="20" t="e">
        <f t="shared" si="127"/>
        <v>#N/A</v>
      </c>
      <c r="P380" s="20" t="e">
        <f t="shared" si="128"/>
        <v>#N/A</v>
      </c>
      <c r="Q380" s="20" t="e">
        <f t="shared" si="129"/>
        <v>#N/A</v>
      </c>
      <c r="R380" s="20" t="e">
        <f t="shared" si="130"/>
        <v>#N/A</v>
      </c>
      <c r="S380" s="20" t="e">
        <f t="shared" si="131"/>
        <v>#N/A</v>
      </c>
      <c r="T380" s="20" t="e">
        <f t="shared" si="132"/>
        <v>#N/A</v>
      </c>
      <c r="U380" s="3"/>
      <c r="AA380" s="4"/>
    </row>
    <row r="381" spans="1:27" x14ac:dyDescent="0.25">
      <c r="A381">
        <f t="shared" si="135"/>
        <v>379</v>
      </c>
      <c r="B381">
        <f t="shared" si="116"/>
        <v>8</v>
      </c>
      <c r="C381">
        <f t="shared" si="119"/>
        <v>1.7000000000000006</v>
      </c>
      <c r="D381" s="15">
        <f t="shared" si="117"/>
        <v>2.6470588235294117</v>
      </c>
      <c r="E381">
        <f t="shared" si="120"/>
        <v>1</v>
      </c>
      <c r="F381" s="3">
        <f t="shared" si="133"/>
        <v>66.176470588235304</v>
      </c>
      <c r="G381" s="3">
        <f t="shared" si="134"/>
        <v>1.1549972991138948</v>
      </c>
      <c r="H381" s="18">
        <f t="shared" si="121"/>
        <v>0.68666570828222129</v>
      </c>
      <c r="I381" s="3">
        <f t="shared" si="122"/>
        <v>1.5551495764296364</v>
      </c>
      <c r="J381" s="19" t="str">
        <f t="shared" si="118"/>
        <v>L</v>
      </c>
      <c r="K381" s="20">
        <f t="shared" si="123"/>
        <v>0.68666570828222129</v>
      </c>
      <c r="L381" s="20">
        <f t="shared" si="124"/>
        <v>1.5551495764296364</v>
      </c>
      <c r="M381" s="20" t="e">
        <f t="shared" si="125"/>
        <v>#N/A</v>
      </c>
      <c r="N381" s="20" t="e">
        <f t="shared" si="126"/>
        <v>#N/A</v>
      </c>
      <c r="O381" s="20" t="e">
        <f t="shared" si="127"/>
        <v>#N/A</v>
      </c>
      <c r="P381" s="20" t="e">
        <f t="shared" si="128"/>
        <v>#N/A</v>
      </c>
      <c r="Q381" s="20" t="e">
        <f t="shared" si="129"/>
        <v>#N/A</v>
      </c>
      <c r="R381" s="20" t="e">
        <f t="shared" si="130"/>
        <v>#N/A</v>
      </c>
      <c r="S381" s="20" t="e">
        <f t="shared" si="131"/>
        <v>#N/A</v>
      </c>
      <c r="T381" s="20" t="e">
        <f t="shared" si="132"/>
        <v>#N/A</v>
      </c>
      <c r="U381" s="3"/>
      <c r="AA381" s="4"/>
    </row>
    <row r="382" spans="1:27" x14ac:dyDescent="0.25">
      <c r="A382">
        <f t="shared" si="135"/>
        <v>380</v>
      </c>
      <c r="B382">
        <f t="shared" si="116"/>
        <v>8</v>
      </c>
      <c r="C382">
        <f t="shared" si="119"/>
        <v>1.7000000000000006</v>
      </c>
      <c r="D382" s="15">
        <f t="shared" si="117"/>
        <v>2.6470588235294117</v>
      </c>
      <c r="E382">
        <f t="shared" si="120"/>
        <v>1</v>
      </c>
      <c r="F382" s="3">
        <f t="shared" si="133"/>
        <v>68.82352941176471</v>
      </c>
      <c r="G382" s="3">
        <f t="shared" si="134"/>
        <v>1.2011971910784505</v>
      </c>
      <c r="H382" s="18">
        <f t="shared" si="121"/>
        <v>0.61411083251816012</v>
      </c>
      <c r="I382" s="3">
        <f t="shared" si="122"/>
        <v>1.5852027899874055</v>
      </c>
      <c r="J382" s="19" t="str">
        <f t="shared" si="118"/>
        <v>L</v>
      </c>
      <c r="K382" s="20">
        <f t="shared" si="123"/>
        <v>0.61411083251816012</v>
      </c>
      <c r="L382" s="20">
        <f t="shared" si="124"/>
        <v>1.5852027899874055</v>
      </c>
      <c r="M382" s="20" t="e">
        <f t="shared" si="125"/>
        <v>#N/A</v>
      </c>
      <c r="N382" s="20" t="e">
        <f t="shared" si="126"/>
        <v>#N/A</v>
      </c>
      <c r="O382" s="20" t="e">
        <f t="shared" si="127"/>
        <v>#N/A</v>
      </c>
      <c r="P382" s="20" t="e">
        <f t="shared" si="128"/>
        <v>#N/A</v>
      </c>
      <c r="Q382" s="20" t="e">
        <f t="shared" si="129"/>
        <v>#N/A</v>
      </c>
      <c r="R382" s="20" t="e">
        <f t="shared" si="130"/>
        <v>#N/A</v>
      </c>
      <c r="S382" s="20" t="e">
        <f t="shared" si="131"/>
        <v>#N/A</v>
      </c>
      <c r="T382" s="20" t="e">
        <f t="shared" si="132"/>
        <v>#N/A</v>
      </c>
      <c r="U382" s="3"/>
      <c r="AA382" s="4"/>
    </row>
    <row r="383" spans="1:27" x14ac:dyDescent="0.25">
      <c r="A383">
        <f t="shared" si="135"/>
        <v>381</v>
      </c>
      <c r="B383">
        <f t="shared" si="116"/>
        <v>8</v>
      </c>
      <c r="C383">
        <f t="shared" si="119"/>
        <v>1.7000000000000006</v>
      </c>
      <c r="D383" s="15">
        <f t="shared" si="117"/>
        <v>2.6470588235294117</v>
      </c>
      <c r="E383">
        <f t="shared" si="120"/>
        <v>1</v>
      </c>
      <c r="F383" s="3">
        <f t="shared" si="133"/>
        <v>71.470588235294116</v>
      </c>
      <c r="G383" s="3">
        <f t="shared" si="134"/>
        <v>1.2473970830430061</v>
      </c>
      <c r="H383" s="18">
        <f t="shared" si="121"/>
        <v>0.54024541328923303</v>
      </c>
      <c r="I383" s="3">
        <f t="shared" si="122"/>
        <v>1.6118731009046425</v>
      </c>
      <c r="J383" s="19" t="str">
        <f t="shared" si="118"/>
        <v>L</v>
      </c>
      <c r="K383" s="20">
        <f t="shared" si="123"/>
        <v>0.54024541328923303</v>
      </c>
      <c r="L383" s="20">
        <f t="shared" si="124"/>
        <v>1.6118731009046425</v>
      </c>
      <c r="M383" s="20" t="e">
        <f t="shared" si="125"/>
        <v>#N/A</v>
      </c>
      <c r="N383" s="20" t="e">
        <f t="shared" si="126"/>
        <v>#N/A</v>
      </c>
      <c r="O383" s="20" t="e">
        <f t="shared" si="127"/>
        <v>#N/A</v>
      </c>
      <c r="P383" s="20" t="e">
        <f t="shared" si="128"/>
        <v>#N/A</v>
      </c>
      <c r="Q383" s="20" t="e">
        <f t="shared" si="129"/>
        <v>#N/A</v>
      </c>
      <c r="R383" s="20" t="e">
        <f t="shared" si="130"/>
        <v>#N/A</v>
      </c>
      <c r="S383" s="20" t="e">
        <f t="shared" si="131"/>
        <v>#N/A</v>
      </c>
      <c r="T383" s="20" t="e">
        <f t="shared" si="132"/>
        <v>#N/A</v>
      </c>
      <c r="U383" s="3"/>
      <c r="AA383" s="4"/>
    </row>
    <row r="384" spans="1:27" x14ac:dyDescent="0.25">
      <c r="A384">
        <f t="shared" si="135"/>
        <v>382</v>
      </c>
      <c r="B384">
        <f t="shared" si="116"/>
        <v>8</v>
      </c>
      <c r="C384">
        <f t="shared" si="119"/>
        <v>1.7000000000000006</v>
      </c>
      <c r="D384" s="15">
        <f t="shared" si="117"/>
        <v>2.6470588235294117</v>
      </c>
      <c r="E384">
        <f t="shared" si="120"/>
        <v>1</v>
      </c>
      <c r="F384" s="3">
        <f t="shared" si="133"/>
        <v>74.117647058823522</v>
      </c>
      <c r="G384" s="3">
        <f t="shared" si="134"/>
        <v>1.2935969750075618</v>
      </c>
      <c r="H384" s="18">
        <f t="shared" si="121"/>
        <v>0.4652270831225413</v>
      </c>
      <c r="I384" s="3">
        <f t="shared" si="122"/>
        <v>1.635103593393793</v>
      </c>
      <c r="J384" s="19" t="str">
        <f t="shared" si="118"/>
        <v>L</v>
      </c>
      <c r="K384" s="20">
        <f t="shared" si="123"/>
        <v>0.4652270831225413</v>
      </c>
      <c r="L384" s="20">
        <f t="shared" si="124"/>
        <v>1.635103593393793</v>
      </c>
      <c r="M384" s="20" t="e">
        <f t="shared" si="125"/>
        <v>#N/A</v>
      </c>
      <c r="N384" s="20" t="e">
        <f t="shared" si="126"/>
        <v>#N/A</v>
      </c>
      <c r="O384" s="20" t="e">
        <f t="shared" si="127"/>
        <v>#N/A</v>
      </c>
      <c r="P384" s="20" t="e">
        <f t="shared" si="128"/>
        <v>#N/A</v>
      </c>
      <c r="Q384" s="20" t="e">
        <f t="shared" si="129"/>
        <v>#N/A</v>
      </c>
      <c r="R384" s="20" t="e">
        <f t="shared" si="130"/>
        <v>#N/A</v>
      </c>
      <c r="S384" s="20" t="e">
        <f t="shared" si="131"/>
        <v>#N/A</v>
      </c>
      <c r="T384" s="20" t="e">
        <f t="shared" si="132"/>
        <v>#N/A</v>
      </c>
      <c r="U384" s="3"/>
      <c r="AA384" s="4"/>
    </row>
    <row r="385" spans="1:27" x14ac:dyDescent="0.25">
      <c r="A385">
        <f t="shared" si="135"/>
        <v>383</v>
      </c>
      <c r="B385">
        <f t="shared" si="116"/>
        <v>8</v>
      </c>
      <c r="C385">
        <f t="shared" si="119"/>
        <v>1.7000000000000006</v>
      </c>
      <c r="D385" s="15">
        <f t="shared" si="117"/>
        <v>2.6470588235294117</v>
      </c>
      <c r="E385">
        <f t="shared" si="120"/>
        <v>1</v>
      </c>
      <c r="F385" s="3">
        <f t="shared" si="133"/>
        <v>76.764705882352928</v>
      </c>
      <c r="G385" s="3">
        <f t="shared" si="134"/>
        <v>1.3397968669721174</v>
      </c>
      <c r="H385" s="18">
        <f t="shared" si="121"/>
        <v>0.38921593491522855</v>
      </c>
      <c r="I385" s="3">
        <f t="shared" si="122"/>
        <v>1.6548446924131783</v>
      </c>
      <c r="J385" s="19" t="str">
        <f t="shared" si="118"/>
        <v>L</v>
      </c>
      <c r="K385" s="20">
        <f t="shared" si="123"/>
        <v>0.38921593491522855</v>
      </c>
      <c r="L385" s="20">
        <f t="shared" si="124"/>
        <v>1.6548446924131783</v>
      </c>
      <c r="M385" s="20" t="e">
        <f t="shared" si="125"/>
        <v>#N/A</v>
      </c>
      <c r="N385" s="20" t="e">
        <f t="shared" si="126"/>
        <v>#N/A</v>
      </c>
      <c r="O385" s="20" t="e">
        <f t="shared" si="127"/>
        <v>#N/A</v>
      </c>
      <c r="P385" s="20" t="e">
        <f t="shared" si="128"/>
        <v>#N/A</v>
      </c>
      <c r="Q385" s="20" t="e">
        <f t="shared" si="129"/>
        <v>#N/A</v>
      </c>
      <c r="R385" s="20" t="e">
        <f t="shared" si="130"/>
        <v>#N/A</v>
      </c>
      <c r="S385" s="20" t="e">
        <f t="shared" si="131"/>
        <v>#N/A</v>
      </c>
      <c r="T385" s="20" t="e">
        <f t="shared" si="132"/>
        <v>#N/A</v>
      </c>
      <c r="U385" s="3"/>
      <c r="AA385" s="4"/>
    </row>
    <row r="386" spans="1:27" x14ac:dyDescent="0.25">
      <c r="A386">
        <f t="shared" si="135"/>
        <v>384</v>
      </c>
      <c r="B386">
        <f t="shared" si="116"/>
        <v>8</v>
      </c>
      <c r="C386">
        <f t="shared" si="119"/>
        <v>1.7000000000000006</v>
      </c>
      <c r="D386" s="15">
        <f t="shared" si="117"/>
        <v>2.6470588235294117</v>
      </c>
      <c r="E386">
        <f t="shared" si="120"/>
        <v>1</v>
      </c>
      <c r="F386" s="3">
        <f t="shared" si="133"/>
        <v>79.411764705882334</v>
      </c>
      <c r="G386" s="3">
        <f t="shared" si="134"/>
        <v>1.3859967589366731</v>
      </c>
      <c r="H386" s="18">
        <f t="shared" si="121"/>
        <v>0.31237418028817038</v>
      </c>
      <c r="I386" s="3">
        <f t="shared" si="122"/>
        <v>1.6710542694626334</v>
      </c>
      <c r="J386" s="19" t="str">
        <f t="shared" si="118"/>
        <v>L</v>
      </c>
      <c r="K386" s="20">
        <f t="shared" si="123"/>
        <v>0.31237418028817038</v>
      </c>
      <c r="L386" s="20">
        <f t="shared" si="124"/>
        <v>1.6710542694626334</v>
      </c>
      <c r="M386" s="20" t="e">
        <f t="shared" si="125"/>
        <v>#N/A</v>
      </c>
      <c r="N386" s="20" t="e">
        <f t="shared" si="126"/>
        <v>#N/A</v>
      </c>
      <c r="O386" s="20" t="e">
        <f t="shared" si="127"/>
        <v>#N/A</v>
      </c>
      <c r="P386" s="20" t="e">
        <f t="shared" si="128"/>
        <v>#N/A</v>
      </c>
      <c r="Q386" s="20" t="e">
        <f t="shared" si="129"/>
        <v>#N/A</v>
      </c>
      <c r="R386" s="20" t="e">
        <f t="shared" si="130"/>
        <v>#N/A</v>
      </c>
      <c r="S386" s="20" t="e">
        <f t="shared" si="131"/>
        <v>#N/A</v>
      </c>
      <c r="T386" s="20" t="e">
        <f t="shared" si="132"/>
        <v>#N/A</v>
      </c>
      <c r="U386" s="3"/>
      <c r="AA386" s="4"/>
    </row>
    <row r="387" spans="1:27" x14ac:dyDescent="0.25">
      <c r="A387">
        <f t="shared" si="135"/>
        <v>385</v>
      </c>
      <c r="B387">
        <f t="shared" ref="B387:B437" si="136">VLOOKUP(A387,$Y$2:$Z$13,2,1)</f>
        <v>8</v>
      </c>
      <c r="C387">
        <f t="shared" si="119"/>
        <v>1.7000000000000006</v>
      </c>
      <c r="D387" s="15">
        <f t="shared" ref="D387:D437" si="137">VLOOKUP(B387,$V$2:$AC$13,8,0)</f>
        <v>2.6470588235294117</v>
      </c>
      <c r="E387">
        <f t="shared" si="120"/>
        <v>1</v>
      </c>
      <c r="F387" s="3">
        <f t="shared" si="133"/>
        <v>82.05882352941174</v>
      </c>
      <c r="G387" s="3">
        <f t="shared" si="134"/>
        <v>1.4321966509012289</v>
      </c>
      <c r="H387" s="18">
        <f t="shared" si="121"/>
        <v>0.23486580341820038</v>
      </c>
      <c r="I387" s="3">
        <f t="shared" si="122"/>
        <v>1.6836977324878493</v>
      </c>
      <c r="J387" s="19" t="str">
        <f t="shared" ref="J387:J450" si="138">VLOOKUP(A387,$AQ$3:$AR$58,2,1)</f>
        <v>L</v>
      </c>
      <c r="K387" s="20">
        <f t="shared" si="123"/>
        <v>0.23486580341820038</v>
      </c>
      <c r="L387" s="20">
        <f t="shared" si="124"/>
        <v>1.6836977324878493</v>
      </c>
      <c r="M387" s="20" t="e">
        <f t="shared" si="125"/>
        <v>#N/A</v>
      </c>
      <c r="N387" s="20" t="e">
        <f t="shared" si="126"/>
        <v>#N/A</v>
      </c>
      <c r="O387" s="20" t="e">
        <f t="shared" si="127"/>
        <v>#N/A</v>
      </c>
      <c r="P387" s="20" t="e">
        <f t="shared" si="128"/>
        <v>#N/A</v>
      </c>
      <c r="Q387" s="20" t="e">
        <f t="shared" si="129"/>
        <v>#N/A</v>
      </c>
      <c r="R387" s="20" t="e">
        <f t="shared" si="130"/>
        <v>#N/A</v>
      </c>
      <c r="S387" s="20" t="e">
        <f t="shared" si="131"/>
        <v>#N/A</v>
      </c>
      <c r="T387" s="20" t="e">
        <f t="shared" si="132"/>
        <v>#N/A</v>
      </c>
      <c r="U387" s="3"/>
      <c r="AA387" s="4"/>
    </row>
    <row r="388" spans="1:27" x14ac:dyDescent="0.25">
      <c r="A388">
        <f t="shared" si="135"/>
        <v>386</v>
      </c>
      <c r="B388">
        <f t="shared" si="136"/>
        <v>8</v>
      </c>
      <c r="C388">
        <f t="shared" ref="C388:C437" si="139">VLOOKUP(B388,$V$2:$AB$14,7,0)</f>
        <v>1.7000000000000006</v>
      </c>
      <c r="D388" s="15">
        <f t="shared" si="137"/>
        <v>2.6470588235294117</v>
      </c>
      <c r="E388">
        <f t="shared" ref="E388:E437" si="140">IF(OR(A388=$Y$3,A388=$Y$4,A388=$Y$5,A388=$Y$6,A388=$Y$7,A388=$Y$8,A388=$Y$9,A388=$Y$10,A388=$Y$11,A388=$Y$12,A388=$Y$12),0,1)</f>
        <v>1</v>
      </c>
      <c r="F388" s="3">
        <f t="shared" si="133"/>
        <v>84.705882352941146</v>
      </c>
      <c r="G388" s="3">
        <f t="shared" si="134"/>
        <v>1.4783965428657844</v>
      </c>
      <c r="H388" s="18">
        <f t="shared" ref="H388:H437" si="141">C388*COS(G388)</f>
        <v>0.15685621108761461</v>
      </c>
      <c r="I388" s="3">
        <f t="shared" ref="I388:I437" si="142">C388*SIN(G388)</f>
        <v>1.6927480997015592</v>
      </c>
      <c r="J388" s="19" t="str">
        <f t="shared" si="138"/>
        <v>L</v>
      </c>
      <c r="K388" s="20">
        <f t="shared" ref="K388:K451" si="143">IF(J388="L",H388,NA())</f>
        <v>0.15685621108761461</v>
      </c>
      <c r="L388" s="20">
        <f t="shared" ref="L388:L451" si="144">IF(J388="l",I388,NA())</f>
        <v>1.6927480997015592</v>
      </c>
      <c r="M388" s="20" t="e">
        <f t="shared" ref="M388:M451" si="145">IF(J388="C",H388,NA())</f>
        <v>#N/A</v>
      </c>
      <c r="N388" s="20" t="e">
        <f t="shared" ref="N388:N451" si="146">IF(J388="C",I388,NA())</f>
        <v>#N/A</v>
      </c>
      <c r="O388" s="20" t="e">
        <f t="shared" ref="O388:O451" si="147">IF(J388="LD",H388,NA())</f>
        <v>#N/A</v>
      </c>
      <c r="P388" s="20" t="e">
        <f t="shared" ref="P388:P451" si="148">IF(J388="LD",I388,NA())</f>
        <v>#N/A</v>
      </c>
      <c r="Q388" s="20" t="e">
        <f t="shared" ref="Q388:Q451" si="149">IF(J388="SNP",H388,NA())</f>
        <v>#N/A</v>
      </c>
      <c r="R388" s="20" t="e">
        <f t="shared" ref="R388:R451" si="150">IF(J388="SNP",I388,NA())</f>
        <v>#N/A</v>
      </c>
      <c r="S388" s="20" t="e">
        <f t="shared" ref="S388:S451" si="151">IF(J388="Oth",H388,NA())</f>
        <v>#N/A</v>
      </c>
      <c r="T388" s="20" t="e">
        <f t="shared" ref="T388:T451" si="152">IF(J388="oth",I388,NA())</f>
        <v>#N/A</v>
      </c>
      <c r="U388" s="3"/>
      <c r="AA388" s="4"/>
    </row>
    <row r="389" spans="1:27" x14ac:dyDescent="0.25">
      <c r="A389">
        <f t="shared" si="135"/>
        <v>387</v>
      </c>
      <c r="B389">
        <f t="shared" si="136"/>
        <v>8</v>
      </c>
      <c r="C389">
        <f t="shared" si="139"/>
        <v>1.7000000000000006</v>
      </c>
      <c r="D389" s="15">
        <f t="shared" si="137"/>
        <v>2.6470588235294117</v>
      </c>
      <c r="E389">
        <f t="shared" si="140"/>
        <v>1</v>
      </c>
      <c r="F389" s="3">
        <f t="shared" si="133"/>
        <v>87.352941176470551</v>
      </c>
      <c r="G389" s="3">
        <f t="shared" si="134"/>
        <v>1.52459643483034</v>
      </c>
      <c r="H389" s="18">
        <f t="shared" si="141"/>
        <v>7.8511879697758719E-2</v>
      </c>
      <c r="I389" s="3">
        <f t="shared" si="142"/>
        <v>1.6981860571640337</v>
      </c>
      <c r="J389" s="19" t="str">
        <f t="shared" si="138"/>
        <v>L</v>
      </c>
      <c r="K389" s="20">
        <f t="shared" si="143"/>
        <v>7.8511879697758719E-2</v>
      </c>
      <c r="L389" s="20">
        <f t="shared" si="144"/>
        <v>1.6981860571640337</v>
      </c>
      <c r="M389" s="20" t="e">
        <f t="shared" si="145"/>
        <v>#N/A</v>
      </c>
      <c r="N389" s="20" t="e">
        <f t="shared" si="146"/>
        <v>#N/A</v>
      </c>
      <c r="O389" s="20" t="e">
        <f t="shared" si="147"/>
        <v>#N/A</v>
      </c>
      <c r="P389" s="20" t="e">
        <f t="shared" si="148"/>
        <v>#N/A</v>
      </c>
      <c r="Q389" s="20" t="e">
        <f t="shared" si="149"/>
        <v>#N/A</v>
      </c>
      <c r="R389" s="20" t="e">
        <f t="shared" si="150"/>
        <v>#N/A</v>
      </c>
      <c r="S389" s="20" t="e">
        <f t="shared" si="151"/>
        <v>#N/A</v>
      </c>
      <c r="T389" s="20" t="e">
        <f t="shared" si="152"/>
        <v>#N/A</v>
      </c>
      <c r="U389" s="3"/>
      <c r="AA389" s="4"/>
    </row>
    <row r="390" spans="1:27" x14ac:dyDescent="0.25">
      <c r="A390">
        <f t="shared" si="135"/>
        <v>388</v>
      </c>
      <c r="B390">
        <f t="shared" si="136"/>
        <v>8</v>
      </c>
      <c r="C390">
        <f t="shared" si="139"/>
        <v>1.7000000000000006</v>
      </c>
      <c r="D390" s="15">
        <f t="shared" si="137"/>
        <v>2.6470588235294117</v>
      </c>
      <c r="E390">
        <f t="shared" si="140"/>
        <v>1</v>
      </c>
      <c r="F390" s="3">
        <f t="shared" ref="F390:F437" si="153">IF(E390=0,0,D390+F389)</f>
        <v>89.999999999999957</v>
      </c>
      <c r="G390" s="3">
        <f t="shared" ref="G390:G437" si="154">(F390/180)*PI()</f>
        <v>1.5707963267948959</v>
      </c>
      <c r="H390" s="18">
        <f t="shared" si="141"/>
        <v>1.2365651037848929E-15</v>
      </c>
      <c r="I390" s="3">
        <f t="shared" si="142"/>
        <v>1.7000000000000006</v>
      </c>
      <c r="J390" s="19" t="str">
        <f t="shared" si="138"/>
        <v>L</v>
      </c>
      <c r="K390" s="20">
        <f t="shared" si="143"/>
        <v>1.2365651037848929E-15</v>
      </c>
      <c r="L390" s="20">
        <f t="shared" si="144"/>
        <v>1.7000000000000006</v>
      </c>
      <c r="M390" s="20" t="e">
        <f t="shared" si="145"/>
        <v>#N/A</v>
      </c>
      <c r="N390" s="20" t="e">
        <f t="shared" si="146"/>
        <v>#N/A</v>
      </c>
      <c r="O390" s="20" t="e">
        <f t="shared" si="147"/>
        <v>#N/A</v>
      </c>
      <c r="P390" s="20" t="e">
        <f t="shared" si="148"/>
        <v>#N/A</v>
      </c>
      <c r="Q390" s="20" t="e">
        <f t="shared" si="149"/>
        <v>#N/A</v>
      </c>
      <c r="R390" s="20" t="e">
        <f t="shared" si="150"/>
        <v>#N/A</v>
      </c>
      <c r="S390" s="20" t="e">
        <f t="shared" si="151"/>
        <v>#N/A</v>
      </c>
      <c r="T390" s="20" t="e">
        <f t="shared" si="152"/>
        <v>#N/A</v>
      </c>
      <c r="U390" s="3"/>
      <c r="AA390" s="4"/>
    </row>
    <row r="391" spans="1:27" x14ac:dyDescent="0.25">
      <c r="A391">
        <f t="shared" si="135"/>
        <v>389</v>
      </c>
      <c r="B391">
        <f t="shared" si="136"/>
        <v>8</v>
      </c>
      <c r="C391">
        <f t="shared" si="139"/>
        <v>1.7000000000000006</v>
      </c>
      <c r="D391" s="15">
        <f t="shared" si="137"/>
        <v>2.6470588235294117</v>
      </c>
      <c r="E391">
        <f t="shared" si="140"/>
        <v>1</v>
      </c>
      <c r="F391" s="3">
        <f t="shared" si="153"/>
        <v>92.647058823529363</v>
      </c>
      <c r="G391" s="3">
        <f t="shared" si="154"/>
        <v>1.6169962187594515</v>
      </c>
      <c r="H391" s="18">
        <f t="shared" si="141"/>
        <v>-7.8511879697755874E-2</v>
      </c>
      <c r="I391" s="3">
        <f t="shared" si="142"/>
        <v>1.6981860571640339</v>
      </c>
      <c r="J391" s="19" t="str">
        <f t="shared" si="138"/>
        <v>L</v>
      </c>
      <c r="K391" s="20">
        <f t="shared" si="143"/>
        <v>-7.8511879697755874E-2</v>
      </c>
      <c r="L391" s="20">
        <f t="shared" si="144"/>
        <v>1.6981860571640339</v>
      </c>
      <c r="M391" s="20" t="e">
        <f t="shared" si="145"/>
        <v>#N/A</v>
      </c>
      <c r="N391" s="20" t="e">
        <f t="shared" si="146"/>
        <v>#N/A</v>
      </c>
      <c r="O391" s="20" t="e">
        <f t="shared" si="147"/>
        <v>#N/A</v>
      </c>
      <c r="P391" s="20" t="e">
        <f t="shared" si="148"/>
        <v>#N/A</v>
      </c>
      <c r="Q391" s="20" t="e">
        <f t="shared" si="149"/>
        <v>#N/A</v>
      </c>
      <c r="R391" s="20" t="e">
        <f t="shared" si="150"/>
        <v>#N/A</v>
      </c>
      <c r="S391" s="20" t="e">
        <f t="shared" si="151"/>
        <v>#N/A</v>
      </c>
      <c r="T391" s="20" t="e">
        <f t="shared" si="152"/>
        <v>#N/A</v>
      </c>
      <c r="U391" s="3"/>
      <c r="AA391" s="4"/>
    </row>
    <row r="392" spans="1:27" x14ac:dyDescent="0.25">
      <c r="A392">
        <f t="shared" si="135"/>
        <v>390</v>
      </c>
      <c r="B392">
        <f t="shared" si="136"/>
        <v>8</v>
      </c>
      <c r="C392">
        <f t="shared" si="139"/>
        <v>1.7000000000000006</v>
      </c>
      <c r="D392" s="15">
        <f t="shared" si="137"/>
        <v>2.6470588235294117</v>
      </c>
      <c r="E392">
        <f t="shared" si="140"/>
        <v>1</v>
      </c>
      <c r="F392" s="3">
        <f t="shared" si="153"/>
        <v>95.294117647058769</v>
      </c>
      <c r="G392" s="3">
        <f t="shared" si="154"/>
        <v>1.6631961107240072</v>
      </c>
      <c r="H392" s="18">
        <f t="shared" si="141"/>
        <v>-0.15685621108761177</v>
      </c>
      <c r="I392" s="3">
        <f t="shared" si="142"/>
        <v>1.6927480997015594</v>
      </c>
      <c r="J392" s="19" t="str">
        <f t="shared" si="138"/>
        <v>L</v>
      </c>
      <c r="K392" s="20">
        <f t="shared" si="143"/>
        <v>-0.15685621108761177</v>
      </c>
      <c r="L392" s="20">
        <f t="shared" si="144"/>
        <v>1.6927480997015594</v>
      </c>
      <c r="M392" s="20" t="e">
        <f t="shared" si="145"/>
        <v>#N/A</v>
      </c>
      <c r="N392" s="20" t="e">
        <f t="shared" si="146"/>
        <v>#N/A</v>
      </c>
      <c r="O392" s="20" t="e">
        <f t="shared" si="147"/>
        <v>#N/A</v>
      </c>
      <c r="P392" s="20" t="e">
        <f t="shared" si="148"/>
        <v>#N/A</v>
      </c>
      <c r="Q392" s="20" t="e">
        <f t="shared" si="149"/>
        <v>#N/A</v>
      </c>
      <c r="R392" s="20" t="e">
        <f t="shared" si="150"/>
        <v>#N/A</v>
      </c>
      <c r="S392" s="20" t="e">
        <f t="shared" si="151"/>
        <v>#N/A</v>
      </c>
      <c r="T392" s="20" t="e">
        <f t="shared" si="152"/>
        <v>#N/A</v>
      </c>
      <c r="U392" s="3"/>
      <c r="AA392" s="4"/>
    </row>
    <row r="393" spans="1:27" x14ac:dyDescent="0.25">
      <c r="A393">
        <f t="shared" si="135"/>
        <v>391</v>
      </c>
      <c r="B393">
        <f t="shared" si="136"/>
        <v>8</v>
      </c>
      <c r="C393">
        <f t="shared" si="139"/>
        <v>1.7000000000000006</v>
      </c>
      <c r="D393" s="15">
        <f t="shared" si="137"/>
        <v>2.6470588235294117</v>
      </c>
      <c r="E393">
        <f t="shared" si="140"/>
        <v>1</v>
      </c>
      <c r="F393" s="3">
        <f t="shared" si="153"/>
        <v>97.941176470588175</v>
      </c>
      <c r="G393" s="3">
        <f t="shared" si="154"/>
        <v>1.7093960026885626</v>
      </c>
      <c r="H393" s="18">
        <f t="shared" si="141"/>
        <v>-0.23486580341819754</v>
      </c>
      <c r="I393" s="3">
        <f t="shared" si="142"/>
        <v>1.6836977324878497</v>
      </c>
      <c r="J393" s="19" t="str">
        <f t="shared" si="138"/>
        <v>L</v>
      </c>
      <c r="K393" s="20">
        <f t="shared" si="143"/>
        <v>-0.23486580341819754</v>
      </c>
      <c r="L393" s="20">
        <f t="shared" si="144"/>
        <v>1.6836977324878497</v>
      </c>
      <c r="M393" s="20" t="e">
        <f t="shared" si="145"/>
        <v>#N/A</v>
      </c>
      <c r="N393" s="20" t="e">
        <f t="shared" si="146"/>
        <v>#N/A</v>
      </c>
      <c r="O393" s="20" t="e">
        <f t="shared" si="147"/>
        <v>#N/A</v>
      </c>
      <c r="P393" s="20" t="e">
        <f t="shared" si="148"/>
        <v>#N/A</v>
      </c>
      <c r="Q393" s="20" t="e">
        <f t="shared" si="149"/>
        <v>#N/A</v>
      </c>
      <c r="R393" s="20" t="e">
        <f t="shared" si="150"/>
        <v>#N/A</v>
      </c>
      <c r="S393" s="20" t="e">
        <f t="shared" si="151"/>
        <v>#N/A</v>
      </c>
      <c r="T393" s="20" t="e">
        <f t="shared" si="152"/>
        <v>#N/A</v>
      </c>
      <c r="U393" s="3"/>
      <c r="AA393" s="4"/>
    </row>
    <row r="394" spans="1:27" x14ac:dyDescent="0.25">
      <c r="A394">
        <f t="shared" si="135"/>
        <v>392</v>
      </c>
      <c r="B394">
        <f t="shared" si="136"/>
        <v>8</v>
      </c>
      <c r="C394">
        <f t="shared" si="139"/>
        <v>1.7000000000000006</v>
      </c>
      <c r="D394" s="15">
        <f t="shared" si="137"/>
        <v>2.6470588235294117</v>
      </c>
      <c r="E394">
        <f t="shared" si="140"/>
        <v>1</v>
      </c>
      <c r="F394" s="3">
        <f t="shared" si="153"/>
        <v>100.58823529411758</v>
      </c>
      <c r="G394" s="3">
        <f t="shared" si="154"/>
        <v>1.7555958946531187</v>
      </c>
      <c r="H394" s="18">
        <f t="shared" si="141"/>
        <v>-0.31237418028816794</v>
      </c>
      <c r="I394" s="3">
        <f t="shared" si="142"/>
        <v>1.671054269462634</v>
      </c>
      <c r="J394" s="19" t="str">
        <f t="shared" si="138"/>
        <v>L</v>
      </c>
      <c r="K394" s="20">
        <f t="shared" si="143"/>
        <v>-0.31237418028816794</v>
      </c>
      <c r="L394" s="20">
        <f t="shared" si="144"/>
        <v>1.671054269462634</v>
      </c>
      <c r="M394" s="20" t="e">
        <f t="shared" si="145"/>
        <v>#N/A</v>
      </c>
      <c r="N394" s="20" t="e">
        <f t="shared" si="146"/>
        <v>#N/A</v>
      </c>
      <c r="O394" s="20" t="e">
        <f t="shared" si="147"/>
        <v>#N/A</v>
      </c>
      <c r="P394" s="20" t="e">
        <f t="shared" si="148"/>
        <v>#N/A</v>
      </c>
      <c r="Q394" s="20" t="e">
        <f t="shared" si="149"/>
        <v>#N/A</v>
      </c>
      <c r="R394" s="20" t="e">
        <f t="shared" si="150"/>
        <v>#N/A</v>
      </c>
      <c r="S394" s="20" t="e">
        <f t="shared" si="151"/>
        <v>#N/A</v>
      </c>
      <c r="T394" s="20" t="e">
        <f t="shared" si="152"/>
        <v>#N/A</v>
      </c>
      <c r="U394" s="3"/>
      <c r="AA394" s="4"/>
    </row>
    <row r="395" spans="1:27" x14ac:dyDescent="0.25">
      <c r="A395">
        <f t="shared" si="135"/>
        <v>393</v>
      </c>
      <c r="B395">
        <f t="shared" si="136"/>
        <v>8</v>
      </c>
      <c r="C395">
        <f t="shared" si="139"/>
        <v>1.7000000000000006</v>
      </c>
      <c r="D395" s="15">
        <f t="shared" si="137"/>
        <v>2.6470588235294117</v>
      </c>
      <c r="E395">
        <f t="shared" si="140"/>
        <v>1</v>
      </c>
      <c r="F395" s="3">
        <f t="shared" si="153"/>
        <v>103.23529411764699</v>
      </c>
      <c r="G395" s="3">
        <f t="shared" si="154"/>
        <v>1.8017957866176744</v>
      </c>
      <c r="H395" s="18">
        <f t="shared" si="141"/>
        <v>-0.38921593491522616</v>
      </c>
      <c r="I395" s="3">
        <f t="shared" si="142"/>
        <v>1.6548446924131788</v>
      </c>
      <c r="J395" s="19" t="str">
        <f t="shared" si="138"/>
        <v>L</v>
      </c>
      <c r="K395" s="20">
        <f t="shared" si="143"/>
        <v>-0.38921593491522616</v>
      </c>
      <c r="L395" s="20">
        <f t="shared" si="144"/>
        <v>1.6548446924131788</v>
      </c>
      <c r="M395" s="20" t="e">
        <f t="shared" si="145"/>
        <v>#N/A</v>
      </c>
      <c r="N395" s="20" t="e">
        <f t="shared" si="146"/>
        <v>#N/A</v>
      </c>
      <c r="O395" s="20" t="e">
        <f t="shared" si="147"/>
        <v>#N/A</v>
      </c>
      <c r="P395" s="20" t="e">
        <f t="shared" si="148"/>
        <v>#N/A</v>
      </c>
      <c r="Q395" s="20" t="e">
        <f t="shared" si="149"/>
        <v>#N/A</v>
      </c>
      <c r="R395" s="20" t="e">
        <f t="shared" si="150"/>
        <v>#N/A</v>
      </c>
      <c r="S395" s="20" t="e">
        <f t="shared" si="151"/>
        <v>#N/A</v>
      </c>
      <c r="T395" s="20" t="e">
        <f t="shared" si="152"/>
        <v>#N/A</v>
      </c>
      <c r="U395" s="3"/>
      <c r="AA395" s="4"/>
    </row>
    <row r="396" spans="1:27" x14ac:dyDescent="0.25">
      <c r="A396">
        <f t="shared" si="135"/>
        <v>394</v>
      </c>
      <c r="B396">
        <f t="shared" si="136"/>
        <v>8</v>
      </c>
      <c r="C396">
        <f t="shared" si="139"/>
        <v>1.7000000000000006</v>
      </c>
      <c r="D396" s="15">
        <f t="shared" si="137"/>
        <v>2.6470588235294117</v>
      </c>
      <c r="E396">
        <f t="shared" si="140"/>
        <v>1</v>
      </c>
      <c r="F396" s="3">
        <f t="shared" si="153"/>
        <v>105.88235294117639</v>
      </c>
      <c r="G396" s="3">
        <f t="shared" si="154"/>
        <v>1.84799567858223</v>
      </c>
      <c r="H396" s="18">
        <f t="shared" si="141"/>
        <v>-0.46522708312253891</v>
      </c>
      <c r="I396" s="3">
        <f t="shared" si="142"/>
        <v>1.6351035933937936</v>
      </c>
      <c r="J396" s="19" t="str">
        <f t="shared" si="138"/>
        <v>L</v>
      </c>
      <c r="K396" s="20">
        <f t="shared" si="143"/>
        <v>-0.46522708312253891</v>
      </c>
      <c r="L396" s="20">
        <f t="shared" si="144"/>
        <v>1.6351035933937936</v>
      </c>
      <c r="M396" s="20" t="e">
        <f t="shared" si="145"/>
        <v>#N/A</v>
      </c>
      <c r="N396" s="20" t="e">
        <f t="shared" si="146"/>
        <v>#N/A</v>
      </c>
      <c r="O396" s="20" t="e">
        <f t="shared" si="147"/>
        <v>#N/A</v>
      </c>
      <c r="P396" s="20" t="e">
        <f t="shared" si="148"/>
        <v>#N/A</v>
      </c>
      <c r="Q396" s="20" t="e">
        <f t="shared" si="149"/>
        <v>#N/A</v>
      </c>
      <c r="R396" s="20" t="e">
        <f t="shared" si="150"/>
        <v>#N/A</v>
      </c>
      <c r="S396" s="20" t="e">
        <f t="shared" si="151"/>
        <v>#N/A</v>
      </c>
      <c r="T396" s="20" t="e">
        <f t="shared" si="152"/>
        <v>#N/A</v>
      </c>
      <c r="U396" s="3"/>
      <c r="AA396" s="4"/>
    </row>
    <row r="397" spans="1:27" x14ac:dyDescent="0.25">
      <c r="A397">
        <f t="shared" si="135"/>
        <v>395</v>
      </c>
      <c r="B397">
        <f t="shared" si="136"/>
        <v>8</v>
      </c>
      <c r="C397">
        <f t="shared" si="139"/>
        <v>1.7000000000000006</v>
      </c>
      <c r="D397" s="15">
        <f t="shared" si="137"/>
        <v>2.6470588235294117</v>
      </c>
      <c r="E397">
        <f t="shared" si="140"/>
        <v>1</v>
      </c>
      <c r="F397" s="3">
        <f t="shared" si="153"/>
        <v>108.5294117647058</v>
      </c>
      <c r="G397" s="3">
        <f t="shared" si="154"/>
        <v>1.8941955705467854</v>
      </c>
      <c r="H397" s="18">
        <f t="shared" si="141"/>
        <v>-0.54024541328923026</v>
      </c>
      <c r="I397" s="3">
        <f t="shared" si="142"/>
        <v>1.6118731009046434</v>
      </c>
      <c r="J397" s="19" t="str">
        <f t="shared" si="138"/>
        <v>L</v>
      </c>
      <c r="K397" s="20">
        <f t="shared" si="143"/>
        <v>-0.54024541328923026</v>
      </c>
      <c r="L397" s="20">
        <f t="shared" si="144"/>
        <v>1.6118731009046434</v>
      </c>
      <c r="M397" s="20" t="e">
        <f t="shared" si="145"/>
        <v>#N/A</v>
      </c>
      <c r="N397" s="20" t="e">
        <f t="shared" si="146"/>
        <v>#N/A</v>
      </c>
      <c r="O397" s="20" t="e">
        <f t="shared" si="147"/>
        <v>#N/A</v>
      </c>
      <c r="P397" s="20" t="e">
        <f t="shared" si="148"/>
        <v>#N/A</v>
      </c>
      <c r="Q397" s="20" t="e">
        <f t="shared" si="149"/>
        <v>#N/A</v>
      </c>
      <c r="R397" s="20" t="e">
        <f t="shared" si="150"/>
        <v>#N/A</v>
      </c>
      <c r="S397" s="20" t="e">
        <f t="shared" si="151"/>
        <v>#N/A</v>
      </c>
      <c r="T397" s="20" t="e">
        <f t="shared" si="152"/>
        <v>#N/A</v>
      </c>
      <c r="U397" s="3"/>
      <c r="AA397" s="4"/>
    </row>
    <row r="398" spans="1:27" x14ac:dyDescent="0.25">
      <c r="A398">
        <f t="shared" si="135"/>
        <v>396</v>
      </c>
      <c r="B398">
        <f t="shared" si="136"/>
        <v>8</v>
      </c>
      <c r="C398">
        <f t="shared" si="139"/>
        <v>1.7000000000000006</v>
      </c>
      <c r="D398" s="15">
        <f t="shared" si="137"/>
        <v>2.6470588235294117</v>
      </c>
      <c r="E398">
        <f t="shared" si="140"/>
        <v>1</v>
      </c>
      <c r="F398" s="3">
        <f t="shared" si="153"/>
        <v>111.1764705882352</v>
      </c>
      <c r="G398" s="3">
        <f t="shared" si="154"/>
        <v>1.9403954625113411</v>
      </c>
      <c r="H398" s="18">
        <f t="shared" si="141"/>
        <v>-0.61411083251815735</v>
      </c>
      <c r="I398" s="3">
        <f t="shared" si="142"/>
        <v>1.5852027899874066</v>
      </c>
      <c r="J398" s="19" t="str">
        <f t="shared" si="138"/>
        <v>L</v>
      </c>
      <c r="K398" s="20">
        <f t="shared" si="143"/>
        <v>-0.61411083251815735</v>
      </c>
      <c r="L398" s="20">
        <f t="shared" si="144"/>
        <v>1.5852027899874066</v>
      </c>
      <c r="M398" s="20" t="e">
        <f t="shared" si="145"/>
        <v>#N/A</v>
      </c>
      <c r="N398" s="20" t="e">
        <f t="shared" si="146"/>
        <v>#N/A</v>
      </c>
      <c r="O398" s="20" t="e">
        <f t="shared" si="147"/>
        <v>#N/A</v>
      </c>
      <c r="P398" s="20" t="e">
        <f t="shared" si="148"/>
        <v>#N/A</v>
      </c>
      <c r="Q398" s="20" t="e">
        <f t="shared" si="149"/>
        <v>#N/A</v>
      </c>
      <c r="R398" s="20" t="e">
        <f t="shared" si="150"/>
        <v>#N/A</v>
      </c>
      <c r="S398" s="20" t="e">
        <f t="shared" si="151"/>
        <v>#N/A</v>
      </c>
      <c r="T398" s="20" t="e">
        <f t="shared" si="152"/>
        <v>#N/A</v>
      </c>
      <c r="U398" s="3"/>
      <c r="AA398" s="4"/>
    </row>
    <row r="399" spans="1:27" x14ac:dyDescent="0.25">
      <c r="A399">
        <f t="shared" ref="A399:A462" si="155">A398+1</f>
        <v>397</v>
      </c>
      <c r="B399">
        <f t="shared" si="136"/>
        <v>8</v>
      </c>
      <c r="C399">
        <f t="shared" si="139"/>
        <v>1.7000000000000006</v>
      </c>
      <c r="D399" s="15">
        <f t="shared" si="137"/>
        <v>2.6470588235294117</v>
      </c>
      <c r="E399">
        <f t="shared" si="140"/>
        <v>1</v>
      </c>
      <c r="F399" s="3">
        <f t="shared" si="153"/>
        <v>113.82352941176461</v>
      </c>
      <c r="G399" s="3">
        <f t="shared" si="154"/>
        <v>1.9865953544758967</v>
      </c>
      <c r="H399" s="18">
        <f t="shared" si="141"/>
        <v>-0.68666570828221873</v>
      </c>
      <c r="I399" s="3">
        <f t="shared" si="142"/>
        <v>1.5551495764296377</v>
      </c>
      <c r="J399" s="19" t="str">
        <f t="shared" si="138"/>
        <v>L</v>
      </c>
      <c r="K399" s="20">
        <f t="shared" si="143"/>
        <v>-0.68666570828221873</v>
      </c>
      <c r="L399" s="20">
        <f t="shared" si="144"/>
        <v>1.5551495764296377</v>
      </c>
      <c r="M399" s="20" t="e">
        <f t="shared" si="145"/>
        <v>#N/A</v>
      </c>
      <c r="N399" s="20" t="e">
        <f t="shared" si="146"/>
        <v>#N/A</v>
      </c>
      <c r="O399" s="20" t="e">
        <f t="shared" si="147"/>
        <v>#N/A</v>
      </c>
      <c r="P399" s="20" t="e">
        <f t="shared" si="148"/>
        <v>#N/A</v>
      </c>
      <c r="Q399" s="20" t="e">
        <f t="shared" si="149"/>
        <v>#N/A</v>
      </c>
      <c r="R399" s="20" t="e">
        <f t="shared" si="150"/>
        <v>#N/A</v>
      </c>
      <c r="S399" s="20" t="e">
        <f t="shared" si="151"/>
        <v>#N/A</v>
      </c>
      <c r="T399" s="20" t="e">
        <f t="shared" si="152"/>
        <v>#N/A</v>
      </c>
      <c r="U399" s="3"/>
      <c r="AA399" s="4"/>
    </row>
    <row r="400" spans="1:27" x14ac:dyDescent="0.25">
      <c r="A400">
        <f t="shared" si="155"/>
        <v>398</v>
      </c>
      <c r="B400">
        <f t="shared" si="136"/>
        <v>8</v>
      </c>
      <c r="C400">
        <f t="shared" si="139"/>
        <v>1.7000000000000006</v>
      </c>
      <c r="D400" s="15">
        <f t="shared" si="137"/>
        <v>2.6470588235294117</v>
      </c>
      <c r="E400">
        <f t="shared" si="140"/>
        <v>1</v>
      </c>
      <c r="F400" s="3">
        <f t="shared" si="153"/>
        <v>116.47058823529402</v>
      </c>
      <c r="G400" s="3">
        <f t="shared" si="154"/>
        <v>2.0327952464404526</v>
      </c>
      <c r="H400" s="18">
        <f t="shared" si="141"/>
        <v>-0.7577552048201126</v>
      </c>
      <c r="I400" s="3">
        <f t="shared" si="142"/>
        <v>1.5217775953036079</v>
      </c>
      <c r="J400" s="19" t="str">
        <f t="shared" si="138"/>
        <v>L</v>
      </c>
      <c r="K400" s="20">
        <f t="shared" si="143"/>
        <v>-0.7577552048201126</v>
      </c>
      <c r="L400" s="20">
        <f t="shared" si="144"/>
        <v>1.5217775953036079</v>
      </c>
      <c r="M400" s="20" t="e">
        <f t="shared" si="145"/>
        <v>#N/A</v>
      </c>
      <c r="N400" s="20" t="e">
        <f t="shared" si="146"/>
        <v>#N/A</v>
      </c>
      <c r="O400" s="20" t="e">
        <f t="shared" si="147"/>
        <v>#N/A</v>
      </c>
      <c r="P400" s="20" t="e">
        <f t="shared" si="148"/>
        <v>#N/A</v>
      </c>
      <c r="Q400" s="20" t="e">
        <f t="shared" si="149"/>
        <v>#N/A</v>
      </c>
      <c r="R400" s="20" t="e">
        <f t="shared" si="150"/>
        <v>#N/A</v>
      </c>
      <c r="S400" s="20" t="e">
        <f t="shared" si="151"/>
        <v>#N/A</v>
      </c>
      <c r="T400" s="20" t="e">
        <f t="shared" si="152"/>
        <v>#N/A</v>
      </c>
      <c r="U400" s="3"/>
      <c r="AA400" s="4"/>
    </row>
    <row r="401" spans="1:27" x14ac:dyDescent="0.25">
      <c r="A401">
        <f t="shared" si="155"/>
        <v>399</v>
      </c>
      <c r="B401">
        <f t="shared" si="136"/>
        <v>8</v>
      </c>
      <c r="C401">
        <f t="shared" si="139"/>
        <v>1.7000000000000006</v>
      </c>
      <c r="D401" s="15">
        <f t="shared" si="137"/>
        <v>2.6470588235294117</v>
      </c>
      <c r="E401">
        <f t="shared" si="140"/>
        <v>1</v>
      </c>
      <c r="F401" s="3">
        <f t="shared" si="153"/>
        <v>119.11764705882342</v>
      </c>
      <c r="G401" s="3">
        <f t="shared" si="154"/>
        <v>2.0789951384050083</v>
      </c>
      <c r="H401" s="18">
        <f t="shared" si="141"/>
        <v>-0.82722761356365304</v>
      </c>
      <c r="I401" s="3">
        <f t="shared" si="142"/>
        <v>1.4851580640988304</v>
      </c>
      <c r="J401" s="19" t="str">
        <f t="shared" si="138"/>
        <v>L</v>
      </c>
      <c r="K401" s="20">
        <f t="shared" si="143"/>
        <v>-0.82722761356365304</v>
      </c>
      <c r="L401" s="20">
        <f t="shared" si="144"/>
        <v>1.4851580640988304</v>
      </c>
      <c r="M401" s="20" t="e">
        <f t="shared" si="145"/>
        <v>#N/A</v>
      </c>
      <c r="N401" s="20" t="e">
        <f t="shared" si="146"/>
        <v>#N/A</v>
      </c>
      <c r="O401" s="20" t="e">
        <f t="shared" si="147"/>
        <v>#N/A</v>
      </c>
      <c r="P401" s="20" t="e">
        <f t="shared" si="148"/>
        <v>#N/A</v>
      </c>
      <c r="Q401" s="20" t="e">
        <f t="shared" si="149"/>
        <v>#N/A</v>
      </c>
      <c r="R401" s="20" t="e">
        <f t="shared" si="150"/>
        <v>#N/A</v>
      </c>
      <c r="S401" s="20" t="e">
        <f t="shared" si="151"/>
        <v>#N/A</v>
      </c>
      <c r="T401" s="20" t="e">
        <f t="shared" si="152"/>
        <v>#N/A</v>
      </c>
      <c r="U401" s="3"/>
      <c r="AA401" s="4"/>
    </row>
    <row r="402" spans="1:27" x14ac:dyDescent="0.25">
      <c r="A402">
        <f t="shared" si="155"/>
        <v>400</v>
      </c>
      <c r="B402">
        <f t="shared" si="136"/>
        <v>8</v>
      </c>
      <c r="C402">
        <f t="shared" si="139"/>
        <v>1.7000000000000006</v>
      </c>
      <c r="D402" s="15">
        <f t="shared" si="137"/>
        <v>2.6470588235294117</v>
      </c>
      <c r="E402">
        <f t="shared" si="140"/>
        <v>1</v>
      </c>
      <c r="F402" s="3">
        <f t="shared" si="153"/>
        <v>121.76470588235283</v>
      </c>
      <c r="G402" s="3">
        <f t="shared" si="154"/>
        <v>2.1251950303695639</v>
      </c>
      <c r="H402" s="18">
        <f t="shared" si="141"/>
        <v>-0.89493467689150219</v>
      </c>
      <c r="I402" s="3">
        <f t="shared" si="142"/>
        <v>1.4453691307403465</v>
      </c>
      <c r="J402" s="19" t="str">
        <f t="shared" si="138"/>
        <v>C</v>
      </c>
      <c r="K402" s="20" t="e">
        <f t="shared" si="143"/>
        <v>#N/A</v>
      </c>
      <c r="L402" s="20" t="e">
        <f t="shared" si="144"/>
        <v>#N/A</v>
      </c>
      <c r="M402" s="20">
        <f t="shared" si="145"/>
        <v>-0.89493467689150219</v>
      </c>
      <c r="N402" s="20">
        <f t="shared" si="146"/>
        <v>1.4453691307403465</v>
      </c>
      <c r="O402" s="20" t="e">
        <f t="shared" si="147"/>
        <v>#N/A</v>
      </c>
      <c r="P402" s="20" t="e">
        <f t="shared" si="148"/>
        <v>#N/A</v>
      </c>
      <c r="Q402" s="20" t="e">
        <f t="shared" si="149"/>
        <v>#N/A</v>
      </c>
      <c r="R402" s="20" t="e">
        <f t="shared" si="150"/>
        <v>#N/A</v>
      </c>
      <c r="S402" s="20" t="e">
        <f t="shared" si="151"/>
        <v>#N/A</v>
      </c>
      <c r="T402" s="20" t="e">
        <f t="shared" si="152"/>
        <v>#N/A</v>
      </c>
      <c r="U402" s="3"/>
      <c r="AA402" s="4"/>
    </row>
    <row r="403" spans="1:27" x14ac:dyDescent="0.25">
      <c r="A403">
        <f t="shared" si="155"/>
        <v>401</v>
      </c>
      <c r="B403">
        <f t="shared" si="136"/>
        <v>8</v>
      </c>
      <c r="C403">
        <f t="shared" si="139"/>
        <v>1.7000000000000006</v>
      </c>
      <c r="D403" s="15">
        <f t="shared" si="137"/>
        <v>2.6470588235294117</v>
      </c>
      <c r="E403">
        <f t="shared" si="140"/>
        <v>1</v>
      </c>
      <c r="F403" s="3">
        <f t="shared" si="153"/>
        <v>124.41176470588223</v>
      </c>
      <c r="G403" s="3">
        <f t="shared" si="154"/>
        <v>2.1713949223341196</v>
      </c>
      <c r="H403" s="18">
        <f t="shared" si="141"/>
        <v>-0.96073190451840351</v>
      </c>
      <c r="I403" s="3">
        <f t="shared" si="142"/>
        <v>1.4024957068171164</v>
      </c>
      <c r="J403" s="19" t="str">
        <f t="shared" si="138"/>
        <v>C</v>
      </c>
      <c r="K403" s="20" t="e">
        <f t="shared" si="143"/>
        <v>#N/A</v>
      </c>
      <c r="L403" s="20" t="e">
        <f t="shared" si="144"/>
        <v>#N/A</v>
      </c>
      <c r="M403" s="20">
        <f t="shared" si="145"/>
        <v>-0.96073190451840351</v>
      </c>
      <c r="N403" s="20">
        <f t="shared" si="146"/>
        <v>1.4024957068171164</v>
      </c>
      <c r="O403" s="20" t="e">
        <f t="shared" si="147"/>
        <v>#N/A</v>
      </c>
      <c r="P403" s="20" t="e">
        <f t="shared" si="148"/>
        <v>#N/A</v>
      </c>
      <c r="Q403" s="20" t="e">
        <f t="shared" si="149"/>
        <v>#N/A</v>
      </c>
      <c r="R403" s="20" t="e">
        <f t="shared" si="150"/>
        <v>#N/A</v>
      </c>
      <c r="S403" s="20" t="e">
        <f t="shared" si="151"/>
        <v>#N/A</v>
      </c>
      <c r="T403" s="20" t="e">
        <f t="shared" si="152"/>
        <v>#N/A</v>
      </c>
      <c r="U403" s="3"/>
      <c r="AA403" s="4"/>
    </row>
    <row r="404" spans="1:27" x14ac:dyDescent="0.25">
      <c r="A404">
        <f t="shared" si="155"/>
        <v>402</v>
      </c>
      <c r="B404">
        <f t="shared" si="136"/>
        <v>8</v>
      </c>
      <c r="C404">
        <f t="shared" si="139"/>
        <v>1.7000000000000006</v>
      </c>
      <c r="D404" s="15">
        <f t="shared" si="137"/>
        <v>2.6470588235294117</v>
      </c>
      <c r="E404">
        <f t="shared" si="140"/>
        <v>1</v>
      </c>
      <c r="F404" s="3">
        <f t="shared" si="153"/>
        <v>127.05882352941164</v>
      </c>
      <c r="G404" s="3">
        <f t="shared" si="154"/>
        <v>2.2175948142986752</v>
      </c>
      <c r="H404" s="18">
        <f t="shared" si="141"/>
        <v>-1.024478881844733</v>
      </c>
      <c r="I404" s="3">
        <f t="shared" si="142"/>
        <v>1.35662928637641</v>
      </c>
      <c r="J404" s="19" t="str">
        <f t="shared" si="138"/>
        <v>C</v>
      </c>
      <c r="K404" s="20" t="e">
        <f t="shared" si="143"/>
        <v>#N/A</v>
      </c>
      <c r="L404" s="20" t="e">
        <f t="shared" si="144"/>
        <v>#N/A</v>
      </c>
      <c r="M404" s="20">
        <f t="shared" si="145"/>
        <v>-1.024478881844733</v>
      </c>
      <c r="N404" s="20">
        <f t="shared" si="146"/>
        <v>1.35662928637641</v>
      </c>
      <c r="O404" s="20" t="e">
        <f t="shared" si="147"/>
        <v>#N/A</v>
      </c>
      <c r="P404" s="20" t="e">
        <f t="shared" si="148"/>
        <v>#N/A</v>
      </c>
      <c r="Q404" s="20" t="e">
        <f t="shared" si="149"/>
        <v>#N/A</v>
      </c>
      <c r="R404" s="20" t="e">
        <f t="shared" si="150"/>
        <v>#N/A</v>
      </c>
      <c r="S404" s="20" t="e">
        <f t="shared" si="151"/>
        <v>#N/A</v>
      </c>
      <c r="T404" s="20" t="e">
        <f t="shared" si="152"/>
        <v>#N/A</v>
      </c>
      <c r="U404" s="3"/>
      <c r="AA404" s="4"/>
    </row>
    <row r="405" spans="1:27" x14ac:dyDescent="0.25">
      <c r="A405">
        <f t="shared" si="155"/>
        <v>403</v>
      </c>
      <c r="B405">
        <f t="shared" si="136"/>
        <v>8</v>
      </c>
      <c r="C405">
        <f t="shared" si="139"/>
        <v>1.7000000000000006</v>
      </c>
      <c r="D405" s="15">
        <f t="shared" si="137"/>
        <v>2.6470588235294117</v>
      </c>
      <c r="E405">
        <f t="shared" si="140"/>
        <v>1</v>
      </c>
      <c r="F405" s="3">
        <f t="shared" si="153"/>
        <v>129.70588235294105</v>
      </c>
      <c r="G405" s="3">
        <f t="shared" si="154"/>
        <v>2.2637947062632313</v>
      </c>
      <c r="H405" s="18">
        <f t="shared" si="141"/>
        <v>-1.086039569608332</v>
      </c>
      <c r="I405" s="3">
        <f t="shared" si="142"/>
        <v>1.3078677506708969</v>
      </c>
      <c r="J405" s="19" t="str">
        <f t="shared" si="138"/>
        <v>C</v>
      </c>
      <c r="K405" s="20" t="e">
        <f t="shared" si="143"/>
        <v>#N/A</v>
      </c>
      <c r="L405" s="20" t="e">
        <f t="shared" si="144"/>
        <v>#N/A</v>
      </c>
      <c r="M405" s="20">
        <f t="shared" si="145"/>
        <v>-1.086039569608332</v>
      </c>
      <c r="N405" s="20">
        <f t="shared" si="146"/>
        <v>1.3078677506708969</v>
      </c>
      <c r="O405" s="20" t="e">
        <f t="shared" si="147"/>
        <v>#N/A</v>
      </c>
      <c r="P405" s="20" t="e">
        <f t="shared" si="148"/>
        <v>#N/A</v>
      </c>
      <c r="Q405" s="20" t="e">
        <f t="shared" si="149"/>
        <v>#N/A</v>
      </c>
      <c r="R405" s="20" t="e">
        <f t="shared" si="150"/>
        <v>#N/A</v>
      </c>
      <c r="S405" s="20" t="e">
        <f t="shared" si="151"/>
        <v>#N/A</v>
      </c>
      <c r="T405" s="20" t="e">
        <f t="shared" si="152"/>
        <v>#N/A</v>
      </c>
      <c r="U405" s="3"/>
      <c r="AA405" s="4"/>
    </row>
    <row r="406" spans="1:27" x14ac:dyDescent="0.25">
      <c r="A406">
        <f t="shared" si="155"/>
        <v>404</v>
      </c>
      <c r="B406">
        <f t="shared" si="136"/>
        <v>8</v>
      </c>
      <c r="C406">
        <f t="shared" si="139"/>
        <v>1.7000000000000006</v>
      </c>
      <c r="D406" s="15">
        <f t="shared" si="137"/>
        <v>2.6470588235294117</v>
      </c>
      <c r="E406">
        <f t="shared" si="140"/>
        <v>1</v>
      </c>
      <c r="F406" s="3">
        <f t="shared" si="153"/>
        <v>132.35294117647047</v>
      </c>
      <c r="G406" s="3">
        <f t="shared" si="154"/>
        <v>2.309994598227787</v>
      </c>
      <c r="H406" s="18">
        <f t="shared" si="141"/>
        <v>-1.1452825941991451</v>
      </c>
      <c r="I406" s="3">
        <f t="shared" si="142"/>
        <v>1.2563151592751234</v>
      </c>
      <c r="J406" s="19" t="str">
        <f t="shared" si="138"/>
        <v>C</v>
      </c>
      <c r="K406" s="20" t="e">
        <f t="shared" si="143"/>
        <v>#N/A</v>
      </c>
      <c r="L406" s="20" t="e">
        <f t="shared" si="144"/>
        <v>#N/A</v>
      </c>
      <c r="M406" s="20">
        <f t="shared" si="145"/>
        <v>-1.1452825941991451</v>
      </c>
      <c r="N406" s="20">
        <f t="shared" si="146"/>
        <v>1.2563151592751234</v>
      </c>
      <c r="O406" s="20" t="e">
        <f t="shared" si="147"/>
        <v>#N/A</v>
      </c>
      <c r="P406" s="20" t="e">
        <f t="shared" si="148"/>
        <v>#N/A</v>
      </c>
      <c r="Q406" s="20" t="e">
        <f t="shared" si="149"/>
        <v>#N/A</v>
      </c>
      <c r="R406" s="20" t="e">
        <f t="shared" si="150"/>
        <v>#N/A</v>
      </c>
      <c r="S406" s="20" t="e">
        <f t="shared" si="151"/>
        <v>#N/A</v>
      </c>
      <c r="T406" s="20" t="e">
        <f t="shared" si="152"/>
        <v>#N/A</v>
      </c>
      <c r="U406" s="3"/>
      <c r="AA406" s="4"/>
    </row>
    <row r="407" spans="1:27" x14ac:dyDescent="0.25">
      <c r="A407">
        <f t="shared" si="155"/>
        <v>405</v>
      </c>
      <c r="B407">
        <f t="shared" si="136"/>
        <v>8</v>
      </c>
      <c r="C407">
        <f t="shared" si="139"/>
        <v>1.7000000000000006</v>
      </c>
      <c r="D407" s="15">
        <f t="shared" si="137"/>
        <v>2.6470588235294117</v>
      </c>
      <c r="E407">
        <f t="shared" si="140"/>
        <v>1</v>
      </c>
      <c r="F407" s="3">
        <f t="shared" si="153"/>
        <v>134.99999999999989</v>
      </c>
      <c r="G407" s="3">
        <f t="shared" si="154"/>
        <v>2.3561944901923426</v>
      </c>
      <c r="H407" s="18">
        <f t="shared" si="141"/>
        <v>-1.2020815280171284</v>
      </c>
      <c r="I407" s="3">
        <f t="shared" si="142"/>
        <v>1.202081528017134</v>
      </c>
      <c r="J407" s="19" t="str">
        <f t="shared" si="138"/>
        <v>C</v>
      </c>
      <c r="K407" s="20" t="e">
        <f t="shared" si="143"/>
        <v>#N/A</v>
      </c>
      <c r="L407" s="20" t="e">
        <f t="shared" si="144"/>
        <v>#N/A</v>
      </c>
      <c r="M407" s="20">
        <f t="shared" si="145"/>
        <v>-1.2020815280171284</v>
      </c>
      <c r="N407" s="20">
        <f t="shared" si="146"/>
        <v>1.202081528017134</v>
      </c>
      <c r="O407" s="20" t="e">
        <f t="shared" si="147"/>
        <v>#N/A</v>
      </c>
      <c r="P407" s="20" t="e">
        <f t="shared" si="148"/>
        <v>#N/A</v>
      </c>
      <c r="Q407" s="20" t="e">
        <f t="shared" si="149"/>
        <v>#N/A</v>
      </c>
      <c r="R407" s="20" t="e">
        <f t="shared" si="150"/>
        <v>#N/A</v>
      </c>
      <c r="S407" s="20" t="e">
        <f t="shared" si="151"/>
        <v>#N/A</v>
      </c>
      <c r="T407" s="20" t="e">
        <f t="shared" si="152"/>
        <v>#N/A</v>
      </c>
      <c r="U407" s="3"/>
      <c r="AA407" s="4"/>
    </row>
    <row r="408" spans="1:27" x14ac:dyDescent="0.25">
      <c r="A408">
        <f t="shared" si="155"/>
        <v>406</v>
      </c>
      <c r="B408">
        <f t="shared" si="136"/>
        <v>8</v>
      </c>
      <c r="C408">
        <f t="shared" si="139"/>
        <v>1.7000000000000006</v>
      </c>
      <c r="D408" s="15">
        <f t="shared" si="137"/>
        <v>2.6470588235294117</v>
      </c>
      <c r="E408">
        <f t="shared" si="140"/>
        <v>1</v>
      </c>
      <c r="F408" s="3">
        <f t="shared" si="153"/>
        <v>137.64705882352931</v>
      </c>
      <c r="G408" s="3">
        <f t="shared" si="154"/>
        <v>2.4023943821568987</v>
      </c>
      <c r="H408" s="18">
        <f t="shared" si="141"/>
        <v>-1.2563151592751187</v>
      </c>
      <c r="I408" s="3">
        <f t="shared" si="142"/>
        <v>1.14528259419915</v>
      </c>
      <c r="J408" s="19" t="str">
        <f t="shared" si="138"/>
        <v>C</v>
      </c>
      <c r="K408" s="20" t="e">
        <f t="shared" si="143"/>
        <v>#N/A</v>
      </c>
      <c r="L408" s="20" t="e">
        <f t="shared" si="144"/>
        <v>#N/A</v>
      </c>
      <c r="M408" s="20">
        <f t="shared" si="145"/>
        <v>-1.2563151592751187</v>
      </c>
      <c r="N408" s="20">
        <f t="shared" si="146"/>
        <v>1.14528259419915</v>
      </c>
      <c r="O408" s="20" t="e">
        <f t="shared" si="147"/>
        <v>#N/A</v>
      </c>
      <c r="P408" s="20" t="e">
        <f t="shared" si="148"/>
        <v>#N/A</v>
      </c>
      <c r="Q408" s="20" t="e">
        <f t="shared" si="149"/>
        <v>#N/A</v>
      </c>
      <c r="R408" s="20" t="e">
        <f t="shared" si="150"/>
        <v>#N/A</v>
      </c>
      <c r="S408" s="20" t="e">
        <f t="shared" si="151"/>
        <v>#N/A</v>
      </c>
      <c r="T408" s="20" t="e">
        <f t="shared" si="152"/>
        <v>#N/A</v>
      </c>
      <c r="U408" s="3"/>
      <c r="AA408" s="4"/>
    </row>
    <row r="409" spans="1:27" x14ac:dyDescent="0.25">
      <c r="A409">
        <f t="shared" si="155"/>
        <v>407</v>
      </c>
      <c r="B409">
        <f t="shared" si="136"/>
        <v>8</v>
      </c>
      <c r="C409">
        <f t="shared" si="139"/>
        <v>1.7000000000000006</v>
      </c>
      <c r="D409" s="15">
        <f t="shared" si="137"/>
        <v>2.6470588235294117</v>
      </c>
      <c r="E409">
        <f t="shared" si="140"/>
        <v>1</v>
      </c>
      <c r="F409" s="3">
        <f t="shared" si="153"/>
        <v>140.29411764705873</v>
      </c>
      <c r="G409" s="3">
        <f t="shared" si="154"/>
        <v>2.4485942741214548</v>
      </c>
      <c r="H409" s="18">
        <f t="shared" si="141"/>
        <v>-1.3078677506708927</v>
      </c>
      <c r="I409" s="3">
        <f t="shared" si="142"/>
        <v>1.0860395696083369</v>
      </c>
      <c r="J409" s="19" t="str">
        <f t="shared" si="138"/>
        <v>C</v>
      </c>
      <c r="K409" s="20" t="e">
        <f t="shared" si="143"/>
        <v>#N/A</v>
      </c>
      <c r="L409" s="20" t="e">
        <f t="shared" si="144"/>
        <v>#N/A</v>
      </c>
      <c r="M409" s="20">
        <f t="shared" si="145"/>
        <v>-1.3078677506708927</v>
      </c>
      <c r="N409" s="20">
        <f t="shared" si="146"/>
        <v>1.0860395696083369</v>
      </c>
      <c r="O409" s="20" t="e">
        <f t="shared" si="147"/>
        <v>#N/A</v>
      </c>
      <c r="P409" s="20" t="e">
        <f t="shared" si="148"/>
        <v>#N/A</v>
      </c>
      <c r="Q409" s="20" t="e">
        <f t="shared" si="149"/>
        <v>#N/A</v>
      </c>
      <c r="R409" s="20" t="e">
        <f t="shared" si="150"/>
        <v>#N/A</v>
      </c>
      <c r="S409" s="20" t="e">
        <f t="shared" si="151"/>
        <v>#N/A</v>
      </c>
      <c r="T409" s="20" t="e">
        <f t="shared" si="152"/>
        <v>#N/A</v>
      </c>
      <c r="U409" s="3"/>
      <c r="AA409" s="4"/>
    </row>
    <row r="410" spans="1:27" x14ac:dyDescent="0.25">
      <c r="A410">
        <f t="shared" si="155"/>
        <v>408</v>
      </c>
      <c r="B410">
        <f t="shared" si="136"/>
        <v>8</v>
      </c>
      <c r="C410">
        <f t="shared" si="139"/>
        <v>1.7000000000000006</v>
      </c>
      <c r="D410" s="15">
        <f t="shared" si="137"/>
        <v>2.6470588235294117</v>
      </c>
      <c r="E410">
        <f t="shared" si="140"/>
        <v>1</v>
      </c>
      <c r="F410" s="3">
        <f t="shared" si="153"/>
        <v>142.94117647058815</v>
      </c>
      <c r="G410" s="3">
        <f t="shared" si="154"/>
        <v>2.4947941660860105</v>
      </c>
      <c r="H410" s="18">
        <f t="shared" si="141"/>
        <v>-1.3566292863764058</v>
      </c>
      <c r="I410" s="3">
        <f t="shared" si="142"/>
        <v>1.0244788818447388</v>
      </c>
      <c r="J410" s="19" t="str">
        <f t="shared" si="138"/>
        <v>C</v>
      </c>
      <c r="K410" s="20" t="e">
        <f t="shared" si="143"/>
        <v>#N/A</v>
      </c>
      <c r="L410" s="20" t="e">
        <f t="shared" si="144"/>
        <v>#N/A</v>
      </c>
      <c r="M410" s="20">
        <f t="shared" si="145"/>
        <v>-1.3566292863764058</v>
      </c>
      <c r="N410" s="20">
        <f t="shared" si="146"/>
        <v>1.0244788818447388</v>
      </c>
      <c r="O410" s="20" t="e">
        <f t="shared" si="147"/>
        <v>#N/A</v>
      </c>
      <c r="P410" s="20" t="e">
        <f t="shared" si="148"/>
        <v>#N/A</v>
      </c>
      <c r="Q410" s="20" t="e">
        <f t="shared" si="149"/>
        <v>#N/A</v>
      </c>
      <c r="R410" s="20" t="e">
        <f t="shared" si="150"/>
        <v>#N/A</v>
      </c>
      <c r="S410" s="20" t="e">
        <f t="shared" si="151"/>
        <v>#N/A</v>
      </c>
      <c r="T410" s="20" t="e">
        <f t="shared" si="152"/>
        <v>#N/A</v>
      </c>
      <c r="U410" s="3"/>
      <c r="AA410" s="4"/>
    </row>
    <row r="411" spans="1:27" x14ac:dyDescent="0.25">
      <c r="A411">
        <f t="shared" si="155"/>
        <v>409</v>
      </c>
      <c r="B411">
        <f t="shared" si="136"/>
        <v>8</v>
      </c>
      <c r="C411">
        <f t="shared" si="139"/>
        <v>1.7000000000000006</v>
      </c>
      <c r="D411" s="15">
        <f t="shared" si="137"/>
        <v>2.6470588235294117</v>
      </c>
      <c r="E411">
        <f t="shared" si="140"/>
        <v>1</v>
      </c>
      <c r="F411" s="3">
        <f t="shared" si="153"/>
        <v>145.58823529411757</v>
      </c>
      <c r="G411" s="3">
        <f t="shared" si="154"/>
        <v>2.5409940580505666</v>
      </c>
      <c r="H411" s="18">
        <f t="shared" si="141"/>
        <v>-1.4024957068171129</v>
      </c>
      <c r="I411" s="3">
        <f t="shared" si="142"/>
        <v>0.96073190451840862</v>
      </c>
      <c r="J411" s="19" t="str">
        <f t="shared" si="138"/>
        <v>C</v>
      </c>
      <c r="K411" s="20" t="e">
        <f t="shared" si="143"/>
        <v>#N/A</v>
      </c>
      <c r="L411" s="20" t="e">
        <f t="shared" si="144"/>
        <v>#N/A</v>
      </c>
      <c r="M411" s="20">
        <f t="shared" si="145"/>
        <v>-1.4024957068171129</v>
      </c>
      <c r="N411" s="20">
        <f t="shared" si="146"/>
        <v>0.96073190451840862</v>
      </c>
      <c r="O411" s="20" t="e">
        <f t="shared" si="147"/>
        <v>#N/A</v>
      </c>
      <c r="P411" s="20" t="e">
        <f t="shared" si="148"/>
        <v>#N/A</v>
      </c>
      <c r="Q411" s="20" t="e">
        <f t="shared" si="149"/>
        <v>#N/A</v>
      </c>
      <c r="R411" s="20" t="e">
        <f t="shared" si="150"/>
        <v>#N/A</v>
      </c>
      <c r="S411" s="20" t="e">
        <f t="shared" si="151"/>
        <v>#N/A</v>
      </c>
      <c r="T411" s="20" t="e">
        <f t="shared" si="152"/>
        <v>#N/A</v>
      </c>
      <c r="U411" s="3"/>
      <c r="AA411" s="4"/>
    </row>
    <row r="412" spans="1:27" x14ac:dyDescent="0.25">
      <c r="A412">
        <f t="shared" si="155"/>
        <v>410</v>
      </c>
      <c r="B412">
        <f t="shared" si="136"/>
        <v>8</v>
      </c>
      <c r="C412">
        <f t="shared" si="139"/>
        <v>1.7000000000000006</v>
      </c>
      <c r="D412" s="15">
        <f t="shared" si="137"/>
        <v>2.6470588235294117</v>
      </c>
      <c r="E412">
        <f t="shared" si="140"/>
        <v>1</v>
      </c>
      <c r="F412" s="3">
        <f t="shared" si="153"/>
        <v>148.23529411764699</v>
      </c>
      <c r="G412" s="3">
        <f t="shared" si="154"/>
        <v>2.5871939500151226</v>
      </c>
      <c r="H412" s="18">
        <f t="shared" si="141"/>
        <v>-1.4453691307403436</v>
      </c>
      <c r="I412" s="3">
        <f t="shared" si="142"/>
        <v>0.89493467689150696</v>
      </c>
      <c r="J412" s="19" t="str">
        <f t="shared" si="138"/>
        <v>C</v>
      </c>
      <c r="K412" s="20" t="e">
        <f t="shared" si="143"/>
        <v>#N/A</v>
      </c>
      <c r="L412" s="20" t="e">
        <f t="shared" si="144"/>
        <v>#N/A</v>
      </c>
      <c r="M412" s="20">
        <f t="shared" si="145"/>
        <v>-1.4453691307403436</v>
      </c>
      <c r="N412" s="20">
        <f t="shared" si="146"/>
        <v>0.89493467689150696</v>
      </c>
      <c r="O412" s="20" t="e">
        <f t="shared" si="147"/>
        <v>#N/A</v>
      </c>
      <c r="P412" s="20" t="e">
        <f t="shared" si="148"/>
        <v>#N/A</v>
      </c>
      <c r="Q412" s="20" t="e">
        <f t="shared" si="149"/>
        <v>#N/A</v>
      </c>
      <c r="R412" s="20" t="e">
        <f t="shared" si="150"/>
        <v>#N/A</v>
      </c>
      <c r="S412" s="20" t="e">
        <f t="shared" si="151"/>
        <v>#N/A</v>
      </c>
      <c r="T412" s="20" t="e">
        <f t="shared" si="152"/>
        <v>#N/A</v>
      </c>
      <c r="U412" s="3"/>
      <c r="AA412" s="4"/>
    </row>
    <row r="413" spans="1:27" x14ac:dyDescent="0.25">
      <c r="A413">
        <f t="shared" si="155"/>
        <v>411</v>
      </c>
      <c r="B413">
        <f t="shared" si="136"/>
        <v>8</v>
      </c>
      <c r="C413">
        <f t="shared" si="139"/>
        <v>1.7000000000000006</v>
      </c>
      <c r="D413" s="15">
        <f t="shared" si="137"/>
        <v>2.6470588235294117</v>
      </c>
      <c r="E413">
        <f t="shared" si="140"/>
        <v>1</v>
      </c>
      <c r="F413" s="3">
        <f t="shared" si="153"/>
        <v>150.88235294117641</v>
      </c>
      <c r="G413" s="3">
        <f t="shared" si="154"/>
        <v>2.6333938419796787</v>
      </c>
      <c r="H413" s="18">
        <f t="shared" si="141"/>
        <v>-1.485158064098828</v>
      </c>
      <c r="I413" s="3">
        <f t="shared" si="142"/>
        <v>0.82722761356365737</v>
      </c>
      <c r="J413" s="19" t="str">
        <f t="shared" si="138"/>
        <v>C</v>
      </c>
      <c r="K413" s="20" t="e">
        <f t="shared" si="143"/>
        <v>#N/A</v>
      </c>
      <c r="L413" s="20" t="e">
        <f t="shared" si="144"/>
        <v>#N/A</v>
      </c>
      <c r="M413" s="20">
        <f t="shared" si="145"/>
        <v>-1.485158064098828</v>
      </c>
      <c r="N413" s="20">
        <f t="shared" si="146"/>
        <v>0.82722761356365737</v>
      </c>
      <c r="O413" s="20" t="e">
        <f t="shared" si="147"/>
        <v>#N/A</v>
      </c>
      <c r="P413" s="20" t="e">
        <f t="shared" si="148"/>
        <v>#N/A</v>
      </c>
      <c r="Q413" s="20" t="e">
        <f t="shared" si="149"/>
        <v>#N/A</v>
      </c>
      <c r="R413" s="20" t="e">
        <f t="shared" si="150"/>
        <v>#N/A</v>
      </c>
      <c r="S413" s="20" t="e">
        <f t="shared" si="151"/>
        <v>#N/A</v>
      </c>
      <c r="T413" s="20" t="e">
        <f t="shared" si="152"/>
        <v>#N/A</v>
      </c>
      <c r="U413" s="3"/>
      <c r="AA413" s="4"/>
    </row>
    <row r="414" spans="1:27" x14ac:dyDescent="0.25">
      <c r="A414">
        <f t="shared" si="155"/>
        <v>412</v>
      </c>
      <c r="B414">
        <f t="shared" si="136"/>
        <v>8</v>
      </c>
      <c r="C414">
        <f t="shared" si="139"/>
        <v>1.7000000000000006</v>
      </c>
      <c r="D414" s="15">
        <f t="shared" si="137"/>
        <v>2.6470588235294117</v>
      </c>
      <c r="E414">
        <f t="shared" si="140"/>
        <v>1</v>
      </c>
      <c r="F414" s="3">
        <f t="shared" si="153"/>
        <v>153.52941176470583</v>
      </c>
      <c r="G414" s="3">
        <f t="shared" si="154"/>
        <v>2.6795937339442344</v>
      </c>
      <c r="H414" s="18">
        <f t="shared" si="141"/>
        <v>-1.5217775953036057</v>
      </c>
      <c r="I414" s="3">
        <f t="shared" si="142"/>
        <v>0.75775520482011693</v>
      </c>
      <c r="J414" s="19" t="str">
        <f t="shared" si="138"/>
        <v>C</v>
      </c>
      <c r="K414" s="20" t="e">
        <f t="shared" si="143"/>
        <v>#N/A</v>
      </c>
      <c r="L414" s="20" t="e">
        <f t="shared" si="144"/>
        <v>#N/A</v>
      </c>
      <c r="M414" s="20">
        <f t="shared" si="145"/>
        <v>-1.5217775953036057</v>
      </c>
      <c r="N414" s="20">
        <f t="shared" si="146"/>
        <v>0.75775520482011693</v>
      </c>
      <c r="O414" s="20" t="e">
        <f t="shared" si="147"/>
        <v>#N/A</v>
      </c>
      <c r="P414" s="20" t="e">
        <f t="shared" si="148"/>
        <v>#N/A</v>
      </c>
      <c r="Q414" s="20" t="e">
        <f t="shared" si="149"/>
        <v>#N/A</v>
      </c>
      <c r="R414" s="20" t="e">
        <f t="shared" si="150"/>
        <v>#N/A</v>
      </c>
      <c r="S414" s="20" t="e">
        <f t="shared" si="151"/>
        <v>#N/A</v>
      </c>
      <c r="T414" s="20" t="e">
        <f t="shared" si="152"/>
        <v>#N/A</v>
      </c>
      <c r="U414" s="3"/>
      <c r="AA414" s="4"/>
    </row>
    <row r="415" spans="1:27" x14ac:dyDescent="0.25">
      <c r="A415">
        <f t="shared" si="155"/>
        <v>413</v>
      </c>
      <c r="B415">
        <f t="shared" si="136"/>
        <v>8</v>
      </c>
      <c r="C415">
        <f t="shared" si="139"/>
        <v>1.7000000000000006</v>
      </c>
      <c r="D415" s="15">
        <f t="shared" si="137"/>
        <v>2.6470588235294117</v>
      </c>
      <c r="E415">
        <f t="shared" si="140"/>
        <v>1</v>
      </c>
      <c r="F415" s="3">
        <f t="shared" si="153"/>
        <v>156.17647058823525</v>
      </c>
      <c r="G415" s="3">
        <f t="shared" si="154"/>
        <v>2.72579362590879</v>
      </c>
      <c r="H415" s="18">
        <f t="shared" si="141"/>
        <v>-1.5551495764296355</v>
      </c>
      <c r="I415" s="3">
        <f t="shared" si="142"/>
        <v>0.68666570828222351</v>
      </c>
      <c r="J415" s="19" t="str">
        <f t="shared" si="138"/>
        <v>LD</v>
      </c>
      <c r="K415" s="20" t="e">
        <f t="shared" si="143"/>
        <v>#N/A</v>
      </c>
      <c r="L415" s="20" t="e">
        <f t="shared" si="144"/>
        <v>#N/A</v>
      </c>
      <c r="M415" s="20" t="e">
        <f t="shared" si="145"/>
        <v>#N/A</v>
      </c>
      <c r="N415" s="20" t="e">
        <f t="shared" si="146"/>
        <v>#N/A</v>
      </c>
      <c r="O415" s="20">
        <f t="shared" si="147"/>
        <v>-1.5551495764296355</v>
      </c>
      <c r="P415" s="20">
        <f t="shared" si="148"/>
        <v>0.68666570828222351</v>
      </c>
      <c r="Q415" s="20" t="e">
        <f t="shared" si="149"/>
        <v>#N/A</v>
      </c>
      <c r="R415" s="20" t="e">
        <f t="shared" si="150"/>
        <v>#N/A</v>
      </c>
      <c r="S415" s="20" t="e">
        <f t="shared" si="151"/>
        <v>#N/A</v>
      </c>
      <c r="T415" s="20" t="e">
        <f t="shared" si="152"/>
        <v>#N/A</v>
      </c>
      <c r="U415" s="3"/>
      <c r="AA415" s="4"/>
    </row>
    <row r="416" spans="1:27" x14ac:dyDescent="0.25">
      <c r="A416">
        <f t="shared" si="155"/>
        <v>414</v>
      </c>
      <c r="B416">
        <f t="shared" si="136"/>
        <v>8</v>
      </c>
      <c r="C416">
        <f t="shared" si="139"/>
        <v>1.7000000000000006</v>
      </c>
      <c r="D416" s="15">
        <f t="shared" si="137"/>
        <v>2.6470588235294117</v>
      </c>
      <c r="E416">
        <f t="shared" si="140"/>
        <v>1</v>
      </c>
      <c r="F416" s="3">
        <f t="shared" si="153"/>
        <v>158.82352941176467</v>
      </c>
      <c r="G416" s="3">
        <f t="shared" si="154"/>
        <v>2.7719935178733461</v>
      </c>
      <c r="H416" s="18">
        <f t="shared" si="141"/>
        <v>-1.5852027899874048</v>
      </c>
      <c r="I416" s="3">
        <f t="shared" si="142"/>
        <v>0.61411083251816156</v>
      </c>
      <c r="J416" s="19" t="str">
        <f t="shared" si="138"/>
        <v>LD</v>
      </c>
      <c r="K416" s="20" t="e">
        <f t="shared" si="143"/>
        <v>#N/A</v>
      </c>
      <c r="L416" s="20" t="e">
        <f t="shared" si="144"/>
        <v>#N/A</v>
      </c>
      <c r="M416" s="20" t="e">
        <f t="shared" si="145"/>
        <v>#N/A</v>
      </c>
      <c r="N416" s="20" t="e">
        <f t="shared" si="146"/>
        <v>#N/A</v>
      </c>
      <c r="O416" s="20">
        <f t="shared" si="147"/>
        <v>-1.5852027899874048</v>
      </c>
      <c r="P416" s="20">
        <f t="shared" si="148"/>
        <v>0.61411083251816156</v>
      </c>
      <c r="Q416" s="20" t="e">
        <f t="shared" si="149"/>
        <v>#N/A</v>
      </c>
      <c r="R416" s="20" t="e">
        <f t="shared" si="150"/>
        <v>#N/A</v>
      </c>
      <c r="S416" s="20" t="e">
        <f t="shared" si="151"/>
        <v>#N/A</v>
      </c>
      <c r="T416" s="20" t="e">
        <f t="shared" si="152"/>
        <v>#N/A</v>
      </c>
      <c r="U416" s="3"/>
      <c r="AA416" s="4"/>
    </row>
    <row r="417" spans="1:27" x14ac:dyDescent="0.25">
      <c r="A417">
        <f t="shared" si="155"/>
        <v>415</v>
      </c>
      <c r="B417">
        <f t="shared" si="136"/>
        <v>8</v>
      </c>
      <c r="C417">
        <f t="shared" si="139"/>
        <v>1.7000000000000006</v>
      </c>
      <c r="D417" s="15">
        <f t="shared" si="137"/>
        <v>2.6470588235294117</v>
      </c>
      <c r="E417">
        <f t="shared" si="140"/>
        <v>1</v>
      </c>
      <c r="F417" s="3">
        <f t="shared" si="153"/>
        <v>161.47058823529409</v>
      </c>
      <c r="G417" s="3">
        <f t="shared" si="154"/>
        <v>2.8181934098379022</v>
      </c>
      <c r="H417" s="18">
        <f t="shared" si="141"/>
        <v>-1.6118731009046423</v>
      </c>
      <c r="I417" s="3">
        <f t="shared" si="142"/>
        <v>0.54024541328923381</v>
      </c>
      <c r="J417" s="19" t="str">
        <f t="shared" si="138"/>
        <v>LD</v>
      </c>
      <c r="K417" s="20" t="e">
        <f t="shared" si="143"/>
        <v>#N/A</v>
      </c>
      <c r="L417" s="20" t="e">
        <f t="shared" si="144"/>
        <v>#N/A</v>
      </c>
      <c r="M417" s="20" t="e">
        <f t="shared" si="145"/>
        <v>#N/A</v>
      </c>
      <c r="N417" s="20" t="e">
        <f t="shared" si="146"/>
        <v>#N/A</v>
      </c>
      <c r="O417" s="20">
        <f t="shared" si="147"/>
        <v>-1.6118731009046423</v>
      </c>
      <c r="P417" s="20">
        <f t="shared" si="148"/>
        <v>0.54024541328923381</v>
      </c>
      <c r="Q417" s="20" t="e">
        <f t="shared" si="149"/>
        <v>#N/A</v>
      </c>
      <c r="R417" s="20" t="e">
        <f t="shared" si="150"/>
        <v>#N/A</v>
      </c>
      <c r="S417" s="20" t="e">
        <f t="shared" si="151"/>
        <v>#N/A</v>
      </c>
      <c r="T417" s="20" t="e">
        <f t="shared" si="152"/>
        <v>#N/A</v>
      </c>
      <c r="U417" s="3"/>
      <c r="AA417" s="4"/>
    </row>
    <row r="418" spans="1:27" x14ac:dyDescent="0.25">
      <c r="A418">
        <f t="shared" si="155"/>
        <v>416</v>
      </c>
      <c r="B418">
        <f t="shared" si="136"/>
        <v>8</v>
      </c>
      <c r="C418">
        <f t="shared" si="139"/>
        <v>1.7000000000000006</v>
      </c>
      <c r="D418" s="15">
        <f t="shared" si="137"/>
        <v>2.6470588235294117</v>
      </c>
      <c r="E418">
        <f t="shared" si="140"/>
        <v>1</v>
      </c>
      <c r="F418" s="3">
        <f t="shared" si="153"/>
        <v>164.11764705882351</v>
      </c>
      <c r="G418" s="3">
        <f t="shared" si="154"/>
        <v>2.8643933018024579</v>
      </c>
      <c r="H418" s="18">
        <f t="shared" si="141"/>
        <v>-1.6351035933937927</v>
      </c>
      <c r="I418" s="3">
        <f t="shared" si="142"/>
        <v>0.46522708312254213</v>
      </c>
      <c r="J418" s="19" t="str">
        <f t="shared" si="138"/>
        <v>LD</v>
      </c>
      <c r="K418" s="20" t="e">
        <f t="shared" si="143"/>
        <v>#N/A</v>
      </c>
      <c r="L418" s="20" t="e">
        <f t="shared" si="144"/>
        <v>#N/A</v>
      </c>
      <c r="M418" s="20" t="e">
        <f t="shared" si="145"/>
        <v>#N/A</v>
      </c>
      <c r="N418" s="20" t="e">
        <f t="shared" si="146"/>
        <v>#N/A</v>
      </c>
      <c r="O418" s="20">
        <f t="shared" si="147"/>
        <v>-1.6351035933937927</v>
      </c>
      <c r="P418" s="20">
        <f t="shared" si="148"/>
        <v>0.46522708312254213</v>
      </c>
      <c r="Q418" s="20" t="e">
        <f t="shared" si="149"/>
        <v>#N/A</v>
      </c>
      <c r="R418" s="20" t="e">
        <f t="shared" si="150"/>
        <v>#N/A</v>
      </c>
      <c r="S418" s="20" t="e">
        <f t="shared" si="151"/>
        <v>#N/A</v>
      </c>
      <c r="T418" s="20" t="e">
        <f t="shared" si="152"/>
        <v>#N/A</v>
      </c>
      <c r="U418" s="3"/>
      <c r="AA418" s="4"/>
    </row>
    <row r="419" spans="1:27" x14ac:dyDescent="0.25">
      <c r="A419">
        <f t="shared" si="155"/>
        <v>417</v>
      </c>
      <c r="B419">
        <f t="shared" si="136"/>
        <v>8</v>
      </c>
      <c r="C419">
        <f t="shared" si="139"/>
        <v>1.7000000000000006</v>
      </c>
      <c r="D419" s="15">
        <f t="shared" si="137"/>
        <v>2.6470588235294117</v>
      </c>
      <c r="E419">
        <f t="shared" si="140"/>
        <v>1</v>
      </c>
      <c r="F419" s="3">
        <f t="shared" si="153"/>
        <v>166.76470588235293</v>
      </c>
      <c r="G419" s="3">
        <f t="shared" si="154"/>
        <v>2.910593193767014</v>
      </c>
      <c r="H419" s="18">
        <f t="shared" si="141"/>
        <v>-1.6548446924131783</v>
      </c>
      <c r="I419" s="3">
        <f t="shared" si="142"/>
        <v>0.38921593491522866</v>
      </c>
      <c r="J419" s="19" t="str">
        <f t="shared" si="138"/>
        <v>LD</v>
      </c>
      <c r="K419" s="20" t="e">
        <f t="shared" si="143"/>
        <v>#N/A</v>
      </c>
      <c r="L419" s="20" t="e">
        <f t="shared" si="144"/>
        <v>#N/A</v>
      </c>
      <c r="M419" s="20" t="e">
        <f t="shared" si="145"/>
        <v>#N/A</v>
      </c>
      <c r="N419" s="20" t="e">
        <f t="shared" si="146"/>
        <v>#N/A</v>
      </c>
      <c r="O419" s="20">
        <f t="shared" si="147"/>
        <v>-1.6548446924131783</v>
      </c>
      <c r="P419" s="20">
        <f t="shared" si="148"/>
        <v>0.38921593491522866</v>
      </c>
      <c r="Q419" s="20" t="e">
        <f t="shared" si="149"/>
        <v>#N/A</v>
      </c>
      <c r="R419" s="20" t="e">
        <f t="shared" si="150"/>
        <v>#N/A</v>
      </c>
      <c r="S419" s="20" t="e">
        <f t="shared" si="151"/>
        <v>#N/A</v>
      </c>
      <c r="T419" s="20" t="e">
        <f t="shared" si="152"/>
        <v>#N/A</v>
      </c>
      <c r="U419" s="3"/>
      <c r="AA419" s="4"/>
    </row>
    <row r="420" spans="1:27" x14ac:dyDescent="0.25">
      <c r="A420">
        <f t="shared" si="155"/>
        <v>418</v>
      </c>
      <c r="B420">
        <f t="shared" si="136"/>
        <v>8</v>
      </c>
      <c r="C420">
        <f t="shared" si="139"/>
        <v>1.7000000000000006</v>
      </c>
      <c r="D420" s="15">
        <f t="shared" si="137"/>
        <v>2.6470588235294117</v>
      </c>
      <c r="E420">
        <f t="shared" si="140"/>
        <v>1</v>
      </c>
      <c r="F420" s="3">
        <f t="shared" si="153"/>
        <v>169.41176470588235</v>
      </c>
      <c r="G420" s="3">
        <f t="shared" si="154"/>
        <v>2.9567930857315701</v>
      </c>
      <c r="H420" s="18">
        <f t="shared" si="141"/>
        <v>-1.6710542694626336</v>
      </c>
      <c r="I420" s="3">
        <f t="shared" si="142"/>
        <v>0.31237418028816977</v>
      </c>
      <c r="J420" s="19" t="str">
        <f t="shared" si="138"/>
        <v>LD</v>
      </c>
      <c r="K420" s="20" t="e">
        <f t="shared" si="143"/>
        <v>#N/A</v>
      </c>
      <c r="L420" s="20" t="e">
        <f t="shared" si="144"/>
        <v>#N/A</v>
      </c>
      <c r="M420" s="20" t="e">
        <f t="shared" si="145"/>
        <v>#N/A</v>
      </c>
      <c r="N420" s="20" t="e">
        <f t="shared" si="146"/>
        <v>#N/A</v>
      </c>
      <c r="O420" s="20">
        <f t="shared" si="147"/>
        <v>-1.6710542694626336</v>
      </c>
      <c r="P420" s="20">
        <f t="shared" si="148"/>
        <v>0.31237418028816977</v>
      </c>
      <c r="Q420" s="20" t="e">
        <f t="shared" si="149"/>
        <v>#N/A</v>
      </c>
      <c r="R420" s="20" t="e">
        <f t="shared" si="150"/>
        <v>#N/A</v>
      </c>
      <c r="S420" s="20" t="e">
        <f t="shared" si="151"/>
        <v>#N/A</v>
      </c>
      <c r="T420" s="20" t="e">
        <f t="shared" si="152"/>
        <v>#N/A</v>
      </c>
      <c r="U420" s="3"/>
      <c r="AA420" s="4"/>
    </row>
    <row r="421" spans="1:27" x14ac:dyDescent="0.25">
      <c r="A421">
        <f t="shared" si="155"/>
        <v>419</v>
      </c>
      <c r="B421">
        <f t="shared" si="136"/>
        <v>8</v>
      </c>
      <c r="C421">
        <f t="shared" si="139"/>
        <v>1.7000000000000006</v>
      </c>
      <c r="D421" s="15">
        <f t="shared" si="137"/>
        <v>2.6470588235294117</v>
      </c>
      <c r="E421">
        <f t="shared" si="140"/>
        <v>1</v>
      </c>
      <c r="F421" s="3">
        <f t="shared" si="153"/>
        <v>172.05882352941177</v>
      </c>
      <c r="G421" s="3">
        <f t="shared" si="154"/>
        <v>3.0029929776961257</v>
      </c>
      <c r="H421" s="18">
        <f t="shared" si="141"/>
        <v>-1.6836977324878493</v>
      </c>
      <c r="I421" s="3">
        <f t="shared" si="142"/>
        <v>0.2348658034182001</v>
      </c>
      <c r="J421" s="19" t="str">
        <f t="shared" si="138"/>
        <v>SNP</v>
      </c>
      <c r="K421" s="20" t="e">
        <f t="shared" si="143"/>
        <v>#N/A</v>
      </c>
      <c r="L421" s="20" t="e">
        <f t="shared" si="144"/>
        <v>#N/A</v>
      </c>
      <c r="M421" s="20" t="e">
        <f t="shared" si="145"/>
        <v>#N/A</v>
      </c>
      <c r="N421" s="20" t="e">
        <f t="shared" si="146"/>
        <v>#N/A</v>
      </c>
      <c r="O421" s="20" t="e">
        <f t="shared" si="147"/>
        <v>#N/A</v>
      </c>
      <c r="P421" s="20" t="e">
        <f t="shared" si="148"/>
        <v>#N/A</v>
      </c>
      <c r="Q421" s="20">
        <f t="shared" si="149"/>
        <v>-1.6836977324878493</v>
      </c>
      <c r="R421" s="20">
        <f t="shared" si="150"/>
        <v>0.2348658034182001</v>
      </c>
      <c r="S421" s="20" t="e">
        <f t="shared" si="151"/>
        <v>#N/A</v>
      </c>
      <c r="T421" s="20" t="e">
        <f t="shared" si="152"/>
        <v>#N/A</v>
      </c>
      <c r="U421" s="3"/>
      <c r="AA421" s="4"/>
    </row>
    <row r="422" spans="1:27" x14ac:dyDescent="0.25">
      <c r="A422">
        <f t="shared" si="155"/>
        <v>420</v>
      </c>
      <c r="B422">
        <f t="shared" si="136"/>
        <v>8</v>
      </c>
      <c r="C422">
        <f t="shared" si="139"/>
        <v>1.7000000000000006</v>
      </c>
      <c r="D422" s="15">
        <f t="shared" si="137"/>
        <v>2.6470588235294117</v>
      </c>
      <c r="E422">
        <f t="shared" si="140"/>
        <v>1</v>
      </c>
      <c r="F422" s="3">
        <f t="shared" si="153"/>
        <v>174.70588235294119</v>
      </c>
      <c r="G422" s="3">
        <f t="shared" si="154"/>
        <v>3.0491928696606818</v>
      </c>
      <c r="H422" s="18">
        <f t="shared" si="141"/>
        <v>-1.6927480997015594</v>
      </c>
      <c r="I422" s="3">
        <f t="shared" si="142"/>
        <v>0.15685621108761319</v>
      </c>
      <c r="J422" s="19" t="str">
        <f t="shared" si="138"/>
        <v>Oth</v>
      </c>
      <c r="K422" s="20" t="e">
        <f t="shared" si="143"/>
        <v>#N/A</v>
      </c>
      <c r="L422" s="20" t="e">
        <f t="shared" si="144"/>
        <v>#N/A</v>
      </c>
      <c r="M422" s="20" t="e">
        <f t="shared" si="145"/>
        <v>#N/A</v>
      </c>
      <c r="N422" s="20" t="e">
        <f t="shared" si="146"/>
        <v>#N/A</v>
      </c>
      <c r="O422" s="20" t="e">
        <f t="shared" si="147"/>
        <v>#N/A</v>
      </c>
      <c r="P422" s="20" t="e">
        <f t="shared" si="148"/>
        <v>#N/A</v>
      </c>
      <c r="Q422" s="20" t="e">
        <f t="shared" si="149"/>
        <v>#N/A</v>
      </c>
      <c r="R422" s="20" t="e">
        <f t="shared" si="150"/>
        <v>#N/A</v>
      </c>
      <c r="S422" s="20">
        <f t="shared" si="151"/>
        <v>-1.6927480997015594</v>
      </c>
      <c r="T422" s="20">
        <f t="shared" si="152"/>
        <v>0.15685621108761319</v>
      </c>
      <c r="U422" s="3"/>
      <c r="AA422" s="4"/>
    </row>
    <row r="423" spans="1:27" x14ac:dyDescent="0.25">
      <c r="A423">
        <f t="shared" si="155"/>
        <v>421</v>
      </c>
      <c r="B423">
        <f t="shared" si="136"/>
        <v>8</v>
      </c>
      <c r="C423">
        <f t="shared" si="139"/>
        <v>1.7000000000000006</v>
      </c>
      <c r="D423" s="15">
        <f t="shared" si="137"/>
        <v>2.6470588235294117</v>
      </c>
      <c r="E423">
        <f t="shared" si="140"/>
        <v>1</v>
      </c>
      <c r="F423" s="3">
        <f t="shared" si="153"/>
        <v>177.35294117647061</v>
      </c>
      <c r="G423" s="3">
        <f t="shared" si="154"/>
        <v>3.0953927616252379</v>
      </c>
      <c r="H423" s="18">
        <f t="shared" si="141"/>
        <v>-1.6981860571640337</v>
      </c>
      <c r="I423" s="3">
        <f t="shared" si="142"/>
        <v>7.8511879697756567E-2</v>
      </c>
      <c r="J423" s="19" t="str">
        <f t="shared" si="138"/>
        <v>Oth</v>
      </c>
      <c r="K423" s="20" t="e">
        <f t="shared" si="143"/>
        <v>#N/A</v>
      </c>
      <c r="L423" s="20" t="e">
        <f t="shared" si="144"/>
        <v>#N/A</v>
      </c>
      <c r="M423" s="20" t="e">
        <f t="shared" si="145"/>
        <v>#N/A</v>
      </c>
      <c r="N423" s="20" t="e">
        <f t="shared" si="146"/>
        <v>#N/A</v>
      </c>
      <c r="O423" s="20" t="e">
        <f t="shared" si="147"/>
        <v>#N/A</v>
      </c>
      <c r="P423" s="20" t="e">
        <f t="shared" si="148"/>
        <v>#N/A</v>
      </c>
      <c r="Q423" s="20" t="e">
        <f t="shared" si="149"/>
        <v>#N/A</v>
      </c>
      <c r="R423" s="20" t="e">
        <f t="shared" si="150"/>
        <v>#N/A</v>
      </c>
      <c r="S423" s="20">
        <f t="shared" si="151"/>
        <v>-1.6981860571640337</v>
      </c>
      <c r="T423" s="20">
        <f t="shared" si="152"/>
        <v>7.8511879697756567E-2</v>
      </c>
      <c r="U423" s="3"/>
      <c r="AA423" s="4"/>
    </row>
    <row r="424" spans="1:27" x14ac:dyDescent="0.25">
      <c r="A424">
        <f t="shared" si="155"/>
        <v>422</v>
      </c>
      <c r="B424">
        <f t="shared" si="136"/>
        <v>8</v>
      </c>
      <c r="C424">
        <f t="shared" si="139"/>
        <v>1.7000000000000006</v>
      </c>
      <c r="D424" s="15">
        <f t="shared" si="137"/>
        <v>2.6470588235294117</v>
      </c>
      <c r="E424">
        <f t="shared" si="140"/>
        <v>1</v>
      </c>
      <c r="F424" s="3">
        <f t="shared" si="153"/>
        <v>180.00000000000003</v>
      </c>
      <c r="G424" s="3">
        <f t="shared" si="154"/>
        <v>3.141592653589794</v>
      </c>
      <c r="H424" s="18">
        <f t="shared" si="141"/>
        <v>-1.7000000000000006</v>
      </c>
      <c r="I424" s="3">
        <f t="shared" si="142"/>
        <v>-1.301628076155748E-15</v>
      </c>
      <c r="J424" s="19" t="str">
        <f t="shared" si="138"/>
        <v>Oth</v>
      </c>
      <c r="K424" s="20" t="e">
        <f t="shared" si="143"/>
        <v>#N/A</v>
      </c>
      <c r="L424" s="20" t="e">
        <f t="shared" si="144"/>
        <v>#N/A</v>
      </c>
      <c r="M424" s="20" t="e">
        <f t="shared" si="145"/>
        <v>#N/A</v>
      </c>
      <c r="N424" s="20" t="e">
        <f t="shared" si="146"/>
        <v>#N/A</v>
      </c>
      <c r="O424" s="20" t="e">
        <f t="shared" si="147"/>
        <v>#N/A</v>
      </c>
      <c r="P424" s="20" t="e">
        <f t="shared" si="148"/>
        <v>#N/A</v>
      </c>
      <c r="Q424" s="20" t="e">
        <f t="shared" si="149"/>
        <v>#N/A</v>
      </c>
      <c r="R424" s="20" t="e">
        <f t="shared" si="150"/>
        <v>#N/A</v>
      </c>
      <c r="S424" s="20">
        <f t="shared" si="151"/>
        <v>-1.7000000000000006</v>
      </c>
      <c r="T424" s="20">
        <f t="shared" si="152"/>
        <v>-1.301628076155748E-15</v>
      </c>
      <c r="U424" s="3"/>
      <c r="AA424" s="4"/>
    </row>
    <row r="425" spans="1:27" x14ac:dyDescent="0.25">
      <c r="A425">
        <f t="shared" si="155"/>
        <v>423</v>
      </c>
      <c r="B425">
        <f t="shared" si="136"/>
        <v>9</v>
      </c>
      <c r="C425">
        <f t="shared" si="139"/>
        <v>1.8000000000000007</v>
      </c>
      <c r="D425" s="15">
        <f t="shared" si="137"/>
        <v>2.5</v>
      </c>
      <c r="E425">
        <f t="shared" si="140"/>
        <v>0</v>
      </c>
      <c r="F425" s="3">
        <f t="shared" si="153"/>
        <v>0</v>
      </c>
      <c r="G425" s="3">
        <f t="shared" si="154"/>
        <v>0</v>
      </c>
      <c r="H425" s="18">
        <f t="shared" si="141"/>
        <v>1.8000000000000007</v>
      </c>
      <c r="I425" s="3">
        <f t="shared" si="142"/>
        <v>0</v>
      </c>
      <c r="J425" s="19" t="str">
        <f t="shared" si="138"/>
        <v>L</v>
      </c>
      <c r="K425" s="20">
        <f t="shared" si="143"/>
        <v>1.8000000000000007</v>
      </c>
      <c r="L425" s="20">
        <f t="shared" si="144"/>
        <v>0</v>
      </c>
      <c r="M425" s="20" t="e">
        <f t="shared" si="145"/>
        <v>#N/A</v>
      </c>
      <c r="N425" s="20" t="e">
        <f t="shared" si="146"/>
        <v>#N/A</v>
      </c>
      <c r="O425" s="20" t="e">
        <f t="shared" si="147"/>
        <v>#N/A</v>
      </c>
      <c r="P425" s="20" t="e">
        <f t="shared" si="148"/>
        <v>#N/A</v>
      </c>
      <c r="Q425" s="20" t="e">
        <f t="shared" si="149"/>
        <v>#N/A</v>
      </c>
      <c r="R425" s="20" t="e">
        <f t="shared" si="150"/>
        <v>#N/A</v>
      </c>
      <c r="S425" s="20" t="e">
        <f t="shared" si="151"/>
        <v>#N/A</v>
      </c>
      <c r="T425" s="20" t="e">
        <f t="shared" si="152"/>
        <v>#N/A</v>
      </c>
      <c r="U425" s="3"/>
      <c r="AA425" s="4"/>
    </row>
    <row r="426" spans="1:27" x14ac:dyDescent="0.25">
      <c r="A426">
        <f t="shared" si="155"/>
        <v>424</v>
      </c>
      <c r="B426">
        <f t="shared" si="136"/>
        <v>9</v>
      </c>
      <c r="C426">
        <f t="shared" si="139"/>
        <v>1.8000000000000007</v>
      </c>
      <c r="D426" s="15">
        <f t="shared" si="137"/>
        <v>2.5</v>
      </c>
      <c r="E426">
        <f t="shared" si="140"/>
        <v>1</v>
      </c>
      <c r="F426" s="3">
        <f t="shared" si="153"/>
        <v>2.5</v>
      </c>
      <c r="G426" s="3">
        <f t="shared" si="154"/>
        <v>4.3633231299858237E-2</v>
      </c>
      <c r="H426" s="18">
        <f t="shared" si="141"/>
        <v>1.7982867988473448</v>
      </c>
      <c r="I426" s="3">
        <f t="shared" si="142"/>
        <v>7.8514897257604827E-2</v>
      </c>
      <c r="J426" s="19" t="str">
        <f t="shared" si="138"/>
        <v>L</v>
      </c>
      <c r="K426" s="20">
        <f t="shared" si="143"/>
        <v>1.7982867988473448</v>
      </c>
      <c r="L426" s="20">
        <f t="shared" si="144"/>
        <v>7.8514897257604827E-2</v>
      </c>
      <c r="M426" s="20" t="e">
        <f t="shared" si="145"/>
        <v>#N/A</v>
      </c>
      <c r="N426" s="20" t="e">
        <f t="shared" si="146"/>
        <v>#N/A</v>
      </c>
      <c r="O426" s="20" t="e">
        <f t="shared" si="147"/>
        <v>#N/A</v>
      </c>
      <c r="P426" s="20" t="e">
        <f t="shared" si="148"/>
        <v>#N/A</v>
      </c>
      <c r="Q426" s="20" t="e">
        <f t="shared" si="149"/>
        <v>#N/A</v>
      </c>
      <c r="R426" s="20" t="e">
        <f t="shared" si="150"/>
        <v>#N/A</v>
      </c>
      <c r="S426" s="20" t="e">
        <f t="shared" si="151"/>
        <v>#N/A</v>
      </c>
      <c r="T426" s="20" t="e">
        <f t="shared" si="152"/>
        <v>#N/A</v>
      </c>
      <c r="U426" s="3"/>
      <c r="AA426" s="4"/>
    </row>
    <row r="427" spans="1:27" x14ac:dyDescent="0.25">
      <c r="A427">
        <f t="shared" si="155"/>
        <v>425</v>
      </c>
      <c r="B427">
        <f t="shared" si="136"/>
        <v>9</v>
      </c>
      <c r="C427">
        <f t="shared" si="139"/>
        <v>1.8000000000000007</v>
      </c>
      <c r="D427" s="15">
        <f t="shared" si="137"/>
        <v>2.5</v>
      </c>
      <c r="E427">
        <f t="shared" si="140"/>
        <v>1</v>
      </c>
      <c r="F427" s="3">
        <f t="shared" si="153"/>
        <v>5</v>
      </c>
      <c r="G427" s="3">
        <f t="shared" si="154"/>
        <v>8.7266462599716474E-2</v>
      </c>
      <c r="H427" s="18">
        <f t="shared" si="141"/>
        <v>1.7931504565651426</v>
      </c>
      <c r="I427" s="3">
        <f t="shared" si="142"/>
        <v>0.15688033694578477</v>
      </c>
      <c r="J427" s="19" t="str">
        <f t="shared" si="138"/>
        <v>L</v>
      </c>
      <c r="K427" s="20">
        <f t="shared" si="143"/>
        <v>1.7931504565651426</v>
      </c>
      <c r="L427" s="20">
        <f t="shared" si="144"/>
        <v>0.15688033694578477</v>
      </c>
      <c r="M427" s="20" t="e">
        <f t="shared" si="145"/>
        <v>#N/A</v>
      </c>
      <c r="N427" s="20" t="e">
        <f t="shared" si="146"/>
        <v>#N/A</v>
      </c>
      <c r="O427" s="20" t="e">
        <f t="shared" si="147"/>
        <v>#N/A</v>
      </c>
      <c r="P427" s="20" t="e">
        <f t="shared" si="148"/>
        <v>#N/A</v>
      </c>
      <c r="Q427" s="20" t="e">
        <f t="shared" si="149"/>
        <v>#N/A</v>
      </c>
      <c r="R427" s="20" t="e">
        <f t="shared" si="150"/>
        <v>#N/A</v>
      </c>
      <c r="S427" s="20" t="e">
        <f t="shared" si="151"/>
        <v>#N/A</v>
      </c>
      <c r="T427" s="20" t="e">
        <f t="shared" si="152"/>
        <v>#N/A</v>
      </c>
      <c r="U427" s="3"/>
      <c r="AA427" s="4"/>
    </row>
    <row r="428" spans="1:27" x14ac:dyDescent="0.25">
      <c r="A428">
        <f t="shared" si="155"/>
        <v>426</v>
      </c>
      <c r="B428">
        <f t="shared" si="136"/>
        <v>9</v>
      </c>
      <c r="C428">
        <f t="shared" si="139"/>
        <v>1.8000000000000007</v>
      </c>
      <c r="D428" s="15">
        <f t="shared" si="137"/>
        <v>2.5</v>
      </c>
      <c r="E428">
        <f t="shared" si="140"/>
        <v>1</v>
      </c>
      <c r="F428" s="3">
        <f t="shared" si="153"/>
        <v>7.5</v>
      </c>
      <c r="G428" s="3">
        <f t="shared" si="154"/>
        <v>0.1308996938995747</v>
      </c>
      <c r="H428" s="18">
        <f t="shared" si="141"/>
        <v>1.7846007504728594</v>
      </c>
      <c r="I428" s="3">
        <f t="shared" si="142"/>
        <v>0.23494714599609293</v>
      </c>
      <c r="J428" s="19" t="str">
        <f t="shared" si="138"/>
        <v>L</v>
      </c>
      <c r="K428" s="20">
        <f t="shared" si="143"/>
        <v>1.7846007504728594</v>
      </c>
      <c r="L428" s="20">
        <f t="shared" si="144"/>
        <v>0.23494714599609293</v>
      </c>
      <c r="M428" s="20" t="e">
        <f t="shared" si="145"/>
        <v>#N/A</v>
      </c>
      <c r="N428" s="20" t="e">
        <f t="shared" si="146"/>
        <v>#N/A</v>
      </c>
      <c r="O428" s="20" t="e">
        <f t="shared" si="147"/>
        <v>#N/A</v>
      </c>
      <c r="P428" s="20" t="e">
        <f t="shared" si="148"/>
        <v>#N/A</v>
      </c>
      <c r="Q428" s="20" t="e">
        <f t="shared" si="149"/>
        <v>#N/A</v>
      </c>
      <c r="R428" s="20" t="e">
        <f t="shared" si="150"/>
        <v>#N/A</v>
      </c>
      <c r="S428" s="20" t="e">
        <f t="shared" si="151"/>
        <v>#N/A</v>
      </c>
      <c r="T428" s="20" t="e">
        <f t="shared" si="152"/>
        <v>#N/A</v>
      </c>
      <c r="U428" s="3"/>
      <c r="AA428" s="4"/>
    </row>
    <row r="429" spans="1:27" x14ac:dyDescent="0.25">
      <c r="A429">
        <f t="shared" si="155"/>
        <v>427</v>
      </c>
      <c r="B429">
        <f t="shared" si="136"/>
        <v>9</v>
      </c>
      <c r="C429">
        <f t="shared" si="139"/>
        <v>1.8000000000000007</v>
      </c>
      <c r="D429" s="15">
        <f t="shared" si="137"/>
        <v>2.5</v>
      </c>
      <c r="E429">
        <f t="shared" si="140"/>
        <v>1</v>
      </c>
      <c r="F429" s="3">
        <f t="shared" si="153"/>
        <v>10</v>
      </c>
      <c r="G429" s="3">
        <f t="shared" si="154"/>
        <v>0.17453292519943295</v>
      </c>
      <c r="H429" s="18">
        <f t="shared" si="141"/>
        <v>1.7726539554219751</v>
      </c>
      <c r="I429" s="3">
        <f t="shared" si="142"/>
        <v>0.31256671980047473</v>
      </c>
      <c r="J429" s="19" t="str">
        <f t="shared" si="138"/>
        <v>L</v>
      </c>
      <c r="K429" s="20">
        <f t="shared" si="143"/>
        <v>1.7726539554219751</v>
      </c>
      <c r="L429" s="20">
        <f t="shared" si="144"/>
        <v>0.31256671980047473</v>
      </c>
      <c r="M429" s="20" t="e">
        <f t="shared" si="145"/>
        <v>#N/A</v>
      </c>
      <c r="N429" s="20" t="e">
        <f t="shared" si="146"/>
        <v>#N/A</v>
      </c>
      <c r="O429" s="20" t="e">
        <f t="shared" si="147"/>
        <v>#N/A</v>
      </c>
      <c r="P429" s="20" t="e">
        <f t="shared" si="148"/>
        <v>#N/A</v>
      </c>
      <c r="Q429" s="20" t="e">
        <f t="shared" si="149"/>
        <v>#N/A</v>
      </c>
      <c r="R429" s="20" t="e">
        <f t="shared" si="150"/>
        <v>#N/A</v>
      </c>
      <c r="S429" s="20" t="e">
        <f t="shared" si="151"/>
        <v>#N/A</v>
      </c>
      <c r="T429" s="20" t="e">
        <f t="shared" si="152"/>
        <v>#N/A</v>
      </c>
      <c r="U429" s="3"/>
      <c r="AA429" s="4"/>
    </row>
    <row r="430" spans="1:27" x14ac:dyDescent="0.25">
      <c r="A430">
        <f t="shared" si="155"/>
        <v>428</v>
      </c>
      <c r="B430">
        <f t="shared" si="136"/>
        <v>9</v>
      </c>
      <c r="C430">
        <f t="shared" si="139"/>
        <v>1.8000000000000007</v>
      </c>
      <c r="D430" s="15">
        <f t="shared" si="137"/>
        <v>2.5</v>
      </c>
      <c r="E430">
        <f t="shared" si="140"/>
        <v>1</v>
      </c>
      <c r="F430" s="3">
        <f t="shared" si="153"/>
        <v>12.5</v>
      </c>
      <c r="G430" s="3">
        <f t="shared" si="154"/>
        <v>0.21816615649929119</v>
      </c>
      <c r="H430" s="18">
        <f t="shared" si="141"/>
        <v>1.7573328128158807</v>
      </c>
      <c r="I430" s="3">
        <f t="shared" si="142"/>
        <v>0.3895913050885853</v>
      </c>
      <c r="J430" s="19" t="str">
        <f t="shared" si="138"/>
        <v>L</v>
      </c>
      <c r="K430" s="20">
        <f t="shared" si="143"/>
        <v>1.7573328128158807</v>
      </c>
      <c r="L430" s="20">
        <f t="shared" si="144"/>
        <v>0.3895913050885853</v>
      </c>
      <c r="M430" s="20" t="e">
        <f t="shared" si="145"/>
        <v>#N/A</v>
      </c>
      <c r="N430" s="20" t="e">
        <f t="shared" si="146"/>
        <v>#N/A</v>
      </c>
      <c r="O430" s="20" t="e">
        <f t="shared" si="147"/>
        <v>#N/A</v>
      </c>
      <c r="P430" s="20" t="e">
        <f t="shared" si="148"/>
        <v>#N/A</v>
      </c>
      <c r="Q430" s="20" t="e">
        <f t="shared" si="149"/>
        <v>#N/A</v>
      </c>
      <c r="R430" s="20" t="e">
        <f t="shared" si="150"/>
        <v>#N/A</v>
      </c>
      <c r="S430" s="20" t="e">
        <f t="shared" si="151"/>
        <v>#N/A</v>
      </c>
      <c r="T430" s="20" t="e">
        <f t="shared" si="152"/>
        <v>#N/A</v>
      </c>
      <c r="U430" s="3"/>
      <c r="AA430" s="4"/>
    </row>
    <row r="431" spans="1:27" x14ac:dyDescent="0.25">
      <c r="A431">
        <f t="shared" si="155"/>
        <v>429</v>
      </c>
      <c r="B431">
        <f t="shared" si="136"/>
        <v>9</v>
      </c>
      <c r="C431">
        <f t="shared" si="139"/>
        <v>1.8000000000000007</v>
      </c>
      <c r="D431" s="15">
        <f t="shared" si="137"/>
        <v>2.5</v>
      </c>
      <c r="E431">
        <f t="shared" si="140"/>
        <v>1</v>
      </c>
      <c r="F431" s="3">
        <f t="shared" si="153"/>
        <v>15</v>
      </c>
      <c r="G431" s="3">
        <f t="shared" si="154"/>
        <v>0.26179938779914941</v>
      </c>
      <c r="H431" s="18">
        <f t="shared" si="141"/>
        <v>1.7386664873203237</v>
      </c>
      <c r="I431" s="3">
        <f t="shared" si="142"/>
        <v>0.4658742811845375</v>
      </c>
      <c r="J431" s="19" t="str">
        <f t="shared" si="138"/>
        <v>L</v>
      </c>
      <c r="K431" s="20">
        <f t="shared" si="143"/>
        <v>1.7386664873203237</v>
      </c>
      <c r="L431" s="20">
        <f t="shared" si="144"/>
        <v>0.4658742811845375</v>
      </c>
      <c r="M431" s="20" t="e">
        <f t="shared" si="145"/>
        <v>#N/A</v>
      </c>
      <c r="N431" s="20" t="e">
        <f t="shared" si="146"/>
        <v>#N/A</v>
      </c>
      <c r="O431" s="20" t="e">
        <f t="shared" si="147"/>
        <v>#N/A</v>
      </c>
      <c r="P431" s="20" t="e">
        <f t="shared" si="148"/>
        <v>#N/A</v>
      </c>
      <c r="Q431" s="20" t="e">
        <f t="shared" si="149"/>
        <v>#N/A</v>
      </c>
      <c r="R431" s="20" t="e">
        <f t="shared" si="150"/>
        <v>#N/A</v>
      </c>
      <c r="S431" s="20" t="e">
        <f t="shared" si="151"/>
        <v>#N/A</v>
      </c>
      <c r="T431" s="20" t="e">
        <f t="shared" si="152"/>
        <v>#N/A</v>
      </c>
      <c r="U431" s="3"/>
      <c r="AA431" s="4"/>
    </row>
    <row r="432" spans="1:27" x14ac:dyDescent="0.25">
      <c r="A432">
        <f t="shared" si="155"/>
        <v>430</v>
      </c>
      <c r="B432">
        <f t="shared" si="136"/>
        <v>9</v>
      </c>
      <c r="C432">
        <f t="shared" si="139"/>
        <v>1.8000000000000007</v>
      </c>
      <c r="D432" s="15">
        <f t="shared" si="137"/>
        <v>2.5</v>
      </c>
      <c r="E432">
        <f t="shared" si="140"/>
        <v>1</v>
      </c>
      <c r="F432" s="3">
        <f t="shared" si="153"/>
        <v>17.5</v>
      </c>
      <c r="G432" s="3">
        <f t="shared" si="154"/>
        <v>0.30543261909900765</v>
      </c>
      <c r="H432" s="18">
        <f t="shared" si="141"/>
        <v>1.7166905113468092</v>
      </c>
      <c r="I432" s="3">
        <f t="shared" si="142"/>
        <v>0.54127043910769179</v>
      </c>
      <c r="J432" s="19" t="str">
        <f t="shared" si="138"/>
        <v>L</v>
      </c>
      <c r="K432" s="20">
        <f t="shared" si="143"/>
        <v>1.7166905113468092</v>
      </c>
      <c r="L432" s="20">
        <f t="shared" si="144"/>
        <v>0.54127043910769179</v>
      </c>
      <c r="M432" s="20" t="e">
        <f t="shared" si="145"/>
        <v>#N/A</v>
      </c>
      <c r="N432" s="20" t="e">
        <f t="shared" si="146"/>
        <v>#N/A</v>
      </c>
      <c r="O432" s="20" t="e">
        <f t="shared" si="147"/>
        <v>#N/A</v>
      </c>
      <c r="P432" s="20" t="e">
        <f t="shared" si="148"/>
        <v>#N/A</v>
      </c>
      <c r="Q432" s="20" t="e">
        <f t="shared" si="149"/>
        <v>#N/A</v>
      </c>
      <c r="R432" s="20" t="e">
        <f t="shared" si="150"/>
        <v>#N/A</v>
      </c>
      <c r="S432" s="20" t="e">
        <f t="shared" si="151"/>
        <v>#N/A</v>
      </c>
      <c r="T432" s="20" t="e">
        <f t="shared" si="152"/>
        <v>#N/A</v>
      </c>
      <c r="U432" s="3"/>
      <c r="AA432" s="4"/>
    </row>
    <row r="433" spans="1:27" x14ac:dyDescent="0.25">
      <c r="A433">
        <f t="shared" si="155"/>
        <v>431</v>
      </c>
      <c r="B433">
        <f t="shared" si="136"/>
        <v>9</v>
      </c>
      <c r="C433">
        <f t="shared" si="139"/>
        <v>1.8000000000000007</v>
      </c>
      <c r="D433" s="15">
        <f t="shared" si="137"/>
        <v>2.5</v>
      </c>
      <c r="E433">
        <f t="shared" si="140"/>
        <v>1</v>
      </c>
      <c r="F433" s="3">
        <f t="shared" si="153"/>
        <v>20</v>
      </c>
      <c r="G433" s="3">
        <f t="shared" si="154"/>
        <v>0.3490658503988659</v>
      </c>
      <c r="H433" s="18">
        <f t="shared" si="141"/>
        <v>1.6914467174146359</v>
      </c>
      <c r="I433" s="3">
        <f t="shared" si="142"/>
        <v>0.61563625798620392</v>
      </c>
      <c r="J433" s="19" t="str">
        <f t="shared" si="138"/>
        <v>L</v>
      </c>
      <c r="K433" s="20">
        <f t="shared" si="143"/>
        <v>1.6914467174146359</v>
      </c>
      <c r="L433" s="20">
        <f t="shared" si="144"/>
        <v>0.61563625798620392</v>
      </c>
      <c r="M433" s="20" t="e">
        <f t="shared" si="145"/>
        <v>#N/A</v>
      </c>
      <c r="N433" s="20" t="e">
        <f t="shared" si="146"/>
        <v>#N/A</v>
      </c>
      <c r="O433" s="20" t="e">
        <f t="shared" si="147"/>
        <v>#N/A</v>
      </c>
      <c r="P433" s="20" t="e">
        <f t="shared" si="148"/>
        <v>#N/A</v>
      </c>
      <c r="Q433" s="20" t="e">
        <f t="shared" si="149"/>
        <v>#N/A</v>
      </c>
      <c r="R433" s="20" t="e">
        <f t="shared" si="150"/>
        <v>#N/A</v>
      </c>
      <c r="S433" s="20" t="e">
        <f t="shared" si="151"/>
        <v>#N/A</v>
      </c>
      <c r="T433" s="20" t="e">
        <f t="shared" si="152"/>
        <v>#N/A</v>
      </c>
      <c r="U433" s="3"/>
      <c r="AA433" s="4"/>
    </row>
    <row r="434" spans="1:27" x14ac:dyDescent="0.25">
      <c r="A434">
        <f t="shared" si="155"/>
        <v>432</v>
      </c>
      <c r="B434">
        <f t="shared" si="136"/>
        <v>9</v>
      </c>
      <c r="C434">
        <f t="shared" si="139"/>
        <v>1.8000000000000007</v>
      </c>
      <c r="D434" s="15">
        <f t="shared" si="137"/>
        <v>2.5</v>
      </c>
      <c r="E434">
        <f t="shared" si="140"/>
        <v>1</v>
      </c>
      <c r="F434" s="3">
        <f t="shared" si="153"/>
        <v>22.5</v>
      </c>
      <c r="G434" s="3">
        <f t="shared" si="154"/>
        <v>0.39269908169872414</v>
      </c>
      <c r="H434" s="18">
        <f t="shared" si="141"/>
        <v>1.6629831585203168</v>
      </c>
      <c r="I434" s="3">
        <f t="shared" si="142"/>
        <v>0.68883017825716186</v>
      </c>
      <c r="J434" s="19" t="str">
        <f t="shared" si="138"/>
        <v>L</v>
      </c>
      <c r="K434" s="20">
        <f t="shared" si="143"/>
        <v>1.6629831585203168</v>
      </c>
      <c r="L434" s="20">
        <f t="shared" si="144"/>
        <v>0.68883017825716186</v>
      </c>
      <c r="M434" s="20" t="e">
        <f t="shared" si="145"/>
        <v>#N/A</v>
      </c>
      <c r="N434" s="20" t="e">
        <f t="shared" si="146"/>
        <v>#N/A</v>
      </c>
      <c r="O434" s="20" t="e">
        <f t="shared" si="147"/>
        <v>#N/A</v>
      </c>
      <c r="P434" s="20" t="e">
        <f t="shared" si="148"/>
        <v>#N/A</v>
      </c>
      <c r="Q434" s="20" t="e">
        <f t="shared" si="149"/>
        <v>#N/A</v>
      </c>
      <c r="R434" s="20" t="e">
        <f t="shared" si="150"/>
        <v>#N/A</v>
      </c>
      <c r="S434" s="20" t="e">
        <f t="shared" si="151"/>
        <v>#N/A</v>
      </c>
      <c r="T434" s="20" t="e">
        <f t="shared" si="152"/>
        <v>#N/A</v>
      </c>
      <c r="U434" s="3"/>
      <c r="AA434" s="4"/>
    </row>
    <row r="435" spans="1:27" x14ac:dyDescent="0.25">
      <c r="A435">
        <f t="shared" si="155"/>
        <v>433</v>
      </c>
      <c r="B435">
        <f t="shared" si="136"/>
        <v>9</v>
      </c>
      <c r="C435">
        <f t="shared" si="139"/>
        <v>1.8000000000000007</v>
      </c>
      <c r="D435" s="15">
        <f t="shared" si="137"/>
        <v>2.5</v>
      </c>
      <c r="E435">
        <f t="shared" si="140"/>
        <v>1</v>
      </c>
      <c r="F435" s="3">
        <f t="shared" si="153"/>
        <v>25</v>
      </c>
      <c r="G435" s="3">
        <f t="shared" si="154"/>
        <v>0.43633231299858238</v>
      </c>
      <c r="H435" s="18">
        <f t="shared" si="141"/>
        <v>1.6313540166659706</v>
      </c>
      <c r="I435" s="3">
        <f t="shared" si="142"/>
        <v>0.76071287113325925</v>
      </c>
      <c r="J435" s="19" t="str">
        <f t="shared" si="138"/>
        <v>L</v>
      </c>
      <c r="K435" s="20">
        <f t="shared" si="143"/>
        <v>1.6313540166659706</v>
      </c>
      <c r="L435" s="20">
        <f t="shared" si="144"/>
        <v>0.76071287113325925</v>
      </c>
      <c r="M435" s="20" t="e">
        <f t="shared" si="145"/>
        <v>#N/A</v>
      </c>
      <c r="N435" s="20" t="e">
        <f t="shared" si="146"/>
        <v>#N/A</v>
      </c>
      <c r="O435" s="20" t="e">
        <f t="shared" si="147"/>
        <v>#N/A</v>
      </c>
      <c r="P435" s="20" t="e">
        <f t="shared" si="148"/>
        <v>#N/A</v>
      </c>
      <c r="Q435" s="20" t="e">
        <f t="shared" si="149"/>
        <v>#N/A</v>
      </c>
      <c r="R435" s="20" t="e">
        <f t="shared" si="150"/>
        <v>#N/A</v>
      </c>
      <c r="S435" s="20" t="e">
        <f t="shared" si="151"/>
        <v>#N/A</v>
      </c>
      <c r="T435" s="20" t="e">
        <f t="shared" si="152"/>
        <v>#N/A</v>
      </c>
      <c r="U435" s="3"/>
      <c r="AA435" s="4"/>
    </row>
    <row r="436" spans="1:27" x14ac:dyDescent="0.25">
      <c r="A436">
        <f t="shared" si="155"/>
        <v>434</v>
      </c>
      <c r="B436">
        <f t="shared" si="136"/>
        <v>9</v>
      </c>
      <c r="C436">
        <f t="shared" si="139"/>
        <v>1.8000000000000007</v>
      </c>
      <c r="D436" s="15">
        <f t="shared" si="137"/>
        <v>2.5</v>
      </c>
      <c r="E436">
        <f t="shared" si="140"/>
        <v>1</v>
      </c>
      <c r="F436" s="3">
        <f t="shared" si="153"/>
        <v>27.5</v>
      </c>
      <c r="G436" s="3">
        <f t="shared" si="154"/>
        <v>0.47996554429844063</v>
      </c>
      <c r="H436" s="18">
        <f t="shared" si="141"/>
        <v>1.5966194997207996</v>
      </c>
      <c r="I436" s="3">
        <f t="shared" si="142"/>
        <v>0.83114750382306135</v>
      </c>
      <c r="J436" s="19" t="str">
        <f t="shared" si="138"/>
        <v>L</v>
      </c>
      <c r="K436" s="20">
        <f t="shared" si="143"/>
        <v>1.5966194997207996</v>
      </c>
      <c r="L436" s="20">
        <f t="shared" si="144"/>
        <v>0.83114750382306135</v>
      </c>
      <c r="M436" s="20" t="e">
        <f t="shared" si="145"/>
        <v>#N/A</v>
      </c>
      <c r="N436" s="20" t="e">
        <f t="shared" si="146"/>
        <v>#N/A</v>
      </c>
      <c r="O436" s="20" t="e">
        <f t="shared" si="147"/>
        <v>#N/A</v>
      </c>
      <c r="P436" s="20" t="e">
        <f t="shared" si="148"/>
        <v>#N/A</v>
      </c>
      <c r="Q436" s="20" t="e">
        <f t="shared" si="149"/>
        <v>#N/A</v>
      </c>
      <c r="R436" s="20" t="e">
        <f t="shared" si="150"/>
        <v>#N/A</v>
      </c>
      <c r="S436" s="20" t="e">
        <f t="shared" si="151"/>
        <v>#N/A</v>
      </c>
      <c r="T436" s="20" t="e">
        <f t="shared" si="152"/>
        <v>#N/A</v>
      </c>
      <c r="U436" s="3"/>
      <c r="AA436" s="4"/>
    </row>
    <row r="437" spans="1:27" x14ac:dyDescent="0.25">
      <c r="A437">
        <f t="shared" si="155"/>
        <v>435</v>
      </c>
      <c r="B437">
        <f t="shared" si="136"/>
        <v>9</v>
      </c>
      <c r="C437">
        <f t="shared" si="139"/>
        <v>1.8000000000000007</v>
      </c>
      <c r="D437" s="15">
        <f t="shared" si="137"/>
        <v>2.5</v>
      </c>
      <c r="E437">
        <f t="shared" si="140"/>
        <v>1</v>
      </c>
      <c r="F437" s="3">
        <f t="shared" si="153"/>
        <v>30</v>
      </c>
      <c r="G437" s="3">
        <f t="shared" si="154"/>
        <v>0.52359877559829882</v>
      </c>
      <c r="H437" s="18">
        <f t="shared" si="141"/>
        <v>1.5588457268119902</v>
      </c>
      <c r="I437" s="3">
        <f t="shared" si="142"/>
        <v>0.90000000000000024</v>
      </c>
      <c r="J437" s="19" t="str">
        <f t="shared" si="138"/>
        <v>L</v>
      </c>
      <c r="K437" s="20">
        <f t="shared" si="143"/>
        <v>1.5588457268119902</v>
      </c>
      <c r="L437" s="20">
        <f t="shared" si="144"/>
        <v>0.90000000000000024</v>
      </c>
      <c r="M437" s="20" t="e">
        <f t="shared" si="145"/>
        <v>#N/A</v>
      </c>
      <c r="N437" s="20" t="e">
        <f t="shared" si="146"/>
        <v>#N/A</v>
      </c>
      <c r="O437" s="20" t="e">
        <f t="shared" si="147"/>
        <v>#N/A</v>
      </c>
      <c r="P437" s="20" t="e">
        <f t="shared" si="148"/>
        <v>#N/A</v>
      </c>
      <c r="Q437" s="20" t="e">
        <f t="shared" si="149"/>
        <v>#N/A</v>
      </c>
      <c r="R437" s="20" t="e">
        <f t="shared" si="150"/>
        <v>#N/A</v>
      </c>
      <c r="S437" s="20" t="e">
        <f t="shared" si="151"/>
        <v>#N/A</v>
      </c>
      <c r="T437" s="20" t="e">
        <f t="shared" si="152"/>
        <v>#N/A</v>
      </c>
      <c r="U437" s="3"/>
      <c r="AA437" s="4"/>
    </row>
    <row r="438" spans="1:27" x14ac:dyDescent="0.25">
      <c r="A438">
        <f t="shared" si="155"/>
        <v>436</v>
      </c>
      <c r="B438">
        <f t="shared" ref="B438:B501" si="156">VLOOKUP(A438,$Y$2:$Z$13,2,1)</f>
        <v>9</v>
      </c>
      <c r="C438">
        <f t="shared" ref="C438:C501" si="157">VLOOKUP(B438,$V$2:$AB$14,7,0)</f>
        <v>1.8000000000000007</v>
      </c>
      <c r="D438" s="15">
        <f t="shared" ref="D438:D501" si="158">VLOOKUP(B438,$V$2:$AC$13,8,0)</f>
        <v>2.5</v>
      </c>
      <c r="E438">
        <f t="shared" ref="E438:E501" si="159">IF(OR(A438=$Y$3,A438=$Y$4,A438=$Y$5,A438=$Y$6,A438=$Y$7,A438=$Y$8,A438=$Y$9,A438=$Y$10,A438=$Y$11,A438=$Y$12,A438=$Y$12),0,1)</f>
        <v>1</v>
      </c>
      <c r="F438" s="3">
        <f t="shared" ref="F438:F501" si="160">IF(E438=0,0,D438+F437)</f>
        <v>32.5</v>
      </c>
      <c r="G438" s="3">
        <f t="shared" ref="G438:G501" si="161">(F438/180)*PI()</f>
        <v>0.56723200689815712</v>
      </c>
      <c r="H438" s="18">
        <f t="shared" ref="H438:H501" si="162">C438*COS(G438)</f>
        <v>1.5181046024631948</v>
      </c>
      <c r="I438" s="3">
        <f t="shared" ref="I438:I501" si="163">C438*SIN(G438)</f>
        <v>0.96713929502428342</v>
      </c>
      <c r="J438" s="19" t="str">
        <f t="shared" si="138"/>
        <v>L</v>
      </c>
      <c r="K438" s="20">
        <f t="shared" si="143"/>
        <v>1.5181046024631948</v>
      </c>
      <c r="L438" s="20">
        <f t="shared" si="144"/>
        <v>0.96713929502428342</v>
      </c>
      <c r="M438" s="20" t="e">
        <f t="shared" si="145"/>
        <v>#N/A</v>
      </c>
      <c r="N438" s="20" t="e">
        <f t="shared" si="146"/>
        <v>#N/A</v>
      </c>
      <c r="O438" s="20" t="e">
        <f t="shared" si="147"/>
        <v>#N/A</v>
      </c>
      <c r="P438" s="20" t="e">
        <f t="shared" si="148"/>
        <v>#N/A</v>
      </c>
      <c r="Q438" s="20" t="e">
        <f t="shared" si="149"/>
        <v>#N/A</v>
      </c>
      <c r="R438" s="20" t="e">
        <f t="shared" si="150"/>
        <v>#N/A</v>
      </c>
      <c r="S438" s="20" t="e">
        <f t="shared" si="151"/>
        <v>#N/A</v>
      </c>
      <c r="T438" s="20" t="e">
        <f t="shared" si="152"/>
        <v>#N/A</v>
      </c>
    </row>
    <row r="439" spans="1:27" x14ac:dyDescent="0.25">
      <c r="A439">
        <f t="shared" si="155"/>
        <v>437</v>
      </c>
      <c r="B439">
        <f t="shared" si="156"/>
        <v>9</v>
      </c>
      <c r="C439">
        <f t="shared" si="157"/>
        <v>1.8000000000000007</v>
      </c>
      <c r="D439" s="15">
        <f t="shared" si="158"/>
        <v>2.5</v>
      </c>
      <c r="E439">
        <f t="shared" si="159"/>
        <v>1</v>
      </c>
      <c r="F439" s="3">
        <f t="shared" si="160"/>
        <v>35</v>
      </c>
      <c r="G439" s="3">
        <f t="shared" si="161"/>
        <v>0.6108652381980153</v>
      </c>
      <c r="H439" s="18">
        <f t="shared" si="162"/>
        <v>1.4744736797201858</v>
      </c>
      <c r="I439" s="3">
        <f t="shared" si="163"/>
        <v>1.0324375854318832</v>
      </c>
      <c r="J439" s="19" t="str">
        <f t="shared" si="138"/>
        <v>L</v>
      </c>
      <c r="K439" s="20">
        <f t="shared" si="143"/>
        <v>1.4744736797201858</v>
      </c>
      <c r="L439" s="20">
        <f t="shared" si="144"/>
        <v>1.0324375854318832</v>
      </c>
      <c r="M439" s="20" t="e">
        <f t="shared" si="145"/>
        <v>#N/A</v>
      </c>
      <c r="N439" s="20" t="e">
        <f t="shared" si="146"/>
        <v>#N/A</v>
      </c>
      <c r="O439" s="20" t="e">
        <f t="shared" si="147"/>
        <v>#N/A</v>
      </c>
      <c r="P439" s="20" t="e">
        <f t="shared" si="148"/>
        <v>#N/A</v>
      </c>
      <c r="Q439" s="20" t="e">
        <f t="shared" si="149"/>
        <v>#N/A</v>
      </c>
      <c r="R439" s="20" t="e">
        <f t="shared" si="150"/>
        <v>#N/A</v>
      </c>
      <c r="S439" s="20" t="e">
        <f t="shared" si="151"/>
        <v>#N/A</v>
      </c>
      <c r="T439" s="20" t="e">
        <f t="shared" si="152"/>
        <v>#N/A</v>
      </c>
    </row>
    <row r="440" spans="1:27" x14ac:dyDescent="0.25">
      <c r="A440">
        <f t="shared" si="155"/>
        <v>438</v>
      </c>
      <c r="B440">
        <f t="shared" si="156"/>
        <v>9</v>
      </c>
      <c r="C440">
        <f t="shared" si="157"/>
        <v>1.8000000000000007</v>
      </c>
      <c r="D440" s="15">
        <f t="shared" si="158"/>
        <v>2.5</v>
      </c>
      <c r="E440">
        <f t="shared" si="159"/>
        <v>1</v>
      </c>
      <c r="F440" s="3">
        <f t="shared" si="160"/>
        <v>37.5</v>
      </c>
      <c r="G440" s="3">
        <f t="shared" si="161"/>
        <v>0.6544984694978736</v>
      </c>
      <c r="H440" s="18">
        <f t="shared" si="162"/>
        <v>1.428036012524224</v>
      </c>
      <c r="I440" s="3">
        <f t="shared" si="163"/>
        <v>1.0957705722156976</v>
      </c>
      <c r="J440" s="19" t="str">
        <f t="shared" si="138"/>
        <v>L</v>
      </c>
      <c r="K440" s="20">
        <f t="shared" si="143"/>
        <v>1.428036012524224</v>
      </c>
      <c r="L440" s="20">
        <f t="shared" si="144"/>
        <v>1.0957705722156976</v>
      </c>
      <c r="M440" s="20" t="e">
        <f t="shared" si="145"/>
        <v>#N/A</v>
      </c>
      <c r="N440" s="20" t="e">
        <f t="shared" si="146"/>
        <v>#N/A</v>
      </c>
      <c r="O440" s="20" t="e">
        <f t="shared" si="147"/>
        <v>#N/A</v>
      </c>
      <c r="P440" s="20" t="e">
        <f t="shared" si="148"/>
        <v>#N/A</v>
      </c>
      <c r="Q440" s="20" t="e">
        <f t="shared" si="149"/>
        <v>#N/A</v>
      </c>
      <c r="R440" s="20" t="e">
        <f t="shared" si="150"/>
        <v>#N/A</v>
      </c>
      <c r="S440" s="20" t="e">
        <f t="shared" si="151"/>
        <v>#N/A</v>
      </c>
      <c r="T440" s="20" t="e">
        <f t="shared" si="152"/>
        <v>#N/A</v>
      </c>
    </row>
    <row r="441" spans="1:27" x14ac:dyDescent="0.25">
      <c r="A441">
        <f t="shared" si="155"/>
        <v>439</v>
      </c>
      <c r="B441">
        <f t="shared" si="156"/>
        <v>9</v>
      </c>
      <c r="C441">
        <f t="shared" si="157"/>
        <v>1.8000000000000007</v>
      </c>
      <c r="D441" s="15">
        <f t="shared" si="158"/>
        <v>2.5</v>
      </c>
      <c r="E441">
        <f t="shared" si="159"/>
        <v>1</v>
      </c>
      <c r="F441" s="3">
        <f t="shared" si="160"/>
        <v>40</v>
      </c>
      <c r="G441" s="3">
        <f t="shared" si="161"/>
        <v>0.69813170079773179</v>
      </c>
      <c r="H441" s="18">
        <f t="shared" si="162"/>
        <v>1.378879997614161</v>
      </c>
      <c r="I441" s="3">
        <f t="shared" si="163"/>
        <v>1.1570176974357711</v>
      </c>
      <c r="J441" s="19" t="str">
        <f t="shared" si="138"/>
        <v>L</v>
      </c>
      <c r="K441" s="20">
        <f t="shared" si="143"/>
        <v>1.378879997614161</v>
      </c>
      <c r="L441" s="20">
        <f t="shared" si="144"/>
        <v>1.1570176974357711</v>
      </c>
      <c r="M441" s="20" t="e">
        <f t="shared" si="145"/>
        <v>#N/A</v>
      </c>
      <c r="N441" s="20" t="e">
        <f t="shared" si="146"/>
        <v>#N/A</v>
      </c>
      <c r="O441" s="20" t="e">
        <f t="shared" si="147"/>
        <v>#N/A</v>
      </c>
      <c r="P441" s="20" t="e">
        <f t="shared" si="148"/>
        <v>#N/A</v>
      </c>
      <c r="Q441" s="20" t="e">
        <f t="shared" si="149"/>
        <v>#N/A</v>
      </c>
      <c r="R441" s="20" t="e">
        <f t="shared" si="150"/>
        <v>#N/A</v>
      </c>
      <c r="S441" s="20" t="e">
        <f t="shared" si="151"/>
        <v>#N/A</v>
      </c>
      <c r="T441" s="20" t="e">
        <f t="shared" si="152"/>
        <v>#N/A</v>
      </c>
    </row>
    <row r="442" spans="1:27" x14ac:dyDescent="0.25">
      <c r="A442">
        <f t="shared" si="155"/>
        <v>440</v>
      </c>
      <c r="B442">
        <f t="shared" si="156"/>
        <v>9</v>
      </c>
      <c r="C442">
        <f t="shared" si="157"/>
        <v>1.8000000000000007</v>
      </c>
      <c r="D442" s="15">
        <f t="shared" si="158"/>
        <v>2.5</v>
      </c>
      <c r="E442">
        <f t="shared" si="159"/>
        <v>1</v>
      </c>
      <c r="F442" s="3">
        <f t="shared" si="160"/>
        <v>42.5</v>
      </c>
      <c r="G442" s="3">
        <f t="shared" si="161"/>
        <v>0.74176493209758998</v>
      </c>
      <c r="H442" s="18">
        <f t="shared" si="162"/>
        <v>1.3270992062582239</v>
      </c>
      <c r="I442" s="3">
        <f t="shared" si="163"/>
        <v>1.2160623737081888</v>
      </c>
      <c r="J442" s="19" t="str">
        <f t="shared" si="138"/>
        <v>L</v>
      </c>
      <c r="K442" s="20">
        <f t="shared" si="143"/>
        <v>1.3270992062582239</v>
      </c>
      <c r="L442" s="20">
        <f t="shared" si="144"/>
        <v>1.2160623737081888</v>
      </c>
      <c r="M442" s="20" t="e">
        <f t="shared" si="145"/>
        <v>#N/A</v>
      </c>
      <c r="N442" s="20" t="e">
        <f t="shared" si="146"/>
        <v>#N/A</v>
      </c>
      <c r="O442" s="20" t="e">
        <f t="shared" si="147"/>
        <v>#N/A</v>
      </c>
      <c r="P442" s="20" t="e">
        <f t="shared" si="148"/>
        <v>#N/A</v>
      </c>
      <c r="Q442" s="20" t="e">
        <f t="shared" si="149"/>
        <v>#N/A</v>
      </c>
      <c r="R442" s="20" t="e">
        <f t="shared" si="150"/>
        <v>#N/A</v>
      </c>
      <c r="S442" s="20" t="e">
        <f t="shared" si="151"/>
        <v>#N/A</v>
      </c>
      <c r="T442" s="20" t="e">
        <f t="shared" si="152"/>
        <v>#N/A</v>
      </c>
    </row>
    <row r="443" spans="1:27" x14ac:dyDescent="0.25">
      <c r="A443">
        <f t="shared" si="155"/>
        <v>441</v>
      </c>
      <c r="B443">
        <f t="shared" si="156"/>
        <v>9</v>
      </c>
      <c r="C443">
        <f t="shared" si="157"/>
        <v>1.8000000000000007</v>
      </c>
      <c r="D443" s="15">
        <f t="shared" si="158"/>
        <v>2.5</v>
      </c>
      <c r="E443">
        <f t="shared" si="159"/>
        <v>1</v>
      </c>
      <c r="F443" s="3">
        <f t="shared" si="160"/>
        <v>45</v>
      </c>
      <c r="G443" s="3">
        <f t="shared" si="161"/>
        <v>0.78539816339744828</v>
      </c>
      <c r="H443" s="18">
        <f t="shared" si="162"/>
        <v>1.2727922061357861</v>
      </c>
      <c r="I443" s="3">
        <f t="shared" si="163"/>
        <v>1.2727922061357859</v>
      </c>
      <c r="J443" s="19" t="str">
        <f t="shared" si="138"/>
        <v>L</v>
      </c>
      <c r="K443" s="20">
        <f t="shared" si="143"/>
        <v>1.2727922061357861</v>
      </c>
      <c r="L443" s="20">
        <f t="shared" si="144"/>
        <v>1.2727922061357859</v>
      </c>
      <c r="M443" s="20" t="e">
        <f t="shared" si="145"/>
        <v>#N/A</v>
      </c>
      <c r="N443" s="20" t="e">
        <f t="shared" si="146"/>
        <v>#N/A</v>
      </c>
      <c r="O443" s="20" t="e">
        <f t="shared" si="147"/>
        <v>#N/A</v>
      </c>
      <c r="P443" s="20" t="e">
        <f t="shared" si="148"/>
        <v>#N/A</v>
      </c>
      <c r="Q443" s="20" t="e">
        <f t="shared" si="149"/>
        <v>#N/A</v>
      </c>
      <c r="R443" s="20" t="e">
        <f t="shared" si="150"/>
        <v>#N/A</v>
      </c>
      <c r="S443" s="20" t="e">
        <f t="shared" si="151"/>
        <v>#N/A</v>
      </c>
      <c r="T443" s="20" t="e">
        <f t="shared" si="152"/>
        <v>#N/A</v>
      </c>
    </row>
    <row r="444" spans="1:27" x14ac:dyDescent="0.25">
      <c r="A444">
        <f t="shared" si="155"/>
        <v>442</v>
      </c>
      <c r="B444">
        <f t="shared" si="156"/>
        <v>9</v>
      </c>
      <c r="C444">
        <f t="shared" si="157"/>
        <v>1.8000000000000007</v>
      </c>
      <c r="D444" s="15">
        <f t="shared" si="158"/>
        <v>2.5</v>
      </c>
      <c r="E444">
        <f t="shared" si="159"/>
        <v>1</v>
      </c>
      <c r="F444" s="3">
        <f t="shared" si="160"/>
        <v>47.5</v>
      </c>
      <c r="G444" s="3">
        <f t="shared" si="161"/>
        <v>0.82903139469730658</v>
      </c>
      <c r="H444" s="18">
        <f t="shared" si="162"/>
        <v>1.2160623737081888</v>
      </c>
      <c r="I444" s="3">
        <f t="shared" si="163"/>
        <v>1.3270992062582239</v>
      </c>
      <c r="J444" s="19" t="str">
        <f t="shared" si="138"/>
        <v>L</v>
      </c>
      <c r="K444" s="20">
        <f t="shared" si="143"/>
        <v>1.2160623737081888</v>
      </c>
      <c r="L444" s="20">
        <f t="shared" si="144"/>
        <v>1.3270992062582239</v>
      </c>
      <c r="M444" s="20" t="e">
        <f t="shared" si="145"/>
        <v>#N/A</v>
      </c>
      <c r="N444" s="20" t="e">
        <f t="shared" si="146"/>
        <v>#N/A</v>
      </c>
      <c r="O444" s="20" t="e">
        <f t="shared" si="147"/>
        <v>#N/A</v>
      </c>
      <c r="P444" s="20" t="e">
        <f t="shared" si="148"/>
        <v>#N/A</v>
      </c>
      <c r="Q444" s="20" t="e">
        <f t="shared" si="149"/>
        <v>#N/A</v>
      </c>
      <c r="R444" s="20" t="e">
        <f t="shared" si="150"/>
        <v>#N/A</v>
      </c>
      <c r="S444" s="20" t="e">
        <f t="shared" si="151"/>
        <v>#N/A</v>
      </c>
      <c r="T444" s="20" t="e">
        <f t="shared" si="152"/>
        <v>#N/A</v>
      </c>
    </row>
    <row r="445" spans="1:27" x14ac:dyDescent="0.25">
      <c r="A445">
        <f t="shared" si="155"/>
        <v>443</v>
      </c>
      <c r="B445">
        <f t="shared" si="156"/>
        <v>9</v>
      </c>
      <c r="C445">
        <f t="shared" si="157"/>
        <v>1.8000000000000007</v>
      </c>
      <c r="D445" s="15">
        <f t="shared" si="158"/>
        <v>2.5</v>
      </c>
      <c r="E445">
        <f t="shared" si="159"/>
        <v>1</v>
      </c>
      <c r="F445" s="3">
        <f t="shared" si="160"/>
        <v>50</v>
      </c>
      <c r="G445" s="3">
        <f t="shared" si="161"/>
        <v>0.87266462599716477</v>
      </c>
      <c r="H445" s="18">
        <f t="shared" si="162"/>
        <v>1.1570176974357713</v>
      </c>
      <c r="I445" s="3">
        <f t="shared" si="163"/>
        <v>1.378879997614161</v>
      </c>
      <c r="J445" s="19" t="str">
        <f t="shared" si="138"/>
        <v>L</v>
      </c>
      <c r="K445" s="20">
        <f t="shared" si="143"/>
        <v>1.1570176974357713</v>
      </c>
      <c r="L445" s="20">
        <f t="shared" si="144"/>
        <v>1.378879997614161</v>
      </c>
      <c r="M445" s="20" t="e">
        <f t="shared" si="145"/>
        <v>#N/A</v>
      </c>
      <c r="N445" s="20" t="e">
        <f t="shared" si="146"/>
        <v>#N/A</v>
      </c>
      <c r="O445" s="20" t="e">
        <f t="shared" si="147"/>
        <v>#N/A</v>
      </c>
      <c r="P445" s="20" t="e">
        <f t="shared" si="148"/>
        <v>#N/A</v>
      </c>
      <c r="Q445" s="20" t="e">
        <f t="shared" si="149"/>
        <v>#N/A</v>
      </c>
      <c r="R445" s="20" t="e">
        <f t="shared" si="150"/>
        <v>#N/A</v>
      </c>
      <c r="S445" s="20" t="e">
        <f t="shared" si="151"/>
        <v>#N/A</v>
      </c>
      <c r="T445" s="20" t="e">
        <f t="shared" si="152"/>
        <v>#N/A</v>
      </c>
    </row>
    <row r="446" spans="1:27" x14ac:dyDescent="0.25">
      <c r="A446">
        <f t="shared" si="155"/>
        <v>444</v>
      </c>
      <c r="B446">
        <f t="shared" si="156"/>
        <v>9</v>
      </c>
      <c r="C446">
        <f t="shared" si="157"/>
        <v>1.8000000000000007</v>
      </c>
      <c r="D446" s="15">
        <f t="shared" si="158"/>
        <v>2.5</v>
      </c>
      <c r="E446">
        <f t="shared" si="159"/>
        <v>1</v>
      </c>
      <c r="F446" s="3">
        <f t="shared" si="160"/>
        <v>52.5</v>
      </c>
      <c r="G446" s="3">
        <f t="shared" si="161"/>
        <v>0.91629785729702307</v>
      </c>
      <c r="H446" s="18">
        <f t="shared" si="162"/>
        <v>1.0957705722156976</v>
      </c>
      <c r="I446" s="3">
        <f t="shared" si="163"/>
        <v>1.428036012524224</v>
      </c>
      <c r="J446" s="19" t="str">
        <f t="shared" si="138"/>
        <v>L</v>
      </c>
      <c r="K446" s="20">
        <f t="shared" si="143"/>
        <v>1.0957705722156976</v>
      </c>
      <c r="L446" s="20">
        <f t="shared" si="144"/>
        <v>1.428036012524224</v>
      </c>
      <c r="M446" s="20" t="e">
        <f t="shared" si="145"/>
        <v>#N/A</v>
      </c>
      <c r="N446" s="20" t="e">
        <f t="shared" si="146"/>
        <v>#N/A</v>
      </c>
      <c r="O446" s="20" t="e">
        <f t="shared" si="147"/>
        <v>#N/A</v>
      </c>
      <c r="P446" s="20" t="e">
        <f t="shared" si="148"/>
        <v>#N/A</v>
      </c>
      <c r="Q446" s="20" t="e">
        <f t="shared" si="149"/>
        <v>#N/A</v>
      </c>
      <c r="R446" s="20" t="e">
        <f t="shared" si="150"/>
        <v>#N/A</v>
      </c>
      <c r="S446" s="20" t="e">
        <f t="shared" si="151"/>
        <v>#N/A</v>
      </c>
      <c r="T446" s="20" t="e">
        <f t="shared" si="152"/>
        <v>#N/A</v>
      </c>
    </row>
    <row r="447" spans="1:27" x14ac:dyDescent="0.25">
      <c r="A447">
        <f t="shared" si="155"/>
        <v>445</v>
      </c>
      <c r="B447">
        <f t="shared" si="156"/>
        <v>9</v>
      </c>
      <c r="C447">
        <f t="shared" si="157"/>
        <v>1.8000000000000007</v>
      </c>
      <c r="D447" s="15">
        <f t="shared" si="158"/>
        <v>2.5</v>
      </c>
      <c r="E447">
        <f t="shared" si="159"/>
        <v>1</v>
      </c>
      <c r="F447" s="3">
        <f t="shared" si="160"/>
        <v>55</v>
      </c>
      <c r="G447" s="3">
        <f t="shared" si="161"/>
        <v>0.95993108859688125</v>
      </c>
      <c r="H447" s="18">
        <f t="shared" si="162"/>
        <v>1.0324375854318835</v>
      </c>
      <c r="I447" s="3">
        <f t="shared" si="163"/>
        <v>1.4744736797201858</v>
      </c>
      <c r="J447" s="19" t="str">
        <f t="shared" si="138"/>
        <v>L</v>
      </c>
      <c r="K447" s="20">
        <f t="shared" si="143"/>
        <v>1.0324375854318835</v>
      </c>
      <c r="L447" s="20">
        <f t="shared" si="144"/>
        <v>1.4744736797201858</v>
      </c>
      <c r="M447" s="20" t="e">
        <f t="shared" si="145"/>
        <v>#N/A</v>
      </c>
      <c r="N447" s="20" t="e">
        <f t="shared" si="146"/>
        <v>#N/A</v>
      </c>
      <c r="O447" s="20" t="e">
        <f t="shared" si="147"/>
        <v>#N/A</v>
      </c>
      <c r="P447" s="20" t="e">
        <f t="shared" si="148"/>
        <v>#N/A</v>
      </c>
      <c r="Q447" s="20" t="e">
        <f t="shared" si="149"/>
        <v>#N/A</v>
      </c>
      <c r="R447" s="20" t="e">
        <f t="shared" si="150"/>
        <v>#N/A</v>
      </c>
      <c r="S447" s="20" t="e">
        <f t="shared" si="151"/>
        <v>#N/A</v>
      </c>
      <c r="T447" s="20" t="e">
        <f t="shared" si="152"/>
        <v>#N/A</v>
      </c>
    </row>
    <row r="448" spans="1:27" x14ac:dyDescent="0.25">
      <c r="A448">
        <f t="shared" si="155"/>
        <v>446</v>
      </c>
      <c r="B448">
        <f t="shared" si="156"/>
        <v>9</v>
      </c>
      <c r="C448">
        <f t="shared" si="157"/>
        <v>1.8000000000000007</v>
      </c>
      <c r="D448" s="15">
        <f t="shared" si="158"/>
        <v>2.5</v>
      </c>
      <c r="E448">
        <f t="shared" si="159"/>
        <v>1</v>
      </c>
      <c r="F448" s="3">
        <f t="shared" si="160"/>
        <v>57.5</v>
      </c>
      <c r="G448" s="3">
        <f t="shared" si="161"/>
        <v>1.0035643198967394</v>
      </c>
      <c r="H448" s="18">
        <f t="shared" si="162"/>
        <v>0.96713929502428342</v>
      </c>
      <c r="I448" s="3">
        <f t="shared" si="163"/>
        <v>1.5181046024631948</v>
      </c>
      <c r="J448" s="19" t="str">
        <f t="shared" si="138"/>
        <v>L</v>
      </c>
      <c r="K448" s="20">
        <f t="shared" si="143"/>
        <v>0.96713929502428342</v>
      </c>
      <c r="L448" s="20">
        <f t="shared" si="144"/>
        <v>1.5181046024631948</v>
      </c>
      <c r="M448" s="20" t="e">
        <f t="shared" si="145"/>
        <v>#N/A</v>
      </c>
      <c r="N448" s="20" t="e">
        <f t="shared" si="146"/>
        <v>#N/A</v>
      </c>
      <c r="O448" s="20" t="e">
        <f t="shared" si="147"/>
        <v>#N/A</v>
      </c>
      <c r="P448" s="20" t="e">
        <f t="shared" si="148"/>
        <v>#N/A</v>
      </c>
      <c r="Q448" s="20" t="e">
        <f t="shared" si="149"/>
        <v>#N/A</v>
      </c>
      <c r="R448" s="20" t="e">
        <f t="shared" si="150"/>
        <v>#N/A</v>
      </c>
      <c r="S448" s="20" t="e">
        <f t="shared" si="151"/>
        <v>#N/A</v>
      </c>
      <c r="T448" s="20" t="e">
        <f t="shared" si="152"/>
        <v>#N/A</v>
      </c>
    </row>
    <row r="449" spans="1:20" x14ac:dyDescent="0.25">
      <c r="A449">
        <f t="shared" si="155"/>
        <v>447</v>
      </c>
      <c r="B449">
        <f t="shared" si="156"/>
        <v>9</v>
      </c>
      <c r="C449">
        <f t="shared" si="157"/>
        <v>1.8000000000000007</v>
      </c>
      <c r="D449" s="15">
        <f t="shared" si="158"/>
        <v>2.5</v>
      </c>
      <c r="E449">
        <f t="shared" si="159"/>
        <v>1</v>
      </c>
      <c r="F449" s="3">
        <f t="shared" si="160"/>
        <v>60</v>
      </c>
      <c r="G449" s="3">
        <f t="shared" si="161"/>
        <v>1.0471975511965976</v>
      </c>
      <c r="H449" s="18">
        <f t="shared" si="162"/>
        <v>0.90000000000000058</v>
      </c>
      <c r="I449" s="3">
        <f t="shared" si="163"/>
        <v>1.5588457268119902</v>
      </c>
      <c r="J449" s="19" t="str">
        <f t="shared" si="138"/>
        <v>L</v>
      </c>
      <c r="K449" s="20">
        <f t="shared" si="143"/>
        <v>0.90000000000000058</v>
      </c>
      <c r="L449" s="20">
        <f t="shared" si="144"/>
        <v>1.5588457268119902</v>
      </c>
      <c r="M449" s="20" t="e">
        <f t="shared" si="145"/>
        <v>#N/A</v>
      </c>
      <c r="N449" s="20" t="e">
        <f t="shared" si="146"/>
        <v>#N/A</v>
      </c>
      <c r="O449" s="20" t="e">
        <f t="shared" si="147"/>
        <v>#N/A</v>
      </c>
      <c r="P449" s="20" t="e">
        <f t="shared" si="148"/>
        <v>#N/A</v>
      </c>
      <c r="Q449" s="20" t="e">
        <f t="shared" si="149"/>
        <v>#N/A</v>
      </c>
      <c r="R449" s="20" t="e">
        <f t="shared" si="150"/>
        <v>#N/A</v>
      </c>
      <c r="S449" s="20" t="e">
        <f t="shared" si="151"/>
        <v>#N/A</v>
      </c>
      <c r="T449" s="20" t="e">
        <f t="shared" si="152"/>
        <v>#N/A</v>
      </c>
    </row>
    <row r="450" spans="1:20" x14ac:dyDescent="0.25">
      <c r="A450">
        <f t="shared" si="155"/>
        <v>448</v>
      </c>
      <c r="B450">
        <f t="shared" si="156"/>
        <v>9</v>
      </c>
      <c r="C450">
        <f t="shared" si="157"/>
        <v>1.8000000000000007</v>
      </c>
      <c r="D450" s="15">
        <f t="shared" si="158"/>
        <v>2.5</v>
      </c>
      <c r="E450">
        <f t="shared" si="159"/>
        <v>1</v>
      </c>
      <c r="F450" s="3">
        <f t="shared" si="160"/>
        <v>62.5</v>
      </c>
      <c r="G450" s="3">
        <f t="shared" si="161"/>
        <v>1.0908307824964558</v>
      </c>
      <c r="H450" s="18">
        <f t="shared" si="162"/>
        <v>0.83114750382306168</v>
      </c>
      <c r="I450" s="3">
        <f t="shared" si="163"/>
        <v>1.5966194997207994</v>
      </c>
      <c r="J450" s="19" t="str">
        <f t="shared" si="138"/>
        <v>L</v>
      </c>
      <c r="K450" s="20">
        <f t="shared" si="143"/>
        <v>0.83114750382306168</v>
      </c>
      <c r="L450" s="20">
        <f t="shared" si="144"/>
        <v>1.5966194997207994</v>
      </c>
      <c r="M450" s="20" t="e">
        <f t="shared" si="145"/>
        <v>#N/A</v>
      </c>
      <c r="N450" s="20" t="e">
        <f t="shared" si="146"/>
        <v>#N/A</v>
      </c>
      <c r="O450" s="20" t="e">
        <f t="shared" si="147"/>
        <v>#N/A</v>
      </c>
      <c r="P450" s="20" t="e">
        <f t="shared" si="148"/>
        <v>#N/A</v>
      </c>
      <c r="Q450" s="20" t="e">
        <f t="shared" si="149"/>
        <v>#N/A</v>
      </c>
      <c r="R450" s="20" t="e">
        <f t="shared" si="150"/>
        <v>#N/A</v>
      </c>
      <c r="S450" s="20" t="e">
        <f t="shared" si="151"/>
        <v>#N/A</v>
      </c>
      <c r="T450" s="20" t="e">
        <f t="shared" si="152"/>
        <v>#N/A</v>
      </c>
    </row>
    <row r="451" spans="1:20" x14ac:dyDescent="0.25">
      <c r="A451">
        <f t="shared" si="155"/>
        <v>449</v>
      </c>
      <c r="B451">
        <f t="shared" si="156"/>
        <v>9</v>
      </c>
      <c r="C451">
        <f t="shared" si="157"/>
        <v>1.8000000000000007</v>
      </c>
      <c r="D451" s="15">
        <f t="shared" si="158"/>
        <v>2.5</v>
      </c>
      <c r="E451">
        <f t="shared" si="159"/>
        <v>1</v>
      </c>
      <c r="F451" s="3">
        <f t="shared" si="160"/>
        <v>65</v>
      </c>
      <c r="G451" s="3">
        <f t="shared" si="161"/>
        <v>1.1344640137963142</v>
      </c>
      <c r="H451" s="18">
        <f t="shared" si="162"/>
        <v>0.76071287113325925</v>
      </c>
      <c r="I451" s="3">
        <f t="shared" si="163"/>
        <v>1.6313540166659706</v>
      </c>
      <c r="J451" s="19" t="str">
        <f t="shared" ref="J451:J514" si="164">VLOOKUP(A451,$AQ$3:$AR$58,2,1)</f>
        <v>L</v>
      </c>
      <c r="K451" s="20">
        <f t="shared" si="143"/>
        <v>0.76071287113325925</v>
      </c>
      <c r="L451" s="20">
        <f t="shared" si="144"/>
        <v>1.6313540166659706</v>
      </c>
      <c r="M451" s="20" t="e">
        <f t="shared" si="145"/>
        <v>#N/A</v>
      </c>
      <c r="N451" s="20" t="e">
        <f t="shared" si="146"/>
        <v>#N/A</v>
      </c>
      <c r="O451" s="20" t="e">
        <f t="shared" si="147"/>
        <v>#N/A</v>
      </c>
      <c r="P451" s="20" t="e">
        <f t="shared" si="148"/>
        <v>#N/A</v>
      </c>
      <c r="Q451" s="20" t="e">
        <f t="shared" si="149"/>
        <v>#N/A</v>
      </c>
      <c r="R451" s="20" t="e">
        <f t="shared" si="150"/>
        <v>#N/A</v>
      </c>
      <c r="S451" s="20" t="e">
        <f t="shared" si="151"/>
        <v>#N/A</v>
      </c>
      <c r="T451" s="20" t="e">
        <f t="shared" si="152"/>
        <v>#N/A</v>
      </c>
    </row>
    <row r="452" spans="1:20" x14ac:dyDescent="0.25">
      <c r="A452">
        <f t="shared" si="155"/>
        <v>450</v>
      </c>
      <c r="B452">
        <f t="shared" si="156"/>
        <v>9</v>
      </c>
      <c r="C452">
        <f t="shared" si="157"/>
        <v>1.8000000000000007</v>
      </c>
      <c r="D452" s="15">
        <f t="shared" si="158"/>
        <v>2.5</v>
      </c>
      <c r="E452">
        <f t="shared" si="159"/>
        <v>1</v>
      </c>
      <c r="F452" s="3">
        <f t="shared" si="160"/>
        <v>67.5</v>
      </c>
      <c r="G452" s="3">
        <f t="shared" si="161"/>
        <v>1.1780972450961724</v>
      </c>
      <c r="H452" s="18">
        <f t="shared" si="162"/>
        <v>0.68883017825716197</v>
      </c>
      <c r="I452" s="3">
        <f t="shared" si="163"/>
        <v>1.6629831585203168</v>
      </c>
      <c r="J452" s="19" t="str">
        <f t="shared" si="164"/>
        <v>L</v>
      </c>
      <c r="K452" s="20">
        <f t="shared" ref="K452:K515" si="165">IF(J452="L",H452,NA())</f>
        <v>0.68883017825716197</v>
      </c>
      <c r="L452" s="20">
        <f t="shared" ref="L452:L515" si="166">IF(J452="l",I452,NA())</f>
        <v>1.6629831585203168</v>
      </c>
      <c r="M452" s="20" t="e">
        <f t="shared" ref="M452:M515" si="167">IF(J452="C",H452,NA())</f>
        <v>#N/A</v>
      </c>
      <c r="N452" s="20" t="e">
        <f t="shared" ref="N452:N515" si="168">IF(J452="C",I452,NA())</f>
        <v>#N/A</v>
      </c>
      <c r="O452" s="20" t="e">
        <f t="shared" ref="O452:O515" si="169">IF(J452="LD",H452,NA())</f>
        <v>#N/A</v>
      </c>
      <c r="P452" s="20" t="e">
        <f t="shared" ref="P452:P515" si="170">IF(J452="LD",I452,NA())</f>
        <v>#N/A</v>
      </c>
      <c r="Q452" s="20" t="e">
        <f t="shared" ref="Q452:Q515" si="171">IF(J452="SNP",H452,NA())</f>
        <v>#N/A</v>
      </c>
      <c r="R452" s="20" t="e">
        <f t="shared" ref="R452:R515" si="172">IF(J452="SNP",I452,NA())</f>
        <v>#N/A</v>
      </c>
      <c r="S452" s="20" t="e">
        <f t="shared" ref="S452:S515" si="173">IF(J452="Oth",H452,NA())</f>
        <v>#N/A</v>
      </c>
      <c r="T452" s="20" t="e">
        <f t="shared" ref="T452:T515" si="174">IF(J452="oth",I452,NA())</f>
        <v>#N/A</v>
      </c>
    </row>
    <row r="453" spans="1:20" x14ac:dyDescent="0.25">
      <c r="A453">
        <f t="shared" si="155"/>
        <v>451</v>
      </c>
      <c r="B453">
        <f t="shared" si="156"/>
        <v>9</v>
      </c>
      <c r="C453">
        <f t="shared" si="157"/>
        <v>1.8000000000000007</v>
      </c>
      <c r="D453" s="15">
        <f t="shared" si="158"/>
        <v>2.5</v>
      </c>
      <c r="E453">
        <f t="shared" si="159"/>
        <v>1</v>
      </c>
      <c r="F453" s="3">
        <f t="shared" si="160"/>
        <v>70</v>
      </c>
      <c r="G453" s="3">
        <f t="shared" si="161"/>
        <v>1.2217304763960306</v>
      </c>
      <c r="H453" s="18">
        <f t="shared" si="162"/>
        <v>0.61563625798620414</v>
      </c>
      <c r="I453" s="3">
        <f t="shared" si="163"/>
        <v>1.6914467174146357</v>
      </c>
      <c r="J453" s="19" t="str">
        <f t="shared" si="164"/>
        <v>L</v>
      </c>
      <c r="K453" s="20">
        <f t="shared" si="165"/>
        <v>0.61563625798620414</v>
      </c>
      <c r="L453" s="20">
        <f t="shared" si="166"/>
        <v>1.6914467174146357</v>
      </c>
      <c r="M453" s="20" t="e">
        <f t="shared" si="167"/>
        <v>#N/A</v>
      </c>
      <c r="N453" s="20" t="e">
        <f t="shared" si="168"/>
        <v>#N/A</v>
      </c>
      <c r="O453" s="20" t="e">
        <f t="shared" si="169"/>
        <v>#N/A</v>
      </c>
      <c r="P453" s="20" t="e">
        <f t="shared" si="170"/>
        <v>#N/A</v>
      </c>
      <c r="Q453" s="20" t="e">
        <f t="shared" si="171"/>
        <v>#N/A</v>
      </c>
      <c r="R453" s="20" t="e">
        <f t="shared" si="172"/>
        <v>#N/A</v>
      </c>
      <c r="S453" s="20" t="e">
        <f t="shared" si="173"/>
        <v>#N/A</v>
      </c>
      <c r="T453" s="20" t="e">
        <f t="shared" si="174"/>
        <v>#N/A</v>
      </c>
    </row>
    <row r="454" spans="1:20" x14ac:dyDescent="0.25">
      <c r="A454">
        <f t="shared" si="155"/>
        <v>452</v>
      </c>
      <c r="B454">
        <f t="shared" si="156"/>
        <v>9</v>
      </c>
      <c r="C454">
        <f t="shared" si="157"/>
        <v>1.8000000000000007</v>
      </c>
      <c r="D454" s="15">
        <f t="shared" si="158"/>
        <v>2.5</v>
      </c>
      <c r="E454">
        <f t="shared" si="159"/>
        <v>1</v>
      </c>
      <c r="F454" s="3">
        <f t="shared" si="160"/>
        <v>72.5</v>
      </c>
      <c r="G454" s="3">
        <f t="shared" si="161"/>
        <v>1.265363707695889</v>
      </c>
      <c r="H454" s="18">
        <f t="shared" si="162"/>
        <v>0.54127043910769168</v>
      </c>
      <c r="I454" s="3">
        <f t="shared" si="163"/>
        <v>1.7166905113468092</v>
      </c>
      <c r="J454" s="19" t="str">
        <f t="shared" si="164"/>
        <v>L</v>
      </c>
      <c r="K454" s="20">
        <f t="shared" si="165"/>
        <v>0.54127043910769168</v>
      </c>
      <c r="L454" s="20">
        <f t="shared" si="166"/>
        <v>1.7166905113468092</v>
      </c>
      <c r="M454" s="20" t="e">
        <f t="shared" si="167"/>
        <v>#N/A</v>
      </c>
      <c r="N454" s="20" t="e">
        <f t="shared" si="168"/>
        <v>#N/A</v>
      </c>
      <c r="O454" s="20" t="e">
        <f t="shared" si="169"/>
        <v>#N/A</v>
      </c>
      <c r="P454" s="20" t="e">
        <f t="shared" si="170"/>
        <v>#N/A</v>
      </c>
      <c r="Q454" s="20" t="e">
        <f t="shared" si="171"/>
        <v>#N/A</v>
      </c>
      <c r="R454" s="20" t="e">
        <f t="shared" si="172"/>
        <v>#N/A</v>
      </c>
      <c r="S454" s="20" t="e">
        <f t="shared" si="173"/>
        <v>#N/A</v>
      </c>
      <c r="T454" s="20" t="e">
        <f t="shared" si="174"/>
        <v>#N/A</v>
      </c>
    </row>
    <row r="455" spans="1:20" x14ac:dyDescent="0.25">
      <c r="A455">
        <f t="shared" si="155"/>
        <v>453</v>
      </c>
      <c r="B455">
        <f t="shared" si="156"/>
        <v>9</v>
      </c>
      <c r="C455">
        <f t="shared" si="157"/>
        <v>1.8000000000000007</v>
      </c>
      <c r="D455" s="15">
        <f t="shared" si="158"/>
        <v>2.5</v>
      </c>
      <c r="E455">
        <f t="shared" si="159"/>
        <v>1</v>
      </c>
      <c r="F455" s="3">
        <f t="shared" si="160"/>
        <v>75</v>
      </c>
      <c r="G455" s="3">
        <f t="shared" si="161"/>
        <v>1.3089969389957472</v>
      </c>
      <c r="H455" s="18">
        <f t="shared" si="162"/>
        <v>0.4658742811845375</v>
      </c>
      <c r="I455" s="3">
        <f t="shared" si="163"/>
        <v>1.7386664873203237</v>
      </c>
      <c r="J455" s="19" t="str">
        <f t="shared" si="164"/>
        <v>L</v>
      </c>
      <c r="K455" s="20">
        <f t="shared" si="165"/>
        <v>0.4658742811845375</v>
      </c>
      <c r="L455" s="20">
        <f t="shared" si="166"/>
        <v>1.7386664873203237</v>
      </c>
      <c r="M455" s="20" t="e">
        <f t="shared" si="167"/>
        <v>#N/A</v>
      </c>
      <c r="N455" s="20" t="e">
        <f t="shared" si="168"/>
        <v>#N/A</v>
      </c>
      <c r="O455" s="20" t="e">
        <f t="shared" si="169"/>
        <v>#N/A</v>
      </c>
      <c r="P455" s="20" t="e">
        <f t="shared" si="170"/>
        <v>#N/A</v>
      </c>
      <c r="Q455" s="20" t="e">
        <f t="shared" si="171"/>
        <v>#N/A</v>
      </c>
      <c r="R455" s="20" t="e">
        <f t="shared" si="172"/>
        <v>#N/A</v>
      </c>
      <c r="S455" s="20" t="e">
        <f t="shared" si="173"/>
        <v>#N/A</v>
      </c>
      <c r="T455" s="20" t="e">
        <f t="shared" si="174"/>
        <v>#N/A</v>
      </c>
    </row>
    <row r="456" spans="1:20" x14ac:dyDescent="0.25">
      <c r="A456">
        <f t="shared" si="155"/>
        <v>454</v>
      </c>
      <c r="B456">
        <f t="shared" si="156"/>
        <v>9</v>
      </c>
      <c r="C456">
        <f t="shared" si="157"/>
        <v>1.8000000000000007</v>
      </c>
      <c r="D456" s="15">
        <f t="shared" si="158"/>
        <v>2.5</v>
      </c>
      <c r="E456">
        <f t="shared" si="159"/>
        <v>1</v>
      </c>
      <c r="F456" s="3">
        <f t="shared" si="160"/>
        <v>77.5</v>
      </c>
      <c r="G456" s="3">
        <f t="shared" si="161"/>
        <v>1.3526301702956054</v>
      </c>
      <c r="H456" s="18">
        <f t="shared" si="162"/>
        <v>0.38959130508858536</v>
      </c>
      <c r="I456" s="3">
        <f t="shared" si="163"/>
        <v>1.7573328128158807</v>
      </c>
      <c r="J456" s="19" t="str">
        <f t="shared" si="164"/>
        <v>L</v>
      </c>
      <c r="K456" s="20">
        <f t="shared" si="165"/>
        <v>0.38959130508858536</v>
      </c>
      <c r="L456" s="20">
        <f t="shared" si="166"/>
        <v>1.7573328128158807</v>
      </c>
      <c r="M456" s="20" t="e">
        <f t="shared" si="167"/>
        <v>#N/A</v>
      </c>
      <c r="N456" s="20" t="e">
        <f t="shared" si="168"/>
        <v>#N/A</v>
      </c>
      <c r="O456" s="20" t="e">
        <f t="shared" si="169"/>
        <v>#N/A</v>
      </c>
      <c r="P456" s="20" t="e">
        <f t="shared" si="170"/>
        <v>#N/A</v>
      </c>
      <c r="Q456" s="20" t="e">
        <f t="shared" si="171"/>
        <v>#N/A</v>
      </c>
      <c r="R456" s="20" t="e">
        <f t="shared" si="172"/>
        <v>#N/A</v>
      </c>
      <c r="S456" s="20" t="e">
        <f t="shared" si="173"/>
        <v>#N/A</v>
      </c>
      <c r="T456" s="20" t="e">
        <f t="shared" si="174"/>
        <v>#N/A</v>
      </c>
    </row>
    <row r="457" spans="1:20" x14ac:dyDescent="0.25">
      <c r="A457">
        <f t="shared" si="155"/>
        <v>455</v>
      </c>
      <c r="B457">
        <f t="shared" si="156"/>
        <v>9</v>
      </c>
      <c r="C457">
        <f t="shared" si="157"/>
        <v>1.8000000000000007</v>
      </c>
      <c r="D457" s="15">
        <f t="shared" si="158"/>
        <v>2.5</v>
      </c>
      <c r="E457">
        <f t="shared" si="159"/>
        <v>1</v>
      </c>
      <c r="F457" s="3">
        <f t="shared" si="160"/>
        <v>80</v>
      </c>
      <c r="G457" s="3">
        <f t="shared" si="161"/>
        <v>1.3962634015954636</v>
      </c>
      <c r="H457" s="18">
        <f t="shared" si="162"/>
        <v>0.31256671980047485</v>
      </c>
      <c r="I457" s="3">
        <f t="shared" si="163"/>
        <v>1.7726539554219751</v>
      </c>
      <c r="J457" s="19" t="str">
        <f t="shared" si="164"/>
        <v>L</v>
      </c>
      <c r="K457" s="20">
        <f t="shared" si="165"/>
        <v>0.31256671980047485</v>
      </c>
      <c r="L457" s="20">
        <f t="shared" si="166"/>
        <v>1.7726539554219751</v>
      </c>
      <c r="M457" s="20" t="e">
        <f t="shared" si="167"/>
        <v>#N/A</v>
      </c>
      <c r="N457" s="20" t="e">
        <f t="shared" si="168"/>
        <v>#N/A</v>
      </c>
      <c r="O457" s="20" t="e">
        <f t="shared" si="169"/>
        <v>#N/A</v>
      </c>
      <c r="P457" s="20" t="e">
        <f t="shared" si="170"/>
        <v>#N/A</v>
      </c>
      <c r="Q457" s="20" t="e">
        <f t="shared" si="171"/>
        <v>#N/A</v>
      </c>
      <c r="R457" s="20" t="e">
        <f t="shared" si="172"/>
        <v>#N/A</v>
      </c>
      <c r="S457" s="20" t="e">
        <f t="shared" si="173"/>
        <v>#N/A</v>
      </c>
      <c r="T457" s="20" t="e">
        <f t="shared" si="174"/>
        <v>#N/A</v>
      </c>
    </row>
    <row r="458" spans="1:20" x14ac:dyDescent="0.25">
      <c r="A458">
        <f t="shared" si="155"/>
        <v>456</v>
      </c>
      <c r="B458">
        <f t="shared" si="156"/>
        <v>9</v>
      </c>
      <c r="C458">
        <f t="shared" si="157"/>
        <v>1.8000000000000007</v>
      </c>
      <c r="D458" s="15">
        <f t="shared" si="158"/>
        <v>2.5</v>
      </c>
      <c r="E458">
        <f t="shared" si="159"/>
        <v>1</v>
      </c>
      <c r="F458" s="3">
        <f t="shared" si="160"/>
        <v>82.5</v>
      </c>
      <c r="G458" s="3">
        <f t="shared" si="161"/>
        <v>1.4398966328953218</v>
      </c>
      <c r="H458" s="18">
        <f t="shared" si="162"/>
        <v>0.23494714599609318</v>
      </c>
      <c r="I458" s="3">
        <f t="shared" si="163"/>
        <v>1.7846007504728594</v>
      </c>
      <c r="J458" s="19" t="str">
        <f t="shared" si="164"/>
        <v>L</v>
      </c>
      <c r="K458" s="20">
        <f t="shared" si="165"/>
        <v>0.23494714599609318</v>
      </c>
      <c r="L458" s="20">
        <f t="shared" si="166"/>
        <v>1.7846007504728594</v>
      </c>
      <c r="M458" s="20" t="e">
        <f t="shared" si="167"/>
        <v>#N/A</v>
      </c>
      <c r="N458" s="20" t="e">
        <f t="shared" si="168"/>
        <v>#N/A</v>
      </c>
      <c r="O458" s="20" t="e">
        <f t="shared" si="169"/>
        <v>#N/A</v>
      </c>
      <c r="P458" s="20" t="e">
        <f t="shared" si="170"/>
        <v>#N/A</v>
      </c>
      <c r="Q458" s="20" t="e">
        <f t="shared" si="171"/>
        <v>#N/A</v>
      </c>
      <c r="R458" s="20" t="e">
        <f t="shared" si="172"/>
        <v>#N/A</v>
      </c>
      <c r="S458" s="20" t="e">
        <f t="shared" si="173"/>
        <v>#N/A</v>
      </c>
      <c r="T458" s="20" t="e">
        <f t="shared" si="174"/>
        <v>#N/A</v>
      </c>
    </row>
    <row r="459" spans="1:20" x14ac:dyDescent="0.25">
      <c r="A459">
        <f t="shared" si="155"/>
        <v>457</v>
      </c>
      <c r="B459">
        <f t="shared" si="156"/>
        <v>9</v>
      </c>
      <c r="C459">
        <f t="shared" si="157"/>
        <v>1.8000000000000007</v>
      </c>
      <c r="D459" s="15">
        <f t="shared" si="158"/>
        <v>2.5</v>
      </c>
      <c r="E459">
        <f t="shared" si="159"/>
        <v>1</v>
      </c>
      <c r="F459" s="3">
        <f t="shared" si="160"/>
        <v>85</v>
      </c>
      <c r="G459" s="3">
        <f t="shared" si="161"/>
        <v>1.48352986419518</v>
      </c>
      <c r="H459" s="18">
        <f t="shared" si="162"/>
        <v>0.1568803369457851</v>
      </c>
      <c r="I459" s="3">
        <f t="shared" si="163"/>
        <v>1.7931504565651426</v>
      </c>
      <c r="J459" s="19" t="str">
        <f t="shared" si="164"/>
        <v>L</v>
      </c>
      <c r="K459" s="20">
        <f t="shared" si="165"/>
        <v>0.1568803369457851</v>
      </c>
      <c r="L459" s="20">
        <f t="shared" si="166"/>
        <v>1.7931504565651426</v>
      </c>
      <c r="M459" s="20" t="e">
        <f t="shared" si="167"/>
        <v>#N/A</v>
      </c>
      <c r="N459" s="20" t="e">
        <f t="shared" si="168"/>
        <v>#N/A</v>
      </c>
      <c r="O459" s="20" t="e">
        <f t="shared" si="169"/>
        <v>#N/A</v>
      </c>
      <c r="P459" s="20" t="e">
        <f t="shared" si="170"/>
        <v>#N/A</v>
      </c>
      <c r="Q459" s="20" t="e">
        <f t="shared" si="171"/>
        <v>#N/A</v>
      </c>
      <c r="R459" s="20" t="e">
        <f t="shared" si="172"/>
        <v>#N/A</v>
      </c>
      <c r="S459" s="20" t="e">
        <f t="shared" si="173"/>
        <v>#N/A</v>
      </c>
      <c r="T459" s="20" t="e">
        <f t="shared" si="174"/>
        <v>#N/A</v>
      </c>
    </row>
    <row r="460" spans="1:20" x14ac:dyDescent="0.25">
      <c r="A460">
        <f t="shared" si="155"/>
        <v>458</v>
      </c>
      <c r="B460">
        <f t="shared" si="156"/>
        <v>9</v>
      </c>
      <c r="C460">
        <f t="shared" si="157"/>
        <v>1.8000000000000007</v>
      </c>
      <c r="D460" s="15">
        <f t="shared" si="158"/>
        <v>2.5</v>
      </c>
      <c r="E460">
        <f t="shared" si="159"/>
        <v>1</v>
      </c>
      <c r="F460" s="3">
        <f t="shared" si="160"/>
        <v>87.5</v>
      </c>
      <c r="G460" s="3">
        <f t="shared" si="161"/>
        <v>1.5271630954950384</v>
      </c>
      <c r="H460" s="18">
        <f t="shared" si="162"/>
        <v>7.851489725760484E-2</v>
      </c>
      <c r="I460" s="3">
        <f t="shared" si="163"/>
        <v>1.7982867988473448</v>
      </c>
      <c r="J460" s="19" t="str">
        <f t="shared" si="164"/>
        <v>L</v>
      </c>
      <c r="K460" s="20">
        <f t="shared" si="165"/>
        <v>7.851489725760484E-2</v>
      </c>
      <c r="L460" s="20">
        <f t="shared" si="166"/>
        <v>1.7982867988473448</v>
      </c>
      <c r="M460" s="20" t="e">
        <f t="shared" si="167"/>
        <v>#N/A</v>
      </c>
      <c r="N460" s="20" t="e">
        <f t="shared" si="168"/>
        <v>#N/A</v>
      </c>
      <c r="O460" s="20" t="e">
        <f t="shared" si="169"/>
        <v>#N/A</v>
      </c>
      <c r="P460" s="20" t="e">
        <f t="shared" si="170"/>
        <v>#N/A</v>
      </c>
      <c r="Q460" s="20" t="e">
        <f t="shared" si="171"/>
        <v>#N/A</v>
      </c>
      <c r="R460" s="20" t="e">
        <f t="shared" si="172"/>
        <v>#N/A</v>
      </c>
      <c r="S460" s="20" t="e">
        <f t="shared" si="173"/>
        <v>#N/A</v>
      </c>
      <c r="T460" s="20" t="e">
        <f t="shared" si="174"/>
        <v>#N/A</v>
      </c>
    </row>
    <row r="461" spans="1:20" x14ac:dyDescent="0.25">
      <c r="A461">
        <f t="shared" si="155"/>
        <v>459</v>
      </c>
      <c r="B461">
        <f t="shared" si="156"/>
        <v>9</v>
      </c>
      <c r="C461">
        <f t="shared" si="157"/>
        <v>1.8000000000000007</v>
      </c>
      <c r="D461" s="15">
        <f t="shared" si="158"/>
        <v>2.5</v>
      </c>
      <c r="E461">
        <f t="shared" si="159"/>
        <v>1</v>
      </c>
      <c r="F461" s="3">
        <f t="shared" si="160"/>
        <v>90</v>
      </c>
      <c r="G461" s="3">
        <f t="shared" si="161"/>
        <v>1.5707963267948966</v>
      </c>
      <c r="H461" s="18">
        <f t="shared" si="162"/>
        <v>1.1026336094177585E-16</v>
      </c>
      <c r="I461" s="3">
        <f t="shared" si="163"/>
        <v>1.8000000000000007</v>
      </c>
      <c r="J461" s="19" t="str">
        <f t="shared" si="164"/>
        <v>L</v>
      </c>
      <c r="K461" s="20">
        <f t="shared" si="165"/>
        <v>1.1026336094177585E-16</v>
      </c>
      <c r="L461" s="20">
        <f t="shared" si="166"/>
        <v>1.8000000000000007</v>
      </c>
      <c r="M461" s="20" t="e">
        <f t="shared" si="167"/>
        <v>#N/A</v>
      </c>
      <c r="N461" s="20" t="e">
        <f t="shared" si="168"/>
        <v>#N/A</v>
      </c>
      <c r="O461" s="20" t="e">
        <f t="shared" si="169"/>
        <v>#N/A</v>
      </c>
      <c r="P461" s="20" t="e">
        <f t="shared" si="170"/>
        <v>#N/A</v>
      </c>
      <c r="Q461" s="20" t="e">
        <f t="shared" si="171"/>
        <v>#N/A</v>
      </c>
      <c r="R461" s="20" t="e">
        <f t="shared" si="172"/>
        <v>#N/A</v>
      </c>
      <c r="S461" s="20" t="e">
        <f t="shared" si="173"/>
        <v>#N/A</v>
      </c>
      <c r="T461" s="20" t="e">
        <f t="shared" si="174"/>
        <v>#N/A</v>
      </c>
    </row>
    <row r="462" spans="1:20" x14ac:dyDescent="0.25">
      <c r="A462">
        <f t="shared" si="155"/>
        <v>460</v>
      </c>
      <c r="B462">
        <f t="shared" si="156"/>
        <v>9</v>
      </c>
      <c r="C462">
        <f t="shared" si="157"/>
        <v>1.8000000000000007</v>
      </c>
      <c r="D462" s="15">
        <f t="shared" si="158"/>
        <v>2.5</v>
      </c>
      <c r="E462">
        <f t="shared" si="159"/>
        <v>1</v>
      </c>
      <c r="F462" s="3">
        <f t="shared" si="160"/>
        <v>92.5</v>
      </c>
      <c r="G462" s="3">
        <f t="shared" si="161"/>
        <v>1.6144295580947547</v>
      </c>
      <c r="H462" s="18">
        <f t="shared" si="162"/>
        <v>-7.8514897257604632E-2</v>
      </c>
      <c r="I462" s="3">
        <f t="shared" si="163"/>
        <v>1.7982867988473448</v>
      </c>
      <c r="J462" s="19" t="str">
        <f t="shared" si="164"/>
        <v>L</v>
      </c>
      <c r="K462" s="20">
        <f t="shared" si="165"/>
        <v>-7.8514897257604632E-2</v>
      </c>
      <c r="L462" s="20">
        <f t="shared" si="166"/>
        <v>1.7982867988473448</v>
      </c>
      <c r="M462" s="20" t="e">
        <f t="shared" si="167"/>
        <v>#N/A</v>
      </c>
      <c r="N462" s="20" t="e">
        <f t="shared" si="168"/>
        <v>#N/A</v>
      </c>
      <c r="O462" s="20" t="e">
        <f t="shared" si="169"/>
        <v>#N/A</v>
      </c>
      <c r="P462" s="20" t="e">
        <f t="shared" si="170"/>
        <v>#N/A</v>
      </c>
      <c r="Q462" s="20" t="e">
        <f t="shared" si="171"/>
        <v>#N/A</v>
      </c>
      <c r="R462" s="20" t="e">
        <f t="shared" si="172"/>
        <v>#N/A</v>
      </c>
      <c r="S462" s="20" t="e">
        <f t="shared" si="173"/>
        <v>#N/A</v>
      </c>
      <c r="T462" s="20" t="e">
        <f t="shared" si="174"/>
        <v>#N/A</v>
      </c>
    </row>
    <row r="463" spans="1:20" x14ac:dyDescent="0.25">
      <c r="A463">
        <f t="shared" ref="A463:A526" si="175">A462+1</f>
        <v>461</v>
      </c>
      <c r="B463">
        <f t="shared" si="156"/>
        <v>9</v>
      </c>
      <c r="C463">
        <f t="shared" si="157"/>
        <v>1.8000000000000007</v>
      </c>
      <c r="D463" s="15">
        <f t="shared" si="158"/>
        <v>2.5</v>
      </c>
      <c r="E463">
        <f t="shared" si="159"/>
        <v>1</v>
      </c>
      <c r="F463" s="3">
        <f t="shared" si="160"/>
        <v>95</v>
      </c>
      <c r="G463" s="3">
        <f t="shared" si="161"/>
        <v>1.6580627893946132</v>
      </c>
      <c r="H463" s="18">
        <f t="shared" si="162"/>
        <v>-0.15688033694578488</v>
      </c>
      <c r="I463" s="3">
        <f t="shared" si="163"/>
        <v>1.7931504565651426</v>
      </c>
      <c r="J463" s="19" t="str">
        <f t="shared" si="164"/>
        <v>L</v>
      </c>
      <c r="K463" s="20">
        <f t="shared" si="165"/>
        <v>-0.15688033694578488</v>
      </c>
      <c r="L463" s="20">
        <f t="shared" si="166"/>
        <v>1.7931504565651426</v>
      </c>
      <c r="M463" s="20" t="e">
        <f t="shared" si="167"/>
        <v>#N/A</v>
      </c>
      <c r="N463" s="20" t="e">
        <f t="shared" si="168"/>
        <v>#N/A</v>
      </c>
      <c r="O463" s="20" t="e">
        <f t="shared" si="169"/>
        <v>#N/A</v>
      </c>
      <c r="P463" s="20" t="e">
        <f t="shared" si="170"/>
        <v>#N/A</v>
      </c>
      <c r="Q463" s="20" t="e">
        <f t="shared" si="171"/>
        <v>#N/A</v>
      </c>
      <c r="R463" s="20" t="e">
        <f t="shared" si="172"/>
        <v>#N/A</v>
      </c>
      <c r="S463" s="20" t="e">
        <f t="shared" si="173"/>
        <v>#N/A</v>
      </c>
      <c r="T463" s="20" t="e">
        <f t="shared" si="174"/>
        <v>#N/A</v>
      </c>
    </row>
    <row r="464" spans="1:20" x14ac:dyDescent="0.25">
      <c r="A464">
        <f t="shared" si="175"/>
        <v>462</v>
      </c>
      <c r="B464">
        <f t="shared" si="156"/>
        <v>9</v>
      </c>
      <c r="C464">
        <f t="shared" si="157"/>
        <v>1.8000000000000007</v>
      </c>
      <c r="D464" s="15">
        <f t="shared" si="158"/>
        <v>2.5</v>
      </c>
      <c r="E464">
        <f t="shared" si="159"/>
        <v>1</v>
      </c>
      <c r="F464" s="3">
        <f t="shared" si="160"/>
        <v>97.5</v>
      </c>
      <c r="G464" s="3">
        <f t="shared" si="161"/>
        <v>1.7016960206944711</v>
      </c>
      <c r="H464" s="18">
        <f t="shared" si="162"/>
        <v>-0.23494714599609257</v>
      </c>
      <c r="I464" s="3">
        <f t="shared" si="163"/>
        <v>1.7846007504728596</v>
      </c>
      <c r="J464" s="19" t="str">
        <f t="shared" si="164"/>
        <v>L</v>
      </c>
      <c r="K464" s="20">
        <f t="shared" si="165"/>
        <v>-0.23494714599609257</v>
      </c>
      <c r="L464" s="20">
        <f t="shared" si="166"/>
        <v>1.7846007504728596</v>
      </c>
      <c r="M464" s="20" t="e">
        <f t="shared" si="167"/>
        <v>#N/A</v>
      </c>
      <c r="N464" s="20" t="e">
        <f t="shared" si="168"/>
        <v>#N/A</v>
      </c>
      <c r="O464" s="20" t="e">
        <f t="shared" si="169"/>
        <v>#N/A</v>
      </c>
      <c r="P464" s="20" t="e">
        <f t="shared" si="170"/>
        <v>#N/A</v>
      </c>
      <c r="Q464" s="20" t="e">
        <f t="shared" si="171"/>
        <v>#N/A</v>
      </c>
      <c r="R464" s="20" t="e">
        <f t="shared" si="172"/>
        <v>#N/A</v>
      </c>
      <c r="S464" s="20" t="e">
        <f t="shared" si="173"/>
        <v>#N/A</v>
      </c>
      <c r="T464" s="20" t="e">
        <f t="shared" si="174"/>
        <v>#N/A</v>
      </c>
    </row>
    <row r="465" spans="1:20" x14ac:dyDescent="0.25">
      <c r="A465">
        <f t="shared" si="175"/>
        <v>463</v>
      </c>
      <c r="B465">
        <f t="shared" si="156"/>
        <v>9</v>
      </c>
      <c r="C465">
        <f t="shared" si="157"/>
        <v>1.8000000000000007</v>
      </c>
      <c r="D465" s="15">
        <f t="shared" si="158"/>
        <v>2.5</v>
      </c>
      <c r="E465">
        <f t="shared" si="159"/>
        <v>1</v>
      </c>
      <c r="F465" s="3">
        <f t="shared" si="160"/>
        <v>100</v>
      </c>
      <c r="G465" s="3">
        <f t="shared" si="161"/>
        <v>1.7453292519943295</v>
      </c>
      <c r="H465" s="18">
        <f t="shared" si="162"/>
        <v>-0.31256671980047468</v>
      </c>
      <c r="I465" s="3">
        <f t="shared" si="163"/>
        <v>1.7726539554219751</v>
      </c>
      <c r="J465" s="19" t="str">
        <f t="shared" si="164"/>
        <v>L</v>
      </c>
      <c r="K465" s="20">
        <f t="shared" si="165"/>
        <v>-0.31256671980047468</v>
      </c>
      <c r="L465" s="20">
        <f t="shared" si="166"/>
        <v>1.7726539554219751</v>
      </c>
      <c r="M465" s="20" t="e">
        <f t="shared" si="167"/>
        <v>#N/A</v>
      </c>
      <c r="N465" s="20" t="e">
        <f t="shared" si="168"/>
        <v>#N/A</v>
      </c>
      <c r="O465" s="20" t="e">
        <f t="shared" si="169"/>
        <v>#N/A</v>
      </c>
      <c r="P465" s="20" t="e">
        <f t="shared" si="170"/>
        <v>#N/A</v>
      </c>
      <c r="Q465" s="20" t="e">
        <f t="shared" si="171"/>
        <v>#N/A</v>
      </c>
      <c r="R465" s="20" t="e">
        <f t="shared" si="172"/>
        <v>#N/A</v>
      </c>
      <c r="S465" s="20" t="e">
        <f t="shared" si="173"/>
        <v>#N/A</v>
      </c>
      <c r="T465" s="20" t="e">
        <f t="shared" si="174"/>
        <v>#N/A</v>
      </c>
    </row>
    <row r="466" spans="1:20" x14ac:dyDescent="0.25">
      <c r="A466">
        <f t="shared" si="175"/>
        <v>464</v>
      </c>
      <c r="B466">
        <f t="shared" si="156"/>
        <v>9</v>
      </c>
      <c r="C466">
        <f t="shared" si="157"/>
        <v>1.8000000000000007</v>
      </c>
      <c r="D466" s="15">
        <f t="shared" si="158"/>
        <v>2.5</v>
      </c>
      <c r="E466">
        <f t="shared" si="159"/>
        <v>1</v>
      </c>
      <c r="F466" s="3">
        <f t="shared" si="160"/>
        <v>102.5</v>
      </c>
      <c r="G466" s="3">
        <f t="shared" si="161"/>
        <v>1.7889624832941877</v>
      </c>
      <c r="H466" s="18">
        <f t="shared" si="162"/>
        <v>-0.38959130508858519</v>
      </c>
      <c r="I466" s="3">
        <f t="shared" si="163"/>
        <v>1.7573328128158807</v>
      </c>
      <c r="J466" s="19" t="str">
        <f t="shared" si="164"/>
        <v>L</v>
      </c>
      <c r="K466" s="20">
        <f t="shared" si="165"/>
        <v>-0.38959130508858519</v>
      </c>
      <c r="L466" s="20">
        <f t="shared" si="166"/>
        <v>1.7573328128158807</v>
      </c>
      <c r="M466" s="20" t="e">
        <f t="shared" si="167"/>
        <v>#N/A</v>
      </c>
      <c r="N466" s="20" t="e">
        <f t="shared" si="168"/>
        <v>#N/A</v>
      </c>
      <c r="O466" s="20" t="e">
        <f t="shared" si="169"/>
        <v>#N/A</v>
      </c>
      <c r="P466" s="20" t="e">
        <f t="shared" si="170"/>
        <v>#N/A</v>
      </c>
      <c r="Q466" s="20" t="e">
        <f t="shared" si="171"/>
        <v>#N/A</v>
      </c>
      <c r="R466" s="20" t="e">
        <f t="shared" si="172"/>
        <v>#N/A</v>
      </c>
      <c r="S466" s="20" t="e">
        <f t="shared" si="173"/>
        <v>#N/A</v>
      </c>
      <c r="T466" s="20" t="e">
        <f t="shared" si="174"/>
        <v>#N/A</v>
      </c>
    </row>
    <row r="467" spans="1:20" x14ac:dyDescent="0.25">
      <c r="A467">
        <f t="shared" si="175"/>
        <v>465</v>
      </c>
      <c r="B467">
        <f t="shared" si="156"/>
        <v>9</v>
      </c>
      <c r="C467">
        <f t="shared" si="157"/>
        <v>1.8000000000000007</v>
      </c>
      <c r="D467" s="15">
        <f t="shared" si="158"/>
        <v>2.5</v>
      </c>
      <c r="E467">
        <f t="shared" si="159"/>
        <v>1</v>
      </c>
      <c r="F467" s="3">
        <f t="shared" si="160"/>
        <v>105</v>
      </c>
      <c r="G467" s="3">
        <f t="shared" si="161"/>
        <v>1.8325957145940461</v>
      </c>
      <c r="H467" s="18">
        <f t="shared" si="162"/>
        <v>-0.46587428118453772</v>
      </c>
      <c r="I467" s="3">
        <f t="shared" si="163"/>
        <v>1.7386664873203237</v>
      </c>
      <c r="J467" s="19" t="str">
        <f t="shared" si="164"/>
        <v>L</v>
      </c>
      <c r="K467" s="20">
        <f t="shared" si="165"/>
        <v>-0.46587428118453772</v>
      </c>
      <c r="L467" s="20">
        <f t="shared" si="166"/>
        <v>1.7386664873203237</v>
      </c>
      <c r="M467" s="20" t="e">
        <f t="shared" si="167"/>
        <v>#N/A</v>
      </c>
      <c r="N467" s="20" t="e">
        <f t="shared" si="168"/>
        <v>#N/A</v>
      </c>
      <c r="O467" s="20" t="e">
        <f t="shared" si="169"/>
        <v>#N/A</v>
      </c>
      <c r="P467" s="20" t="e">
        <f t="shared" si="170"/>
        <v>#N/A</v>
      </c>
      <c r="Q467" s="20" t="e">
        <f t="shared" si="171"/>
        <v>#N/A</v>
      </c>
      <c r="R467" s="20" t="e">
        <f t="shared" si="172"/>
        <v>#N/A</v>
      </c>
      <c r="S467" s="20" t="e">
        <f t="shared" si="173"/>
        <v>#N/A</v>
      </c>
      <c r="T467" s="20" t="e">
        <f t="shared" si="174"/>
        <v>#N/A</v>
      </c>
    </row>
    <row r="468" spans="1:20" x14ac:dyDescent="0.25">
      <c r="A468">
        <f t="shared" si="175"/>
        <v>466</v>
      </c>
      <c r="B468">
        <f t="shared" si="156"/>
        <v>9</v>
      </c>
      <c r="C468">
        <f t="shared" si="157"/>
        <v>1.8000000000000007</v>
      </c>
      <c r="D468" s="15">
        <f t="shared" si="158"/>
        <v>2.5</v>
      </c>
      <c r="E468">
        <f t="shared" si="159"/>
        <v>1</v>
      </c>
      <c r="F468" s="3">
        <f t="shared" si="160"/>
        <v>107.5</v>
      </c>
      <c r="G468" s="3">
        <f t="shared" si="161"/>
        <v>1.8762289458939041</v>
      </c>
      <c r="H468" s="18">
        <f t="shared" si="162"/>
        <v>-0.54127043910769157</v>
      </c>
      <c r="I468" s="3">
        <f t="shared" si="163"/>
        <v>1.7166905113468092</v>
      </c>
      <c r="J468" s="19" t="str">
        <f t="shared" si="164"/>
        <v>L</v>
      </c>
      <c r="K468" s="20">
        <f t="shared" si="165"/>
        <v>-0.54127043910769157</v>
      </c>
      <c r="L468" s="20">
        <f t="shared" si="166"/>
        <v>1.7166905113468092</v>
      </c>
      <c r="M468" s="20" t="e">
        <f t="shared" si="167"/>
        <v>#N/A</v>
      </c>
      <c r="N468" s="20" t="e">
        <f t="shared" si="168"/>
        <v>#N/A</v>
      </c>
      <c r="O468" s="20" t="e">
        <f t="shared" si="169"/>
        <v>#N/A</v>
      </c>
      <c r="P468" s="20" t="e">
        <f t="shared" si="170"/>
        <v>#N/A</v>
      </c>
      <c r="Q468" s="20" t="e">
        <f t="shared" si="171"/>
        <v>#N/A</v>
      </c>
      <c r="R468" s="20" t="e">
        <f t="shared" si="172"/>
        <v>#N/A</v>
      </c>
      <c r="S468" s="20" t="e">
        <f t="shared" si="173"/>
        <v>#N/A</v>
      </c>
      <c r="T468" s="20" t="e">
        <f t="shared" si="174"/>
        <v>#N/A</v>
      </c>
    </row>
    <row r="469" spans="1:20" x14ac:dyDescent="0.25">
      <c r="A469">
        <f t="shared" si="175"/>
        <v>467</v>
      </c>
      <c r="B469">
        <f t="shared" si="156"/>
        <v>9</v>
      </c>
      <c r="C469">
        <f t="shared" si="157"/>
        <v>1.8000000000000007</v>
      </c>
      <c r="D469" s="15">
        <f t="shared" si="158"/>
        <v>2.5</v>
      </c>
      <c r="E469">
        <f t="shared" si="159"/>
        <v>1</v>
      </c>
      <c r="F469" s="3">
        <f t="shared" si="160"/>
        <v>110</v>
      </c>
      <c r="G469" s="3">
        <f t="shared" si="161"/>
        <v>1.9198621771937625</v>
      </c>
      <c r="H469" s="18">
        <f t="shared" si="162"/>
        <v>-0.61563625798620392</v>
      </c>
      <c r="I469" s="3">
        <f t="shared" si="163"/>
        <v>1.6914467174146359</v>
      </c>
      <c r="J469" s="19" t="str">
        <f t="shared" si="164"/>
        <v>L</v>
      </c>
      <c r="K469" s="20">
        <f t="shared" si="165"/>
        <v>-0.61563625798620392</v>
      </c>
      <c r="L469" s="20">
        <f t="shared" si="166"/>
        <v>1.6914467174146359</v>
      </c>
      <c r="M469" s="20" t="e">
        <f t="shared" si="167"/>
        <v>#N/A</v>
      </c>
      <c r="N469" s="20" t="e">
        <f t="shared" si="168"/>
        <v>#N/A</v>
      </c>
      <c r="O469" s="20" t="e">
        <f t="shared" si="169"/>
        <v>#N/A</v>
      </c>
      <c r="P469" s="20" t="e">
        <f t="shared" si="170"/>
        <v>#N/A</v>
      </c>
      <c r="Q469" s="20" t="e">
        <f t="shared" si="171"/>
        <v>#N/A</v>
      </c>
      <c r="R469" s="20" t="e">
        <f t="shared" si="172"/>
        <v>#N/A</v>
      </c>
      <c r="S469" s="20" t="e">
        <f t="shared" si="173"/>
        <v>#N/A</v>
      </c>
      <c r="T469" s="20" t="e">
        <f t="shared" si="174"/>
        <v>#N/A</v>
      </c>
    </row>
    <row r="470" spans="1:20" x14ac:dyDescent="0.25">
      <c r="A470">
        <f t="shared" si="175"/>
        <v>468</v>
      </c>
      <c r="B470">
        <f t="shared" si="156"/>
        <v>9</v>
      </c>
      <c r="C470">
        <f t="shared" si="157"/>
        <v>1.8000000000000007</v>
      </c>
      <c r="D470" s="15">
        <f t="shared" si="158"/>
        <v>2.5</v>
      </c>
      <c r="E470">
        <f t="shared" si="159"/>
        <v>1</v>
      </c>
      <c r="F470" s="3">
        <f t="shared" si="160"/>
        <v>112.5</v>
      </c>
      <c r="G470" s="3">
        <f t="shared" si="161"/>
        <v>1.9634954084936207</v>
      </c>
      <c r="H470" s="18">
        <f t="shared" si="162"/>
        <v>-0.68883017825716175</v>
      </c>
      <c r="I470" s="3">
        <f t="shared" si="163"/>
        <v>1.6629831585203168</v>
      </c>
      <c r="J470" s="19" t="str">
        <f t="shared" si="164"/>
        <v>L</v>
      </c>
      <c r="K470" s="20">
        <f t="shared" si="165"/>
        <v>-0.68883017825716175</v>
      </c>
      <c r="L470" s="20">
        <f t="shared" si="166"/>
        <v>1.6629831585203168</v>
      </c>
      <c r="M470" s="20" t="e">
        <f t="shared" si="167"/>
        <v>#N/A</v>
      </c>
      <c r="N470" s="20" t="e">
        <f t="shared" si="168"/>
        <v>#N/A</v>
      </c>
      <c r="O470" s="20" t="e">
        <f t="shared" si="169"/>
        <v>#N/A</v>
      </c>
      <c r="P470" s="20" t="e">
        <f t="shared" si="170"/>
        <v>#N/A</v>
      </c>
      <c r="Q470" s="20" t="e">
        <f t="shared" si="171"/>
        <v>#N/A</v>
      </c>
      <c r="R470" s="20" t="e">
        <f t="shared" si="172"/>
        <v>#N/A</v>
      </c>
      <c r="S470" s="20" t="e">
        <f t="shared" si="173"/>
        <v>#N/A</v>
      </c>
      <c r="T470" s="20" t="e">
        <f t="shared" si="174"/>
        <v>#N/A</v>
      </c>
    </row>
    <row r="471" spans="1:20" x14ac:dyDescent="0.25">
      <c r="A471">
        <f t="shared" si="175"/>
        <v>469</v>
      </c>
      <c r="B471">
        <f t="shared" si="156"/>
        <v>9</v>
      </c>
      <c r="C471">
        <f t="shared" si="157"/>
        <v>1.8000000000000007</v>
      </c>
      <c r="D471" s="15">
        <f t="shared" si="158"/>
        <v>2.5</v>
      </c>
      <c r="E471">
        <f t="shared" si="159"/>
        <v>1</v>
      </c>
      <c r="F471" s="3">
        <f t="shared" si="160"/>
        <v>115</v>
      </c>
      <c r="G471" s="3">
        <f t="shared" si="161"/>
        <v>2.0071286397934789</v>
      </c>
      <c r="H471" s="18">
        <f t="shared" si="162"/>
        <v>-0.76071287113325914</v>
      </c>
      <c r="I471" s="3">
        <f t="shared" si="163"/>
        <v>1.6313540166659708</v>
      </c>
      <c r="J471" s="19" t="str">
        <f t="shared" si="164"/>
        <v>L</v>
      </c>
      <c r="K471" s="20">
        <f t="shared" si="165"/>
        <v>-0.76071287113325914</v>
      </c>
      <c r="L471" s="20">
        <f t="shared" si="166"/>
        <v>1.6313540166659708</v>
      </c>
      <c r="M471" s="20" t="e">
        <f t="shared" si="167"/>
        <v>#N/A</v>
      </c>
      <c r="N471" s="20" t="e">
        <f t="shared" si="168"/>
        <v>#N/A</v>
      </c>
      <c r="O471" s="20" t="e">
        <f t="shared" si="169"/>
        <v>#N/A</v>
      </c>
      <c r="P471" s="20" t="e">
        <f t="shared" si="170"/>
        <v>#N/A</v>
      </c>
      <c r="Q471" s="20" t="e">
        <f t="shared" si="171"/>
        <v>#N/A</v>
      </c>
      <c r="R471" s="20" t="e">
        <f t="shared" si="172"/>
        <v>#N/A</v>
      </c>
      <c r="S471" s="20" t="e">
        <f t="shared" si="173"/>
        <v>#N/A</v>
      </c>
      <c r="T471" s="20" t="e">
        <f t="shared" si="174"/>
        <v>#N/A</v>
      </c>
    </row>
    <row r="472" spans="1:20" x14ac:dyDescent="0.25">
      <c r="A472">
        <f t="shared" si="175"/>
        <v>470</v>
      </c>
      <c r="B472">
        <f t="shared" si="156"/>
        <v>9</v>
      </c>
      <c r="C472">
        <f t="shared" si="157"/>
        <v>1.8000000000000007</v>
      </c>
      <c r="D472" s="15">
        <f t="shared" si="158"/>
        <v>2.5</v>
      </c>
      <c r="E472">
        <f t="shared" si="159"/>
        <v>1</v>
      </c>
      <c r="F472" s="3">
        <f t="shared" si="160"/>
        <v>117.5</v>
      </c>
      <c r="G472" s="3">
        <f t="shared" si="161"/>
        <v>2.0507618710933371</v>
      </c>
      <c r="H472" s="18">
        <f t="shared" si="162"/>
        <v>-0.83114750382306102</v>
      </c>
      <c r="I472" s="3">
        <f t="shared" si="163"/>
        <v>1.5966194997207999</v>
      </c>
      <c r="J472" s="19" t="str">
        <f t="shared" si="164"/>
        <v>L</v>
      </c>
      <c r="K472" s="20">
        <f t="shared" si="165"/>
        <v>-0.83114750382306102</v>
      </c>
      <c r="L472" s="20">
        <f t="shared" si="166"/>
        <v>1.5966194997207999</v>
      </c>
      <c r="M472" s="20" t="e">
        <f t="shared" si="167"/>
        <v>#N/A</v>
      </c>
      <c r="N472" s="20" t="e">
        <f t="shared" si="168"/>
        <v>#N/A</v>
      </c>
      <c r="O472" s="20" t="e">
        <f t="shared" si="169"/>
        <v>#N/A</v>
      </c>
      <c r="P472" s="20" t="e">
        <f t="shared" si="170"/>
        <v>#N/A</v>
      </c>
      <c r="Q472" s="20" t="e">
        <f t="shared" si="171"/>
        <v>#N/A</v>
      </c>
      <c r="R472" s="20" t="e">
        <f t="shared" si="172"/>
        <v>#N/A</v>
      </c>
      <c r="S472" s="20" t="e">
        <f t="shared" si="173"/>
        <v>#N/A</v>
      </c>
      <c r="T472" s="20" t="e">
        <f t="shared" si="174"/>
        <v>#N/A</v>
      </c>
    </row>
    <row r="473" spans="1:20" x14ac:dyDescent="0.25">
      <c r="A473">
        <f t="shared" si="175"/>
        <v>471</v>
      </c>
      <c r="B473">
        <f t="shared" si="156"/>
        <v>9</v>
      </c>
      <c r="C473">
        <f t="shared" si="157"/>
        <v>1.8000000000000007</v>
      </c>
      <c r="D473" s="15">
        <f t="shared" si="158"/>
        <v>2.5</v>
      </c>
      <c r="E473">
        <f t="shared" si="159"/>
        <v>1</v>
      </c>
      <c r="F473" s="3">
        <f t="shared" si="160"/>
        <v>120</v>
      </c>
      <c r="G473" s="3">
        <f t="shared" si="161"/>
        <v>2.0943951023931953</v>
      </c>
      <c r="H473" s="18">
        <f t="shared" si="162"/>
        <v>-0.89999999999999991</v>
      </c>
      <c r="I473" s="3">
        <f t="shared" si="163"/>
        <v>1.5588457268119902</v>
      </c>
      <c r="J473" s="19" t="str">
        <f t="shared" si="164"/>
        <v>L</v>
      </c>
      <c r="K473" s="20">
        <f t="shared" si="165"/>
        <v>-0.89999999999999991</v>
      </c>
      <c r="L473" s="20">
        <f t="shared" si="166"/>
        <v>1.5588457268119902</v>
      </c>
      <c r="M473" s="20" t="e">
        <f t="shared" si="167"/>
        <v>#N/A</v>
      </c>
      <c r="N473" s="20" t="e">
        <f t="shared" si="168"/>
        <v>#N/A</v>
      </c>
      <c r="O473" s="20" t="e">
        <f t="shared" si="169"/>
        <v>#N/A</v>
      </c>
      <c r="P473" s="20" t="e">
        <f t="shared" si="170"/>
        <v>#N/A</v>
      </c>
      <c r="Q473" s="20" t="e">
        <f t="shared" si="171"/>
        <v>#N/A</v>
      </c>
      <c r="R473" s="20" t="e">
        <f t="shared" si="172"/>
        <v>#N/A</v>
      </c>
      <c r="S473" s="20" t="e">
        <f t="shared" si="173"/>
        <v>#N/A</v>
      </c>
      <c r="T473" s="20" t="e">
        <f t="shared" si="174"/>
        <v>#N/A</v>
      </c>
    </row>
    <row r="474" spans="1:20" x14ac:dyDescent="0.25">
      <c r="A474">
        <f t="shared" si="175"/>
        <v>472</v>
      </c>
      <c r="B474">
        <f t="shared" si="156"/>
        <v>9</v>
      </c>
      <c r="C474">
        <f t="shared" si="157"/>
        <v>1.8000000000000007</v>
      </c>
      <c r="D474" s="15">
        <f t="shared" si="158"/>
        <v>2.5</v>
      </c>
      <c r="E474">
        <f t="shared" si="159"/>
        <v>1</v>
      </c>
      <c r="F474" s="3">
        <f t="shared" si="160"/>
        <v>122.5</v>
      </c>
      <c r="G474" s="3">
        <f t="shared" si="161"/>
        <v>2.1380283336930539</v>
      </c>
      <c r="H474" s="18">
        <f t="shared" si="162"/>
        <v>-0.96713929502428353</v>
      </c>
      <c r="I474" s="3">
        <f t="shared" si="163"/>
        <v>1.5181046024631948</v>
      </c>
      <c r="J474" s="19" t="str">
        <f t="shared" si="164"/>
        <v>C</v>
      </c>
      <c r="K474" s="20" t="e">
        <f t="shared" si="165"/>
        <v>#N/A</v>
      </c>
      <c r="L474" s="20" t="e">
        <f t="shared" si="166"/>
        <v>#N/A</v>
      </c>
      <c r="M474" s="20">
        <f t="shared" si="167"/>
        <v>-0.96713929502428353</v>
      </c>
      <c r="N474" s="20">
        <f t="shared" si="168"/>
        <v>1.5181046024631948</v>
      </c>
      <c r="O474" s="20" t="e">
        <f t="shared" si="169"/>
        <v>#N/A</v>
      </c>
      <c r="P474" s="20" t="e">
        <f t="shared" si="170"/>
        <v>#N/A</v>
      </c>
      <c r="Q474" s="20" t="e">
        <f t="shared" si="171"/>
        <v>#N/A</v>
      </c>
      <c r="R474" s="20" t="e">
        <f t="shared" si="172"/>
        <v>#N/A</v>
      </c>
      <c r="S474" s="20" t="e">
        <f t="shared" si="173"/>
        <v>#N/A</v>
      </c>
      <c r="T474" s="20" t="e">
        <f t="shared" si="174"/>
        <v>#N/A</v>
      </c>
    </row>
    <row r="475" spans="1:20" x14ac:dyDescent="0.25">
      <c r="A475">
        <f t="shared" si="175"/>
        <v>473</v>
      </c>
      <c r="B475">
        <f t="shared" si="156"/>
        <v>9</v>
      </c>
      <c r="C475">
        <f t="shared" si="157"/>
        <v>1.8000000000000007</v>
      </c>
      <c r="D475" s="15">
        <f t="shared" si="158"/>
        <v>2.5</v>
      </c>
      <c r="E475">
        <f t="shared" si="159"/>
        <v>1</v>
      </c>
      <c r="F475" s="3">
        <f t="shared" si="160"/>
        <v>125</v>
      </c>
      <c r="G475" s="3">
        <f t="shared" si="161"/>
        <v>2.1816615649929116</v>
      </c>
      <c r="H475" s="18">
        <f t="shared" si="162"/>
        <v>-1.0324375854318828</v>
      </c>
      <c r="I475" s="3">
        <f t="shared" si="163"/>
        <v>1.4744736797201863</v>
      </c>
      <c r="J475" s="19" t="str">
        <f t="shared" si="164"/>
        <v>C</v>
      </c>
      <c r="K475" s="20" t="e">
        <f t="shared" si="165"/>
        <v>#N/A</v>
      </c>
      <c r="L475" s="20" t="e">
        <f t="shared" si="166"/>
        <v>#N/A</v>
      </c>
      <c r="M475" s="20">
        <f t="shared" si="167"/>
        <v>-1.0324375854318828</v>
      </c>
      <c r="N475" s="20">
        <f t="shared" si="168"/>
        <v>1.4744736797201863</v>
      </c>
      <c r="O475" s="20" t="e">
        <f t="shared" si="169"/>
        <v>#N/A</v>
      </c>
      <c r="P475" s="20" t="e">
        <f t="shared" si="170"/>
        <v>#N/A</v>
      </c>
      <c r="Q475" s="20" t="e">
        <f t="shared" si="171"/>
        <v>#N/A</v>
      </c>
      <c r="R475" s="20" t="e">
        <f t="shared" si="172"/>
        <v>#N/A</v>
      </c>
      <c r="S475" s="20" t="e">
        <f t="shared" si="173"/>
        <v>#N/A</v>
      </c>
      <c r="T475" s="20" t="e">
        <f t="shared" si="174"/>
        <v>#N/A</v>
      </c>
    </row>
    <row r="476" spans="1:20" x14ac:dyDescent="0.25">
      <c r="A476">
        <f t="shared" si="175"/>
        <v>474</v>
      </c>
      <c r="B476">
        <f t="shared" si="156"/>
        <v>9</v>
      </c>
      <c r="C476">
        <f t="shared" si="157"/>
        <v>1.8000000000000007</v>
      </c>
      <c r="D476" s="15">
        <f t="shared" si="158"/>
        <v>2.5</v>
      </c>
      <c r="E476">
        <f t="shared" si="159"/>
        <v>1</v>
      </c>
      <c r="F476" s="3">
        <f t="shared" si="160"/>
        <v>127.5</v>
      </c>
      <c r="G476" s="3">
        <f t="shared" si="161"/>
        <v>2.2252947962927703</v>
      </c>
      <c r="H476" s="18">
        <f t="shared" si="162"/>
        <v>-1.0957705722156976</v>
      </c>
      <c r="I476" s="3">
        <f t="shared" si="163"/>
        <v>1.428036012524224</v>
      </c>
      <c r="J476" s="19" t="str">
        <f t="shared" si="164"/>
        <v>C</v>
      </c>
      <c r="K476" s="20" t="e">
        <f t="shared" si="165"/>
        <v>#N/A</v>
      </c>
      <c r="L476" s="20" t="e">
        <f t="shared" si="166"/>
        <v>#N/A</v>
      </c>
      <c r="M476" s="20">
        <f t="shared" si="167"/>
        <v>-1.0957705722156976</v>
      </c>
      <c r="N476" s="20">
        <f t="shared" si="168"/>
        <v>1.428036012524224</v>
      </c>
      <c r="O476" s="20" t="e">
        <f t="shared" si="169"/>
        <v>#N/A</v>
      </c>
      <c r="P476" s="20" t="e">
        <f t="shared" si="170"/>
        <v>#N/A</v>
      </c>
      <c r="Q476" s="20" t="e">
        <f t="shared" si="171"/>
        <v>#N/A</v>
      </c>
      <c r="R476" s="20" t="e">
        <f t="shared" si="172"/>
        <v>#N/A</v>
      </c>
      <c r="S476" s="20" t="e">
        <f t="shared" si="173"/>
        <v>#N/A</v>
      </c>
      <c r="T476" s="20" t="e">
        <f t="shared" si="174"/>
        <v>#N/A</v>
      </c>
    </row>
    <row r="477" spans="1:20" x14ac:dyDescent="0.25">
      <c r="A477">
        <f t="shared" si="175"/>
        <v>475</v>
      </c>
      <c r="B477">
        <f t="shared" si="156"/>
        <v>9</v>
      </c>
      <c r="C477">
        <f t="shared" si="157"/>
        <v>1.8000000000000007</v>
      </c>
      <c r="D477" s="15">
        <f t="shared" si="158"/>
        <v>2.5</v>
      </c>
      <c r="E477">
        <f t="shared" si="159"/>
        <v>1</v>
      </c>
      <c r="F477" s="3">
        <f t="shared" si="160"/>
        <v>130</v>
      </c>
      <c r="G477" s="3">
        <f t="shared" si="161"/>
        <v>2.2689280275926285</v>
      </c>
      <c r="H477" s="18">
        <f t="shared" si="162"/>
        <v>-1.1570176974357713</v>
      </c>
      <c r="I477" s="3">
        <f t="shared" si="163"/>
        <v>1.378879997614161</v>
      </c>
      <c r="J477" s="19" t="str">
        <f t="shared" si="164"/>
        <v>C</v>
      </c>
      <c r="K477" s="20" t="e">
        <f t="shared" si="165"/>
        <v>#N/A</v>
      </c>
      <c r="L477" s="20" t="e">
        <f t="shared" si="166"/>
        <v>#N/A</v>
      </c>
      <c r="M477" s="20">
        <f t="shared" si="167"/>
        <v>-1.1570176974357713</v>
      </c>
      <c r="N477" s="20">
        <f t="shared" si="168"/>
        <v>1.378879997614161</v>
      </c>
      <c r="O477" s="20" t="e">
        <f t="shared" si="169"/>
        <v>#N/A</v>
      </c>
      <c r="P477" s="20" t="e">
        <f t="shared" si="170"/>
        <v>#N/A</v>
      </c>
      <c r="Q477" s="20" t="e">
        <f t="shared" si="171"/>
        <v>#N/A</v>
      </c>
      <c r="R477" s="20" t="e">
        <f t="shared" si="172"/>
        <v>#N/A</v>
      </c>
      <c r="S477" s="20" t="e">
        <f t="shared" si="173"/>
        <v>#N/A</v>
      </c>
      <c r="T477" s="20" t="e">
        <f t="shared" si="174"/>
        <v>#N/A</v>
      </c>
    </row>
    <row r="478" spans="1:20" x14ac:dyDescent="0.25">
      <c r="A478">
        <f t="shared" si="175"/>
        <v>476</v>
      </c>
      <c r="B478">
        <f t="shared" si="156"/>
        <v>9</v>
      </c>
      <c r="C478">
        <f t="shared" si="157"/>
        <v>1.8000000000000007</v>
      </c>
      <c r="D478" s="15">
        <f t="shared" si="158"/>
        <v>2.5</v>
      </c>
      <c r="E478">
        <f t="shared" si="159"/>
        <v>1</v>
      </c>
      <c r="F478" s="3">
        <f t="shared" si="160"/>
        <v>132.5</v>
      </c>
      <c r="G478" s="3">
        <f t="shared" si="161"/>
        <v>2.3125612588924866</v>
      </c>
      <c r="H478" s="18">
        <f t="shared" si="162"/>
        <v>-1.2160623737081888</v>
      </c>
      <c r="I478" s="3">
        <f t="shared" si="163"/>
        <v>1.3270992062582239</v>
      </c>
      <c r="J478" s="19" t="str">
        <f t="shared" si="164"/>
        <v>C</v>
      </c>
      <c r="K478" s="20" t="e">
        <f t="shared" si="165"/>
        <v>#N/A</v>
      </c>
      <c r="L478" s="20" t="e">
        <f t="shared" si="166"/>
        <v>#N/A</v>
      </c>
      <c r="M478" s="20">
        <f t="shared" si="167"/>
        <v>-1.2160623737081888</v>
      </c>
      <c r="N478" s="20">
        <f t="shared" si="168"/>
        <v>1.3270992062582239</v>
      </c>
      <c r="O478" s="20" t="e">
        <f t="shared" si="169"/>
        <v>#N/A</v>
      </c>
      <c r="P478" s="20" t="e">
        <f t="shared" si="170"/>
        <v>#N/A</v>
      </c>
      <c r="Q478" s="20" t="e">
        <f t="shared" si="171"/>
        <v>#N/A</v>
      </c>
      <c r="R478" s="20" t="e">
        <f t="shared" si="172"/>
        <v>#N/A</v>
      </c>
      <c r="S478" s="20" t="e">
        <f t="shared" si="173"/>
        <v>#N/A</v>
      </c>
      <c r="T478" s="20" t="e">
        <f t="shared" si="174"/>
        <v>#N/A</v>
      </c>
    </row>
    <row r="479" spans="1:20" x14ac:dyDescent="0.25">
      <c r="A479">
        <f t="shared" si="175"/>
        <v>477</v>
      </c>
      <c r="B479">
        <f t="shared" si="156"/>
        <v>9</v>
      </c>
      <c r="C479">
        <f t="shared" si="157"/>
        <v>1.8000000000000007</v>
      </c>
      <c r="D479" s="15">
        <f t="shared" si="158"/>
        <v>2.5</v>
      </c>
      <c r="E479">
        <f t="shared" si="159"/>
        <v>1</v>
      </c>
      <c r="F479" s="3">
        <f t="shared" si="160"/>
        <v>135</v>
      </c>
      <c r="G479" s="3">
        <f t="shared" si="161"/>
        <v>2.3561944901923448</v>
      </c>
      <c r="H479" s="18">
        <f t="shared" si="162"/>
        <v>-1.2727922061357859</v>
      </c>
      <c r="I479" s="3">
        <f t="shared" si="163"/>
        <v>1.2727922061357861</v>
      </c>
      <c r="J479" s="19" t="str">
        <f t="shared" si="164"/>
        <v>C</v>
      </c>
      <c r="K479" s="20" t="e">
        <f t="shared" si="165"/>
        <v>#N/A</v>
      </c>
      <c r="L479" s="20" t="e">
        <f t="shared" si="166"/>
        <v>#N/A</v>
      </c>
      <c r="M479" s="20">
        <f t="shared" si="167"/>
        <v>-1.2727922061357859</v>
      </c>
      <c r="N479" s="20">
        <f t="shared" si="168"/>
        <v>1.2727922061357861</v>
      </c>
      <c r="O479" s="20" t="e">
        <f t="shared" si="169"/>
        <v>#N/A</v>
      </c>
      <c r="P479" s="20" t="e">
        <f t="shared" si="170"/>
        <v>#N/A</v>
      </c>
      <c r="Q479" s="20" t="e">
        <f t="shared" si="171"/>
        <v>#N/A</v>
      </c>
      <c r="R479" s="20" t="e">
        <f t="shared" si="172"/>
        <v>#N/A</v>
      </c>
      <c r="S479" s="20" t="e">
        <f t="shared" si="173"/>
        <v>#N/A</v>
      </c>
      <c r="T479" s="20" t="e">
        <f t="shared" si="174"/>
        <v>#N/A</v>
      </c>
    </row>
    <row r="480" spans="1:20" x14ac:dyDescent="0.25">
      <c r="A480">
        <f t="shared" si="175"/>
        <v>478</v>
      </c>
      <c r="B480">
        <f t="shared" si="156"/>
        <v>9</v>
      </c>
      <c r="C480">
        <f t="shared" si="157"/>
        <v>1.8000000000000007</v>
      </c>
      <c r="D480" s="15">
        <f t="shared" si="158"/>
        <v>2.5</v>
      </c>
      <c r="E480">
        <f t="shared" si="159"/>
        <v>1</v>
      </c>
      <c r="F480" s="3">
        <f t="shared" si="160"/>
        <v>137.5</v>
      </c>
      <c r="G480" s="3">
        <f t="shared" si="161"/>
        <v>2.399827721492203</v>
      </c>
      <c r="H480" s="18">
        <f t="shared" si="162"/>
        <v>-1.3270992062582236</v>
      </c>
      <c r="I480" s="3">
        <f t="shared" si="163"/>
        <v>1.216062373708189</v>
      </c>
      <c r="J480" s="19" t="str">
        <f t="shared" si="164"/>
        <v>C</v>
      </c>
      <c r="K480" s="20" t="e">
        <f t="shared" si="165"/>
        <v>#N/A</v>
      </c>
      <c r="L480" s="20" t="e">
        <f t="shared" si="166"/>
        <v>#N/A</v>
      </c>
      <c r="M480" s="20">
        <f t="shared" si="167"/>
        <v>-1.3270992062582236</v>
      </c>
      <c r="N480" s="20">
        <f t="shared" si="168"/>
        <v>1.216062373708189</v>
      </c>
      <c r="O480" s="20" t="e">
        <f t="shared" si="169"/>
        <v>#N/A</v>
      </c>
      <c r="P480" s="20" t="e">
        <f t="shared" si="170"/>
        <v>#N/A</v>
      </c>
      <c r="Q480" s="20" t="e">
        <f t="shared" si="171"/>
        <v>#N/A</v>
      </c>
      <c r="R480" s="20" t="e">
        <f t="shared" si="172"/>
        <v>#N/A</v>
      </c>
      <c r="S480" s="20" t="e">
        <f t="shared" si="173"/>
        <v>#N/A</v>
      </c>
      <c r="T480" s="20" t="e">
        <f t="shared" si="174"/>
        <v>#N/A</v>
      </c>
    </row>
    <row r="481" spans="1:20" x14ac:dyDescent="0.25">
      <c r="A481">
        <f t="shared" si="175"/>
        <v>479</v>
      </c>
      <c r="B481">
        <f t="shared" si="156"/>
        <v>9</v>
      </c>
      <c r="C481">
        <f t="shared" si="157"/>
        <v>1.8000000000000007</v>
      </c>
      <c r="D481" s="15">
        <f t="shared" si="158"/>
        <v>2.5</v>
      </c>
      <c r="E481">
        <f t="shared" si="159"/>
        <v>1</v>
      </c>
      <c r="F481" s="3">
        <f t="shared" si="160"/>
        <v>140</v>
      </c>
      <c r="G481" s="3">
        <f t="shared" si="161"/>
        <v>2.4434609527920612</v>
      </c>
      <c r="H481" s="18">
        <f t="shared" si="162"/>
        <v>-1.3788799976141608</v>
      </c>
      <c r="I481" s="3">
        <f t="shared" si="163"/>
        <v>1.1570176974357715</v>
      </c>
      <c r="J481" s="19" t="str">
        <f t="shared" si="164"/>
        <v>C</v>
      </c>
      <c r="K481" s="20" t="e">
        <f t="shared" si="165"/>
        <v>#N/A</v>
      </c>
      <c r="L481" s="20" t="e">
        <f t="shared" si="166"/>
        <v>#N/A</v>
      </c>
      <c r="M481" s="20">
        <f t="shared" si="167"/>
        <v>-1.3788799976141608</v>
      </c>
      <c r="N481" s="20">
        <f t="shared" si="168"/>
        <v>1.1570176974357715</v>
      </c>
      <c r="O481" s="20" t="e">
        <f t="shared" si="169"/>
        <v>#N/A</v>
      </c>
      <c r="P481" s="20" t="e">
        <f t="shared" si="170"/>
        <v>#N/A</v>
      </c>
      <c r="Q481" s="20" t="e">
        <f t="shared" si="171"/>
        <v>#N/A</v>
      </c>
      <c r="R481" s="20" t="e">
        <f t="shared" si="172"/>
        <v>#N/A</v>
      </c>
      <c r="S481" s="20" t="e">
        <f t="shared" si="173"/>
        <v>#N/A</v>
      </c>
      <c r="T481" s="20" t="e">
        <f t="shared" si="174"/>
        <v>#N/A</v>
      </c>
    </row>
    <row r="482" spans="1:20" x14ac:dyDescent="0.25">
      <c r="A482">
        <f t="shared" si="175"/>
        <v>480</v>
      </c>
      <c r="B482">
        <f t="shared" si="156"/>
        <v>9</v>
      </c>
      <c r="C482">
        <f t="shared" si="157"/>
        <v>1.8000000000000007</v>
      </c>
      <c r="D482" s="15">
        <f t="shared" si="158"/>
        <v>2.5</v>
      </c>
      <c r="E482">
        <f t="shared" si="159"/>
        <v>1</v>
      </c>
      <c r="F482" s="3">
        <f t="shared" si="160"/>
        <v>142.5</v>
      </c>
      <c r="G482" s="3">
        <f t="shared" si="161"/>
        <v>2.4870941840919194</v>
      </c>
      <c r="H482" s="18">
        <f t="shared" si="162"/>
        <v>-1.4280360125242237</v>
      </c>
      <c r="I482" s="3">
        <f t="shared" si="163"/>
        <v>1.0957705722156981</v>
      </c>
      <c r="J482" s="19" t="str">
        <f t="shared" si="164"/>
        <v>C</v>
      </c>
      <c r="K482" s="20" t="e">
        <f t="shared" si="165"/>
        <v>#N/A</v>
      </c>
      <c r="L482" s="20" t="e">
        <f t="shared" si="166"/>
        <v>#N/A</v>
      </c>
      <c r="M482" s="20">
        <f t="shared" si="167"/>
        <v>-1.4280360125242237</v>
      </c>
      <c r="N482" s="20">
        <f t="shared" si="168"/>
        <v>1.0957705722156981</v>
      </c>
      <c r="O482" s="20" t="e">
        <f t="shared" si="169"/>
        <v>#N/A</v>
      </c>
      <c r="P482" s="20" t="e">
        <f t="shared" si="170"/>
        <v>#N/A</v>
      </c>
      <c r="Q482" s="20" t="e">
        <f t="shared" si="171"/>
        <v>#N/A</v>
      </c>
      <c r="R482" s="20" t="e">
        <f t="shared" si="172"/>
        <v>#N/A</v>
      </c>
      <c r="S482" s="20" t="e">
        <f t="shared" si="173"/>
        <v>#N/A</v>
      </c>
      <c r="T482" s="20" t="e">
        <f t="shared" si="174"/>
        <v>#N/A</v>
      </c>
    </row>
    <row r="483" spans="1:20" x14ac:dyDescent="0.25">
      <c r="A483">
        <f t="shared" si="175"/>
        <v>481</v>
      </c>
      <c r="B483">
        <f t="shared" si="156"/>
        <v>9</v>
      </c>
      <c r="C483">
        <f t="shared" si="157"/>
        <v>1.8000000000000007</v>
      </c>
      <c r="D483" s="15">
        <f t="shared" si="158"/>
        <v>2.5</v>
      </c>
      <c r="E483">
        <f t="shared" si="159"/>
        <v>1</v>
      </c>
      <c r="F483" s="3">
        <f t="shared" si="160"/>
        <v>145</v>
      </c>
      <c r="G483" s="3">
        <f t="shared" si="161"/>
        <v>2.530727415391778</v>
      </c>
      <c r="H483" s="18">
        <f t="shared" si="162"/>
        <v>-1.4744736797201861</v>
      </c>
      <c r="I483" s="3">
        <f t="shared" si="163"/>
        <v>1.032437585431883</v>
      </c>
      <c r="J483" s="19" t="str">
        <f t="shared" si="164"/>
        <v>C</v>
      </c>
      <c r="K483" s="20" t="e">
        <f t="shared" si="165"/>
        <v>#N/A</v>
      </c>
      <c r="L483" s="20" t="e">
        <f t="shared" si="166"/>
        <v>#N/A</v>
      </c>
      <c r="M483" s="20">
        <f t="shared" si="167"/>
        <v>-1.4744736797201861</v>
      </c>
      <c r="N483" s="20">
        <f t="shared" si="168"/>
        <v>1.032437585431883</v>
      </c>
      <c r="O483" s="20" t="e">
        <f t="shared" si="169"/>
        <v>#N/A</v>
      </c>
      <c r="P483" s="20" t="e">
        <f t="shared" si="170"/>
        <v>#N/A</v>
      </c>
      <c r="Q483" s="20" t="e">
        <f t="shared" si="171"/>
        <v>#N/A</v>
      </c>
      <c r="R483" s="20" t="e">
        <f t="shared" si="172"/>
        <v>#N/A</v>
      </c>
      <c r="S483" s="20" t="e">
        <f t="shared" si="173"/>
        <v>#N/A</v>
      </c>
      <c r="T483" s="20" t="e">
        <f t="shared" si="174"/>
        <v>#N/A</v>
      </c>
    </row>
    <row r="484" spans="1:20" x14ac:dyDescent="0.25">
      <c r="A484">
        <f t="shared" si="175"/>
        <v>482</v>
      </c>
      <c r="B484">
        <f t="shared" si="156"/>
        <v>9</v>
      </c>
      <c r="C484">
        <f t="shared" si="157"/>
        <v>1.8000000000000007</v>
      </c>
      <c r="D484" s="15">
        <f t="shared" si="158"/>
        <v>2.5</v>
      </c>
      <c r="E484">
        <f t="shared" si="159"/>
        <v>1</v>
      </c>
      <c r="F484" s="3">
        <f t="shared" si="160"/>
        <v>147.5</v>
      </c>
      <c r="G484" s="3">
        <f t="shared" si="161"/>
        <v>2.5743606466916358</v>
      </c>
      <c r="H484" s="18">
        <f t="shared" si="162"/>
        <v>-1.5181046024631946</v>
      </c>
      <c r="I484" s="3">
        <f t="shared" si="163"/>
        <v>0.96713929502428375</v>
      </c>
      <c r="J484" s="19" t="str">
        <f t="shared" si="164"/>
        <v>C</v>
      </c>
      <c r="K484" s="20" t="e">
        <f t="shared" si="165"/>
        <v>#N/A</v>
      </c>
      <c r="L484" s="20" t="e">
        <f t="shared" si="166"/>
        <v>#N/A</v>
      </c>
      <c r="M484" s="20">
        <f t="shared" si="167"/>
        <v>-1.5181046024631946</v>
      </c>
      <c r="N484" s="20">
        <f t="shared" si="168"/>
        <v>0.96713929502428375</v>
      </c>
      <c r="O484" s="20" t="e">
        <f t="shared" si="169"/>
        <v>#N/A</v>
      </c>
      <c r="P484" s="20" t="e">
        <f t="shared" si="170"/>
        <v>#N/A</v>
      </c>
      <c r="Q484" s="20" t="e">
        <f t="shared" si="171"/>
        <v>#N/A</v>
      </c>
      <c r="R484" s="20" t="e">
        <f t="shared" si="172"/>
        <v>#N/A</v>
      </c>
      <c r="S484" s="20" t="e">
        <f t="shared" si="173"/>
        <v>#N/A</v>
      </c>
      <c r="T484" s="20" t="e">
        <f t="shared" si="174"/>
        <v>#N/A</v>
      </c>
    </row>
    <row r="485" spans="1:20" x14ac:dyDescent="0.25">
      <c r="A485">
        <f t="shared" si="175"/>
        <v>483</v>
      </c>
      <c r="B485">
        <f t="shared" si="156"/>
        <v>9</v>
      </c>
      <c r="C485">
        <f t="shared" si="157"/>
        <v>1.8000000000000007</v>
      </c>
      <c r="D485" s="15">
        <f t="shared" si="158"/>
        <v>2.5</v>
      </c>
      <c r="E485">
        <f t="shared" si="159"/>
        <v>1</v>
      </c>
      <c r="F485" s="3">
        <f t="shared" si="160"/>
        <v>150</v>
      </c>
      <c r="G485" s="3">
        <f t="shared" si="161"/>
        <v>2.6179938779914944</v>
      </c>
      <c r="H485" s="18">
        <f t="shared" si="162"/>
        <v>-1.5588457268119902</v>
      </c>
      <c r="I485" s="3">
        <f t="shared" si="163"/>
        <v>0.90000000000000024</v>
      </c>
      <c r="J485" s="19" t="str">
        <f t="shared" si="164"/>
        <v>C</v>
      </c>
      <c r="K485" s="20" t="e">
        <f t="shared" si="165"/>
        <v>#N/A</v>
      </c>
      <c r="L485" s="20" t="e">
        <f t="shared" si="166"/>
        <v>#N/A</v>
      </c>
      <c r="M485" s="20">
        <f t="shared" si="167"/>
        <v>-1.5588457268119902</v>
      </c>
      <c r="N485" s="20">
        <f t="shared" si="168"/>
        <v>0.90000000000000024</v>
      </c>
      <c r="O485" s="20" t="e">
        <f t="shared" si="169"/>
        <v>#N/A</v>
      </c>
      <c r="P485" s="20" t="e">
        <f t="shared" si="170"/>
        <v>#N/A</v>
      </c>
      <c r="Q485" s="20" t="e">
        <f t="shared" si="171"/>
        <v>#N/A</v>
      </c>
      <c r="R485" s="20" t="e">
        <f t="shared" si="172"/>
        <v>#N/A</v>
      </c>
      <c r="S485" s="20" t="e">
        <f t="shared" si="173"/>
        <v>#N/A</v>
      </c>
      <c r="T485" s="20" t="e">
        <f t="shared" si="174"/>
        <v>#N/A</v>
      </c>
    </row>
    <row r="486" spans="1:20" x14ac:dyDescent="0.25">
      <c r="A486">
        <f t="shared" si="175"/>
        <v>484</v>
      </c>
      <c r="B486">
        <f t="shared" si="156"/>
        <v>9</v>
      </c>
      <c r="C486">
        <f t="shared" si="157"/>
        <v>1.8000000000000007</v>
      </c>
      <c r="D486" s="15">
        <f t="shared" si="158"/>
        <v>2.5</v>
      </c>
      <c r="E486">
        <f t="shared" si="159"/>
        <v>1</v>
      </c>
      <c r="F486" s="3">
        <f t="shared" si="160"/>
        <v>152.5</v>
      </c>
      <c r="G486" s="3">
        <f t="shared" si="161"/>
        <v>2.6616271092913526</v>
      </c>
      <c r="H486" s="18">
        <f t="shared" si="162"/>
        <v>-1.5966194997207996</v>
      </c>
      <c r="I486" s="3">
        <f t="shared" si="163"/>
        <v>0.83114750382306135</v>
      </c>
      <c r="J486" s="19" t="str">
        <f t="shared" si="164"/>
        <v>C</v>
      </c>
      <c r="K486" s="20" t="e">
        <f t="shared" si="165"/>
        <v>#N/A</v>
      </c>
      <c r="L486" s="20" t="e">
        <f t="shared" si="166"/>
        <v>#N/A</v>
      </c>
      <c r="M486" s="20">
        <f t="shared" si="167"/>
        <v>-1.5966194997207996</v>
      </c>
      <c r="N486" s="20">
        <f t="shared" si="168"/>
        <v>0.83114750382306135</v>
      </c>
      <c r="O486" s="20" t="e">
        <f t="shared" si="169"/>
        <v>#N/A</v>
      </c>
      <c r="P486" s="20" t="e">
        <f t="shared" si="170"/>
        <v>#N/A</v>
      </c>
      <c r="Q486" s="20" t="e">
        <f t="shared" si="171"/>
        <v>#N/A</v>
      </c>
      <c r="R486" s="20" t="e">
        <f t="shared" si="172"/>
        <v>#N/A</v>
      </c>
      <c r="S486" s="20" t="e">
        <f t="shared" si="173"/>
        <v>#N/A</v>
      </c>
      <c r="T486" s="20" t="e">
        <f t="shared" si="174"/>
        <v>#N/A</v>
      </c>
    </row>
    <row r="487" spans="1:20" x14ac:dyDescent="0.25">
      <c r="A487">
        <f t="shared" si="175"/>
        <v>485</v>
      </c>
      <c r="B487">
        <f t="shared" si="156"/>
        <v>9</v>
      </c>
      <c r="C487">
        <f t="shared" si="157"/>
        <v>1.8000000000000007</v>
      </c>
      <c r="D487" s="15">
        <f t="shared" si="158"/>
        <v>2.5</v>
      </c>
      <c r="E487">
        <f t="shared" si="159"/>
        <v>1</v>
      </c>
      <c r="F487" s="3">
        <f t="shared" si="160"/>
        <v>155</v>
      </c>
      <c r="G487" s="3">
        <f t="shared" si="161"/>
        <v>2.7052603405912108</v>
      </c>
      <c r="H487" s="18">
        <f t="shared" si="162"/>
        <v>-1.6313540166659706</v>
      </c>
      <c r="I487" s="3">
        <f t="shared" si="163"/>
        <v>0.76071287113325936</v>
      </c>
      <c r="J487" s="19" t="str">
        <f t="shared" si="164"/>
        <v>C</v>
      </c>
      <c r="K487" s="20" t="e">
        <f t="shared" si="165"/>
        <v>#N/A</v>
      </c>
      <c r="L487" s="20" t="e">
        <f t="shared" si="166"/>
        <v>#N/A</v>
      </c>
      <c r="M487" s="20">
        <f t="shared" si="167"/>
        <v>-1.6313540166659706</v>
      </c>
      <c r="N487" s="20">
        <f t="shared" si="168"/>
        <v>0.76071287113325936</v>
      </c>
      <c r="O487" s="20" t="e">
        <f t="shared" si="169"/>
        <v>#N/A</v>
      </c>
      <c r="P487" s="20" t="e">
        <f t="shared" si="170"/>
        <v>#N/A</v>
      </c>
      <c r="Q487" s="20" t="e">
        <f t="shared" si="171"/>
        <v>#N/A</v>
      </c>
      <c r="R487" s="20" t="e">
        <f t="shared" si="172"/>
        <v>#N/A</v>
      </c>
      <c r="S487" s="20" t="e">
        <f t="shared" si="173"/>
        <v>#N/A</v>
      </c>
      <c r="T487" s="20" t="e">
        <f t="shared" si="174"/>
        <v>#N/A</v>
      </c>
    </row>
    <row r="488" spans="1:20" x14ac:dyDescent="0.25">
      <c r="A488">
        <f t="shared" si="175"/>
        <v>486</v>
      </c>
      <c r="B488">
        <f t="shared" si="156"/>
        <v>9</v>
      </c>
      <c r="C488">
        <f t="shared" si="157"/>
        <v>1.8000000000000007</v>
      </c>
      <c r="D488" s="15">
        <f t="shared" si="158"/>
        <v>2.5</v>
      </c>
      <c r="E488">
        <f t="shared" si="159"/>
        <v>1</v>
      </c>
      <c r="F488" s="3">
        <f t="shared" si="160"/>
        <v>157.5</v>
      </c>
      <c r="G488" s="3">
        <f t="shared" si="161"/>
        <v>2.748893571891069</v>
      </c>
      <c r="H488" s="18">
        <f t="shared" si="162"/>
        <v>-1.6629831585203168</v>
      </c>
      <c r="I488" s="3">
        <f t="shared" si="163"/>
        <v>0.68883017825716208</v>
      </c>
      <c r="J488" s="19" t="str">
        <f t="shared" si="164"/>
        <v>LD</v>
      </c>
      <c r="K488" s="20" t="e">
        <f t="shared" si="165"/>
        <v>#N/A</v>
      </c>
      <c r="L488" s="20" t="e">
        <f t="shared" si="166"/>
        <v>#N/A</v>
      </c>
      <c r="M488" s="20" t="e">
        <f t="shared" si="167"/>
        <v>#N/A</v>
      </c>
      <c r="N488" s="20" t="e">
        <f t="shared" si="168"/>
        <v>#N/A</v>
      </c>
      <c r="O488" s="20">
        <f t="shared" si="169"/>
        <v>-1.6629831585203168</v>
      </c>
      <c r="P488" s="20">
        <f t="shared" si="170"/>
        <v>0.68883017825716208</v>
      </c>
      <c r="Q488" s="20" t="e">
        <f t="shared" si="171"/>
        <v>#N/A</v>
      </c>
      <c r="R488" s="20" t="e">
        <f t="shared" si="172"/>
        <v>#N/A</v>
      </c>
      <c r="S488" s="20" t="e">
        <f t="shared" si="173"/>
        <v>#N/A</v>
      </c>
      <c r="T488" s="20" t="e">
        <f t="shared" si="174"/>
        <v>#N/A</v>
      </c>
    </row>
    <row r="489" spans="1:20" x14ac:dyDescent="0.25">
      <c r="A489">
        <f t="shared" si="175"/>
        <v>487</v>
      </c>
      <c r="B489">
        <f t="shared" si="156"/>
        <v>9</v>
      </c>
      <c r="C489">
        <f t="shared" si="157"/>
        <v>1.8000000000000007</v>
      </c>
      <c r="D489" s="15">
        <f t="shared" si="158"/>
        <v>2.5</v>
      </c>
      <c r="E489">
        <f t="shared" si="159"/>
        <v>1</v>
      </c>
      <c r="F489" s="3">
        <f t="shared" si="160"/>
        <v>160</v>
      </c>
      <c r="G489" s="3">
        <f t="shared" si="161"/>
        <v>2.7925268031909272</v>
      </c>
      <c r="H489" s="18">
        <f t="shared" si="162"/>
        <v>-1.6914467174146357</v>
      </c>
      <c r="I489" s="3">
        <f t="shared" si="163"/>
        <v>0.61563625798620425</v>
      </c>
      <c r="J489" s="19" t="str">
        <f t="shared" si="164"/>
        <v>LD</v>
      </c>
      <c r="K489" s="20" t="e">
        <f t="shared" si="165"/>
        <v>#N/A</v>
      </c>
      <c r="L489" s="20" t="e">
        <f t="shared" si="166"/>
        <v>#N/A</v>
      </c>
      <c r="M489" s="20" t="e">
        <f t="shared" si="167"/>
        <v>#N/A</v>
      </c>
      <c r="N489" s="20" t="e">
        <f t="shared" si="168"/>
        <v>#N/A</v>
      </c>
      <c r="O489" s="20">
        <f t="shared" si="169"/>
        <v>-1.6914467174146357</v>
      </c>
      <c r="P489" s="20">
        <f t="shared" si="170"/>
        <v>0.61563625798620425</v>
      </c>
      <c r="Q489" s="20" t="e">
        <f t="shared" si="171"/>
        <v>#N/A</v>
      </c>
      <c r="R489" s="20" t="e">
        <f t="shared" si="172"/>
        <v>#N/A</v>
      </c>
      <c r="S489" s="20" t="e">
        <f t="shared" si="173"/>
        <v>#N/A</v>
      </c>
      <c r="T489" s="20" t="e">
        <f t="shared" si="174"/>
        <v>#N/A</v>
      </c>
    </row>
    <row r="490" spans="1:20" x14ac:dyDescent="0.25">
      <c r="A490">
        <f t="shared" si="175"/>
        <v>488</v>
      </c>
      <c r="B490">
        <f t="shared" si="156"/>
        <v>9</v>
      </c>
      <c r="C490">
        <f t="shared" si="157"/>
        <v>1.8000000000000007</v>
      </c>
      <c r="D490" s="15">
        <f t="shared" si="158"/>
        <v>2.5</v>
      </c>
      <c r="E490">
        <f t="shared" si="159"/>
        <v>1</v>
      </c>
      <c r="F490" s="3">
        <f t="shared" si="160"/>
        <v>162.5</v>
      </c>
      <c r="G490" s="3">
        <f t="shared" si="161"/>
        <v>2.8361600344907854</v>
      </c>
      <c r="H490" s="18">
        <f t="shared" si="162"/>
        <v>-1.7166905113468089</v>
      </c>
      <c r="I490" s="3">
        <f t="shared" si="163"/>
        <v>0.54127043910769224</v>
      </c>
      <c r="J490" s="19" t="str">
        <f t="shared" si="164"/>
        <v>LD</v>
      </c>
      <c r="K490" s="20" t="e">
        <f t="shared" si="165"/>
        <v>#N/A</v>
      </c>
      <c r="L490" s="20" t="e">
        <f t="shared" si="166"/>
        <v>#N/A</v>
      </c>
      <c r="M490" s="20" t="e">
        <f t="shared" si="167"/>
        <v>#N/A</v>
      </c>
      <c r="N490" s="20" t="e">
        <f t="shared" si="168"/>
        <v>#N/A</v>
      </c>
      <c r="O490" s="20">
        <f t="shared" si="169"/>
        <v>-1.7166905113468089</v>
      </c>
      <c r="P490" s="20">
        <f t="shared" si="170"/>
        <v>0.54127043910769224</v>
      </c>
      <c r="Q490" s="20" t="e">
        <f t="shared" si="171"/>
        <v>#N/A</v>
      </c>
      <c r="R490" s="20" t="e">
        <f t="shared" si="172"/>
        <v>#N/A</v>
      </c>
      <c r="S490" s="20" t="e">
        <f t="shared" si="173"/>
        <v>#N/A</v>
      </c>
      <c r="T490" s="20" t="e">
        <f t="shared" si="174"/>
        <v>#N/A</v>
      </c>
    </row>
    <row r="491" spans="1:20" x14ac:dyDescent="0.25">
      <c r="A491">
        <f t="shared" si="175"/>
        <v>489</v>
      </c>
      <c r="B491">
        <f t="shared" si="156"/>
        <v>9</v>
      </c>
      <c r="C491">
        <f t="shared" si="157"/>
        <v>1.8000000000000007</v>
      </c>
      <c r="D491" s="15">
        <f t="shared" si="158"/>
        <v>2.5</v>
      </c>
      <c r="E491">
        <f t="shared" si="159"/>
        <v>1</v>
      </c>
      <c r="F491" s="3">
        <f t="shared" si="160"/>
        <v>165</v>
      </c>
      <c r="G491" s="3">
        <f t="shared" si="161"/>
        <v>2.8797932657906435</v>
      </c>
      <c r="H491" s="18">
        <f t="shared" si="162"/>
        <v>-1.7386664873203235</v>
      </c>
      <c r="I491" s="3">
        <f t="shared" si="163"/>
        <v>0.465874281184538</v>
      </c>
      <c r="J491" s="19" t="str">
        <f t="shared" si="164"/>
        <v>LD</v>
      </c>
      <c r="K491" s="20" t="e">
        <f t="shared" si="165"/>
        <v>#N/A</v>
      </c>
      <c r="L491" s="20" t="e">
        <f t="shared" si="166"/>
        <v>#N/A</v>
      </c>
      <c r="M491" s="20" t="e">
        <f t="shared" si="167"/>
        <v>#N/A</v>
      </c>
      <c r="N491" s="20" t="e">
        <f t="shared" si="168"/>
        <v>#N/A</v>
      </c>
      <c r="O491" s="20">
        <f t="shared" si="169"/>
        <v>-1.7386664873203235</v>
      </c>
      <c r="P491" s="20">
        <f t="shared" si="170"/>
        <v>0.465874281184538</v>
      </c>
      <c r="Q491" s="20" t="e">
        <f t="shared" si="171"/>
        <v>#N/A</v>
      </c>
      <c r="R491" s="20" t="e">
        <f t="shared" si="172"/>
        <v>#N/A</v>
      </c>
      <c r="S491" s="20" t="e">
        <f t="shared" si="173"/>
        <v>#N/A</v>
      </c>
      <c r="T491" s="20" t="e">
        <f t="shared" si="174"/>
        <v>#N/A</v>
      </c>
    </row>
    <row r="492" spans="1:20" x14ac:dyDescent="0.25">
      <c r="A492">
        <f t="shared" si="175"/>
        <v>490</v>
      </c>
      <c r="B492">
        <f t="shared" si="156"/>
        <v>9</v>
      </c>
      <c r="C492">
        <f t="shared" si="157"/>
        <v>1.8000000000000007</v>
      </c>
      <c r="D492" s="15">
        <f t="shared" si="158"/>
        <v>2.5</v>
      </c>
      <c r="E492">
        <f t="shared" si="159"/>
        <v>1</v>
      </c>
      <c r="F492" s="3">
        <f t="shared" si="160"/>
        <v>167.5</v>
      </c>
      <c r="G492" s="3">
        <f t="shared" si="161"/>
        <v>2.9234264970905022</v>
      </c>
      <c r="H492" s="18">
        <f t="shared" si="162"/>
        <v>-1.7573328128158807</v>
      </c>
      <c r="I492" s="3">
        <f t="shared" si="163"/>
        <v>0.38959130508858508</v>
      </c>
      <c r="J492" s="19" t="str">
        <f t="shared" si="164"/>
        <v>LD</v>
      </c>
      <c r="K492" s="20" t="e">
        <f t="shared" si="165"/>
        <v>#N/A</v>
      </c>
      <c r="L492" s="20" t="e">
        <f t="shared" si="166"/>
        <v>#N/A</v>
      </c>
      <c r="M492" s="20" t="e">
        <f t="shared" si="167"/>
        <v>#N/A</v>
      </c>
      <c r="N492" s="20" t="e">
        <f t="shared" si="168"/>
        <v>#N/A</v>
      </c>
      <c r="O492" s="20">
        <f t="shared" si="169"/>
        <v>-1.7573328128158807</v>
      </c>
      <c r="P492" s="20">
        <f t="shared" si="170"/>
        <v>0.38959130508858508</v>
      </c>
      <c r="Q492" s="20" t="e">
        <f t="shared" si="171"/>
        <v>#N/A</v>
      </c>
      <c r="R492" s="20" t="e">
        <f t="shared" si="172"/>
        <v>#N/A</v>
      </c>
      <c r="S492" s="20" t="e">
        <f t="shared" si="173"/>
        <v>#N/A</v>
      </c>
      <c r="T492" s="20" t="e">
        <f t="shared" si="174"/>
        <v>#N/A</v>
      </c>
    </row>
    <row r="493" spans="1:20" x14ac:dyDescent="0.25">
      <c r="A493">
        <f t="shared" si="175"/>
        <v>491</v>
      </c>
      <c r="B493">
        <f t="shared" si="156"/>
        <v>9</v>
      </c>
      <c r="C493">
        <f t="shared" si="157"/>
        <v>1.8000000000000007</v>
      </c>
      <c r="D493" s="15">
        <f t="shared" si="158"/>
        <v>2.5</v>
      </c>
      <c r="E493">
        <f t="shared" si="159"/>
        <v>1</v>
      </c>
      <c r="F493" s="3">
        <f t="shared" si="160"/>
        <v>170</v>
      </c>
      <c r="G493" s="3">
        <f t="shared" si="161"/>
        <v>2.9670597283903599</v>
      </c>
      <c r="H493" s="18">
        <f t="shared" si="162"/>
        <v>-1.7726539554219751</v>
      </c>
      <c r="I493" s="3">
        <f t="shared" si="163"/>
        <v>0.31256671980047535</v>
      </c>
      <c r="J493" s="19" t="str">
        <f t="shared" si="164"/>
        <v>LD</v>
      </c>
      <c r="K493" s="20" t="e">
        <f t="shared" si="165"/>
        <v>#N/A</v>
      </c>
      <c r="L493" s="20" t="e">
        <f t="shared" si="166"/>
        <v>#N/A</v>
      </c>
      <c r="M493" s="20" t="e">
        <f t="shared" si="167"/>
        <v>#N/A</v>
      </c>
      <c r="N493" s="20" t="e">
        <f t="shared" si="168"/>
        <v>#N/A</v>
      </c>
      <c r="O493" s="20">
        <f t="shared" si="169"/>
        <v>-1.7726539554219751</v>
      </c>
      <c r="P493" s="20">
        <f t="shared" si="170"/>
        <v>0.31256671980047535</v>
      </c>
      <c r="Q493" s="20" t="e">
        <f t="shared" si="171"/>
        <v>#N/A</v>
      </c>
      <c r="R493" s="20" t="e">
        <f t="shared" si="172"/>
        <v>#N/A</v>
      </c>
      <c r="S493" s="20" t="e">
        <f t="shared" si="173"/>
        <v>#N/A</v>
      </c>
      <c r="T493" s="20" t="e">
        <f t="shared" si="174"/>
        <v>#N/A</v>
      </c>
    </row>
    <row r="494" spans="1:20" x14ac:dyDescent="0.25">
      <c r="A494">
        <f t="shared" si="175"/>
        <v>492</v>
      </c>
      <c r="B494">
        <f t="shared" si="156"/>
        <v>9</v>
      </c>
      <c r="C494">
        <f t="shared" si="157"/>
        <v>1.8000000000000007</v>
      </c>
      <c r="D494" s="15">
        <f t="shared" si="158"/>
        <v>2.5</v>
      </c>
      <c r="E494">
        <f t="shared" si="159"/>
        <v>1</v>
      </c>
      <c r="F494" s="3">
        <f t="shared" si="160"/>
        <v>172.5</v>
      </c>
      <c r="G494" s="3">
        <f t="shared" si="161"/>
        <v>3.0106929596902186</v>
      </c>
      <c r="H494" s="18">
        <f t="shared" si="162"/>
        <v>-1.7846007504728594</v>
      </c>
      <c r="I494" s="3">
        <f t="shared" si="163"/>
        <v>0.23494714599609293</v>
      </c>
      <c r="J494" s="19" t="str">
        <f t="shared" si="164"/>
        <v>Oth</v>
      </c>
      <c r="K494" s="20" t="e">
        <f t="shared" si="165"/>
        <v>#N/A</v>
      </c>
      <c r="L494" s="20" t="e">
        <f t="shared" si="166"/>
        <v>#N/A</v>
      </c>
      <c r="M494" s="20" t="e">
        <f t="shared" si="167"/>
        <v>#N/A</v>
      </c>
      <c r="N494" s="20" t="e">
        <f t="shared" si="168"/>
        <v>#N/A</v>
      </c>
      <c r="O494" s="20" t="e">
        <f t="shared" si="169"/>
        <v>#N/A</v>
      </c>
      <c r="P494" s="20" t="e">
        <f t="shared" si="170"/>
        <v>#N/A</v>
      </c>
      <c r="Q494" s="20" t="e">
        <f t="shared" si="171"/>
        <v>#N/A</v>
      </c>
      <c r="R494" s="20" t="e">
        <f t="shared" si="172"/>
        <v>#N/A</v>
      </c>
      <c r="S494" s="20">
        <f t="shared" si="173"/>
        <v>-1.7846007504728594</v>
      </c>
      <c r="T494" s="20">
        <f t="shared" si="174"/>
        <v>0.23494714599609293</v>
      </c>
    </row>
    <row r="495" spans="1:20" x14ac:dyDescent="0.25">
      <c r="A495">
        <f t="shared" si="175"/>
        <v>493</v>
      </c>
      <c r="B495">
        <f t="shared" si="156"/>
        <v>9</v>
      </c>
      <c r="C495">
        <f t="shared" si="157"/>
        <v>1.8000000000000007</v>
      </c>
      <c r="D495" s="15">
        <f t="shared" si="158"/>
        <v>2.5</v>
      </c>
      <c r="E495">
        <f t="shared" si="159"/>
        <v>1</v>
      </c>
      <c r="F495" s="3">
        <f t="shared" si="160"/>
        <v>175</v>
      </c>
      <c r="G495" s="3">
        <f t="shared" si="161"/>
        <v>3.0543261909900767</v>
      </c>
      <c r="H495" s="18">
        <f t="shared" si="162"/>
        <v>-1.7931504565651426</v>
      </c>
      <c r="I495" s="3">
        <f t="shared" si="163"/>
        <v>0.15688033694578482</v>
      </c>
      <c r="J495" s="19" t="str">
        <f t="shared" si="164"/>
        <v>Oth</v>
      </c>
      <c r="K495" s="20" t="e">
        <f t="shared" si="165"/>
        <v>#N/A</v>
      </c>
      <c r="L495" s="20" t="e">
        <f t="shared" si="166"/>
        <v>#N/A</v>
      </c>
      <c r="M495" s="20" t="e">
        <f t="shared" si="167"/>
        <v>#N/A</v>
      </c>
      <c r="N495" s="20" t="e">
        <f t="shared" si="168"/>
        <v>#N/A</v>
      </c>
      <c r="O495" s="20" t="e">
        <f t="shared" si="169"/>
        <v>#N/A</v>
      </c>
      <c r="P495" s="20" t="e">
        <f t="shared" si="170"/>
        <v>#N/A</v>
      </c>
      <c r="Q495" s="20" t="e">
        <f t="shared" si="171"/>
        <v>#N/A</v>
      </c>
      <c r="R495" s="20" t="e">
        <f t="shared" si="172"/>
        <v>#N/A</v>
      </c>
      <c r="S495" s="20">
        <f t="shared" si="173"/>
        <v>-1.7931504565651426</v>
      </c>
      <c r="T495" s="20">
        <f t="shared" si="174"/>
        <v>0.15688033694578482</v>
      </c>
    </row>
    <row r="496" spans="1:20" x14ac:dyDescent="0.25">
      <c r="A496">
        <f t="shared" si="175"/>
        <v>494</v>
      </c>
      <c r="B496">
        <f t="shared" si="156"/>
        <v>9</v>
      </c>
      <c r="C496">
        <f t="shared" si="157"/>
        <v>1.8000000000000007</v>
      </c>
      <c r="D496" s="15">
        <f t="shared" si="158"/>
        <v>2.5</v>
      </c>
      <c r="E496">
        <f t="shared" si="159"/>
        <v>1</v>
      </c>
      <c r="F496" s="3">
        <f t="shared" si="160"/>
        <v>177.5</v>
      </c>
      <c r="G496" s="3">
        <f t="shared" si="161"/>
        <v>3.0979594222899349</v>
      </c>
      <c r="H496" s="18">
        <f t="shared" si="162"/>
        <v>-1.7982867988473448</v>
      </c>
      <c r="I496" s="3">
        <f t="shared" si="163"/>
        <v>7.8514897257604951E-2</v>
      </c>
      <c r="J496" s="19" t="str">
        <f t="shared" si="164"/>
        <v>Oth</v>
      </c>
      <c r="K496" s="20" t="e">
        <f t="shared" si="165"/>
        <v>#N/A</v>
      </c>
      <c r="L496" s="20" t="e">
        <f t="shared" si="166"/>
        <v>#N/A</v>
      </c>
      <c r="M496" s="20" t="e">
        <f t="shared" si="167"/>
        <v>#N/A</v>
      </c>
      <c r="N496" s="20" t="e">
        <f t="shared" si="168"/>
        <v>#N/A</v>
      </c>
      <c r="O496" s="20" t="e">
        <f t="shared" si="169"/>
        <v>#N/A</v>
      </c>
      <c r="P496" s="20" t="e">
        <f t="shared" si="170"/>
        <v>#N/A</v>
      </c>
      <c r="Q496" s="20" t="e">
        <f t="shared" si="171"/>
        <v>#N/A</v>
      </c>
      <c r="R496" s="20" t="e">
        <f t="shared" si="172"/>
        <v>#N/A</v>
      </c>
      <c r="S496" s="20">
        <f t="shared" si="173"/>
        <v>-1.7982867988473448</v>
      </c>
      <c r="T496" s="20">
        <f t="shared" si="174"/>
        <v>7.8514897257604951E-2</v>
      </c>
    </row>
    <row r="497" spans="1:20" x14ac:dyDescent="0.25">
      <c r="A497">
        <f t="shared" si="175"/>
        <v>495</v>
      </c>
      <c r="B497">
        <f t="shared" si="156"/>
        <v>9</v>
      </c>
      <c r="C497">
        <f t="shared" si="157"/>
        <v>1.8000000000000007</v>
      </c>
      <c r="D497" s="15">
        <f t="shared" si="158"/>
        <v>2.5</v>
      </c>
      <c r="E497">
        <f t="shared" si="159"/>
        <v>1</v>
      </c>
      <c r="F497" s="3">
        <f t="shared" si="160"/>
        <v>180</v>
      </c>
      <c r="G497" s="3">
        <f t="shared" si="161"/>
        <v>3.1415926535897931</v>
      </c>
      <c r="H497" s="18">
        <f t="shared" si="162"/>
        <v>-1.8000000000000007</v>
      </c>
      <c r="I497" s="3">
        <f t="shared" si="163"/>
        <v>2.205267218835517E-16</v>
      </c>
      <c r="J497" s="19" t="str">
        <f t="shared" si="164"/>
        <v>Oth</v>
      </c>
      <c r="K497" s="20" t="e">
        <f t="shared" si="165"/>
        <v>#N/A</v>
      </c>
      <c r="L497" s="20" t="e">
        <f t="shared" si="166"/>
        <v>#N/A</v>
      </c>
      <c r="M497" s="20" t="e">
        <f t="shared" si="167"/>
        <v>#N/A</v>
      </c>
      <c r="N497" s="20" t="e">
        <f t="shared" si="168"/>
        <v>#N/A</v>
      </c>
      <c r="O497" s="20" t="e">
        <f t="shared" si="169"/>
        <v>#N/A</v>
      </c>
      <c r="P497" s="20" t="e">
        <f t="shared" si="170"/>
        <v>#N/A</v>
      </c>
      <c r="Q497" s="20" t="e">
        <f t="shared" si="171"/>
        <v>#N/A</v>
      </c>
      <c r="R497" s="20" t="e">
        <f t="shared" si="172"/>
        <v>#N/A</v>
      </c>
      <c r="S497" s="20">
        <f t="shared" si="173"/>
        <v>-1.8000000000000007</v>
      </c>
      <c r="T497" s="20">
        <f t="shared" si="174"/>
        <v>2.205267218835517E-16</v>
      </c>
    </row>
    <row r="498" spans="1:20" x14ac:dyDescent="0.25">
      <c r="A498">
        <f t="shared" si="175"/>
        <v>496</v>
      </c>
      <c r="B498">
        <f t="shared" si="156"/>
        <v>10</v>
      </c>
      <c r="C498">
        <f t="shared" si="157"/>
        <v>1.9000000000000008</v>
      </c>
      <c r="D498" s="15">
        <f t="shared" si="158"/>
        <v>2.4324324324324325</v>
      </c>
      <c r="E498">
        <f t="shared" si="159"/>
        <v>0</v>
      </c>
      <c r="F498" s="3">
        <f t="shared" si="160"/>
        <v>0</v>
      </c>
      <c r="G498" s="3">
        <f t="shared" si="161"/>
        <v>0</v>
      </c>
      <c r="H498" s="18">
        <f t="shared" si="162"/>
        <v>1.9000000000000008</v>
      </c>
      <c r="I498" s="3">
        <f t="shared" si="163"/>
        <v>0</v>
      </c>
      <c r="J498" s="19" t="str">
        <f t="shared" si="164"/>
        <v>L</v>
      </c>
      <c r="K498" s="20">
        <f t="shared" si="165"/>
        <v>1.9000000000000008</v>
      </c>
      <c r="L498" s="20">
        <f t="shared" si="166"/>
        <v>0</v>
      </c>
      <c r="M498" s="20" t="e">
        <f t="shared" si="167"/>
        <v>#N/A</v>
      </c>
      <c r="N498" s="20" t="e">
        <f t="shared" si="168"/>
        <v>#N/A</v>
      </c>
      <c r="O498" s="20" t="e">
        <f t="shared" si="169"/>
        <v>#N/A</v>
      </c>
      <c r="P498" s="20" t="e">
        <f t="shared" si="170"/>
        <v>#N/A</v>
      </c>
      <c r="Q498" s="20" t="e">
        <f t="shared" si="171"/>
        <v>#N/A</v>
      </c>
      <c r="R498" s="20" t="e">
        <f t="shared" si="172"/>
        <v>#N/A</v>
      </c>
      <c r="S498" s="20" t="e">
        <f t="shared" si="173"/>
        <v>#N/A</v>
      </c>
      <c r="T498" s="20" t="e">
        <f t="shared" si="174"/>
        <v>#N/A</v>
      </c>
    </row>
    <row r="499" spans="1:20" x14ac:dyDescent="0.25">
      <c r="A499">
        <f t="shared" si="175"/>
        <v>497</v>
      </c>
      <c r="B499">
        <f t="shared" si="156"/>
        <v>10</v>
      </c>
      <c r="C499">
        <f t="shared" si="157"/>
        <v>1.9000000000000008</v>
      </c>
      <c r="D499" s="15">
        <f t="shared" si="158"/>
        <v>2.4324324324324325</v>
      </c>
      <c r="E499">
        <f t="shared" si="159"/>
        <v>1</v>
      </c>
      <c r="F499" s="3">
        <f t="shared" si="160"/>
        <v>2.4324324324324325</v>
      </c>
      <c r="G499" s="3">
        <f t="shared" si="161"/>
        <v>4.2453954778240453E-2</v>
      </c>
      <c r="H499" s="18">
        <f t="shared" si="162"/>
        <v>1.8982880357888956</v>
      </c>
      <c r="I499" s="3">
        <f t="shared" si="163"/>
        <v>8.0638286072681822E-2</v>
      </c>
      <c r="J499" s="19" t="str">
        <f t="shared" si="164"/>
        <v>L</v>
      </c>
      <c r="K499" s="20">
        <f t="shared" si="165"/>
        <v>1.8982880357888956</v>
      </c>
      <c r="L499" s="20">
        <f t="shared" si="166"/>
        <v>8.0638286072681822E-2</v>
      </c>
      <c r="M499" s="20" t="e">
        <f t="shared" si="167"/>
        <v>#N/A</v>
      </c>
      <c r="N499" s="20" t="e">
        <f t="shared" si="168"/>
        <v>#N/A</v>
      </c>
      <c r="O499" s="20" t="e">
        <f t="shared" si="169"/>
        <v>#N/A</v>
      </c>
      <c r="P499" s="20" t="e">
        <f t="shared" si="170"/>
        <v>#N/A</v>
      </c>
      <c r="Q499" s="20" t="e">
        <f t="shared" si="171"/>
        <v>#N/A</v>
      </c>
      <c r="R499" s="20" t="e">
        <f t="shared" si="172"/>
        <v>#N/A</v>
      </c>
      <c r="S499" s="20" t="e">
        <f t="shared" si="173"/>
        <v>#N/A</v>
      </c>
      <c r="T499" s="20" t="e">
        <f t="shared" si="174"/>
        <v>#N/A</v>
      </c>
    </row>
    <row r="500" spans="1:20" x14ac:dyDescent="0.25">
      <c r="A500">
        <f t="shared" si="175"/>
        <v>498</v>
      </c>
      <c r="B500">
        <f t="shared" si="156"/>
        <v>10</v>
      </c>
      <c r="C500">
        <f t="shared" si="157"/>
        <v>1.9000000000000008</v>
      </c>
      <c r="D500" s="15">
        <f t="shared" si="158"/>
        <v>2.4324324324324325</v>
      </c>
      <c r="E500">
        <f t="shared" si="159"/>
        <v>1</v>
      </c>
      <c r="F500" s="3">
        <f t="shared" si="160"/>
        <v>4.8648648648648649</v>
      </c>
      <c r="G500" s="3">
        <f t="shared" si="161"/>
        <v>8.4907909556480907E-2</v>
      </c>
      <c r="H500" s="18">
        <f t="shared" si="162"/>
        <v>1.8931552282308013</v>
      </c>
      <c r="I500" s="3">
        <f t="shared" si="163"/>
        <v>0.16113125650346755</v>
      </c>
      <c r="J500" s="19" t="str">
        <f t="shared" si="164"/>
        <v>L</v>
      </c>
      <c r="K500" s="20">
        <f t="shared" si="165"/>
        <v>1.8931552282308013</v>
      </c>
      <c r="L500" s="20">
        <f t="shared" si="166"/>
        <v>0.16113125650346755</v>
      </c>
      <c r="M500" s="20" t="e">
        <f t="shared" si="167"/>
        <v>#N/A</v>
      </c>
      <c r="N500" s="20" t="e">
        <f t="shared" si="168"/>
        <v>#N/A</v>
      </c>
      <c r="O500" s="20" t="e">
        <f t="shared" si="169"/>
        <v>#N/A</v>
      </c>
      <c r="P500" s="20" t="e">
        <f t="shared" si="170"/>
        <v>#N/A</v>
      </c>
      <c r="Q500" s="20" t="e">
        <f t="shared" si="171"/>
        <v>#N/A</v>
      </c>
      <c r="R500" s="20" t="e">
        <f t="shared" si="172"/>
        <v>#N/A</v>
      </c>
      <c r="S500" s="20" t="e">
        <f t="shared" si="173"/>
        <v>#N/A</v>
      </c>
      <c r="T500" s="20" t="e">
        <f t="shared" si="174"/>
        <v>#N/A</v>
      </c>
    </row>
    <row r="501" spans="1:20" x14ac:dyDescent="0.25">
      <c r="A501">
        <f t="shared" si="175"/>
        <v>499</v>
      </c>
      <c r="B501">
        <f t="shared" si="156"/>
        <v>10</v>
      </c>
      <c r="C501">
        <f t="shared" si="157"/>
        <v>1.9000000000000008</v>
      </c>
      <c r="D501" s="15">
        <f t="shared" si="158"/>
        <v>2.4324324324324325</v>
      </c>
      <c r="E501">
        <f t="shared" si="159"/>
        <v>1</v>
      </c>
      <c r="F501" s="3">
        <f t="shared" si="160"/>
        <v>7.2972972972972974</v>
      </c>
      <c r="G501" s="3">
        <f t="shared" si="161"/>
        <v>0.12736186433472135</v>
      </c>
      <c r="H501" s="18">
        <f t="shared" si="162"/>
        <v>1.8846108269918669</v>
      </c>
      <c r="I501" s="3">
        <f t="shared" si="163"/>
        <v>0.24133385751906974</v>
      </c>
      <c r="J501" s="19" t="str">
        <f t="shared" si="164"/>
        <v>L</v>
      </c>
      <c r="K501" s="20">
        <f t="shared" si="165"/>
        <v>1.8846108269918669</v>
      </c>
      <c r="L501" s="20">
        <f t="shared" si="166"/>
        <v>0.24133385751906974</v>
      </c>
      <c r="M501" s="20" t="e">
        <f t="shared" si="167"/>
        <v>#N/A</v>
      </c>
      <c r="N501" s="20" t="e">
        <f t="shared" si="168"/>
        <v>#N/A</v>
      </c>
      <c r="O501" s="20" t="e">
        <f t="shared" si="169"/>
        <v>#N/A</v>
      </c>
      <c r="P501" s="20" t="e">
        <f t="shared" si="170"/>
        <v>#N/A</v>
      </c>
      <c r="Q501" s="20" t="e">
        <f t="shared" si="171"/>
        <v>#N/A</v>
      </c>
      <c r="R501" s="20" t="e">
        <f t="shared" si="172"/>
        <v>#N/A</v>
      </c>
      <c r="S501" s="20" t="e">
        <f t="shared" si="173"/>
        <v>#N/A</v>
      </c>
      <c r="T501" s="20" t="e">
        <f t="shared" si="174"/>
        <v>#N/A</v>
      </c>
    </row>
    <row r="502" spans="1:20" x14ac:dyDescent="0.25">
      <c r="A502">
        <f t="shared" si="175"/>
        <v>500</v>
      </c>
      <c r="B502">
        <f t="shared" ref="B502:B565" si="176">VLOOKUP(A502,$Y$2:$Z$13,2,1)</f>
        <v>10</v>
      </c>
      <c r="C502">
        <f t="shared" ref="C502:C565" si="177">VLOOKUP(B502,$V$2:$AB$14,7,0)</f>
        <v>1.9000000000000008</v>
      </c>
      <c r="D502" s="15">
        <f t="shared" ref="D502:D565" si="178">VLOOKUP(B502,$V$2:$AC$13,8,0)</f>
        <v>2.4324324324324325</v>
      </c>
      <c r="E502">
        <f t="shared" ref="E502:E565" si="179">IF(OR(A502=$Y$3,A502=$Y$4,A502=$Y$5,A502=$Y$6,A502=$Y$7,A502=$Y$8,A502=$Y$9,A502=$Y$10,A502=$Y$11,A502=$Y$12,A502=$Y$12),0,1)</f>
        <v>1</v>
      </c>
      <c r="F502" s="3">
        <f t="shared" ref="F502:F565" si="180">IF(E502=0,0,D502+F501)</f>
        <v>9.7297297297297298</v>
      </c>
      <c r="G502" s="3">
        <f t="shared" ref="G502:G565" si="181">(F502/180)*PI()</f>
        <v>0.16981581911296181</v>
      </c>
      <c r="H502" s="18">
        <f t="shared" ref="H502:H565" si="182">C502*COS(G502)</f>
        <v>1.8726702296606468</v>
      </c>
      <c r="I502" s="3">
        <f t="shared" ref="I502:I565" si="183">C502*SIN(G502)</f>
        <v>0.3211015586115134</v>
      </c>
      <c r="J502" s="19" t="str">
        <f t="shared" si="164"/>
        <v>L</v>
      </c>
      <c r="K502" s="20">
        <f t="shared" si="165"/>
        <v>1.8726702296606468</v>
      </c>
      <c r="L502" s="20">
        <f t="shared" si="166"/>
        <v>0.3211015586115134</v>
      </c>
      <c r="M502" s="20" t="e">
        <f t="shared" si="167"/>
        <v>#N/A</v>
      </c>
      <c r="N502" s="20" t="e">
        <f t="shared" si="168"/>
        <v>#N/A</v>
      </c>
      <c r="O502" s="20" t="e">
        <f t="shared" si="169"/>
        <v>#N/A</v>
      </c>
      <c r="P502" s="20" t="e">
        <f t="shared" si="170"/>
        <v>#N/A</v>
      </c>
      <c r="Q502" s="20" t="e">
        <f t="shared" si="171"/>
        <v>#N/A</v>
      </c>
      <c r="R502" s="20" t="e">
        <f t="shared" si="172"/>
        <v>#N/A</v>
      </c>
      <c r="S502" s="20" t="e">
        <f t="shared" si="173"/>
        <v>#N/A</v>
      </c>
      <c r="T502" s="20" t="e">
        <f t="shared" si="174"/>
        <v>#N/A</v>
      </c>
    </row>
    <row r="503" spans="1:20" x14ac:dyDescent="0.25">
      <c r="A503">
        <f t="shared" si="175"/>
        <v>501</v>
      </c>
      <c r="B503">
        <f t="shared" si="176"/>
        <v>10</v>
      </c>
      <c r="C503">
        <f t="shared" si="177"/>
        <v>1.9000000000000008</v>
      </c>
      <c r="D503" s="15">
        <f t="shared" si="178"/>
        <v>2.4324324324324325</v>
      </c>
      <c r="E503">
        <f t="shared" si="179"/>
        <v>1</v>
      </c>
      <c r="F503" s="3">
        <f t="shared" si="180"/>
        <v>12.162162162162161</v>
      </c>
      <c r="G503" s="3">
        <f t="shared" si="181"/>
        <v>0.21226977389120222</v>
      </c>
      <c r="H503" s="18">
        <f t="shared" si="182"/>
        <v>1.8573549540006045</v>
      </c>
      <c r="I503" s="3">
        <f t="shared" si="183"/>
        <v>0.40029061299188012</v>
      </c>
      <c r="J503" s="19" t="str">
        <f t="shared" si="164"/>
        <v>L</v>
      </c>
      <c r="K503" s="20">
        <f t="shared" si="165"/>
        <v>1.8573549540006045</v>
      </c>
      <c r="L503" s="20">
        <f t="shared" si="166"/>
        <v>0.40029061299188012</v>
      </c>
      <c r="M503" s="20" t="e">
        <f t="shared" si="167"/>
        <v>#N/A</v>
      </c>
      <c r="N503" s="20" t="e">
        <f t="shared" si="168"/>
        <v>#N/A</v>
      </c>
      <c r="O503" s="20" t="e">
        <f t="shared" si="169"/>
        <v>#N/A</v>
      </c>
      <c r="P503" s="20" t="e">
        <f t="shared" si="170"/>
        <v>#N/A</v>
      </c>
      <c r="Q503" s="20" t="e">
        <f t="shared" si="171"/>
        <v>#N/A</v>
      </c>
      <c r="R503" s="20" t="e">
        <f t="shared" si="172"/>
        <v>#N/A</v>
      </c>
      <c r="S503" s="20" t="e">
        <f t="shared" si="173"/>
        <v>#N/A</v>
      </c>
      <c r="T503" s="20" t="e">
        <f t="shared" si="174"/>
        <v>#N/A</v>
      </c>
    </row>
    <row r="504" spans="1:20" x14ac:dyDescent="0.25">
      <c r="A504">
        <f t="shared" si="175"/>
        <v>502</v>
      </c>
      <c r="B504">
        <f t="shared" si="176"/>
        <v>10</v>
      </c>
      <c r="C504">
        <f t="shared" si="177"/>
        <v>1.9000000000000008</v>
      </c>
      <c r="D504" s="15">
        <f t="shared" si="178"/>
        <v>2.4324324324324325</v>
      </c>
      <c r="E504">
        <f t="shared" si="179"/>
        <v>1</v>
      </c>
      <c r="F504" s="3">
        <f t="shared" si="180"/>
        <v>14.594594594594593</v>
      </c>
      <c r="G504" s="3">
        <f t="shared" si="181"/>
        <v>0.25472372866944265</v>
      </c>
      <c r="H504" s="18">
        <f t="shared" si="182"/>
        <v>1.8386925991736487</v>
      </c>
      <c r="I504" s="3">
        <f t="shared" si="183"/>
        <v>0.47875831663173796</v>
      </c>
      <c r="J504" s="19" t="str">
        <f t="shared" si="164"/>
        <v>L</v>
      </c>
      <c r="K504" s="20">
        <f t="shared" si="165"/>
        <v>1.8386925991736487</v>
      </c>
      <c r="L504" s="20">
        <f t="shared" si="166"/>
        <v>0.47875831663173796</v>
      </c>
      <c r="M504" s="20" t="e">
        <f t="shared" si="167"/>
        <v>#N/A</v>
      </c>
      <c r="N504" s="20" t="e">
        <f t="shared" si="168"/>
        <v>#N/A</v>
      </c>
      <c r="O504" s="20" t="e">
        <f t="shared" si="169"/>
        <v>#N/A</v>
      </c>
      <c r="P504" s="20" t="e">
        <f t="shared" si="170"/>
        <v>#N/A</v>
      </c>
      <c r="Q504" s="20" t="e">
        <f t="shared" si="171"/>
        <v>#N/A</v>
      </c>
      <c r="R504" s="20" t="e">
        <f t="shared" si="172"/>
        <v>#N/A</v>
      </c>
      <c r="S504" s="20" t="e">
        <f t="shared" si="173"/>
        <v>#N/A</v>
      </c>
      <c r="T504" s="20" t="e">
        <f t="shared" si="174"/>
        <v>#N/A</v>
      </c>
    </row>
    <row r="505" spans="1:20" x14ac:dyDescent="0.25">
      <c r="A505">
        <f t="shared" si="175"/>
        <v>503</v>
      </c>
      <c r="B505">
        <f t="shared" si="176"/>
        <v>10</v>
      </c>
      <c r="C505">
        <f t="shared" si="177"/>
        <v>1.9000000000000008</v>
      </c>
      <c r="D505" s="15">
        <f t="shared" si="178"/>
        <v>2.4324324324324325</v>
      </c>
      <c r="E505">
        <f t="shared" si="179"/>
        <v>1</v>
      </c>
      <c r="F505" s="3">
        <f t="shared" si="180"/>
        <v>17.027027027027025</v>
      </c>
      <c r="G505" s="3">
        <f t="shared" si="181"/>
        <v>0.29717768344768308</v>
      </c>
      <c r="H505" s="18">
        <f t="shared" si="182"/>
        <v>1.8167167960045776</v>
      </c>
      <c r="I505" s="3">
        <f t="shared" si="183"/>
        <v>0.5563632654254459</v>
      </c>
      <c r="J505" s="19" t="str">
        <f t="shared" si="164"/>
        <v>L</v>
      </c>
      <c r="K505" s="20">
        <f t="shared" si="165"/>
        <v>1.8167167960045776</v>
      </c>
      <c r="L505" s="20">
        <f t="shared" si="166"/>
        <v>0.5563632654254459</v>
      </c>
      <c r="M505" s="20" t="e">
        <f t="shared" si="167"/>
        <v>#N/A</v>
      </c>
      <c r="N505" s="20" t="e">
        <f t="shared" si="168"/>
        <v>#N/A</v>
      </c>
      <c r="O505" s="20" t="e">
        <f t="shared" si="169"/>
        <v>#N/A</v>
      </c>
      <c r="P505" s="20" t="e">
        <f t="shared" si="170"/>
        <v>#N/A</v>
      </c>
      <c r="Q505" s="20" t="e">
        <f t="shared" si="171"/>
        <v>#N/A</v>
      </c>
      <c r="R505" s="20" t="e">
        <f t="shared" si="172"/>
        <v>#N/A</v>
      </c>
      <c r="S505" s="20" t="e">
        <f t="shared" si="173"/>
        <v>#N/A</v>
      </c>
      <c r="T505" s="20" t="e">
        <f t="shared" si="174"/>
        <v>#N/A</v>
      </c>
    </row>
    <row r="506" spans="1:20" x14ac:dyDescent="0.25">
      <c r="A506">
        <f t="shared" si="175"/>
        <v>504</v>
      </c>
      <c r="B506">
        <f t="shared" si="176"/>
        <v>10</v>
      </c>
      <c r="C506">
        <f t="shared" si="177"/>
        <v>1.9000000000000008</v>
      </c>
      <c r="D506" s="15">
        <f t="shared" si="178"/>
        <v>2.4324324324324325</v>
      </c>
      <c r="E506">
        <f t="shared" si="179"/>
        <v>1</v>
      </c>
      <c r="F506" s="3">
        <f t="shared" si="180"/>
        <v>19.459459459459456</v>
      </c>
      <c r="G506" s="3">
        <f t="shared" si="181"/>
        <v>0.33963163822592352</v>
      </c>
      <c r="H506" s="18">
        <f t="shared" si="182"/>
        <v>1.7914671463760607</v>
      </c>
      <c r="I506" s="3">
        <f t="shared" si="183"/>
        <v>0.63296561000990959</v>
      </c>
      <c r="J506" s="19" t="str">
        <f t="shared" si="164"/>
        <v>L</v>
      </c>
      <c r="K506" s="20">
        <f t="shared" si="165"/>
        <v>1.7914671463760607</v>
      </c>
      <c r="L506" s="20">
        <f t="shared" si="166"/>
        <v>0.63296561000990959</v>
      </c>
      <c r="M506" s="20" t="e">
        <f t="shared" si="167"/>
        <v>#N/A</v>
      </c>
      <c r="N506" s="20" t="e">
        <f t="shared" si="168"/>
        <v>#N/A</v>
      </c>
      <c r="O506" s="20" t="e">
        <f t="shared" si="169"/>
        <v>#N/A</v>
      </c>
      <c r="P506" s="20" t="e">
        <f t="shared" si="170"/>
        <v>#N/A</v>
      </c>
      <c r="Q506" s="20" t="e">
        <f t="shared" si="171"/>
        <v>#N/A</v>
      </c>
      <c r="R506" s="20" t="e">
        <f t="shared" si="172"/>
        <v>#N/A</v>
      </c>
      <c r="S506" s="20" t="e">
        <f t="shared" si="173"/>
        <v>#N/A</v>
      </c>
      <c r="T506" s="20" t="e">
        <f t="shared" si="174"/>
        <v>#N/A</v>
      </c>
    </row>
    <row r="507" spans="1:20" x14ac:dyDescent="0.25">
      <c r="A507">
        <f t="shared" si="175"/>
        <v>505</v>
      </c>
      <c r="B507">
        <f t="shared" si="176"/>
        <v>10</v>
      </c>
      <c r="C507">
        <f t="shared" si="177"/>
        <v>1.9000000000000008</v>
      </c>
      <c r="D507" s="15">
        <f t="shared" si="178"/>
        <v>2.4324324324324325</v>
      </c>
      <c r="E507">
        <f t="shared" si="179"/>
        <v>1</v>
      </c>
      <c r="F507" s="3">
        <f t="shared" si="180"/>
        <v>21.891891891891888</v>
      </c>
      <c r="G507" s="3">
        <f t="shared" si="181"/>
        <v>0.38208559300416395</v>
      </c>
      <c r="H507" s="18">
        <f t="shared" si="182"/>
        <v>1.7629891518633685</v>
      </c>
      <c r="I507" s="3">
        <f t="shared" si="183"/>
        <v>0.70842730778258645</v>
      </c>
      <c r="J507" s="19" t="str">
        <f t="shared" si="164"/>
        <v>L</v>
      </c>
      <c r="K507" s="20">
        <f t="shared" si="165"/>
        <v>1.7629891518633685</v>
      </c>
      <c r="L507" s="20">
        <f t="shared" si="166"/>
        <v>0.70842730778258645</v>
      </c>
      <c r="M507" s="20" t="e">
        <f t="shared" si="167"/>
        <v>#N/A</v>
      </c>
      <c r="N507" s="20" t="e">
        <f t="shared" si="168"/>
        <v>#N/A</v>
      </c>
      <c r="O507" s="20" t="e">
        <f t="shared" si="169"/>
        <v>#N/A</v>
      </c>
      <c r="P507" s="20" t="e">
        <f t="shared" si="170"/>
        <v>#N/A</v>
      </c>
      <c r="Q507" s="20" t="e">
        <f t="shared" si="171"/>
        <v>#N/A</v>
      </c>
      <c r="R507" s="20" t="e">
        <f t="shared" si="172"/>
        <v>#N/A</v>
      </c>
      <c r="S507" s="20" t="e">
        <f t="shared" si="173"/>
        <v>#N/A</v>
      </c>
      <c r="T507" s="20" t="e">
        <f t="shared" si="174"/>
        <v>#N/A</v>
      </c>
    </row>
    <row r="508" spans="1:20" x14ac:dyDescent="0.25">
      <c r="A508">
        <f t="shared" si="175"/>
        <v>506</v>
      </c>
      <c r="B508">
        <f t="shared" si="176"/>
        <v>10</v>
      </c>
      <c r="C508">
        <f t="shared" si="177"/>
        <v>1.9000000000000008</v>
      </c>
      <c r="D508" s="15">
        <f t="shared" si="178"/>
        <v>2.4324324324324325</v>
      </c>
      <c r="E508">
        <f t="shared" si="179"/>
        <v>1</v>
      </c>
      <c r="F508" s="3">
        <f t="shared" si="180"/>
        <v>24.324324324324319</v>
      </c>
      <c r="G508" s="3">
        <f t="shared" si="181"/>
        <v>0.42453954778240444</v>
      </c>
      <c r="H508" s="18">
        <f t="shared" si="182"/>
        <v>1.7313341317374586</v>
      </c>
      <c r="I508" s="3">
        <f t="shared" si="183"/>
        <v>0.78261237166358633</v>
      </c>
      <c r="J508" s="19" t="str">
        <f t="shared" si="164"/>
        <v>L</v>
      </c>
      <c r="K508" s="20">
        <f t="shared" si="165"/>
        <v>1.7313341317374586</v>
      </c>
      <c r="L508" s="20">
        <f t="shared" si="166"/>
        <v>0.78261237166358633</v>
      </c>
      <c r="M508" s="20" t="e">
        <f t="shared" si="167"/>
        <v>#N/A</v>
      </c>
      <c r="N508" s="20" t="e">
        <f t="shared" si="168"/>
        <v>#N/A</v>
      </c>
      <c r="O508" s="20" t="e">
        <f t="shared" si="169"/>
        <v>#N/A</v>
      </c>
      <c r="P508" s="20" t="e">
        <f t="shared" si="170"/>
        <v>#N/A</v>
      </c>
      <c r="Q508" s="20" t="e">
        <f t="shared" si="171"/>
        <v>#N/A</v>
      </c>
      <c r="R508" s="20" t="e">
        <f t="shared" si="172"/>
        <v>#N/A</v>
      </c>
      <c r="S508" s="20" t="e">
        <f t="shared" si="173"/>
        <v>#N/A</v>
      </c>
      <c r="T508" s="20" t="e">
        <f t="shared" si="174"/>
        <v>#N/A</v>
      </c>
    </row>
    <row r="509" spans="1:20" x14ac:dyDescent="0.25">
      <c r="A509">
        <f t="shared" si="175"/>
        <v>507</v>
      </c>
      <c r="B509">
        <f t="shared" si="176"/>
        <v>10</v>
      </c>
      <c r="C509">
        <f t="shared" si="177"/>
        <v>1.9000000000000008</v>
      </c>
      <c r="D509" s="15">
        <f t="shared" si="178"/>
        <v>2.4324324324324325</v>
      </c>
      <c r="E509">
        <f t="shared" si="179"/>
        <v>1</v>
      </c>
      <c r="F509" s="3">
        <f t="shared" si="180"/>
        <v>26.756756756756751</v>
      </c>
      <c r="G509" s="3">
        <f t="shared" si="181"/>
        <v>0.46699350256064487</v>
      </c>
      <c r="H509" s="18">
        <f t="shared" si="182"/>
        <v>1.6965591304841809</v>
      </c>
      <c r="I509" s="3">
        <f t="shared" si="183"/>
        <v>0.85538711515357946</v>
      </c>
      <c r="J509" s="19" t="str">
        <f t="shared" si="164"/>
        <v>L</v>
      </c>
      <c r="K509" s="20">
        <f t="shared" si="165"/>
        <v>1.6965591304841809</v>
      </c>
      <c r="L509" s="20">
        <f t="shared" si="166"/>
        <v>0.85538711515357946</v>
      </c>
      <c r="M509" s="20" t="e">
        <f t="shared" si="167"/>
        <v>#N/A</v>
      </c>
      <c r="N509" s="20" t="e">
        <f t="shared" si="168"/>
        <v>#N/A</v>
      </c>
      <c r="O509" s="20" t="e">
        <f t="shared" si="169"/>
        <v>#N/A</v>
      </c>
      <c r="P509" s="20" t="e">
        <f t="shared" si="170"/>
        <v>#N/A</v>
      </c>
      <c r="Q509" s="20" t="e">
        <f t="shared" si="171"/>
        <v>#N/A</v>
      </c>
      <c r="R509" s="20" t="e">
        <f t="shared" si="172"/>
        <v>#N/A</v>
      </c>
      <c r="S509" s="20" t="e">
        <f t="shared" si="173"/>
        <v>#N/A</v>
      </c>
      <c r="T509" s="20" t="e">
        <f t="shared" si="174"/>
        <v>#N/A</v>
      </c>
    </row>
    <row r="510" spans="1:20" x14ac:dyDescent="0.25">
      <c r="A510">
        <f t="shared" si="175"/>
        <v>508</v>
      </c>
      <c r="B510">
        <f t="shared" si="176"/>
        <v>10</v>
      </c>
      <c r="C510">
        <f t="shared" si="177"/>
        <v>1.9000000000000008</v>
      </c>
      <c r="D510" s="15">
        <f t="shared" si="178"/>
        <v>2.4324324324324325</v>
      </c>
      <c r="E510">
        <f t="shared" si="179"/>
        <v>1</v>
      </c>
      <c r="F510" s="3">
        <f t="shared" si="180"/>
        <v>29.189189189189182</v>
      </c>
      <c r="G510" s="3">
        <f t="shared" si="181"/>
        <v>0.50944745733888519</v>
      </c>
      <c r="H510" s="18">
        <f t="shared" si="182"/>
        <v>1.6587268150062584</v>
      </c>
      <c r="I510" s="3">
        <f t="shared" si="183"/>
        <v>0.92662039324590573</v>
      </c>
      <c r="J510" s="19" t="str">
        <f t="shared" si="164"/>
        <v>L</v>
      </c>
      <c r="K510" s="20">
        <f t="shared" si="165"/>
        <v>1.6587268150062584</v>
      </c>
      <c r="L510" s="20">
        <f t="shared" si="166"/>
        <v>0.92662039324590573</v>
      </c>
      <c r="M510" s="20" t="e">
        <f t="shared" si="167"/>
        <v>#N/A</v>
      </c>
      <c r="N510" s="20" t="e">
        <f t="shared" si="168"/>
        <v>#N/A</v>
      </c>
      <c r="O510" s="20" t="e">
        <f t="shared" si="169"/>
        <v>#N/A</v>
      </c>
      <c r="P510" s="20" t="e">
        <f t="shared" si="170"/>
        <v>#N/A</v>
      </c>
      <c r="Q510" s="20" t="e">
        <f t="shared" si="171"/>
        <v>#N/A</v>
      </c>
      <c r="R510" s="20" t="e">
        <f t="shared" si="172"/>
        <v>#N/A</v>
      </c>
      <c r="S510" s="20" t="e">
        <f t="shared" si="173"/>
        <v>#N/A</v>
      </c>
      <c r="T510" s="20" t="e">
        <f t="shared" si="174"/>
        <v>#N/A</v>
      </c>
    </row>
    <row r="511" spans="1:20" x14ac:dyDescent="0.25">
      <c r="A511">
        <f t="shared" si="175"/>
        <v>509</v>
      </c>
      <c r="B511">
        <f t="shared" si="176"/>
        <v>10</v>
      </c>
      <c r="C511">
        <f t="shared" si="177"/>
        <v>1.9000000000000008</v>
      </c>
      <c r="D511" s="15">
        <f t="shared" si="178"/>
        <v>2.4324324324324325</v>
      </c>
      <c r="E511">
        <f t="shared" si="179"/>
        <v>1</v>
      </c>
      <c r="F511" s="3">
        <f t="shared" si="180"/>
        <v>31.621621621621614</v>
      </c>
      <c r="G511" s="3">
        <f t="shared" si="181"/>
        <v>0.55190141211712562</v>
      </c>
      <c r="H511" s="18">
        <f t="shared" si="182"/>
        <v>1.6179053616932924</v>
      </c>
      <c r="I511" s="3">
        <f t="shared" si="183"/>
        <v>0.99618383875874039</v>
      </c>
      <c r="J511" s="19" t="str">
        <f t="shared" si="164"/>
        <v>L</v>
      </c>
      <c r="K511" s="20">
        <f t="shared" si="165"/>
        <v>1.6179053616932924</v>
      </c>
      <c r="L511" s="20">
        <f t="shared" si="166"/>
        <v>0.99618383875874039</v>
      </c>
      <c r="M511" s="20" t="e">
        <f t="shared" si="167"/>
        <v>#N/A</v>
      </c>
      <c r="N511" s="20" t="e">
        <f t="shared" si="168"/>
        <v>#N/A</v>
      </c>
      <c r="O511" s="20" t="e">
        <f t="shared" si="169"/>
        <v>#N/A</v>
      </c>
      <c r="P511" s="20" t="e">
        <f t="shared" si="170"/>
        <v>#N/A</v>
      </c>
      <c r="Q511" s="20" t="e">
        <f t="shared" si="171"/>
        <v>#N/A</v>
      </c>
      <c r="R511" s="20" t="e">
        <f t="shared" si="172"/>
        <v>#N/A</v>
      </c>
      <c r="S511" s="20" t="e">
        <f t="shared" si="173"/>
        <v>#N/A</v>
      </c>
      <c r="T511" s="20" t="e">
        <f t="shared" si="174"/>
        <v>#N/A</v>
      </c>
    </row>
    <row r="512" spans="1:20" x14ac:dyDescent="0.25">
      <c r="A512">
        <f t="shared" si="175"/>
        <v>510</v>
      </c>
      <c r="B512">
        <f t="shared" si="176"/>
        <v>10</v>
      </c>
      <c r="C512">
        <f t="shared" si="177"/>
        <v>1.9000000000000008</v>
      </c>
      <c r="D512" s="15">
        <f t="shared" si="178"/>
        <v>2.4324324324324325</v>
      </c>
      <c r="E512">
        <f t="shared" si="179"/>
        <v>1</v>
      </c>
      <c r="F512" s="3">
        <f t="shared" si="180"/>
        <v>34.054054054054049</v>
      </c>
      <c r="G512" s="3">
        <f t="shared" si="181"/>
        <v>0.59435536689536617</v>
      </c>
      <c r="H512" s="18">
        <f t="shared" si="182"/>
        <v>1.5741683335633008</v>
      </c>
      <c r="I512" s="3">
        <f t="shared" si="183"/>
        <v>1.0639520936614315</v>
      </c>
      <c r="J512" s="19" t="str">
        <f t="shared" si="164"/>
        <v>L</v>
      </c>
      <c r="K512" s="20">
        <f t="shared" si="165"/>
        <v>1.5741683335633008</v>
      </c>
      <c r="L512" s="20">
        <f t="shared" si="166"/>
        <v>1.0639520936614315</v>
      </c>
      <c r="M512" s="20" t="e">
        <f t="shared" si="167"/>
        <v>#N/A</v>
      </c>
      <c r="N512" s="20" t="e">
        <f t="shared" si="168"/>
        <v>#N/A</v>
      </c>
      <c r="O512" s="20" t="e">
        <f t="shared" si="169"/>
        <v>#N/A</v>
      </c>
      <c r="P512" s="20" t="e">
        <f t="shared" si="170"/>
        <v>#N/A</v>
      </c>
      <c r="Q512" s="20" t="e">
        <f t="shared" si="171"/>
        <v>#N/A</v>
      </c>
      <c r="R512" s="20" t="e">
        <f t="shared" si="172"/>
        <v>#N/A</v>
      </c>
      <c r="S512" s="20" t="e">
        <f t="shared" si="173"/>
        <v>#N/A</v>
      </c>
      <c r="T512" s="20" t="e">
        <f t="shared" si="174"/>
        <v>#N/A</v>
      </c>
    </row>
    <row r="513" spans="1:20" x14ac:dyDescent="0.25">
      <c r="A513">
        <f t="shared" si="175"/>
        <v>511</v>
      </c>
      <c r="B513">
        <f t="shared" si="176"/>
        <v>10</v>
      </c>
      <c r="C513">
        <f t="shared" si="177"/>
        <v>1.9000000000000008</v>
      </c>
      <c r="D513" s="15">
        <f t="shared" si="178"/>
        <v>2.4324324324324325</v>
      </c>
      <c r="E513">
        <f t="shared" si="179"/>
        <v>1</v>
      </c>
      <c r="F513" s="3">
        <f t="shared" si="180"/>
        <v>36.486486486486484</v>
      </c>
      <c r="G513" s="3">
        <f t="shared" si="181"/>
        <v>0.63680932167360671</v>
      </c>
      <c r="H513" s="18">
        <f t="shared" si="182"/>
        <v>1.5275945476971877</v>
      </c>
      <c r="I513" s="3">
        <f t="shared" si="183"/>
        <v>1.1298030349781449</v>
      </c>
      <c r="J513" s="19" t="str">
        <f t="shared" si="164"/>
        <v>L</v>
      </c>
      <c r="K513" s="20">
        <f t="shared" si="165"/>
        <v>1.5275945476971877</v>
      </c>
      <c r="L513" s="20">
        <f t="shared" si="166"/>
        <v>1.1298030349781449</v>
      </c>
      <c r="M513" s="20" t="e">
        <f t="shared" si="167"/>
        <v>#N/A</v>
      </c>
      <c r="N513" s="20" t="e">
        <f t="shared" si="168"/>
        <v>#N/A</v>
      </c>
      <c r="O513" s="20" t="e">
        <f t="shared" si="169"/>
        <v>#N/A</v>
      </c>
      <c r="P513" s="20" t="e">
        <f t="shared" si="170"/>
        <v>#N/A</v>
      </c>
      <c r="Q513" s="20" t="e">
        <f t="shared" si="171"/>
        <v>#N/A</v>
      </c>
      <c r="R513" s="20" t="e">
        <f t="shared" si="172"/>
        <v>#N/A</v>
      </c>
      <c r="S513" s="20" t="e">
        <f t="shared" si="173"/>
        <v>#N/A</v>
      </c>
      <c r="T513" s="20" t="e">
        <f t="shared" si="174"/>
        <v>#N/A</v>
      </c>
    </row>
    <row r="514" spans="1:20" x14ac:dyDescent="0.25">
      <c r="A514">
        <f t="shared" si="175"/>
        <v>512</v>
      </c>
      <c r="B514">
        <f t="shared" si="176"/>
        <v>10</v>
      </c>
      <c r="C514">
        <f t="shared" si="177"/>
        <v>1.9000000000000008</v>
      </c>
      <c r="D514" s="15">
        <f t="shared" si="178"/>
        <v>2.4324324324324325</v>
      </c>
      <c r="E514">
        <f t="shared" si="179"/>
        <v>1</v>
      </c>
      <c r="F514" s="3">
        <f t="shared" si="180"/>
        <v>38.918918918918919</v>
      </c>
      <c r="G514" s="3">
        <f t="shared" si="181"/>
        <v>0.67926327645184725</v>
      </c>
      <c r="H514" s="18">
        <f t="shared" si="182"/>
        <v>1.4782679332050357</v>
      </c>
      <c r="I514" s="3">
        <f t="shared" si="183"/>
        <v>1.1936179948617209</v>
      </c>
      <c r="J514" s="19" t="str">
        <f t="shared" si="164"/>
        <v>L</v>
      </c>
      <c r="K514" s="20">
        <f t="shared" si="165"/>
        <v>1.4782679332050357</v>
      </c>
      <c r="L514" s="20">
        <f t="shared" si="166"/>
        <v>1.1936179948617209</v>
      </c>
      <c r="M514" s="20" t="e">
        <f t="shared" si="167"/>
        <v>#N/A</v>
      </c>
      <c r="N514" s="20" t="e">
        <f t="shared" si="168"/>
        <v>#N/A</v>
      </c>
      <c r="O514" s="20" t="e">
        <f t="shared" si="169"/>
        <v>#N/A</v>
      </c>
      <c r="P514" s="20" t="e">
        <f t="shared" si="170"/>
        <v>#N/A</v>
      </c>
      <c r="Q514" s="20" t="e">
        <f t="shared" si="171"/>
        <v>#N/A</v>
      </c>
      <c r="R514" s="20" t="e">
        <f t="shared" si="172"/>
        <v>#N/A</v>
      </c>
      <c r="S514" s="20" t="e">
        <f t="shared" si="173"/>
        <v>#N/A</v>
      </c>
      <c r="T514" s="20" t="e">
        <f t="shared" si="174"/>
        <v>#N/A</v>
      </c>
    </row>
    <row r="515" spans="1:20" x14ac:dyDescent="0.25">
      <c r="A515">
        <f t="shared" si="175"/>
        <v>513</v>
      </c>
      <c r="B515">
        <f t="shared" si="176"/>
        <v>10</v>
      </c>
      <c r="C515">
        <f t="shared" si="177"/>
        <v>1.9000000000000008</v>
      </c>
      <c r="D515" s="15">
        <f t="shared" si="178"/>
        <v>2.4324324324324325</v>
      </c>
      <c r="E515">
        <f t="shared" si="179"/>
        <v>1</v>
      </c>
      <c r="F515" s="3">
        <f t="shared" si="180"/>
        <v>41.351351351351354</v>
      </c>
      <c r="G515" s="3">
        <f t="shared" si="181"/>
        <v>0.72171723123008769</v>
      </c>
      <c r="H515" s="18">
        <f t="shared" si="182"/>
        <v>1.4262773799801769</v>
      </c>
      <c r="I515" s="3">
        <f t="shared" si="183"/>
        <v>1.2552819744411554</v>
      </c>
      <c r="J515" s="19" t="str">
        <f t="shared" ref="J515:J578" si="184">VLOOKUP(A515,$AQ$3:$AR$58,2,1)</f>
        <v>L</v>
      </c>
      <c r="K515" s="20">
        <f t="shared" si="165"/>
        <v>1.4262773799801769</v>
      </c>
      <c r="L515" s="20">
        <f t="shared" si="166"/>
        <v>1.2552819744411554</v>
      </c>
      <c r="M515" s="20" t="e">
        <f t="shared" si="167"/>
        <v>#N/A</v>
      </c>
      <c r="N515" s="20" t="e">
        <f t="shared" si="168"/>
        <v>#N/A</v>
      </c>
      <c r="O515" s="20" t="e">
        <f t="shared" si="169"/>
        <v>#N/A</v>
      </c>
      <c r="P515" s="20" t="e">
        <f t="shared" si="170"/>
        <v>#N/A</v>
      </c>
      <c r="Q515" s="20" t="e">
        <f t="shared" si="171"/>
        <v>#N/A</v>
      </c>
      <c r="R515" s="20" t="e">
        <f t="shared" si="172"/>
        <v>#N/A</v>
      </c>
      <c r="S515" s="20" t="e">
        <f t="shared" si="173"/>
        <v>#N/A</v>
      </c>
      <c r="T515" s="20" t="e">
        <f t="shared" si="174"/>
        <v>#N/A</v>
      </c>
    </row>
    <row r="516" spans="1:20" x14ac:dyDescent="0.25">
      <c r="A516">
        <f t="shared" si="175"/>
        <v>514</v>
      </c>
      <c r="B516">
        <f t="shared" si="176"/>
        <v>10</v>
      </c>
      <c r="C516">
        <f t="shared" si="177"/>
        <v>1.9000000000000008</v>
      </c>
      <c r="D516" s="15">
        <f t="shared" si="178"/>
        <v>2.4324324324324325</v>
      </c>
      <c r="E516">
        <f t="shared" si="179"/>
        <v>1</v>
      </c>
      <c r="F516" s="3">
        <f t="shared" si="180"/>
        <v>43.78378378378379</v>
      </c>
      <c r="G516" s="3">
        <f t="shared" si="181"/>
        <v>0.76417118600832823</v>
      </c>
      <c r="H516" s="18">
        <f t="shared" si="182"/>
        <v>1.3717165785135967</v>
      </c>
      <c r="I516" s="3">
        <f t="shared" si="183"/>
        <v>1.3146838510573384</v>
      </c>
      <c r="J516" s="19" t="str">
        <f t="shared" si="184"/>
        <v>L</v>
      </c>
      <c r="K516" s="20">
        <f t="shared" ref="K516:K579" si="185">IF(J516="L",H516,NA())</f>
        <v>1.3717165785135967</v>
      </c>
      <c r="L516" s="20">
        <f t="shared" ref="L516:L579" si="186">IF(J516="l",I516,NA())</f>
        <v>1.3146838510573384</v>
      </c>
      <c r="M516" s="20" t="e">
        <f t="shared" ref="M516:M579" si="187">IF(J516="C",H516,NA())</f>
        <v>#N/A</v>
      </c>
      <c r="N516" s="20" t="e">
        <f t="shared" ref="N516:N579" si="188">IF(J516="C",I516,NA())</f>
        <v>#N/A</v>
      </c>
      <c r="O516" s="20" t="e">
        <f t="shared" ref="O516:O579" si="189">IF(J516="LD",H516,NA())</f>
        <v>#N/A</v>
      </c>
      <c r="P516" s="20" t="e">
        <f t="shared" ref="P516:P579" si="190">IF(J516="LD",I516,NA())</f>
        <v>#N/A</v>
      </c>
      <c r="Q516" s="20" t="e">
        <f t="shared" ref="Q516:Q579" si="191">IF(J516="SNP",H516,NA())</f>
        <v>#N/A</v>
      </c>
      <c r="R516" s="20" t="e">
        <f t="shared" ref="R516:R579" si="192">IF(J516="SNP",I516,NA())</f>
        <v>#N/A</v>
      </c>
      <c r="S516" s="20" t="e">
        <f t="shared" ref="S516:S579" si="193">IF(J516="Oth",H516,NA())</f>
        <v>#N/A</v>
      </c>
      <c r="T516" s="20" t="e">
        <f t="shared" ref="T516:T579" si="194">IF(J516="oth",I516,NA())</f>
        <v>#N/A</v>
      </c>
    </row>
    <row r="517" spans="1:20" x14ac:dyDescent="0.25">
      <c r="A517">
        <f t="shared" si="175"/>
        <v>515</v>
      </c>
      <c r="B517">
        <f t="shared" si="176"/>
        <v>10</v>
      </c>
      <c r="C517">
        <f t="shared" si="177"/>
        <v>1.9000000000000008</v>
      </c>
      <c r="D517" s="15">
        <f t="shared" si="178"/>
        <v>2.4324324324324325</v>
      </c>
      <c r="E517">
        <f t="shared" si="179"/>
        <v>1</v>
      </c>
      <c r="F517" s="3">
        <f t="shared" si="180"/>
        <v>46.216216216216225</v>
      </c>
      <c r="G517" s="3">
        <f t="shared" si="181"/>
        <v>0.80662514078656866</v>
      </c>
      <c r="H517" s="18">
        <f t="shared" si="182"/>
        <v>1.3146838510573382</v>
      </c>
      <c r="I517" s="3">
        <f t="shared" si="183"/>
        <v>1.3717165785135972</v>
      </c>
      <c r="J517" s="19" t="str">
        <f t="shared" si="184"/>
        <v>L</v>
      </c>
      <c r="K517" s="20">
        <f t="shared" si="185"/>
        <v>1.3146838510573382</v>
      </c>
      <c r="L517" s="20">
        <f t="shared" si="186"/>
        <v>1.3717165785135972</v>
      </c>
      <c r="M517" s="20" t="e">
        <f t="shared" si="187"/>
        <v>#N/A</v>
      </c>
      <c r="N517" s="20" t="e">
        <f t="shared" si="188"/>
        <v>#N/A</v>
      </c>
      <c r="O517" s="20" t="e">
        <f t="shared" si="189"/>
        <v>#N/A</v>
      </c>
      <c r="P517" s="20" t="e">
        <f t="shared" si="190"/>
        <v>#N/A</v>
      </c>
      <c r="Q517" s="20" t="e">
        <f t="shared" si="191"/>
        <v>#N/A</v>
      </c>
      <c r="R517" s="20" t="e">
        <f t="shared" si="192"/>
        <v>#N/A</v>
      </c>
      <c r="S517" s="20" t="e">
        <f t="shared" si="193"/>
        <v>#N/A</v>
      </c>
      <c r="T517" s="20" t="e">
        <f t="shared" si="194"/>
        <v>#N/A</v>
      </c>
    </row>
    <row r="518" spans="1:20" x14ac:dyDescent="0.25">
      <c r="A518">
        <f t="shared" si="175"/>
        <v>516</v>
      </c>
      <c r="B518">
        <f t="shared" si="176"/>
        <v>10</v>
      </c>
      <c r="C518">
        <f t="shared" si="177"/>
        <v>1.9000000000000008</v>
      </c>
      <c r="D518" s="15">
        <f t="shared" si="178"/>
        <v>2.4324324324324325</v>
      </c>
      <c r="E518">
        <f t="shared" si="179"/>
        <v>1</v>
      </c>
      <c r="F518" s="3">
        <f t="shared" si="180"/>
        <v>48.64864864864866</v>
      </c>
      <c r="G518" s="3">
        <f t="shared" si="181"/>
        <v>0.84907909556480921</v>
      </c>
      <c r="H518" s="18">
        <f t="shared" si="182"/>
        <v>1.255281974441155</v>
      </c>
      <c r="I518" s="3">
        <f t="shared" si="183"/>
        <v>1.4262773799801773</v>
      </c>
      <c r="J518" s="19" t="str">
        <f t="shared" si="184"/>
        <v>L</v>
      </c>
      <c r="K518" s="20">
        <f t="shared" si="185"/>
        <v>1.255281974441155</v>
      </c>
      <c r="L518" s="20">
        <f t="shared" si="186"/>
        <v>1.4262773799801773</v>
      </c>
      <c r="M518" s="20" t="e">
        <f t="shared" si="187"/>
        <v>#N/A</v>
      </c>
      <c r="N518" s="20" t="e">
        <f t="shared" si="188"/>
        <v>#N/A</v>
      </c>
      <c r="O518" s="20" t="e">
        <f t="shared" si="189"/>
        <v>#N/A</v>
      </c>
      <c r="P518" s="20" t="e">
        <f t="shared" si="190"/>
        <v>#N/A</v>
      </c>
      <c r="Q518" s="20" t="e">
        <f t="shared" si="191"/>
        <v>#N/A</v>
      </c>
      <c r="R518" s="20" t="e">
        <f t="shared" si="192"/>
        <v>#N/A</v>
      </c>
      <c r="S518" s="20" t="e">
        <f t="shared" si="193"/>
        <v>#N/A</v>
      </c>
      <c r="T518" s="20" t="e">
        <f t="shared" si="194"/>
        <v>#N/A</v>
      </c>
    </row>
    <row r="519" spans="1:20" x14ac:dyDescent="0.25">
      <c r="A519">
        <f t="shared" si="175"/>
        <v>517</v>
      </c>
      <c r="B519">
        <f t="shared" si="176"/>
        <v>10</v>
      </c>
      <c r="C519">
        <f t="shared" si="177"/>
        <v>1.9000000000000008</v>
      </c>
      <c r="D519" s="15">
        <f t="shared" si="178"/>
        <v>2.4324324324324325</v>
      </c>
      <c r="E519">
        <f t="shared" si="179"/>
        <v>1</v>
      </c>
      <c r="F519" s="3">
        <f t="shared" si="180"/>
        <v>51.081081081081095</v>
      </c>
      <c r="G519" s="3">
        <f t="shared" si="181"/>
        <v>0.89153305034304975</v>
      </c>
      <c r="H519" s="18">
        <f t="shared" si="182"/>
        <v>1.1936179948617205</v>
      </c>
      <c r="I519" s="3">
        <f t="shared" si="183"/>
        <v>1.4782679332050361</v>
      </c>
      <c r="J519" s="19" t="str">
        <f t="shared" si="184"/>
        <v>L</v>
      </c>
      <c r="K519" s="20">
        <f t="shared" si="185"/>
        <v>1.1936179948617205</v>
      </c>
      <c r="L519" s="20">
        <f t="shared" si="186"/>
        <v>1.4782679332050361</v>
      </c>
      <c r="M519" s="20" t="e">
        <f t="shared" si="187"/>
        <v>#N/A</v>
      </c>
      <c r="N519" s="20" t="e">
        <f t="shared" si="188"/>
        <v>#N/A</v>
      </c>
      <c r="O519" s="20" t="e">
        <f t="shared" si="189"/>
        <v>#N/A</v>
      </c>
      <c r="P519" s="20" t="e">
        <f t="shared" si="190"/>
        <v>#N/A</v>
      </c>
      <c r="Q519" s="20" t="e">
        <f t="shared" si="191"/>
        <v>#N/A</v>
      </c>
      <c r="R519" s="20" t="e">
        <f t="shared" si="192"/>
        <v>#N/A</v>
      </c>
      <c r="S519" s="20" t="e">
        <f t="shared" si="193"/>
        <v>#N/A</v>
      </c>
      <c r="T519" s="20" t="e">
        <f t="shared" si="194"/>
        <v>#N/A</v>
      </c>
    </row>
    <row r="520" spans="1:20" x14ac:dyDescent="0.25">
      <c r="A520">
        <f t="shared" si="175"/>
        <v>518</v>
      </c>
      <c r="B520">
        <f t="shared" si="176"/>
        <v>10</v>
      </c>
      <c r="C520">
        <f t="shared" si="177"/>
        <v>1.9000000000000008</v>
      </c>
      <c r="D520" s="15">
        <f t="shared" si="178"/>
        <v>2.4324324324324325</v>
      </c>
      <c r="E520">
        <f t="shared" si="179"/>
        <v>1</v>
      </c>
      <c r="F520" s="3">
        <f t="shared" si="180"/>
        <v>53.51351351351353</v>
      </c>
      <c r="G520" s="3">
        <f t="shared" si="181"/>
        <v>0.93398700512129007</v>
      </c>
      <c r="H520" s="18">
        <f t="shared" si="182"/>
        <v>1.1298030349781447</v>
      </c>
      <c r="I520" s="3">
        <f t="shared" si="183"/>
        <v>1.5275945476971879</v>
      </c>
      <c r="J520" s="19" t="str">
        <f t="shared" si="184"/>
        <v>L</v>
      </c>
      <c r="K520" s="20">
        <f t="shared" si="185"/>
        <v>1.1298030349781447</v>
      </c>
      <c r="L520" s="20">
        <f t="shared" si="186"/>
        <v>1.5275945476971879</v>
      </c>
      <c r="M520" s="20" t="e">
        <f t="shared" si="187"/>
        <v>#N/A</v>
      </c>
      <c r="N520" s="20" t="e">
        <f t="shared" si="188"/>
        <v>#N/A</v>
      </c>
      <c r="O520" s="20" t="e">
        <f t="shared" si="189"/>
        <v>#N/A</v>
      </c>
      <c r="P520" s="20" t="e">
        <f t="shared" si="190"/>
        <v>#N/A</v>
      </c>
      <c r="Q520" s="20" t="e">
        <f t="shared" si="191"/>
        <v>#N/A</v>
      </c>
      <c r="R520" s="20" t="e">
        <f t="shared" si="192"/>
        <v>#N/A</v>
      </c>
      <c r="S520" s="20" t="e">
        <f t="shared" si="193"/>
        <v>#N/A</v>
      </c>
      <c r="T520" s="20" t="e">
        <f t="shared" si="194"/>
        <v>#N/A</v>
      </c>
    </row>
    <row r="521" spans="1:20" x14ac:dyDescent="0.25">
      <c r="A521">
        <f t="shared" si="175"/>
        <v>519</v>
      </c>
      <c r="B521">
        <f t="shared" si="176"/>
        <v>10</v>
      </c>
      <c r="C521">
        <f t="shared" si="177"/>
        <v>1.9000000000000008</v>
      </c>
      <c r="D521" s="15">
        <f t="shared" si="178"/>
        <v>2.4324324324324325</v>
      </c>
      <c r="E521">
        <f t="shared" si="179"/>
        <v>1</v>
      </c>
      <c r="F521" s="3">
        <f t="shared" si="180"/>
        <v>55.945945945945965</v>
      </c>
      <c r="G521" s="3">
        <f t="shared" si="181"/>
        <v>0.97644095989953061</v>
      </c>
      <c r="H521" s="18">
        <f t="shared" si="182"/>
        <v>1.0639520936614311</v>
      </c>
      <c r="I521" s="3">
        <f t="shared" si="183"/>
        <v>1.574168333563301</v>
      </c>
      <c r="J521" s="19" t="str">
        <f t="shared" si="184"/>
        <v>L</v>
      </c>
      <c r="K521" s="20">
        <f t="shared" si="185"/>
        <v>1.0639520936614311</v>
      </c>
      <c r="L521" s="20">
        <f t="shared" si="186"/>
        <v>1.574168333563301</v>
      </c>
      <c r="M521" s="20" t="e">
        <f t="shared" si="187"/>
        <v>#N/A</v>
      </c>
      <c r="N521" s="20" t="e">
        <f t="shared" si="188"/>
        <v>#N/A</v>
      </c>
      <c r="O521" s="20" t="e">
        <f t="shared" si="189"/>
        <v>#N/A</v>
      </c>
      <c r="P521" s="20" t="e">
        <f t="shared" si="190"/>
        <v>#N/A</v>
      </c>
      <c r="Q521" s="20" t="e">
        <f t="shared" si="191"/>
        <v>#N/A</v>
      </c>
      <c r="R521" s="20" t="e">
        <f t="shared" si="192"/>
        <v>#N/A</v>
      </c>
      <c r="S521" s="20" t="e">
        <f t="shared" si="193"/>
        <v>#N/A</v>
      </c>
      <c r="T521" s="20" t="e">
        <f t="shared" si="194"/>
        <v>#N/A</v>
      </c>
    </row>
    <row r="522" spans="1:20" x14ac:dyDescent="0.25">
      <c r="A522">
        <f t="shared" si="175"/>
        <v>520</v>
      </c>
      <c r="B522">
        <f t="shared" si="176"/>
        <v>10</v>
      </c>
      <c r="C522">
        <f t="shared" si="177"/>
        <v>1.9000000000000008</v>
      </c>
      <c r="D522" s="15">
        <f t="shared" si="178"/>
        <v>2.4324324324324325</v>
      </c>
      <c r="E522">
        <f t="shared" si="179"/>
        <v>1</v>
      </c>
      <c r="F522" s="3">
        <f t="shared" si="180"/>
        <v>58.3783783783784</v>
      </c>
      <c r="G522" s="3">
        <f t="shared" si="181"/>
        <v>1.018894914677771</v>
      </c>
      <c r="H522" s="18">
        <f t="shared" si="182"/>
        <v>0.99618383875874017</v>
      </c>
      <c r="I522" s="3">
        <f t="shared" si="183"/>
        <v>1.6179053616932924</v>
      </c>
      <c r="J522" s="19" t="str">
        <f t="shared" si="184"/>
        <v>L</v>
      </c>
      <c r="K522" s="20">
        <f t="shared" si="185"/>
        <v>0.99618383875874017</v>
      </c>
      <c r="L522" s="20">
        <f t="shared" si="186"/>
        <v>1.6179053616932924</v>
      </c>
      <c r="M522" s="20" t="e">
        <f t="shared" si="187"/>
        <v>#N/A</v>
      </c>
      <c r="N522" s="20" t="e">
        <f t="shared" si="188"/>
        <v>#N/A</v>
      </c>
      <c r="O522" s="20" t="e">
        <f t="shared" si="189"/>
        <v>#N/A</v>
      </c>
      <c r="P522" s="20" t="e">
        <f t="shared" si="190"/>
        <v>#N/A</v>
      </c>
      <c r="Q522" s="20" t="e">
        <f t="shared" si="191"/>
        <v>#N/A</v>
      </c>
      <c r="R522" s="20" t="e">
        <f t="shared" si="192"/>
        <v>#N/A</v>
      </c>
      <c r="S522" s="20" t="e">
        <f t="shared" si="193"/>
        <v>#N/A</v>
      </c>
      <c r="T522" s="20" t="e">
        <f t="shared" si="194"/>
        <v>#N/A</v>
      </c>
    </row>
    <row r="523" spans="1:20" x14ac:dyDescent="0.25">
      <c r="A523">
        <f t="shared" si="175"/>
        <v>521</v>
      </c>
      <c r="B523">
        <f t="shared" si="176"/>
        <v>10</v>
      </c>
      <c r="C523">
        <f t="shared" si="177"/>
        <v>1.9000000000000008</v>
      </c>
      <c r="D523" s="15">
        <f t="shared" si="178"/>
        <v>2.4324324324324325</v>
      </c>
      <c r="E523">
        <f t="shared" si="179"/>
        <v>1</v>
      </c>
      <c r="F523" s="3">
        <f t="shared" si="180"/>
        <v>60.810810810810835</v>
      </c>
      <c r="G523" s="3">
        <f t="shared" si="181"/>
        <v>1.0613488694560116</v>
      </c>
      <c r="H523" s="18">
        <f t="shared" si="182"/>
        <v>0.92662039324590539</v>
      </c>
      <c r="I523" s="3">
        <f t="shared" si="183"/>
        <v>1.6587268150062586</v>
      </c>
      <c r="J523" s="19" t="str">
        <f t="shared" si="184"/>
        <v>L</v>
      </c>
      <c r="K523" s="20">
        <f t="shared" si="185"/>
        <v>0.92662039324590539</v>
      </c>
      <c r="L523" s="20">
        <f t="shared" si="186"/>
        <v>1.6587268150062586</v>
      </c>
      <c r="M523" s="20" t="e">
        <f t="shared" si="187"/>
        <v>#N/A</v>
      </c>
      <c r="N523" s="20" t="e">
        <f t="shared" si="188"/>
        <v>#N/A</v>
      </c>
      <c r="O523" s="20" t="e">
        <f t="shared" si="189"/>
        <v>#N/A</v>
      </c>
      <c r="P523" s="20" t="e">
        <f t="shared" si="190"/>
        <v>#N/A</v>
      </c>
      <c r="Q523" s="20" t="e">
        <f t="shared" si="191"/>
        <v>#N/A</v>
      </c>
      <c r="R523" s="20" t="e">
        <f t="shared" si="192"/>
        <v>#N/A</v>
      </c>
      <c r="S523" s="20" t="e">
        <f t="shared" si="193"/>
        <v>#N/A</v>
      </c>
      <c r="T523" s="20" t="e">
        <f t="shared" si="194"/>
        <v>#N/A</v>
      </c>
    </row>
    <row r="524" spans="1:20" x14ac:dyDescent="0.25">
      <c r="A524">
        <f t="shared" si="175"/>
        <v>522</v>
      </c>
      <c r="B524">
        <f t="shared" si="176"/>
        <v>10</v>
      </c>
      <c r="C524">
        <f t="shared" si="177"/>
        <v>1.9000000000000008</v>
      </c>
      <c r="D524" s="15">
        <f t="shared" si="178"/>
        <v>2.4324324324324325</v>
      </c>
      <c r="E524">
        <f t="shared" si="179"/>
        <v>1</v>
      </c>
      <c r="F524" s="3">
        <f t="shared" si="180"/>
        <v>63.243243243243271</v>
      </c>
      <c r="G524" s="3">
        <f t="shared" si="181"/>
        <v>1.1038028242342521</v>
      </c>
      <c r="H524" s="18">
        <f t="shared" si="182"/>
        <v>0.8553871151535789</v>
      </c>
      <c r="I524" s="3">
        <f t="shared" si="183"/>
        <v>1.6965591304841812</v>
      </c>
      <c r="J524" s="19" t="str">
        <f t="shared" si="184"/>
        <v>L</v>
      </c>
      <c r="K524" s="20">
        <f t="shared" si="185"/>
        <v>0.8553871151535789</v>
      </c>
      <c r="L524" s="20">
        <f t="shared" si="186"/>
        <v>1.6965591304841812</v>
      </c>
      <c r="M524" s="20" t="e">
        <f t="shared" si="187"/>
        <v>#N/A</v>
      </c>
      <c r="N524" s="20" t="e">
        <f t="shared" si="188"/>
        <v>#N/A</v>
      </c>
      <c r="O524" s="20" t="e">
        <f t="shared" si="189"/>
        <v>#N/A</v>
      </c>
      <c r="P524" s="20" t="e">
        <f t="shared" si="190"/>
        <v>#N/A</v>
      </c>
      <c r="Q524" s="20" t="e">
        <f t="shared" si="191"/>
        <v>#N/A</v>
      </c>
      <c r="R524" s="20" t="e">
        <f t="shared" si="192"/>
        <v>#N/A</v>
      </c>
      <c r="S524" s="20" t="e">
        <f t="shared" si="193"/>
        <v>#N/A</v>
      </c>
      <c r="T524" s="20" t="e">
        <f t="shared" si="194"/>
        <v>#N/A</v>
      </c>
    </row>
    <row r="525" spans="1:20" x14ac:dyDescent="0.25">
      <c r="A525">
        <f t="shared" si="175"/>
        <v>523</v>
      </c>
      <c r="B525">
        <f t="shared" si="176"/>
        <v>10</v>
      </c>
      <c r="C525">
        <f t="shared" si="177"/>
        <v>1.9000000000000008</v>
      </c>
      <c r="D525" s="15">
        <f t="shared" si="178"/>
        <v>2.4324324324324325</v>
      </c>
      <c r="E525">
        <f t="shared" si="179"/>
        <v>1</v>
      </c>
      <c r="F525" s="3">
        <f t="shared" si="180"/>
        <v>65.675675675675706</v>
      </c>
      <c r="G525" s="3">
        <f t="shared" si="181"/>
        <v>1.1462567790124927</v>
      </c>
      <c r="H525" s="18">
        <f t="shared" si="182"/>
        <v>0.78261237166358544</v>
      </c>
      <c r="I525" s="3">
        <f t="shared" si="183"/>
        <v>1.7313341317374589</v>
      </c>
      <c r="J525" s="19" t="str">
        <f t="shared" si="184"/>
        <v>L</v>
      </c>
      <c r="K525" s="20">
        <f t="shared" si="185"/>
        <v>0.78261237166358544</v>
      </c>
      <c r="L525" s="20">
        <f t="shared" si="186"/>
        <v>1.7313341317374589</v>
      </c>
      <c r="M525" s="20" t="e">
        <f t="shared" si="187"/>
        <v>#N/A</v>
      </c>
      <c r="N525" s="20" t="e">
        <f t="shared" si="188"/>
        <v>#N/A</v>
      </c>
      <c r="O525" s="20" t="e">
        <f t="shared" si="189"/>
        <v>#N/A</v>
      </c>
      <c r="P525" s="20" t="e">
        <f t="shared" si="190"/>
        <v>#N/A</v>
      </c>
      <c r="Q525" s="20" t="e">
        <f t="shared" si="191"/>
        <v>#N/A</v>
      </c>
      <c r="R525" s="20" t="e">
        <f t="shared" si="192"/>
        <v>#N/A</v>
      </c>
      <c r="S525" s="20" t="e">
        <f t="shared" si="193"/>
        <v>#N/A</v>
      </c>
      <c r="T525" s="20" t="e">
        <f t="shared" si="194"/>
        <v>#N/A</v>
      </c>
    </row>
    <row r="526" spans="1:20" x14ac:dyDescent="0.25">
      <c r="A526">
        <f t="shared" si="175"/>
        <v>524</v>
      </c>
      <c r="B526">
        <f t="shared" si="176"/>
        <v>10</v>
      </c>
      <c r="C526">
        <f t="shared" si="177"/>
        <v>1.9000000000000008</v>
      </c>
      <c r="D526" s="15">
        <f t="shared" si="178"/>
        <v>2.4324324324324325</v>
      </c>
      <c r="E526">
        <f t="shared" si="179"/>
        <v>1</v>
      </c>
      <c r="F526" s="3">
        <f t="shared" si="180"/>
        <v>68.108108108108141</v>
      </c>
      <c r="G526" s="3">
        <f t="shared" si="181"/>
        <v>1.1887107337907332</v>
      </c>
      <c r="H526" s="18">
        <f t="shared" si="182"/>
        <v>0.70842730778258556</v>
      </c>
      <c r="I526" s="3">
        <f t="shared" si="183"/>
        <v>1.7629891518633689</v>
      </c>
      <c r="J526" s="19" t="str">
        <f t="shared" si="184"/>
        <v>L</v>
      </c>
      <c r="K526" s="20">
        <f t="shared" si="185"/>
        <v>0.70842730778258556</v>
      </c>
      <c r="L526" s="20">
        <f t="shared" si="186"/>
        <v>1.7629891518633689</v>
      </c>
      <c r="M526" s="20" t="e">
        <f t="shared" si="187"/>
        <v>#N/A</v>
      </c>
      <c r="N526" s="20" t="e">
        <f t="shared" si="188"/>
        <v>#N/A</v>
      </c>
      <c r="O526" s="20" t="e">
        <f t="shared" si="189"/>
        <v>#N/A</v>
      </c>
      <c r="P526" s="20" t="e">
        <f t="shared" si="190"/>
        <v>#N/A</v>
      </c>
      <c r="Q526" s="20" t="e">
        <f t="shared" si="191"/>
        <v>#N/A</v>
      </c>
      <c r="R526" s="20" t="e">
        <f t="shared" si="192"/>
        <v>#N/A</v>
      </c>
      <c r="S526" s="20" t="e">
        <f t="shared" si="193"/>
        <v>#N/A</v>
      </c>
      <c r="T526" s="20" t="e">
        <f t="shared" si="194"/>
        <v>#N/A</v>
      </c>
    </row>
    <row r="527" spans="1:20" x14ac:dyDescent="0.25">
      <c r="A527">
        <f t="shared" ref="A527:A590" si="195">A526+1</f>
        <v>525</v>
      </c>
      <c r="B527">
        <f t="shared" si="176"/>
        <v>10</v>
      </c>
      <c r="C527">
        <f t="shared" si="177"/>
        <v>1.9000000000000008</v>
      </c>
      <c r="D527" s="15">
        <f t="shared" si="178"/>
        <v>2.4324324324324325</v>
      </c>
      <c r="E527">
        <f t="shared" si="179"/>
        <v>1</v>
      </c>
      <c r="F527" s="3">
        <f t="shared" si="180"/>
        <v>70.540540540540576</v>
      </c>
      <c r="G527" s="3">
        <f t="shared" si="181"/>
        <v>1.2311646885689738</v>
      </c>
      <c r="H527" s="18">
        <f t="shared" si="182"/>
        <v>0.63296561000990825</v>
      </c>
      <c r="I527" s="3">
        <f t="shared" si="183"/>
        <v>1.7914671463760612</v>
      </c>
      <c r="J527" s="19" t="str">
        <f t="shared" si="184"/>
        <v>L</v>
      </c>
      <c r="K527" s="20">
        <f t="shared" si="185"/>
        <v>0.63296561000990825</v>
      </c>
      <c r="L527" s="20">
        <f t="shared" si="186"/>
        <v>1.7914671463760612</v>
      </c>
      <c r="M527" s="20" t="e">
        <f t="shared" si="187"/>
        <v>#N/A</v>
      </c>
      <c r="N527" s="20" t="e">
        <f t="shared" si="188"/>
        <v>#N/A</v>
      </c>
      <c r="O527" s="20" t="e">
        <f t="shared" si="189"/>
        <v>#N/A</v>
      </c>
      <c r="P527" s="20" t="e">
        <f t="shared" si="190"/>
        <v>#N/A</v>
      </c>
      <c r="Q527" s="20" t="e">
        <f t="shared" si="191"/>
        <v>#N/A</v>
      </c>
      <c r="R527" s="20" t="e">
        <f t="shared" si="192"/>
        <v>#N/A</v>
      </c>
      <c r="S527" s="20" t="e">
        <f t="shared" si="193"/>
        <v>#N/A</v>
      </c>
      <c r="T527" s="20" t="e">
        <f t="shared" si="194"/>
        <v>#N/A</v>
      </c>
    </row>
    <row r="528" spans="1:20" x14ac:dyDescent="0.25">
      <c r="A528">
        <f t="shared" si="195"/>
        <v>526</v>
      </c>
      <c r="B528">
        <f t="shared" si="176"/>
        <v>10</v>
      </c>
      <c r="C528">
        <f t="shared" si="177"/>
        <v>1.9000000000000008</v>
      </c>
      <c r="D528" s="15">
        <f t="shared" si="178"/>
        <v>2.4324324324324325</v>
      </c>
      <c r="E528">
        <f t="shared" si="179"/>
        <v>1</v>
      </c>
      <c r="F528" s="3">
        <f t="shared" si="180"/>
        <v>72.972972972973011</v>
      </c>
      <c r="G528" s="3">
        <f t="shared" si="181"/>
        <v>1.2736186433472141</v>
      </c>
      <c r="H528" s="18">
        <f t="shared" si="182"/>
        <v>0.5563632654254449</v>
      </c>
      <c r="I528" s="3">
        <f t="shared" si="183"/>
        <v>1.8167167960045778</v>
      </c>
      <c r="J528" s="19" t="str">
        <f t="shared" si="184"/>
        <v>L</v>
      </c>
      <c r="K528" s="20">
        <f t="shared" si="185"/>
        <v>0.5563632654254449</v>
      </c>
      <c r="L528" s="20">
        <f t="shared" si="186"/>
        <v>1.8167167960045778</v>
      </c>
      <c r="M528" s="20" t="e">
        <f t="shared" si="187"/>
        <v>#N/A</v>
      </c>
      <c r="N528" s="20" t="e">
        <f t="shared" si="188"/>
        <v>#N/A</v>
      </c>
      <c r="O528" s="20" t="e">
        <f t="shared" si="189"/>
        <v>#N/A</v>
      </c>
      <c r="P528" s="20" t="e">
        <f t="shared" si="190"/>
        <v>#N/A</v>
      </c>
      <c r="Q528" s="20" t="e">
        <f t="shared" si="191"/>
        <v>#N/A</v>
      </c>
      <c r="R528" s="20" t="e">
        <f t="shared" si="192"/>
        <v>#N/A</v>
      </c>
      <c r="S528" s="20" t="e">
        <f t="shared" si="193"/>
        <v>#N/A</v>
      </c>
      <c r="T528" s="20" t="e">
        <f t="shared" si="194"/>
        <v>#N/A</v>
      </c>
    </row>
    <row r="529" spans="1:20" x14ac:dyDescent="0.25">
      <c r="A529">
        <f t="shared" si="195"/>
        <v>527</v>
      </c>
      <c r="B529">
        <f t="shared" si="176"/>
        <v>10</v>
      </c>
      <c r="C529">
        <f t="shared" si="177"/>
        <v>1.9000000000000008</v>
      </c>
      <c r="D529" s="15">
        <f t="shared" si="178"/>
        <v>2.4324324324324325</v>
      </c>
      <c r="E529">
        <f t="shared" si="179"/>
        <v>1</v>
      </c>
      <c r="F529" s="3">
        <f t="shared" si="180"/>
        <v>75.405405405405446</v>
      </c>
      <c r="G529" s="3">
        <f t="shared" si="181"/>
        <v>1.3160725981254546</v>
      </c>
      <c r="H529" s="18">
        <f t="shared" si="182"/>
        <v>0.47875831663173679</v>
      </c>
      <c r="I529" s="3">
        <f t="shared" si="183"/>
        <v>1.8386925991736489</v>
      </c>
      <c r="J529" s="19" t="str">
        <f t="shared" si="184"/>
        <v>L</v>
      </c>
      <c r="K529" s="20">
        <f t="shared" si="185"/>
        <v>0.47875831663173679</v>
      </c>
      <c r="L529" s="20">
        <f t="shared" si="186"/>
        <v>1.8386925991736489</v>
      </c>
      <c r="M529" s="20" t="e">
        <f t="shared" si="187"/>
        <v>#N/A</v>
      </c>
      <c r="N529" s="20" t="e">
        <f t="shared" si="188"/>
        <v>#N/A</v>
      </c>
      <c r="O529" s="20" t="e">
        <f t="shared" si="189"/>
        <v>#N/A</v>
      </c>
      <c r="P529" s="20" t="e">
        <f t="shared" si="190"/>
        <v>#N/A</v>
      </c>
      <c r="Q529" s="20" t="e">
        <f t="shared" si="191"/>
        <v>#N/A</v>
      </c>
      <c r="R529" s="20" t="e">
        <f t="shared" si="192"/>
        <v>#N/A</v>
      </c>
      <c r="S529" s="20" t="e">
        <f t="shared" si="193"/>
        <v>#N/A</v>
      </c>
      <c r="T529" s="20" t="e">
        <f t="shared" si="194"/>
        <v>#N/A</v>
      </c>
    </row>
    <row r="530" spans="1:20" x14ac:dyDescent="0.25">
      <c r="A530">
        <f t="shared" si="195"/>
        <v>528</v>
      </c>
      <c r="B530">
        <f t="shared" si="176"/>
        <v>10</v>
      </c>
      <c r="C530">
        <f t="shared" si="177"/>
        <v>1.9000000000000008</v>
      </c>
      <c r="D530" s="15">
        <f t="shared" si="178"/>
        <v>2.4324324324324325</v>
      </c>
      <c r="E530">
        <f t="shared" si="179"/>
        <v>1</v>
      </c>
      <c r="F530" s="3">
        <f t="shared" si="180"/>
        <v>77.837837837837881</v>
      </c>
      <c r="G530" s="3">
        <f t="shared" si="181"/>
        <v>1.3585265529036952</v>
      </c>
      <c r="H530" s="18">
        <f t="shared" si="182"/>
        <v>0.40029061299187868</v>
      </c>
      <c r="I530" s="3">
        <f t="shared" si="183"/>
        <v>1.8573549540006049</v>
      </c>
      <c r="J530" s="19" t="str">
        <f t="shared" si="184"/>
        <v>L</v>
      </c>
      <c r="K530" s="20">
        <f t="shared" si="185"/>
        <v>0.40029061299187868</v>
      </c>
      <c r="L530" s="20">
        <f t="shared" si="186"/>
        <v>1.8573549540006049</v>
      </c>
      <c r="M530" s="20" t="e">
        <f t="shared" si="187"/>
        <v>#N/A</v>
      </c>
      <c r="N530" s="20" t="e">
        <f t="shared" si="188"/>
        <v>#N/A</v>
      </c>
      <c r="O530" s="20" t="e">
        <f t="shared" si="189"/>
        <v>#N/A</v>
      </c>
      <c r="P530" s="20" t="e">
        <f t="shared" si="190"/>
        <v>#N/A</v>
      </c>
      <c r="Q530" s="20" t="e">
        <f t="shared" si="191"/>
        <v>#N/A</v>
      </c>
      <c r="R530" s="20" t="e">
        <f t="shared" si="192"/>
        <v>#N/A</v>
      </c>
      <c r="S530" s="20" t="e">
        <f t="shared" si="193"/>
        <v>#N/A</v>
      </c>
      <c r="T530" s="20" t="e">
        <f t="shared" si="194"/>
        <v>#N/A</v>
      </c>
    </row>
    <row r="531" spans="1:20" x14ac:dyDescent="0.25">
      <c r="A531">
        <f t="shared" si="195"/>
        <v>529</v>
      </c>
      <c r="B531">
        <f t="shared" si="176"/>
        <v>10</v>
      </c>
      <c r="C531">
        <f t="shared" si="177"/>
        <v>1.9000000000000008</v>
      </c>
      <c r="D531" s="15">
        <f t="shared" si="178"/>
        <v>2.4324324324324325</v>
      </c>
      <c r="E531">
        <f t="shared" si="179"/>
        <v>1</v>
      </c>
      <c r="F531" s="3">
        <f t="shared" si="180"/>
        <v>80.270270270270316</v>
      </c>
      <c r="G531" s="3">
        <f t="shared" si="181"/>
        <v>1.4009805076819357</v>
      </c>
      <c r="H531" s="18">
        <f t="shared" si="182"/>
        <v>0.32110155861151168</v>
      </c>
      <c r="I531" s="3">
        <f t="shared" si="183"/>
        <v>1.872670229660647</v>
      </c>
      <c r="J531" s="19" t="str">
        <f t="shared" si="184"/>
        <v>L</v>
      </c>
      <c r="K531" s="20">
        <f t="shared" si="185"/>
        <v>0.32110155861151168</v>
      </c>
      <c r="L531" s="20">
        <f t="shared" si="186"/>
        <v>1.872670229660647</v>
      </c>
      <c r="M531" s="20" t="e">
        <f t="shared" si="187"/>
        <v>#N/A</v>
      </c>
      <c r="N531" s="20" t="e">
        <f t="shared" si="188"/>
        <v>#N/A</v>
      </c>
      <c r="O531" s="20" t="e">
        <f t="shared" si="189"/>
        <v>#N/A</v>
      </c>
      <c r="P531" s="20" t="e">
        <f t="shared" si="190"/>
        <v>#N/A</v>
      </c>
      <c r="Q531" s="20" t="e">
        <f t="shared" si="191"/>
        <v>#N/A</v>
      </c>
      <c r="R531" s="20" t="e">
        <f t="shared" si="192"/>
        <v>#N/A</v>
      </c>
      <c r="S531" s="20" t="e">
        <f t="shared" si="193"/>
        <v>#N/A</v>
      </c>
      <c r="T531" s="20" t="e">
        <f t="shared" si="194"/>
        <v>#N/A</v>
      </c>
    </row>
    <row r="532" spans="1:20" x14ac:dyDescent="0.25">
      <c r="A532">
        <f t="shared" si="195"/>
        <v>530</v>
      </c>
      <c r="B532">
        <f t="shared" si="176"/>
        <v>10</v>
      </c>
      <c r="C532">
        <f t="shared" si="177"/>
        <v>1.9000000000000008</v>
      </c>
      <c r="D532" s="15">
        <f t="shared" si="178"/>
        <v>2.4324324324324325</v>
      </c>
      <c r="E532">
        <f t="shared" si="179"/>
        <v>1</v>
      </c>
      <c r="F532" s="3">
        <f t="shared" si="180"/>
        <v>82.702702702702751</v>
      </c>
      <c r="G532" s="3">
        <f t="shared" si="181"/>
        <v>1.443434462460176</v>
      </c>
      <c r="H532" s="18">
        <f t="shared" si="182"/>
        <v>0.24133385751906827</v>
      </c>
      <c r="I532" s="3">
        <f t="shared" si="183"/>
        <v>1.8846108269918669</v>
      </c>
      <c r="J532" s="19" t="str">
        <f t="shared" si="184"/>
        <v>L</v>
      </c>
      <c r="K532" s="20">
        <f t="shared" si="185"/>
        <v>0.24133385751906827</v>
      </c>
      <c r="L532" s="20">
        <f t="shared" si="186"/>
        <v>1.8846108269918669</v>
      </c>
      <c r="M532" s="20" t="e">
        <f t="shared" si="187"/>
        <v>#N/A</v>
      </c>
      <c r="N532" s="20" t="e">
        <f t="shared" si="188"/>
        <v>#N/A</v>
      </c>
      <c r="O532" s="20" t="e">
        <f t="shared" si="189"/>
        <v>#N/A</v>
      </c>
      <c r="P532" s="20" t="e">
        <f t="shared" si="190"/>
        <v>#N/A</v>
      </c>
      <c r="Q532" s="20" t="e">
        <f t="shared" si="191"/>
        <v>#N/A</v>
      </c>
      <c r="R532" s="20" t="e">
        <f t="shared" si="192"/>
        <v>#N/A</v>
      </c>
      <c r="S532" s="20" t="e">
        <f t="shared" si="193"/>
        <v>#N/A</v>
      </c>
      <c r="T532" s="20" t="e">
        <f t="shared" si="194"/>
        <v>#N/A</v>
      </c>
    </row>
    <row r="533" spans="1:20" x14ac:dyDescent="0.25">
      <c r="A533">
        <f t="shared" si="195"/>
        <v>531</v>
      </c>
      <c r="B533">
        <f t="shared" si="176"/>
        <v>10</v>
      </c>
      <c r="C533">
        <f t="shared" si="177"/>
        <v>1.9000000000000008</v>
      </c>
      <c r="D533" s="15">
        <f t="shared" si="178"/>
        <v>2.4324324324324325</v>
      </c>
      <c r="E533">
        <f t="shared" si="179"/>
        <v>1</v>
      </c>
      <c r="F533" s="3">
        <f t="shared" si="180"/>
        <v>85.135135135135187</v>
      </c>
      <c r="G533" s="3">
        <f t="shared" si="181"/>
        <v>1.4858884172384166</v>
      </c>
      <c r="H533" s="18">
        <f t="shared" si="182"/>
        <v>0.16113125650346591</v>
      </c>
      <c r="I533" s="3">
        <f t="shared" si="183"/>
        <v>1.8931552282308013</v>
      </c>
      <c r="J533" s="19" t="str">
        <f t="shared" si="184"/>
        <v>L</v>
      </c>
      <c r="K533" s="20">
        <f t="shared" si="185"/>
        <v>0.16113125650346591</v>
      </c>
      <c r="L533" s="20">
        <f t="shared" si="186"/>
        <v>1.8931552282308013</v>
      </c>
      <c r="M533" s="20" t="e">
        <f t="shared" si="187"/>
        <v>#N/A</v>
      </c>
      <c r="N533" s="20" t="e">
        <f t="shared" si="188"/>
        <v>#N/A</v>
      </c>
      <c r="O533" s="20" t="e">
        <f t="shared" si="189"/>
        <v>#N/A</v>
      </c>
      <c r="P533" s="20" t="e">
        <f t="shared" si="190"/>
        <v>#N/A</v>
      </c>
      <c r="Q533" s="20" t="e">
        <f t="shared" si="191"/>
        <v>#N/A</v>
      </c>
      <c r="R533" s="20" t="e">
        <f t="shared" si="192"/>
        <v>#N/A</v>
      </c>
      <c r="S533" s="20" t="e">
        <f t="shared" si="193"/>
        <v>#N/A</v>
      </c>
      <c r="T533" s="20" t="e">
        <f t="shared" si="194"/>
        <v>#N/A</v>
      </c>
    </row>
    <row r="534" spans="1:20" x14ac:dyDescent="0.25">
      <c r="A534">
        <f t="shared" si="195"/>
        <v>532</v>
      </c>
      <c r="B534">
        <f t="shared" si="176"/>
        <v>10</v>
      </c>
      <c r="C534">
        <f t="shared" si="177"/>
        <v>1.9000000000000008</v>
      </c>
      <c r="D534" s="15">
        <f t="shared" si="178"/>
        <v>2.4324324324324325</v>
      </c>
      <c r="E534">
        <f t="shared" si="179"/>
        <v>1</v>
      </c>
      <c r="F534" s="3">
        <f t="shared" si="180"/>
        <v>87.567567567567622</v>
      </c>
      <c r="G534" s="3">
        <f t="shared" si="181"/>
        <v>1.5283423720166571</v>
      </c>
      <c r="H534" s="18">
        <f t="shared" si="182"/>
        <v>8.0638286072680004E-2</v>
      </c>
      <c r="I534" s="3">
        <f t="shared" si="183"/>
        <v>1.8982880357888956</v>
      </c>
      <c r="J534" s="19" t="str">
        <f t="shared" si="184"/>
        <v>L</v>
      </c>
      <c r="K534" s="20">
        <f t="shared" si="185"/>
        <v>8.0638286072680004E-2</v>
      </c>
      <c r="L534" s="20">
        <f t="shared" si="186"/>
        <v>1.8982880357888956</v>
      </c>
      <c r="M534" s="20" t="e">
        <f t="shared" si="187"/>
        <v>#N/A</v>
      </c>
      <c r="N534" s="20" t="e">
        <f t="shared" si="188"/>
        <v>#N/A</v>
      </c>
      <c r="O534" s="20" t="e">
        <f t="shared" si="189"/>
        <v>#N/A</v>
      </c>
      <c r="P534" s="20" t="e">
        <f t="shared" si="190"/>
        <v>#N/A</v>
      </c>
      <c r="Q534" s="20" t="e">
        <f t="shared" si="191"/>
        <v>#N/A</v>
      </c>
      <c r="R534" s="20" t="e">
        <f t="shared" si="192"/>
        <v>#N/A</v>
      </c>
      <c r="S534" s="20" t="e">
        <f t="shared" si="193"/>
        <v>#N/A</v>
      </c>
      <c r="T534" s="20" t="e">
        <f t="shared" si="194"/>
        <v>#N/A</v>
      </c>
    </row>
    <row r="535" spans="1:20" x14ac:dyDescent="0.25">
      <c r="A535">
        <f t="shared" si="195"/>
        <v>533</v>
      </c>
      <c r="B535">
        <f t="shared" si="176"/>
        <v>10</v>
      </c>
      <c r="C535">
        <f t="shared" si="177"/>
        <v>1.9000000000000008</v>
      </c>
      <c r="D535" s="15">
        <f t="shared" si="178"/>
        <v>2.4324324324324325</v>
      </c>
      <c r="E535">
        <f t="shared" si="179"/>
        <v>1</v>
      </c>
      <c r="F535" s="3">
        <f t="shared" si="180"/>
        <v>90.000000000000057</v>
      </c>
      <c r="G535" s="3">
        <f t="shared" si="181"/>
        <v>1.5707963267948977</v>
      </c>
      <c r="H535" s="18">
        <f t="shared" si="182"/>
        <v>-1.9930346435714793E-15</v>
      </c>
      <c r="I535" s="3">
        <f t="shared" si="183"/>
        <v>1.9000000000000008</v>
      </c>
      <c r="J535" s="19" t="str">
        <f t="shared" si="184"/>
        <v>L</v>
      </c>
      <c r="K535" s="20">
        <f t="shared" si="185"/>
        <v>-1.9930346435714793E-15</v>
      </c>
      <c r="L535" s="20">
        <f t="shared" si="186"/>
        <v>1.9000000000000008</v>
      </c>
      <c r="M535" s="20" t="e">
        <f t="shared" si="187"/>
        <v>#N/A</v>
      </c>
      <c r="N535" s="20" t="e">
        <f t="shared" si="188"/>
        <v>#N/A</v>
      </c>
      <c r="O535" s="20" t="e">
        <f t="shared" si="189"/>
        <v>#N/A</v>
      </c>
      <c r="P535" s="20" t="e">
        <f t="shared" si="190"/>
        <v>#N/A</v>
      </c>
      <c r="Q535" s="20" t="e">
        <f t="shared" si="191"/>
        <v>#N/A</v>
      </c>
      <c r="R535" s="20" t="e">
        <f t="shared" si="192"/>
        <v>#N/A</v>
      </c>
      <c r="S535" s="20" t="e">
        <f t="shared" si="193"/>
        <v>#N/A</v>
      </c>
      <c r="T535" s="20" t="e">
        <f t="shared" si="194"/>
        <v>#N/A</v>
      </c>
    </row>
    <row r="536" spans="1:20" x14ac:dyDescent="0.25">
      <c r="A536">
        <f t="shared" si="195"/>
        <v>534</v>
      </c>
      <c r="B536">
        <f t="shared" si="176"/>
        <v>10</v>
      </c>
      <c r="C536">
        <f t="shared" si="177"/>
        <v>1.9000000000000008</v>
      </c>
      <c r="D536" s="15">
        <f t="shared" si="178"/>
        <v>2.4324324324324325</v>
      </c>
      <c r="E536">
        <f t="shared" si="179"/>
        <v>1</v>
      </c>
      <c r="F536" s="3">
        <f t="shared" si="180"/>
        <v>92.432432432432492</v>
      </c>
      <c r="G536" s="3">
        <f t="shared" si="181"/>
        <v>1.613250281573138</v>
      </c>
      <c r="H536" s="18">
        <f t="shared" si="182"/>
        <v>-8.0638286072683557E-2</v>
      </c>
      <c r="I536" s="3">
        <f t="shared" si="183"/>
        <v>1.8982880357888954</v>
      </c>
      <c r="J536" s="19" t="str">
        <f t="shared" si="184"/>
        <v>L</v>
      </c>
      <c r="K536" s="20">
        <f t="shared" si="185"/>
        <v>-8.0638286072683557E-2</v>
      </c>
      <c r="L536" s="20">
        <f t="shared" si="186"/>
        <v>1.8982880357888954</v>
      </c>
      <c r="M536" s="20" t="e">
        <f t="shared" si="187"/>
        <v>#N/A</v>
      </c>
      <c r="N536" s="20" t="e">
        <f t="shared" si="188"/>
        <v>#N/A</v>
      </c>
      <c r="O536" s="20" t="e">
        <f t="shared" si="189"/>
        <v>#N/A</v>
      </c>
      <c r="P536" s="20" t="e">
        <f t="shared" si="190"/>
        <v>#N/A</v>
      </c>
      <c r="Q536" s="20" t="e">
        <f t="shared" si="191"/>
        <v>#N/A</v>
      </c>
      <c r="R536" s="20" t="e">
        <f t="shared" si="192"/>
        <v>#N/A</v>
      </c>
      <c r="S536" s="20" t="e">
        <f t="shared" si="193"/>
        <v>#N/A</v>
      </c>
      <c r="T536" s="20" t="e">
        <f t="shared" si="194"/>
        <v>#N/A</v>
      </c>
    </row>
    <row r="537" spans="1:20" x14ac:dyDescent="0.25">
      <c r="A537">
        <f t="shared" si="195"/>
        <v>535</v>
      </c>
      <c r="B537">
        <f t="shared" si="176"/>
        <v>10</v>
      </c>
      <c r="C537">
        <f t="shared" si="177"/>
        <v>1.9000000000000008</v>
      </c>
      <c r="D537" s="15">
        <f t="shared" si="178"/>
        <v>2.4324324324324325</v>
      </c>
      <c r="E537">
        <f t="shared" si="179"/>
        <v>1</v>
      </c>
      <c r="F537" s="3">
        <f t="shared" si="180"/>
        <v>94.864864864864927</v>
      </c>
      <c r="G537" s="3">
        <f t="shared" si="181"/>
        <v>1.6557042363513788</v>
      </c>
      <c r="H537" s="18">
        <f t="shared" si="182"/>
        <v>-0.16113125650346988</v>
      </c>
      <c r="I537" s="3">
        <f t="shared" si="183"/>
        <v>1.8931552282308011</v>
      </c>
      <c r="J537" s="19" t="str">
        <f t="shared" si="184"/>
        <v>L</v>
      </c>
      <c r="K537" s="20">
        <f t="shared" si="185"/>
        <v>-0.16113125650346988</v>
      </c>
      <c r="L537" s="20">
        <f t="shared" si="186"/>
        <v>1.8931552282308011</v>
      </c>
      <c r="M537" s="20" t="e">
        <f t="shared" si="187"/>
        <v>#N/A</v>
      </c>
      <c r="N537" s="20" t="e">
        <f t="shared" si="188"/>
        <v>#N/A</v>
      </c>
      <c r="O537" s="20" t="e">
        <f t="shared" si="189"/>
        <v>#N/A</v>
      </c>
      <c r="P537" s="20" t="e">
        <f t="shared" si="190"/>
        <v>#N/A</v>
      </c>
      <c r="Q537" s="20" t="e">
        <f t="shared" si="191"/>
        <v>#N/A</v>
      </c>
      <c r="R537" s="20" t="e">
        <f t="shared" si="192"/>
        <v>#N/A</v>
      </c>
      <c r="S537" s="20" t="e">
        <f t="shared" si="193"/>
        <v>#N/A</v>
      </c>
      <c r="T537" s="20" t="e">
        <f t="shared" si="194"/>
        <v>#N/A</v>
      </c>
    </row>
    <row r="538" spans="1:20" x14ac:dyDescent="0.25">
      <c r="A538">
        <f t="shared" si="195"/>
        <v>536</v>
      </c>
      <c r="B538">
        <f t="shared" si="176"/>
        <v>10</v>
      </c>
      <c r="C538">
        <f t="shared" si="177"/>
        <v>1.9000000000000008</v>
      </c>
      <c r="D538" s="15">
        <f t="shared" si="178"/>
        <v>2.4324324324324325</v>
      </c>
      <c r="E538">
        <f t="shared" si="179"/>
        <v>1</v>
      </c>
      <c r="F538" s="3">
        <f t="shared" si="180"/>
        <v>97.297297297297362</v>
      </c>
      <c r="G538" s="3">
        <f t="shared" si="181"/>
        <v>1.6981581911296191</v>
      </c>
      <c r="H538" s="18">
        <f t="shared" si="182"/>
        <v>-0.2413338575190718</v>
      </c>
      <c r="I538" s="3">
        <f t="shared" si="183"/>
        <v>1.8846108269918667</v>
      </c>
      <c r="J538" s="19" t="str">
        <f t="shared" si="184"/>
        <v>L</v>
      </c>
      <c r="K538" s="20">
        <f t="shared" si="185"/>
        <v>-0.2413338575190718</v>
      </c>
      <c r="L538" s="20">
        <f t="shared" si="186"/>
        <v>1.8846108269918667</v>
      </c>
      <c r="M538" s="20" t="e">
        <f t="shared" si="187"/>
        <v>#N/A</v>
      </c>
      <c r="N538" s="20" t="e">
        <f t="shared" si="188"/>
        <v>#N/A</v>
      </c>
      <c r="O538" s="20" t="e">
        <f t="shared" si="189"/>
        <v>#N/A</v>
      </c>
      <c r="P538" s="20" t="e">
        <f t="shared" si="190"/>
        <v>#N/A</v>
      </c>
      <c r="Q538" s="20" t="e">
        <f t="shared" si="191"/>
        <v>#N/A</v>
      </c>
      <c r="R538" s="20" t="e">
        <f t="shared" si="192"/>
        <v>#N/A</v>
      </c>
      <c r="S538" s="20" t="e">
        <f t="shared" si="193"/>
        <v>#N/A</v>
      </c>
      <c r="T538" s="20" t="e">
        <f t="shared" si="194"/>
        <v>#N/A</v>
      </c>
    </row>
    <row r="539" spans="1:20" x14ac:dyDescent="0.25">
      <c r="A539">
        <f t="shared" si="195"/>
        <v>537</v>
      </c>
      <c r="B539">
        <f t="shared" si="176"/>
        <v>10</v>
      </c>
      <c r="C539">
        <f t="shared" si="177"/>
        <v>1.9000000000000008</v>
      </c>
      <c r="D539" s="15">
        <f t="shared" si="178"/>
        <v>2.4324324324324325</v>
      </c>
      <c r="E539">
        <f t="shared" si="179"/>
        <v>1</v>
      </c>
      <c r="F539" s="3">
        <f t="shared" si="180"/>
        <v>99.729729729729797</v>
      </c>
      <c r="G539" s="3">
        <f t="shared" si="181"/>
        <v>1.7406121459078594</v>
      </c>
      <c r="H539" s="18">
        <f t="shared" si="182"/>
        <v>-0.32110155861151524</v>
      </c>
      <c r="I539" s="3">
        <f t="shared" si="183"/>
        <v>1.8726702296606466</v>
      </c>
      <c r="J539" s="19" t="str">
        <f t="shared" si="184"/>
        <v>L</v>
      </c>
      <c r="K539" s="20">
        <f t="shared" si="185"/>
        <v>-0.32110155861151524</v>
      </c>
      <c r="L539" s="20">
        <f t="shared" si="186"/>
        <v>1.8726702296606466</v>
      </c>
      <c r="M539" s="20" t="e">
        <f t="shared" si="187"/>
        <v>#N/A</v>
      </c>
      <c r="N539" s="20" t="e">
        <f t="shared" si="188"/>
        <v>#N/A</v>
      </c>
      <c r="O539" s="20" t="e">
        <f t="shared" si="189"/>
        <v>#N/A</v>
      </c>
      <c r="P539" s="20" t="e">
        <f t="shared" si="190"/>
        <v>#N/A</v>
      </c>
      <c r="Q539" s="20" t="e">
        <f t="shared" si="191"/>
        <v>#N/A</v>
      </c>
      <c r="R539" s="20" t="e">
        <f t="shared" si="192"/>
        <v>#N/A</v>
      </c>
      <c r="S539" s="20" t="e">
        <f t="shared" si="193"/>
        <v>#N/A</v>
      </c>
      <c r="T539" s="20" t="e">
        <f t="shared" si="194"/>
        <v>#N/A</v>
      </c>
    </row>
    <row r="540" spans="1:20" x14ac:dyDescent="0.25">
      <c r="A540">
        <f t="shared" si="195"/>
        <v>538</v>
      </c>
      <c r="B540">
        <f t="shared" si="176"/>
        <v>10</v>
      </c>
      <c r="C540">
        <f t="shared" si="177"/>
        <v>1.9000000000000008</v>
      </c>
      <c r="D540" s="15">
        <f t="shared" si="178"/>
        <v>2.4324324324324325</v>
      </c>
      <c r="E540">
        <f t="shared" si="179"/>
        <v>1</v>
      </c>
      <c r="F540" s="3">
        <f t="shared" si="180"/>
        <v>102.16216216216223</v>
      </c>
      <c r="G540" s="3">
        <f t="shared" si="181"/>
        <v>1.7830661006861002</v>
      </c>
      <c r="H540" s="18">
        <f t="shared" si="182"/>
        <v>-0.40029061299188257</v>
      </c>
      <c r="I540" s="3">
        <f t="shared" si="183"/>
        <v>1.857354954000604</v>
      </c>
      <c r="J540" s="19" t="str">
        <f t="shared" si="184"/>
        <v>L</v>
      </c>
      <c r="K540" s="20">
        <f t="shared" si="185"/>
        <v>-0.40029061299188257</v>
      </c>
      <c r="L540" s="20">
        <f t="shared" si="186"/>
        <v>1.857354954000604</v>
      </c>
      <c r="M540" s="20" t="e">
        <f t="shared" si="187"/>
        <v>#N/A</v>
      </c>
      <c r="N540" s="20" t="e">
        <f t="shared" si="188"/>
        <v>#N/A</v>
      </c>
      <c r="O540" s="20" t="e">
        <f t="shared" si="189"/>
        <v>#N/A</v>
      </c>
      <c r="P540" s="20" t="e">
        <f t="shared" si="190"/>
        <v>#N/A</v>
      </c>
      <c r="Q540" s="20" t="e">
        <f t="shared" si="191"/>
        <v>#N/A</v>
      </c>
      <c r="R540" s="20" t="e">
        <f t="shared" si="192"/>
        <v>#N/A</v>
      </c>
      <c r="S540" s="20" t="e">
        <f t="shared" si="193"/>
        <v>#N/A</v>
      </c>
      <c r="T540" s="20" t="e">
        <f t="shared" si="194"/>
        <v>#N/A</v>
      </c>
    </row>
    <row r="541" spans="1:20" x14ac:dyDescent="0.25">
      <c r="A541">
        <f t="shared" si="195"/>
        <v>539</v>
      </c>
      <c r="B541">
        <f t="shared" si="176"/>
        <v>10</v>
      </c>
      <c r="C541">
        <f t="shared" si="177"/>
        <v>1.9000000000000008</v>
      </c>
      <c r="D541" s="15">
        <f t="shared" si="178"/>
        <v>2.4324324324324325</v>
      </c>
      <c r="E541">
        <f t="shared" si="179"/>
        <v>1</v>
      </c>
      <c r="F541" s="3">
        <f t="shared" si="180"/>
        <v>104.59459459459467</v>
      </c>
      <c r="G541" s="3">
        <f t="shared" si="181"/>
        <v>1.8255200554643405</v>
      </c>
      <c r="H541" s="18">
        <f t="shared" si="182"/>
        <v>-0.47875831663174029</v>
      </c>
      <c r="I541" s="3">
        <f t="shared" si="183"/>
        <v>1.838692599173648</v>
      </c>
      <c r="J541" s="19" t="str">
        <f t="shared" si="184"/>
        <v>L</v>
      </c>
      <c r="K541" s="20">
        <f t="shared" si="185"/>
        <v>-0.47875831663174029</v>
      </c>
      <c r="L541" s="20">
        <f t="shared" si="186"/>
        <v>1.838692599173648</v>
      </c>
      <c r="M541" s="20" t="e">
        <f t="shared" si="187"/>
        <v>#N/A</v>
      </c>
      <c r="N541" s="20" t="e">
        <f t="shared" si="188"/>
        <v>#N/A</v>
      </c>
      <c r="O541" s="20" t="e">
        <f t="shared" si="189"/>
        <v>#N/A</v>
      </c>
      <c r="P541" s="20" t="e">
        <f t="shared" si="190"/>
        <v>#N/A</v>
      </c>
      <c r="Q541" s="20" t="e">
        <f t="shared" si="191"/>
        <v>#N/A</v>
      </c>
      <c r="R541" s="20" t="e">
        <f t="shared" si="192"/>
        <v>#N/A</v>
      </c>
      <c r="S541" s="20" t="e">
        <f t="shared" si="193"/>
        <v>#N/A</v>
      </c>
      <c r="T541" s="20" t="e">
        <f t="shared" si="194"/>
        <v>#N/A</v>
      </c>
    </row>
    <row r="542" spans="1:20" x14ac:dyDescent="0.25">
      <c r="A542">
        <f t="shared" si="195"/>
        <v>540</v>
      </c>
      <c r="B542">
        <f t="shared" si="176"/>
        <v>10</v>
      </c>
      <c r="C542">
        <f t="shared" si="177"/>
        <v>1.9000000000000008</v>
      </c>
      <c r="D542" s="15">
        <f t="shared" si="178"/>
        <v>2.4324324324324325</v>
      </c>
      <c r="E542">
        <f t="shared" si="179"/>
        <v>1</v>
      </c>
      <c r="F542" s="3">
        <f t="shared" si="180"/>
        <v>107.0270270270271</v>
      </c>
      <c r="G542" s="3">
        <f t="shared" si="181"/>
        <v>1.8679740102425808</v>
      </c>
      <c r="H542" s="18">
        <f t="shared" si="182"/>
        <v>-0.55636326542544789</v>
      </c>
      <c r="I542" s="3">
        <f t="shared" si="183"/>
        <v>1.8167167960045769</v>
      </c>
      <c r="J542" s="19" t="str">
        <f t="shared" si="184"/>
        <v>L</v>
      </c>
      <c r="K542" s="20">
        <f t="shared" si="185"/>
        <v>-0.55636326542544789</v>
      </c>
      <c r="L542" s="20">
        <f t="shared" si="186"/>
        <v>1.8167167960045769</v>
      </c>
      <c r="M542" s="20" t="e">
        <f t="shared" si="187"/>
        <v>#N/A</v>
      </c>
      <c r="N542" s="20" t="e">
        <f t="shared" si="188"/>
        <v>#N/A</v>
      </c>
      <c r="O542" s="20" t="e">
        <f t="shared" si="189"/>
        <v>#N/A</v>
      </c>
      <c r="P542" s="20" t="e">
        <f t="shared" si="190"/>
        <v>#N/A</v>
      </c>
      <c r="Q542" s="20" t="e">
        <f t="shared" si="191"/>
        <v>#N/A</v>
      </c>
      <c r="R542" s="20" t="e">
        <f t="shared" si="192"/>
        <v>#N/A</v>
      </c>
      <c r="S542" s="20" t="e">
        <f t="shared" si="193"/>
        <v>#N/A</v>
      </c>
      <c r="T542" s="20" t="e">
        <f t="shared" si="194"/>
        <v>#N/A</v>
      </c>
    </row>
    <row r="543" spans="1:20" x14ac:dyDescent="0.25">
      <c r="A543">
        <f t="shared" si="195"/>
        <v>541</v>
      </c>
      <c r="B543">
        <f t="shared" si="176"/>
        <v>10</v>
      </c>
      <c r="C543">
        <f t="shared" si="177"/>
        <v>1.9000000000000008</v>
      </c>
      <c r="D543" s="15">
        <f t="shared" si="178"/>
        <v>2.4324324324324325</v>
      </c>
      <c r="E543">
        <f t="shared" si="179"/>
        <v>1</v>
      </c>
      <c r="F543" s="3">
        <f t="shared" si="180"/>
        <v>109.45945945945954</v>
      </c>
      <c r="G543" s="3">
        <f t="shared" si="181"/>
        <v>1.9104279650208216</v>
      </c>
      <c r="H543" s="18">
        <f t="shared" si="182"/>
        <v>-0.63296561000991203</v>
      </c>
      <c r="I543" s="3">
        <f t="shared" si="183"/>
        <v>1.7914671463760599</v>
      </c>
      <c r="J543" s="19" t="str">
        <f t="shared" si="184"/>
        <v>L</v>
      </c>
      <c r="K543" s="20">
        <f t="shared" si="185"/>
        <v>-0.63296561000991203</v>
      </c>
      <c r="L543" s="20">
        <f t="shared" si="186"/>
        <v>1.7914671463760599</v>
      </c>
      <c r="M543" s="20" t="e">
        <f t="shared" si="187"/>
        <v>#N/A</v>
      </c>
      <c r="N543" s="20" t="e">
        <f t="shared" si="188"/>
        <v>#N/A</v>
      </c>
      <c r="O543" s="20" t="e">
        <f t="shared" si="189"/>
        <v>#N/A</v>
      </c>
      <c r="P543" s="20" t="e">
        <f t="shared" si="190"/>
        <v>#N/A</v>
      </c>
      <c r="Q543" s="20" t="e">
        <f t="shared" si="191"/>
        <v>#N/A</v>
      </c>
      <c r="R543" s="20" t="e">
        <f t="shared" si="192"/>
        <v>#N/A</v>
      </c>
      <c r="S543" s="20" t="e">
        <f t="shared" si="193"/>
        <v>#N/A</v>
      </c>
      <c r="T543" s="20" t="e">
        <f t="shared" si="194"/>
        <v>#N/A</v>
      </c>
    </row>
    <row r="544" spans="1:20" x14ac:dyDescent="0.25">
      <c r="A544">
        <f t="shared" si="195"/>
        <v>542</v>
      </c>
      <c r="B544">
        <f t="shared" si="176"/>
        <v>10</v>
      </c>
      <c r="C544">
        <f t="shared" si="177"/>
        <v>1.9000000000000008</v>
      </c>
      <c r="D544" s="15">
        <f t="shared" si="178"/>
        <v>2.4324324324324325</v>
      </c>
      <c r="E544">
        <f t="shared" si="179"/>
        <v>1</v>
      </c>
      <c r="F544" s="3">
        <f t="shared" si="180"/>
        <v>111.89189189189197</v>
      </c>
      <c r="G544" s="3">
        <f t="shared" si="181"/>
        <v>1.9528819197990619</v>
      </c>
      <c r="H544" s="18">
        <f t="shared" si="182"/>
        <v>-0.70842730778258889</v>
      </c>
      <c r="I544" s="3">
        <f t="shared" si="183"/>
        <v>1.7629891518633676</v>
      </c>
      <c r="J544" s="19" t="str">
        <f t="shared" si="184"/>
        <v>L</v>
      </c>
      <c r="K544" s="20">
        <f t="shared" si="185"/>
        <v>-0.70842730778258889</v>
      </c>
      <c r="L544" s="20">
        <f t="shared" si="186"/>
        <v>1.7629891518633676</v>
      </c>
      <c r="M544" s="20" t="e">
        <f t="shared" si="187"/>
        <v>#N/A</v>
      </c>
      <c r="N544" s="20" t="e">
        <f t="shared" si="188"/>
        <v>#N/A</v>
      </c>
      <c r="O544" s="20" t="e">
        <f t="shared" si="189"/>
        <v>#N/A</v>
      </c>
      <c r="P544" s="20" t="e">
        <f t="shared" si="190"/>
        <v>#N/A</v>
      </c>
      <c r="Q544" s="20" t="e">
        <f t="shared" si="191"/>
        <v>#N/A</v>
      </c>
      <c r="R544" s="20" t="e">
        <f t="shared" si="192"/>
        <v>#N/A</v>
      </c>
      <c r="S544" s="20" t="e">
        <f t="shared" si="193"/>
        <v>#N/A</v>
      </c>
      <c r="T544" s="20" t="e">
        <f t="shared" si="194"/>
        <v>#N/A</v>
      </c>
    </row>
    <row r="545" spans="1:20" x14ac:dyDescent="0.25">
      <c r="A545">
        <f t="shared" si="195"/>
        <v>543</v>
      </c>
      <c r="B545">
        <f t="shared" si="176"/>
        <v>10</v>
      </c>
      <c r="C545">
        <f t="shared" si="177"/>
        <v>1.9000000000000008</v>
      </c>
      <c r="D545" s="15">
        <f t="shared" si="178"/>
        <v>2.4324324324324325</v>
      </c>
      <c r="E545">
        <f t="shared" si="179"/>
        <v>1</v>
      </c>
      <c r="F545" s="3">
        <f t="shared" si="180"/>
        <v>114.32432432432441</v>
      </c>
      <c r="G545" s="3">
        <f t="shared" si="181"/>
        <v>1.9953358745773027</v>
      </c>
      <c r="H545" s="18">
        <f t="shared" si="182"/>
        <v>-0.7826123716635891</v>
      </c>
      <c r="I545" s="3">
        <f t="shared" si="183"/>
        <v>1.7313341317374573</v>
      </c>
      <c r="J545" s="19" t="str">
        <f t="shared" si="184"/>
        <v>L</v>
      </c>
      <c r="K545" s="20">
        <f t="shared" si="185"/>
        <v>-0.7826123716635891</v>
      </c>
      <c r="L545" s="20">
        <f t="shared" si="186"/>
        <v>1.7313341317374573</v>
      </c>
      <c r="M545" s="20" t="e">
        <f t="shared" si="187"/>
        <v>#N/A</v>
      </c>
      <c r="N545" s="20" t="e">
        <f t="shared" si="188"/>
        <v>#N/A</v>
      </c>
      <c r="O545" s="20" t="e">
        <f t="shared" si="189"/>
        <v>#N/A</v>
      </c>
      <c r="P545" s="20" t="e">
        <f t="shared" si="190"/>
        <v>#N/A</v>
      </c>
      <c r="Q545" s="20" t="e">
        <f t="shared" si="191"/>
        <v>#N/A</v>
      </c>
      <c r="R545" s="20" t="e">
        <f t="shared" si="192"/>
        <v>#N/A</v>
      </c>
      <c r="S545" s="20" t="e">
        <f t="shared" si="193"/>
        <v>#N/A</v>
      </c>
      <c r="T545" s="20" t="e">
        <f t="shared" si="194"/>
        <v>#N/A</v>
      </c>
    </row>
    <row r="546" spans="1:20" x14ac:dyDescent="0.25">
      <c r="A546">
        <f t="shared" si="195"/>
        <v>544</v>
      </c>
      <c r="B546">
        <f t="shared" si="176"/>
        <v>10</v>
      </c>
      <c r="C546">
        <f t="shared" si="177"/>
        <v>1.9000000000000008</v>
      </c>
      <c r="D546" s="15">
        <f t="shared" si="178"/>
        <v>2.4324324324324325</v>
      </c>
      <c r="E546">
        <f t="shared" si="179"/>
        <v>1</v>
      </c>
      <c r="F546" s="3">
        <f t="shared" si="180"/>
        <v>116.75675675675684</v>
      </c>
      <c r="G546" s="3">
        <f t="shared" si="181"/>
        <v>2.037789829355543</v>
      </c>
      <c r="H546" s="18">
        <f t="shared" si="182"/>
        <v>-0.85538711515358201</v>
      </c>
      <c r="I546" s="3">
        <f t="shared" si="183"/>
        <v>1.6965591304841796</v>
      </c>
      <c r="J546" s="19" t="str">
        <f t="shared" si="184"/>
        <v>L</v>
      </c>
      <c r="K546" s="20">
        <f t="shared" si="185"/>
        <v>-0.85538711515358201</v>
      </c>
      <c r="L546" s="20">
        <f t="shared" si="186"/>
        <v>1.6965591304841796</v>
      </c>
      <c r="M546" s="20" t="e">
        <f t="shared" si="187"/>
        <v>#N/A</v>
      </c>
      <c r="N546" s="20" t="e">
        <f t="shared" si="188"/>
        <v>#N/A</v>
      </c>
      <c r="O546" s="20" t="e">
        <f t="shared" si="189"/>
        <v>#N/A</v>
      </c>
      <c r="P546" s="20" t="e">
        <f t="shared" si="190"/>
        <v>#N/A</v>
      </c>
      <c r="Q546" s="20" t="e">
        <f t="shared" si="191"/>
        <v>#N/A</v>
      </c>
      <c r="R546" s="20" t="e">
        <f t="shared" si="192"/>
        <v>#N/A</v>
      </c>
      <c r="S546" s="20" t="e">
        <f t="shared" si="193"/>
        <v>#N/A</v>
      </c>
      <c r="T546" s="20" t="e">
        <f t="shared" si="194"/>
        <v>#N/A</v>
      </c>
    </row>
    <row r="547" spans="1:20" x14ac:dyDescent="0.25">
      <c r="A547">
        <f t="shared" si="195"/>
        <v>545</v>
      </c>
      <c r="B547">
        <f t="shared" si="176"/>
        <v>10</v>
      </c>
      <c r="C547">
        <f t="shared" si="177"/>
        <v>1.9000000000000008</v>
      </c>
      <c r="D547" s="15">
        <f t="shared" si="178"/>
        <v>2.4324324324324325</v>
      </c>
      <c r="E547">
        <f t="shared" si="179"/>
        <v>1</v>
      </c>
      <c r="F547" s="3">
        <f t="shared" si="180"/>
        <v>119.18918918918928</v>
      </c>
      <c r="G547" s="3">
        <f t="shared" si="181"/>
        <v>2.0802437841337835</v>
      </c>
      <c r="H547" s="18">
        <f t="shared" si="182"/>
        <v>-0.9266203932459085</v>
      </c>
      <c r="I547" s="3">
        <f t="shared" si="183"/>
        <v>1.6587268150062566</v>
      </c>
      <c r="J547" s="19" t="str">
        <f t="shared" si="184"/>
        <v>L</v>
      </c>
      <c r="K547" s="20">
        <f t="shared" si="185"/>
        <v>-0.9266203932459085</v>
      </c>
      <c r="L547" s="20">
        <f t="shared" si="186"/>
        <v>1.6587268150062566</v>
      </c>
      <c r="M547" s="20" t="e">
        <f t="shared" si="187"/>
        <v>#N/A</v>
      </c>
      <c r="N547" s="20" t="e">
        <f t="shared" si="188"/>
        <v>#N/A</v>
      </c>
      <c r="O547" s="20" t="e">
        <f t="shared" si="189"/>
        <v>#N/A</v>
      </c>
      <c r="P547" s="20" t="e">
        <f t="shared" si="190"/>
        <v>#N/A</v>
      </c>
      <c r="Q547" s="20" t="e">
        <f t="shared" si="191"/>
        <v>#N/A</v>
      </c>
      <c r="R547" s="20" t="e">
        <f t="shared" si="192"/>
        <v>#N/A</v>
      </c>
      <c r="S547" s="20" t="e">
        <f t="shared" si="193"/>
        <v>#N/A</v>
      </c>
      <c r="T547" s="20" t="e">
        <f t="shared" si="194"/>
        <v>#N/A</v>
      </c>
    </row>
    <row r="548" spans="1:20" x14ac:dyDescent="0.25">
      <c r="A548">
        <f t="shared" si="195"/>
        <v>546</v>
      </c>
      <c r="B548">
        <f t="shared" si="176"/>
        <v>10</v>
      </c>
      <c r="C548">
        <f t="shared" si="177"/>
        <v>1.9000000000000008</v>
      </c>
      <c r="D548" s="15">
        <f t="shared" si="178"/>
        <v>2.4324324324324325</v>
      </c>
      <c r="E548">
        <f t="shared" si="179"/>
        <v>1</v>
      </c>
      <c r="F548" s="3">
        <f t="shared" si="180"/>
        <v>121.62162162162171</v>
      </c>
      <c r="G548" s="3">
        <f t="shared" si="181"/>
        <v>2.1226977389120241</v>
      </c>
      <c r="H548" s="18">
        <f t="shared" si="182"/>
        <v>-0.99618383875874328</v>
      </c>
      <c r="I548" s="3">
        <f t="shared" si="183"/>
        <v>1.6179053616932904</v>
      </c>
      <c r="J548" s="19" t="str">
        <f t="shared" si="184"/>
        <v>L</v>
      </c>
      <c r="K548" s="20">
        <f t="shared" si="185"/>
        <v>-0.99618383875874328</v>
      </c>
      <c r="L548" s="20">
        <f t="shared" si="186"/>
        <v>1.6179053616932904</v>
      </c>
      <c r="M548" s="20" t="e">
        <f t="shared" si="187"/>
        <v>#N/A</v>
      </c>
      <c r="N548" s="20" t="e">
        <f t="shared" si="188"/>
        <v>#N/A</v>
      </c>
      <c r="O548" s="20" t="e">
        <f t="shared" si="189"/>
        <v>#N/A</v>
      </c>
      <c r="P548" s="20" t="e">
        <f t="shared" si="190"/>
        <v>#N/A</v>
      </c>
      <c r="Q548" s="20" t="e">
        <f t="shared" si="191"/>
        <v>#N/A</v>
      </c>
      <c r="R548" s="20" t="e">
        <f t="shared" si="192"/>
        <v>#N/A</v>
      </c>
      <c r="S548" s="20" t="e">
        <f t="shared" si="193"/>
        <v>#N/A</v>
      </c>
      <c r="T548" s="20" t="e">
        <f t="shared" si="194"/>
        <v>#N/A</v>
      </c>
    </row>
    <row r="549" spans="1:20" x14ac:dyDescent="0.25">
      <c r="A549">
        <f t="shared" si="195"/>
        <v>547</v>
      </c>
      <c r="B549">
        <f t="shared" si="176"/>
        <v>10</v>
      </c>
      <c r="C549">
        <f t="shared" si="177"/>
        <v>1.9000000000000008</v>
      </c>
      <c r="D549" s="15">
        <f t="shared" si="178"/>
        <v>2.4324324324324325</v>
      </c>
      <c r="E549">
        <f t="shared" si="179"/>
        <v>1</v>
      </c>
      <c r="F549" s="3">
        <f t="shared" si="180"/>
        <v>124.05405405405415</v>
      </c>
      <c r="G549" s="3">
        <f t="shared" si="181"/>
        <v>2.1651516936902646</v>
      </c>
      <c r="H549" s="18">
        <f t="shared" si="182"/>
        <v>-1.0639520936614344</v>
      </c>
      <c r="I549" s="3">
        <f t="shared" si="183"/>
        <v>1.574168333563299</v>
      </c>
      <c r="J549" s="19" t="str">
        <f t="shared" si="184"/>
        <v>C</v>
      </c>
      <c r="K549" s="20" t="e">
        <f t="shared" si="185"/>
        <v>#N/A</v>
      </c>
      <c r="L549" s="20" t="e">
        <f t="shared" si="186"/>
        <v>#N/A</v>
      </c>
      <c r="M549" s="20">
        <f t="shared" si="187"/>
        <v>-1.0639520936614344</v>
      </c>
      <c r="N549" s="20">
        <f t="shared" si="188"/>
        <v>1.574168333563299</v>
      </c>
      <c r="O549" s="20" t="e">
        <f t="shared" si="189"/>
        <v>#N/A</v>
      </c>
      <c r="P549" s="20" t="e">
        <f t="shared" si="190"/>
        <v>#N/A</v>
      </c>
      <c r="Q549" s="20" t="e">
        <f t="shared" si="191"/>
        <v>#N/A</v>
      </c>
      <c r="R549" s="20" t="e">
        <f t="shared" si="192"/>
        <v>#N/A</v>
      </c>
      <c r="S549" s="20" t="e">
        <f t="shared" si="193"/>
        <v>#N/A</v>
      </c>
      <c r="T549" s="20" t="e">
        <f t="shared" si="194"/>
        <v>#N/A</v>
      </c>
    </row>
    <row r="550" spans="1:20" x14ac:dyDescent="0.25">
      <c r="A550">
        <f t="shared" si="195"/>
        <v>548</v>
      </c>
      <c r="B550">
        <f t="shared" si="176"/>
        <v>10</v>
      </c>
      <c r="C550">
        <f t="shared" si="177"/>
        <v>1.9000000000000008</v>
      </c>
      <c r="D550" s="15">
        <f t="shared" si="178"/>
        <v>2.4324324324324325</v>
      </c>
      <c r="E550">
        <f t="shared" si="179"/>
        <v>1</v>
      </c>
      <c r="F550" s="3">
        <f t="shared" si="180"/>
        <v>126.48648648648658</v>
      </c>
      <c r="G550" s="3">
        <f t="shared" si="181"/>
        <v>2.2076056484685052</v>
      </c>
      <c r="H550" s="18">
        <f t="shared" si="182"/>
        <v>-1.1298030349781478</v>
      </c>
      <c r="I550" s="3">
        <f t="shared" si="183"/>
        <v>1.5275945476971855</v>
      </c>
      <c r="J550" s="19" t="str">
        <f t="shared" si="184"/>
        <v>C</v>
      </c>
      <c r="K550" s="20" t="e">
        <f t="shared" si="185"/>
        <v>#N/A</v>
      </c>
      <c r="L550" s="20" t="e">
        <f t="shared" si="186"/>
        <v>#N/A</v>
      </c>
      <c r="M550" s="20">
        <f t="shared" si="187"/>
        <v>-1.1298030349781478</v>
      </c>
      <c r="N550" s="20">
        <f t="shared" si="188"/>
        <v>1.5275945476971855</v>
      </c>
      <c r="O550" s="20" t="e">
        <f t="shared" si="189"/>
        <v>#N/A</v>
      </c>
      <c r="P550" s="20" t="e">
        <f t="shared" si="190"/>
        <v>#N/A</v>
      </c>
      <c r="Q550" s="20" t="e">
        <f t="shared" si="191"/>
        <v>#N/A</v>
      </c>
      <c r="R550" s="20" t="e">
        <f t="shared" si="192"/>
        <v>#N/A</v>
      </c>
      <c r="S550" s="20" t="e">
        <f t="shared" si="193"/>
        <v>#N/A</v>
      </c>
      <c r="T550" s="20" t="e">
        <f t="shared" si="194"/>
        <v>#N/A</v>
      </c>
    </row>
    <row r="551" spans="1:20" x14ac:dyDescent="0.25">
      <c r="A551">
        <f t="shared" si="195"/>
        <v>549</v>
      </c>
      <c r="B551">
        <f t="shared" si="176"/>
        <v>10</v>
      </c>
      <c r="C551">
        <f t="shared" si="177"/>
        <v>1.9000000000000008</v>
      </c>
      <c r="D551" s="15">
        <f t="shared" si="178"/>
        <v>2.4324324324324325</v>
      </c>
      <c r="E551">
        <f t="shared" si="179"/>
        <v>1</v>
      </c>
      <c r="F551" s="3">
        <f t="shared" si="180"/>
        <v>128.91891891891902</v>
      </c>
      <c r="G551" s="3">
        <f t="shared" si="181"/>
        <v>2.2500596032467457</v>
      </c>
      <c r="H551" s="18">
        <f t="shared" si="182"/>
        <v>-1.1936179948617238</v>
      </c>
      <c r="I551" s="3">
        <f t="shared" si="183"/>
        <v>1.4782679332050335</v>
      </c>
      <c r="J551" s="19" t="str">
        <f t="shared" si="184"/>
        <v>C</v>
      </c>
      <c r="K551" s="20" t="e">
        <f t="shared" si="185"/>
        <v>#N/A</v>
      </c>
      <c r="L551" s="20" t="e">
        <f t="shared" si="186"/>
        <v>#N/A</v>
      </c>
      <c r="M551" s="20">
        <f t="shared" si="187"/>
        <v>-1.1936179948617238</v>
      </c>
      <c r="N551" s="20">
        <f t="shared" si="188"/>
        <v>1.4782679332050335</v>
      </c>
      <c r="O551" s="20" t="e">
        <f t="shared" si="189"/>
        <v>#N/A</v>
      </c>
      <c r="P551" s="20" t="e">
        <f t="shared" si="190"/>
        <v>#N/A</v>
      </c>
      <c r="Q551" s="20" t="e">
        <f t="shared" si="191"/>
        <v>#N/A</v>
      </c>
      <c r="R551" s="20" t="e">
        <f t="shared" si="192"/>
        <v>#N/A</v>
      </c>
      <c r="S551" s="20" t="e">
        <f t="shared" si="193"/>
        <v>#N/A</v>
      </c>
      <c r="T551" s="20" t="e">
        <f t="shared" si="194"/>
        <v>#N/A</v>
      </c>
    </row>
    <row r="552" spans="1:20" x14ac:dyDescent="0.25">
      <c r="A552">
        <f t="shared" si="195"/>
        <v>550</v>
      </c>
      <c r="B552">
        <f t="shared" si="176"/>
        <v>10</v>
      </c>
      <c r="C552">
        <f t="shared" si="177"/>
        <v>1.9000000000000008</v>
      </c>
      <c r="D552" s="15">
        <f t="shared" si="178"/>
        <v>2.4324324324324325</v>
      </c>
      <c r="E552">
        <f t="shared" si="179"/>
        <v>1</v>
      </c>
      <c r="F552" s="3">
        <f t="shared" si="180"/>
        <v>131.35135135135144</v>
      </c>
      <c r="G552" s="3">
        <f t="shared" si="181"/>
        <v>2.2925135580249858</v>
      </c>
      <c r="H552" s="18">
        <f t="shared" si="182"/>
        <v>-1.2552819744411574</v>
      </c>
      <c r="I552" s="3">
        <f t="shared" si="183"/>
        <v>1.4262773799801749</v>
      </c>
      <c r="J552" s="19" t="str">
        <f t="shared" si="184"/>
        <v>C</v>
      </c>
      <c r="K552" s="20" t="e">
        <f t="shared" si="185"/>
        <v>#N/A</v>
      </c>
      <c r="L552" s="20" t="e">
        <f t="shared" si="186"/>
        <v>#N/A</v>
      </c>
      <c r="M552" s="20">
        <f t="shared" si="187"/>
        <v>-1.2552819744411574</v>
      </c>
      <c r="N552" s="20">
        <f t="shared" si="188"/>
        <v>1.4262773799801749</v>
      </c>
      <c r="O552" s="20" t="e">
        <f t="shared" si="189"/>
        <v>#N/A</v>
      </c>
      <c r="P552" s="20" t="e">
        <f t="shared" si="190"/>
        <v>#N/A</v>
      </c>
      <c r="Q552" s="20" t="e">
        <f t="shared" si="191"/>
        <v>#N/A</v>
      </c>
      <c r="R552" s="20" t="e">
        <f t="shared" si="192"/>
        <v>#N/A</v>
      </c>
      <c r="S552" s="20" t="e">
        <f t="shared" si="193"/>
        <v>#N/A</v>
      </c>
      <c r="T552" s="20" t="e">
        <f t="shared" si="194"/>
        <v>#N/A</v>
      </c>
    </row>
    <row r="553" spans="1:20" x14ac:dyDescent="0.25">
      <c r="A553">
        <f t="shared" si="195"/>
        <v>551</v>
      </c>
      <c r="B553">
        <f t="shared" si="176"/>
        <v>10</v>
      </c>
      <c r="C553">
        <f t="shared" si="177"/>
        <v>1.9000000000000008</v>
      </c>
      <c r="D553" s="15">
        <f t="shared" si="178"/>
        <v>2.4324324324324325</v>
      </c>
      <c r="E553">
        <f t="shared" si="179"/>
        <v>1</v>
      </c>
      <c r="F553" s="3">
        <f t="shared" si="180"/>
        <v>133.78378378378386</v>
      </c>
      <c r="G553" s="3">
        <f t="shared" si="181"/>
        <v>2.3349675128032259</v>
      </c>
      <c r="H553" s="18">
        <f t="shared" si="182"/>
        <v>-1.31468385105734</v>
      </c>
      <c r="I553" s="3">
        <f t="shared" si="183"/>
        <v>1.3717165785135954</v>
      </c>
      <c r="J553" s="19" t="str">
        <f t="shared" si="184"/>
        <v>C</v>
      </c>
      <c r="K553" s="20" t="e">
        <f t="shared" si="185"/>
        <v>#N/A</v>
      </c>
      <c r="L553" s="20" t="e">
        <f t="shared" si="186"/>
        <v>#N/A</v>
      </c>
      <c r="M553" s="20">
        <f t="shared" si="187"/>
        <v>-1.31468385105734</v>
      </c>
      <c r="N553" s="20">
        <f t="shared" si="188"/>
        <v>1.3717165785135954</v>
      </c>
      <c r="O553" s="20" t="e">
        <f t="shared" si="189"/>
        <v>#N/A</v>
      </c>
      <c r="P553" s="20" t="e">
        <f t="shared" si="190"/>
        <v>#N/A</v>
      </c>
      <c r="Q553" s="20" t="e">
        <f t="shared" si="191"/>
        <v>#N/A</v>
      </c>
      <c r="R553" s="20" t="e">
        <f t="shared" si="192"/>
        <v>#N/A</v>
      </c>
      <c r="S553" s="20" t="e">
        <f t="shared" si="193"/>
        <v>#N/A</v>
      </c>
      <c r="T553" s="20" t="e">
        <f t="shared" si="194"/>
        <v>#N/A</v>
      </c>
    </row>
    <row r="554" spans="1:20" x14ac:dyDescent="0.25">
      <c r="A554">
        <f t="shared" si="195"/>
        <v>552</v>
      </c>
      <c r="B554">
        <f t="shared" si="176"/>
        <v>10</v>
      </c>
      <c r="C554">
        <f t="shared" si="177"/>
        <v>1.9000000000000008</v>
      </c>
      <c r="D554" s="15">
        <f t="shared" si="178"/>
        <v>2.4324324324324325</v>
      </c>
      <c r="E554">
        <f t="shared" si="179"/>
        <v>1</v>
      </c>
      <c r="F554" s="3">
        <f t="shared" si="180"/>
        <v>136.21621621621628</v>
      </c>
      <c r="G554" s="3">
        <f t="shared" si="181"/>
        <v>2.3774214675814664</v>
      </c>
      <c r="H554" s="18">
        <f t="shared" si="182"/>
        <v>-1.3717165785135987</v>
      </c>
      <c r="I554" s="3">
        <f t="shared" si="183"/>
        <v>1.3146838510573366</v>
      </c>
      <c r="J554" s="19" t="str">
        <f t="shared" si="184"/>
        <v>C</v>
      </c>
      <c r="K554" s="20" t="e">
        <f t="shared" si="185"/>
        <v>#N/A</v>
      </c>
      <c r="L554" s="20" t="e">
        <f t="shared" si="186"/>
        <v>#N/A</v>
      </c>
      <c r="M554" s="20">
        <f t="shared" si="187"/>
        <v>-1.3717165785135987</v>
      </c>
      <c r="N554" s="20">
        <f t="shared" si="188"/>
        <v>1.3146838510573366</v>
      </c>
      <c r="O554" s="20" t="e">
        <f t="shared" si="189"/>
        <v>#N/A</v>
      </c>
      <c r="P554" s="20" t="e">
        <f t="shared" si="190"/>
        <v>#N/A</v>
      </c>
      <c r="Q554" s="20" t="e">
        <f t="shared" si="191"/>
        <v>#N/A</v>
      </c>
      <c r="R554" s="20" t="e">
        <f t="shared" si="192"/>
        <v>#N/A</v>
      </c>
      <c r="S554" s="20" t="e">
        <f t="shared" si="193"/>
        <v>#N/A</v>
      </c>
      <c r="T554" s="20" t="e">
        <f t="shared" si="194"/>
        <v>#N/A</v>
      </c>
    </row>
    <row r="555" spans="1:20" x14ac:dyDescent="0.25">
      <c r="A555">
        <f t="shared" si="195"/>
        <v>553</v>
      </c>
      <c r="B555">
        <f t="shared" si="176"/>
        <v>10</v>
      </c>
      <c r="C555">
        <f t="shared" si="177"/>
        <v>1.9000000000000008</v>
      </c>
      <c r="D555" s="15">
        <f t="shared" si="178"/>
        <v>2.4324324324324325</v>
      </c>
      <c r="E555">
        <f t="shared" si="179"/>
        <v>1</v>
      </c>
      <c r="F555" s="3">
        <f t="shared" si="180"/>
        <v>138.6486486486487</v>
      </c>
      <c r="G555" s="3">
        <f t="shared" si="181"/>
        <v>2.4198754223597065</v>
      </c>
      <c r="H555" s="18">
        <f t="shared" si="182"/>
        <v>-1.426277379980178</v>
      </c>
      <c r="I555" s="3">
        <f t="shared" si="183"/>
        <v>1.2552819744411539</v>
      </c>
      <c r="J555" s="19" t="str">
        <f t="shared" si="184"/>
        <v>C</v>
      </c>
      <c r="K555" s="20" t="e">
        <f t="shared" si="185"/>
        <v>#N/A</v>
      </c>
      <c r="L555" s="20" t="e">
        <f t="shared" si="186"/>
        <v>#N/A</v>
      </c>
      <c r="M555" s="20">
        <f t="shared" si="187"/>
        <v>-1.426277379980178</v>
      </c>
      <c r="N555" s="20">
        <f t="shared" si="188"/>
        <v>1.2552819744411539</v>
      </c>
      <c r="O555" s="20" t="e">
        <f t="shared" si="189"/>
        <v>#N/A</v>
      </c>
      <c r="P555" s="20" t="e">
        <f t="shared" si="190"/>
        <v>#N/A</v>
      </c>
      <c r="Q555" s="20" t="e">
        <f t="shared" si="191"/>
        <v>#N/A</v>
      </c>
      <c r="R555" s="20" t="e">
        <f t="shared" si="192"/>
        <v>#N/A</v>
      </c>
      <c r="S555" s="20" t="e">
        <f t="shared" si="193"/>
        <v>#N/A</v>
      </c>
      <c r="T555" s="20" t="e">
        <f t="shared" si="194"/>
        <v>#N/A</v>
      </c>
    </row>
    <row r="556" spans="1:20" x14ac:dyDescent="0.25">
      <c r="A556">
        <f t="shared" si="195"/>
        <v>554</v>
      </c>
      <c r="B556">
        <f t="shared" si="176"/>
        <v>10</v>
      </c>
      <c r="C556">
        <f t="shared" si="177"/>
        <v>1.9000000000000008</v>
      </c>
      <c r="D556" s="15">
        <f t="shared" si="178"/>
        <v>2.4324324324324325</v>
      </c>
      <c r="E556">
        <f t="shared" si="179"/>
        <v>1</v>
      </c>
      <c r="F556" s="3">
        <f t="shared" si="180"/>
        <v>141.08108108108112</v>
      </c>
      <c r="G556" s="3">
        <f t="shared" si="181"/>
        <v>2.4623293771379466</v>
      </c>
      <c r="H556" s="18">
        <f t="shared" si="182"/>
        <v>-1.4782679332050364</v>
      </c>
      <c r="I556" s="3">
        <f t="shared" si="183"/>
        <v>1.19361799486172</v>
      </c>
      <c r="J556" s="19" t="str">
        <f t="shared" si="184"/>
        <v>C</v>
      </c>
      <c r="K556" s="20" t="e">
        <f t="shared" si="185"/>
        <v>#N/A</v>
      </c>
      <c r="L556" s="20" t="e">
        <f t="shared" si="186"/>
        <v>#N/A</v>
      </c>
      <c r="M556" s="20">
        <f t="shared" si="187"/>
        <v>-1.4782679332050364</v>
      </c>
      <c r="N556" s="20">
        <f t="shared" si="188"/>
        <v>1.19361799486172</v>
      </c>
      <c r="O556" s="20" t="e">
        <f t="shared" si="189"/>
        <v>#N/A</v>
      </c>
      <c r="P556" s="20" t="e">
        <f t="shared" si="190"/>
        <v>#N/A</v>
      </c>
      <c r="Q556" s="20" t="e">
        <f t="shared" si="191"/>
        <v>#N/A</v>
      </c>
      <c r="R556" s="20" t="e">
        <f t="shared" si="192"/>
        <v>#N/A</v>
      </c>
      <c r="S556" s="20" t="e">
        <f t="shared" si="193"/>
        <v>#N/A</v>
      </c>
      <c r="T556" s="20" t="e">
        <f t="shared" si="194"/>
        <v>#N/A</v>
      </c>
    </row>
    <row r="557" spans="1:20" x14ac:dyDescent="0.25">
      <c r="A557">
        <f t="shared" si="195"/>
        <v>555</v>
      </c>
      <c r="B557">
        <f t="shared" si="176"/>
        <v>10</v>
      </c>
      <c r="C557">
        <f t="shared" si="177"/>
        <v>1.9000000000000008</v>
      </c>
      <c r="D557" s="15">
        <f t="shared" si="178"/>
        <v>2.4324324324324325</v>
      </c>
      <c r="E557">
        <f t="shared" si="179"/>
        <v>1</v>
      </c>
      <c r="F557" s="3">
        <f t="shared" si="180"/>
        <v>143.51351351351354</v>
      </c>
      <c r="G557" s="3">
        <f t="shared" si="181"/>
        <v>2.5047833319161872</v>
      </c>
      <c r="H557" s="18">
        <f t="shared" si="182"/>
        <v>-1.5275945476971886</v>
      </c>
      <c r="I557" s="3">
        <f t="shared" si="183"/>
        <v>1.1298030349781438</v>
      </c>
      <c r="J557" s="19" t="str">
        <f t="shared" si="184"/>
        <v>C</v>
      </c>
      <c r="K557" s="20" t="e">
        <f t="shared" si="185"/>
        <v>#N/A</v>
      </c>
      <c r="L557" s="20" t="e">
        <f t="shared" si="186"/>
        <v>#N/A</v>
      </c>
      <c r="M557" s="20">
        <f t="shared" si="187"/>
        <v>-1.5275945476971886</v>
      </c>
      <c r="N557" s="20">
        <f t="shared" si="188"/>
        <v>1.1298030349781438</v>
      </c>
      <c r="O557" s="20" t="e">
        <f t="shared" si="189"/>
        <v>#N/A</v>
      </c>
      <c r="P557" s="20" t="e">
        <f t="shared" si="190"/>
        <v>#N/A</v>
      </c>
      <c r="Q557" s="20" t="e">
        <f t="shared" si="191"/>
        <v>#N/A</v>
      </c>
      <c r="R557" s="20" t="e">
        <f t="shared" si="192"/>
        <v>#N/A</v>
      </c>
      <c r="S557" s="20" t="e">
        <f t="shared" si="193"/>
        <v>#N/A</v>
      </c>
      <c r="T557" s="20" t="e">
        <f t="shared" si="194"/>
        <v>#N/A</v>
      </c>
    </row>
    <row r="558" spans="1:20" x14ac:dyDescent="0.25">
      <c r="A558">
        <f t="shared" si="195"/>
        <v>556</v>
      </c>
      <c r="B558">
        <f t="shared" si="176"/>
        <v>10</v>
      </c>
      <c r="C558">
        <f t="shared" si="177"/>
        <v>1.9000000000000008</v>
      </c>
      <c r="D558" s="15">
        <f t="shared" si="178"/>
        <v>2.4324324324324325</v>
      </c>
      <c r="E558">
        <f t="shared" si="179"/>
        <v>1</v>
      </c>
      <c r="F558" s="3">
        <f t="shared" si="180"/>
        <v>145.94594594594597</v>
      </c>
      <c r="G558" s="3">
        <f t="shared" si="181"/>
        <v>2.5472372866944273</v>
      </c>
      <c r="H558" s="18">
        <f t="shared" si="182"/>
        <v>-1.574168333563301</v>
      </c>
      <c r="I558" s="3">
        <f t="shared" si="183"/>
        <v>1.0639520936614311</v>
      </c>
      <c r="J558" s="19" t="str">
        <f t="shared" si="184"/>
        <v>C</v>
      </c>
      <c r="K558" s="20" t="e">
        <f t="shared" si="185"/>
        <v>#N/A</v>
      </c>
      <c r="L558" s="20" t="e">
        <f t="shared" si="186"/>
        <v>#N/A</v>
      </c>
      <c r="M558" s="20">
        <f t="shared" si="187"/>
        <v>-1.574168333563301</v>
      </c>
      <c r="N558" s="20">
        <f t="shared" si="188"/>
        <v>1.0639520936614311</v>
      </c>
      <c r="O558" s="20" t="e">
        <f t="shared" si="189"/>
        <v>#N/A</v>
      </c>
      <c r="P558" s="20" t="e">
        <f t="shared" si="190"/>
        <v>#N/A</v>
      </c>
      <c r="Q558" s="20" t="e">
        <f t="shared" si="191"/>
        <v>#N/A</v>
      </c>
      <c r="R558" s="20" t="e">
        <f t="shared" si="192"/>
        <v>#N/A</v>
      </c>
      <c r="S558" s="20" t="e">
        <f t="shared" si="193"/>
        <v>#N/A</v>
      </c>
      <c r="T558" s="20" t="e">
        <f t="shared" si="194"/>
        <v>#N/A</v>
      </c>
    </row>
    <row r="559" spans="1:20" x14ac:dyDescent="0.25">
      <c r="A559">
        <f t="shared" si="195"/>
        <v>557</v>
      </c>
      <c r="B559">
        <f t="shared" si="176"/>
        <v>10</v>
      </c>
      <c r="C559">
        <f t="shared" si="177"/>
        <v>1.9000000000000008</v>
      </c>
      <c r="D559" s="15">
        <f t="shared" si="178"/>
        <v>2.4324324324324325</v>
      </c>
      <c r="E559">
        <f t="shared" si="179"/>
        <v>1</v>
      </c>
      <c r="F559" s="3">
        <f t="shared" si="180"/>
        <v>148.37837837837839</v>
      </c>
      <c r="G559" s="3">
        <f t="shared" si="181"/>
        <v>2.5896912414726674</v>
      </c>
      <c r="H559" s="18">
        <f t="shared" si="182"/>
        <v>-1.6179053616932921</v>
      </c>
      <c r="I559" s="3">
        <f t="shared" si="183"/>
        <v>0.99618383875874061</v>
      </c>
      <c r="J559" s="19" t="str">
        <f t="shared" si="184"/>
        <v>C</v>
      </c>
      <c r="K559" s="20" t="e">
        <f t="shared" si="185"/>
        <v>#N/A</v>
      </c>
      <c r="L559" s="20" t="e">
        <f t="shared" si="186"/>
        <v>#N/A</v>
      </c>
      <c r="M559" s="20">
        <f t="shared" si="187"/>
        <v>-1.6179053616932921</v>
      </c>
      <c r="N559" s="20">
        <f t="shared" si="188"/>
        <v>0.99618383875874061</v>
      </c>
      <c r="O559" s="20" t="e">
        <f t="shared" si="189"/>
        <v>#N/A</v>
      </c>
      <c r="P559" s="20" t="e">
        <f t="shared" si="190"/>
        <v>#N/A</v>
      </c>
      <c r="Q559" s="20" t="e">
        <f t="shared" si="191"/>
        <v>#N/A</v>
      </c>
      <c r="R559" s="20" t="e">
        <f t="shared" si="192"/>
        <v>#N/A</v>
      </c>
      <c r="S559" s="20" t="e">
        <f t="shared" si="193"/>
        <v>#N/A</v>
      </c>
      <c r="T559" s="20" t="e">
        <f t="shared" si="194"/>
        <v>#N/A</v>
      </c>
    </row>
    <row r="560" spans="1:20" x14ac:dyDescent="0.25">
      <c r="A560">
        <f t="shared" si="195"/>
        <v>558</v>
      </c>
      <c r="B560">
        <f t="shared" si="176"/>
        <v>10</v>
      </c>
      <c r="C560">
        <f t="shared" si="177"/>
        <v>1.9000000000000008</v>
      </c>
      <c r="D560" s="15">
        <f t="shared" si="178"/>
        <v>2.4324324324324325</v>
      </c>
      <c r="E560">
        <f t="shared" si="179"/>
        <v>1</v>
      </c>
      <c r="F560" s="3">
        <f t="shared" si="180"/>
        <v>150.81081081081081</v>
      </c>
      <c r="G560" s="3">
        <f t="shared" si="181"/>
        <v>2.6321451962509079</v>
      </c>
      <c r="H560" s="18">
        <f t="shared" si="182"/>
        <v>-1.6587268150062582</v>
      </c>
      <c r="I560" s="3">
        <f t="shared" si="183"/>
        <v>0.92662039324590595</v>
      </c>
      <c r="J560" s="19" t="str">
        <f t="shared" si="184"/>
        <v>C</v>
      </c>
      <c r="K560" s="20" t="e">
        <f t="shared" si="185"/>
        <v>#N/A</v>
      </c>
      <c r="L560" s="20" t="e">
        <f t="shared" si="186"/>
        <v>#N/A</v>
      </c>
      <c r="M560" s="20">
        <f t="shared" si="187"/>
        <v>-1.6587268150062582</v>
      </c>
      <c r="N560" s="20">
        <f t="shared" si="188"/>
        <v>0.92662039324590595</v>
      </c>
      <c r="O560" s="20" t="e">
        <f t="shared" si="189"/>
        <v>#N/A</v>
      </c>
      <c r="P560" s="20" t="e">
        <f t="shared" si="190"/>
        <v>#N/A</v>
      </c>
      <c r="Q560" s="20" t="e">
        <f t="shared" si="191"/>
        <v>#N/A</v>
      </c>
      <c r="R560" s="20" t="e">
        <f t="shared" si="192"/>
        <v>#N/A</v>
      </c>
      <c r="S560" s="20" t="e">
        <f t="shared" si="193"/>
        <v>#N/A</v>
      </c>
      <c r="T560" s="20" t="e">
        <f t="shared" si="194"/>
        <v>#N/A</v>
      </c>
    </row>
    <row r="561" spans="1:20" x14ac:dyDescent="0.25">
      <c r="A561">
        <f t="shared" si="195"/>
        <v>559</v>
      </c>
      <c r="B561">
        <f t="shared" si="176"/>
        <v>10</v>
      </c>
      <c r="C561">
        <f t="shared" si="177"/>
        <v>1.9000000000000008</v>
      </c>
      <c r="D561" s="15">
        <f t="shared" si="178"/>
        <v>2.4324324324324325</v>
      </c>
      <c r="E561">
        <f t="shared" si="179"/>
        <v>1</v>
      </c>
      <c r="F561" s="3">
        <f t="shared" si="180"/>
        <v>153.24324324324323</v>
      </c>
      <c r="G561" s="3">
        <f t="shared" si="181"/>
        <v>2.674599151029148</v>
      </c>
      <c r="H561" s="18">
        <f t="shared" si="182"/>
        <v>-1.6965591304841807</v>
      </c>
      <c r="I561" s="3">
        <f t="shared" si="183"/>
        <v>0.85538711515358012</v>
      </c>
      <c r="J561" s="19" t="str">
        <f t="shared" si="184"/>
        <v>C</v>
      </c>
      <c r="K561" s="20" t="e">
        <f t="shared" si="185"/>
        <v>#N/A</v>
      </c>
      <c r="L561" s="20" t="e">
        <f t="shared" si="186"/>
        <v>#N/A</v>
      </c>
      <c r="M561" s="20">
        <f t="shared" si="187"/>
        <v>-1.6965591304841807</v>
      </c>
      <c r="N561" s="20">
        <f t="shared" si="188"/>
        <v>0.85538711515358012</v>
      </c>
      <c r="O561" s="20" t="e">
        <f t="shared" si="189"/>
        <v>#N/A</v>
      </c>
      <c r="P561" s="20" t="e">
        <f t="shared" si="190"/>
        <v>#N/A</v>
      </c>
      <c r="Q561" s="20" t="e">
        <f t="shared" si="191"/>
        <v>#N/A</v>
      </c>
      <c r="R561" s="20" t="e">
        <f t="shared" si="192"/>
        <v>#N/A</v>
      </c>
      <c r="S561" s="20" t="e">
        <f t="shared" si="193"/>
        <v>#N/A</v>
      </c>
      <c r="T561" s="20" t="e">
        <f t="shared" si="194"/>
        <v>#N/A</v>
      </c>
    </row>
    <row r="562" spans="1:20" x14ac:dyDescent="0.25">
      <c r="A562">
        <f t="shared" si="195"/>
        <v>560</v>
      </c>
      <c r="B562">
        <f t="shared" si="176"/>
        <v>10</v>
      </c>
      <c r="C562">
        <f t="shared" si="177"/>
        <v>1.9000000000000008</v>
      </c>
      <c r="D562" s="15">
        <f t="shared" si="178"/>
        <v>2.4324324324324325</v>
      </c>
      <c r="E562">
        <f t="shared" si="179"/>
        <v>1</v>
      </c>
      <c r="F562" s="3">
        <f t="shared" si="180"/>
        <v>155.67567567567565</v>
      </c>
      <c r="G562" s="3">
        <f t="shared" si="181"/>
        <v>2.7170531058073881</v>
      </c>
      <c r="H562" s="18">
        <f t="shared" si="182"/>
        <v>-1.7313341317374582</v>
      </c>
      <c r="I562" s="3">
        <f t="shared" si="183"/>
        <v>0.78261237166358755</v>
      </c>
      <c r="J562" s="19" t="str">
        <f t="shared" si="184"/>
        <v>C</v>
      </c>
      <c r="K562" s="20" t="e">
        <f t="shared" si="185"/>
        <v>#N/A</v>
      </c>
      <c r="L562" s="20" t="e">
        <f t="shared" si="186"/>
        <v>#N/A</v>
      </c>
      <c r="M562" s="20">
        <f t="shared" si="187"/>
        <v>-1.7313341317374582</v>
      </c>
      <c r="N562" s="20">
        <f t="shared" si="188"/>
        <v>0.78261237166358755</v>
      </c>
      <c r="O562" s="20" t="e">
        <f t="shared" si="189"/>
        <v>#N/A</v>
      </c>
      <c r="P562" s="20" t="e">
        <f t="shared" si="190"/>
        <v>#N/A</v>
      </c>
      <c r="Q562" s="20" t="e">
        <f t="shared" si="191"/>
        <v>#N/A</v>
      </c>
      <c r="R562" s="20" t="e">
        <f t="shared" si="192"/>
        <v>#N/A</v>
      </c>
      <c r="S562" s="20" t="e">
        <f t="shared" si="193"/>
        <v>#N/A</v>
      </c>
      <c r="T562" s="20" t="e">
        <f t="shared" si="194"/>
        <v>#N/A</v>
      </c>
    </row>
    <row r="563" spans="1:20" x14ac:dyDescent="0.25">
      <c r="A563">
        <f t="shared" si="195"/>
        <v>561</v>
      </c>
      <c r="B563">
        <f t="shared" si="176"/>
        <v>10</v>
      </c>
      <c r="C563">
        <f t="shared" si="177"/>
        <v>1.9000000000000008</v>
      </c>
      <c r="D563" s="15">
        <f t="shared" si="178"/>
        <v>2.4324324324324325</v>
      </c>
      <c r="E563">
        <f t="shared" si="179"/>
        <v>1</v>
      </c>
      <c r="F563" s="3">
        <f t="shared" si="180"/>
        <v>158.10810810810807</v>
      </c>
      <c r="G563" s="3">
        <f t="shared" si="181"/>
        <v>2.7595070605856287</v>
      </c>
      <c r="H563" s="18">
        <f t="shared" si="182"/>
        <v>-1.762989151863368</v>
      </c>
      <c r="I563" s="3">
        <f t="shared" si="183"/>
        <v>0.70842730778258767</v>
      </c>
      <c r="J563" s="19" t="str">
        <f t="shared" si="184"/>
        <v>LD</v>
      </c>
      <c r="K563" s="20" t="e">
        <f t="shared" si="185"/>
        <v>#N/A</v>
      </c>
      <c r="L563" s="20" t="e">
        <f t="shared" si="186"/>
        <v>#N/A</v>
      </c>
      <c r="M563" s="20" t="e">
        <f t="shared" si="187"/>
        <v>#N/A</v>
      </c>
      <c r="N563" s="20" t="e">
        <f t="shared" si="188"/>
        <v>#N/A</v>
      </c>
      <c r="O563" s="20">
        <f t="shared" si="189"/>
        <v>-1.762989151863368</v>
      </c>
      <c r="P563" s="20">
        <f t="shared" si="190"/>
        <v>0.70842730778258767</v>
      </c>
      <c r="Q563" s="20" t="e">
        <f t="shared" si="191"/>
        <v>#N/A</v>
      </c>
      <c r="R563" s="20" t="e">
        <f t="shared" si="192"/>
        <v>#N/A</v>
      </c>
      <c r="S563" s="20" t="e">
        <f t="shared" si="193"/>
        <v>#N/A</v>
      </c>
      <c r="T563" s="20" t="e">
        <f t="shared" si="194"/>
        <v>#N/A</v>
      </c>
    </row>
    <row r="564" spans="1:20" x14ac:dyDescent="0.25">
      <c r="A564">
        <f t="shared" si="195"/>
        <v>562</v>
      </c>
      <c r="B564">
        <f t="shared" si="176"/>
        <v>10</v>
      </c>
      <c r="C564">
        <f t="shared" si="177"/>
        <v>1.9000000000000008</v>
      </c>
      <c r="D564" s="15">
        <f t="shared" si="178"/>
        <v>2.4324324324324325</v>
      </c>
      <c r="E564">
        <f t="shared" si="179"/>
        <v>1</v>
      </c>
      <c r="F564" s="3">
        <f t="shared" si="180"/>
        <v>160.54054054054049</v>
      </c>
      <c r="G564" s="3">
        <f t="shared" si="181"/>
        <v>2.8019610153638688</v>
      </c>
      <c r="H564" s="18">
        <f t="shared" si="182"/>
        <v>-1.7914671463760601</v>
      </c>
      <c r="I564" s="3">
        <f t="shared" si="183"/>
        <v>0.63296561000991125</v>
      </c>
      <c r="J564" s="19" t="str">
        <f t="shared" si="184"/>
        <v>LD</v>
      </c>
      <c r="K564" s="20" t="e">
        <f t="shared" si="185"/>
        <v>#N/A</v>
      </c>
      <c r="L564" s="20" t="e">
        <f t="shared" si="186"/>
        <v>#N/A</v>
      </c>
      <c r="M564" s="20" t="e">
        <f t="shared" si="187"/>
        <v>#N/A</v>
      </c>
      <c r="N564" s="20" t="e">
        <f t="shared" si="188"/>
        <v>#N/A</v>
      </c>
      <c r="O564" s="20">
        <f t="shared" si="189"/>
        <v>-1.7914671463760601</v>
      </c>
      <c r="P564" s="20">
        <f t="shared" si="190"/>
        <v>0.63296561000991125</v>
      </c>
      <c r="Q564" s="20" t="e">
        <f t="shared" si="191"/>
        <v>#N/A</v>
      </c>
      <c r="R564" s="20" t="e">
        <f t="shared" si="192"/>
        <v>#N/A</v>
      </c>
      <c r="S564" s="20" t="e">
        <f t="shared" si="193"/>
        <v>#N/A</v>
      </c>
      <c r="T564" s="20" t="e">
        <f t="shared" si="194"/>
        <v>#N/A</v>
      </c>
    </row>
    <row r="565" spans="1:20" x14ac:dyDescent="0.25">
      <c r="A565">
        <f t="shared" si="195"/>
        <v>563</v>
      </c>
      <c r="B565">
        <f t="shared" si="176"/>
        <v>10</v>
      </c>
      <c r="C565">
        <f t="shared" si="177"/>
        <v>1.9000000000000008</v>
      </c>
      <c r="D565" s="15">
        <f t="shared" si="178"/>
        <v>2.4324324324324325</v>
      </c>
      <c r="E565">
        <f t="shared" si="179"/>
        <v>1</v>
      </c>
      <c r="F565" s="3">
        <f t="shared" si="180"/>
        <v>162.97297297297291</v>
      </c>
      <c r="G565" s="3">
        <f t="shared" si="181"/>
        <v>2.8444149701421089</v>
      </c>
      <c r="H565" s="18">
        <f t="shared" si="182"/>
        <v>-1.8167167960045769</v>
      </c>
      <c r="I565" s="3">
        <f t="shared" si="183"/>
        <v>0.55636326542544812</v>
      </c>
      <c r="J565" s="19" t="str">
        <f t="shared" si="184"/>
        <v>LD</v>
      </c>
      <c r="K565" s="20" t="e">
        <f t="shared" si="185"/>
        <v>#N/A</v>
      </c>
      <c r="L565" s="20" t="e">
        <f t="shared" si="186"/>
        <v>#N/A</v>
      </c>
      <c r="M565" s="20" t="e">
        <f t="shared" si="187"/>
        <v>#N/A</v>
      </c>
      <c r="N565" s="20" t="e">
        <f t="shared" si="188"/>
        <v>#N/A</v>
      </c>
      <c r="O565" s="20">
        <f t="shared" si="189"/>
        <v>-1.8167167960045769</v>
      </c>
      <c r="P565" s="20">
        <f t="shared" si="190"/>
        <v>0.55636326542544812</v>
      </c>
      <c r="Q565" s="20" t="e">
        <f t="shared" si="191"/>
        <v>#N/A</v>
      </c>
      <c r="R565" s="20" t="e">
        <f t="shared" si="192"/>
        <v>#N/A</v>
      </c>
      <c r="S565" s="20" t="e">
        <f t="shared" si="193"/>
        <v>#N/A</v>
      </c>
      <c r="T565" s="20" t="e">
        <f t="shared" si="194"/>
        <v>#N/A</v>
      </c>
    </row>
    <row r="566" spans="1:20" x14ac:dyDescent="0.25">
      <c r="A566">
        <f t="shared" si="195"/>
        <v>564</v>
      </c>
      <c r="B566">
        <f t="shared" ref="B566:B629" si="196">VLOOKUP(A566,$Y$2:$Z$13,2,1)</f>
        <v>10</v>
      </c>
      <c r="C566">
        <f t="shared" ref="C566:C629" si="197">VLOOKUP(B566,$V$2:$AB$14,7,0)</f>
        <v>1.9000000000000008</v>
      </c>
      <c r="D566" s="15">
        <f t="shared" ref="D566:D629" si="198">VLOOKUP(B566,$V$2:$AC$13,8,0)</f>
        <v>2.4324324324324325</v>
      </c>
      <c r="E566">
        <f t="shared" ref="E566:E629" si="199">IF(OR(A566=$Y$3,A566=$Y$4,A566=$Y$5,A566=$Y$6,A566=$Y$7,A566=$Y$8,A566=$Y$9,A566=$Y$10,A566=$Y$11,A566=$Y$12,A566=$Y$12),0,1)</f>
        <v>1</v>
      </c>
      <c r="F566" s="3">
        <f t="shared" ref="F566:F629" si="200">IF(E566=0,0,D566+F565)</f>
        <v>165.40540540540533</v>
      </c>
      <c r="G566" s="3">
        <f t="shared" ref="G566:G629" si="201">(F566/180)*PI()</f>
        <v>2.8868689249203494</v>
      </c>
      <c r="H566" s="18">
        <f t="shared" ref="H566:H629" si="202">C566*COS(G566)</f>
        <v>-1.838692599173648</v>
      </c>
      <c r="I566" s="3">
        <f t="shared" ref="I566:I629" si="203">C566*SIN(G566)</f>
        <v>0.47875831663174018</v>
      </c>
      <c r="J566" s="19" t="str">
        <f t="shared" si="184"/>
        <v>LD</v>
      </c>
      <c r="K566" s="20" t="e">
        <f t="shared" si="185"/>
        <v>#N/A</v>
      </c>
      <c r="L566" s="20" t="e">
        <f t="shared" si="186"/>
        <v>#N/A</v>
      </c>
      <c r="M566" s="20" t="e">
        <f t="shared" si="187"/>
        <v>#N/A</v>
      </c>
      <c r="N566" s="20" t="e">
        <f t="shared" si="188"/>
        <v>#N/A</v>
      </c>
      <c r="O566" s="20">
        <f t="shared" si="189"/>
        <v>-1.838692599173648</v>
      </c>
      <c r="P566" s="20">
        <f t="shared" si="190"/>
        <v>0.47875831663174018</v>
      </c>
      <c r="Q566" s="20" t="e">
        <f t="shared" si="191"/>
        <v>#N/A</v>
      </c>
      <c r="R566" s="20" t="e">
        <f t="shared" si="192"/>
        <v>#N/A</v>
      </c>
      <c r="S566" s="20" t="e">
        <f t="shared" si="193"/>
        <v>#N/A</v>
      </c>
      <c r="T566" s="20" t="e">
        <f t="shared" si="194"/>
        <v>#N/A</v>
      </c>
    </row>
    <row r="567" spans="1:20" x14ac:dyDescent="0.25">
      <c r="A567">
        <f t="shared" si="195"/>
        <v>565</v>
      </c>
      <c r="B567">
        <f t="shared" si="196"/>
        <v>10</v>
      </c>
      <c r="C567">
        <f t="shared" si="197"/>
        <v>1.9000000000000008</v>
      </c>
      <c r="D567" s="15">
        <f t="shared" si="198"/>
        <v>2.4324324324324325</v>
      </c>
      <c r="E567">
        <f t="shared" si="199"/>
        <v>1</v>
      </c>
      <c r="F567" s="3">
        <f t="shared" si="200"/>
        <v>167.83783783783775</v>
      </c>
      <c r="G567" s="3">
        <f t="shared" si="201"/>
        <v>2.9293228796985895</v>
      </c>
      <c r="H567" s="18">
        <f t="shared" si="202"/>
        <v>-1.857354954000604</v>
      </c>
      <c r="I567" s="3">
        <f t="shared" si="203"/>
        <v>0.40029061299188295</v>
      </c>
      <c r="J567" s="19" t="str">
        <f t="shared" si="184"/>
        <v>LD</v>
      </c>
      <c r="K567" s="20" t="e">
        <f t="shared" si="185"/>
        <v>#N/A</v>
      </c>
      <c r="L567" s="20" t="e">
        <f t="shared" si="186"/>
        <v>#N/A</v>
      </c>
      <c r="M567" s="20" t="e">
        <f t="shared" si="187"/>
        <v>#N/A</v>
      </c>
      <c r="N567" s="20" t="e">
        <f t="shared" si="188"/>
        <v>#N/A</v>
      </c>
      <c r="O567" s="20">
        <f t="shared" si="189"/>
        <v>-1.857354954000604</v>
      </c>
      <c r="P567" s="20">
        <f t="shared" si="190"/>
        <v>0.40029061299188295</v>
      </c>
      <c r="Q567" s="20" t="e">
        <f t="shared" si="191"/>
        <v>#N/A</v>
      </c>
      <c r="R567" s="20" t="e">
        <f t="shared" si="192"/>
        <v>#N/A</v>
      </c>
      <c r="S567" s="20" t="e">
        <f t="shared" si="193"/>
        <v>#N/A</v>
      </c>
      <c r="T567" s="20" t="e">
        <f t="shared" si="194"/>
        <v>#N/A</v>
      </c>
    </row>
    <row r="568" spans="1:20" x14ac:dyDescent="0.25">
      <c r="A568">
        <f t="shared" si="195"/>
        <v>566</v>
      </c>
      <c r="B568">
        <f t="shared" si="196"/>
        <v>10</v>
      </c>
      <c r="C568">
        <f t="shared" si="197"/>
        <v>1.9000000000000008</v>
      </c>
      <c r="D568" s="15">
        <f t="shared" si="198"/>
        <v>2.4324324324324325</v>
      </c>
      <c r="E568">
        <f t="shared" si="199"/>
        <v>1</v>
      </c>
      <c r="F568" s="3">
        <f t="shared" si="200"/>
        <v>170.27027027027017</v>
      </c>
      <c r="G568" s="3">
        <f t="shared" si="201"/>
        <v>2.9717768344768296</v>
      </c>
      <c r="H568" s="18">
        <f t="shared" si="202"/>
        <v>-1.8726702296606461</v>
      </c>
      <c r="I568" s="3">
        <f t="shared" si="203"/>
        <v>0.32110155861151679</v>
      </c>
      <c r="J568" s="19" t="str">
        <f t="shared" si="184"/>
        <v>LD</v>
      </c>
      <c r="K568" s="20" t="e">
        <f t="shared" si="185"/>
        <v>#N/A</v>
      </c>
      <c r="L568" s="20" t="e">
        <f t="shared" si="186"/>
        <v>#N/A</v>
      </c>
      <c r="M568" s="20" t="e">
        <f t="shared" si="187"/>
        <v>#N/A</v>
      </c>
      <c r="N568" s="20" t="e">
        <f t="shared" si="188"/>
        <v>#N/A</v>
      </c>
      <c r="O568" s="20">
        <f t="shared" si="189"/>
        <v>-1.8726702296606461</v>
      </c>
      <c r="P568" s="20">
        <f t="shared" si="190"/>
        <v>0.32110155861151679</v>
      </c>
      <c r="Q568" s="20" t="e">
        <f t="shared" si="191"/>
        <v>#N/A</v>
      </c>
      <c r="R568" s="20" t="e">
        <f t="shared" si="192"/>
        <v>#N/A</v>
      </c>
      <c r="S568" s="20" t="e">
        <f t="shared" si="193"/>
        <v>#N/A</v>
      </c>
      <c r="T568" s="20" t="e">
        <f t="shared" si="194"/>
        <v>#N/A</v>
      </c>
    </row>
    <row r="569" spans="1:20" x14ac:dyDescent="0.25">
      <c r="A569">
        <f t="shared" si="195"/>
        <v>567</v>
      </c>
      <c r="B569">
        <f t="shared" si="196"/>
        <v>10</v>
      </c>
      <c r="C569">
        <f t="shared" si="197"/>
        <v>1.9000000000000008</v>
      </c>
      <c r="D569" s="15">
        <f t="shared" si="198"/>
        <v>2.4324324324324325</v>
      </c>
      <c r="E569">
        <f t="shared" si="199"/>
        <v>1</v>
      </c>
      <c r="F569" s="3">
        <f t="shared" si="200"/>
        <v>172.7027027027026</v>
      </c>
      <c r="G569" s="3">
        <f t="shared" si="201"/>
        <v>3.0142307892550702</v>
      </c>
      <c r="H569" s="18">
        <f t="shared" si="202"/>
        <v>-1.8846108269918664</v>
      </c>
      <c r="I569" s="3">
        <f t="shared" si="203"/>
        <v>0.24133385751907302</v>
      </c>
      <c r="J569" s="19" t="str">
        <f t="shared" si="184"/>
        <v>Oth</v>
      </c>
      <c r="K569" s="20" t="e">
        <f t="shared" si="185"/>
        <v>#N/A</v>
      </c>
      <c r="L569" s="20" t="e">
        <f t="shared" si="186"/>
        <v>#N/A</v>
      </c>
      <c r="M569" s="20" t="e">
        <f t="shared" si="187"/>
        <v>#N/A</v>
      </c>
      <c r="N569" s="20" t="e">
        <f t="shared" si="188"/>
        <v>#N/A</v>
      </c>
      <c r="O569" s="20" t="e">
        <f t="shared" si="189"/>
        <v>#N/A</v>
      </c>
      <c r="P569" s="20" t="e">
        <f t="shared" si="190"/>
        <v>#N/A</v>
      </c>
      <c r="Q569" s="20" t="e">
        <f t="shared" si="191"/>
        <v>#N/A</v>
      </c>
      <c r="R569" s="20" t="e">
        <f t="shared" si="192"/>
        <v>#N/A</v>
      </c>
      <c r="S569" s="20">
        <f t="shared" si="193"/>
        <v>-1.8846108269918664</v>
      </c>
      <c r="T569" s="20">
        <f t="shared" si="194"/>
        <v>0.24133385751907302</v>
      </c>
    </row>
    <row r="570" spans="1:20" x14ac:dyDescent="0.25">
      <c r="A570">
        <f t="shared" si="195"/>
        <v>568</v>
      </c>
      <c r="B570">
        <f t="shared" si="196"/>
        <v>10</v>
      </c>
      <c r="C570">
        <f t="shared" si="197"/>
        <v>1.9000000000000008</v>
      </c>
      <c r="D570" s="15">
        <f t="shared" si="198"/>
        <v>2.4324324324324325</v>
      </c>
      <c r="E570">
        <f t="shared" si="199"/>
        <v>1</v>
      </c>
      <c r="F570" s="3">
        <f t="shared" si="200"/>
        <v>175.13513513513502</v>
      </c>
      <c r="G570" s="3">
        <f t="shared" si="201"/>
        <v>3.0566847440333103</v>
      </c>
      <c r="H570" s="18">
        <f t="shared" si="202"/>
        <v>-1.8931552282308008</v>
      </c>
      <c r="I570" s="3">
        <f t="shared" si="203"/>
        <v>0.16113125650347149</v>
      </c>
      <c r="J570" s="19" t="str">
        <f t="shared" si="184"/>
        <v>Oth</v>
      </c>
      <c r="K570" s="20" t="e">
        <f t="shared" si="185"/>
        <v>#N/A</v>
      </c>
      <c r="L570" s="20" t="e">
        <f t="shared" si="186"/>
        <v>#N/A</v>
      </c>
      <c r="M570" s="20" t="e">
        <f t="shared" si="187"/>
        <v>#N/A</v>
      </c>
      <c r="N570" s="20" t="e">
        <f t="shared" si="188"/>
        <v>#N/A</v>
      </c>
      <c r="O570" s="20" t="e">
        <f t="shared" si="189"/>
        <v>#N/A</v>
      </c>
      <c r="P570" s="20" t="e">
        <f t="shared" si="190"/>
        <v>#N/A</v>
      </c>
      <c r="Q570" s="20" t="e">
        <f t="shared" si="191"/>
        <v>#N/A</v>
      </c>
      <c r="R570" s="20" t="e">
        <f t="shared" si="192"/>
        <v>#N/A</v>
      </c>
      <c r="S570" s="20">
        <f t="shared" si="193"/>
        <v>-1.8931552282308008</v>
      </c>
      <c r="T570" s="20">
        <f t="shared" si="194"/>
        <v>0.16113125650347149</v>
      </c>
    </row>
    <row r="571" spans="1:20" x14ac:dyDescent="0.25">
      <c r="A571">
        <f t="shared" si="195"/>
        <v>569</v>
      </c>
      <c r="B571">
        <f t="shared" si="196"/>
        <v>10</v>
      </c>
      <c r="C571">
        <f t="shared" si="197"/>
        <v>1.9000000000000008</v>
      </c>
      <c r="D571" s="15">
        <f t="shared" si="198"/>
        <v>2.4324324324324325</v>
      </c>
      <c r="E571">
        <f t="shared" si="199"/>
        <v>1</v>
      </c>
      <c r="F571" s="3">
        <f t="shared" si="200"/>
        <v>177.56756756756744</v>
      </c>
      <c r="G571" s="3">
        <f t="shared" si="201"/>
        <v>3.0991386988115504</v>
      </c>
      <c r="H571" s="18">
        <f t="shared" si="202"/>
        <v>-1.8982880357888954</v>
      </c>
      <c r="I571" s="3">
        <f t="shared" si="203"/>
        <v>8.063828607268643E-2</v>
      </c>
      <c r="J571" s="19" t="str">
        <f t="shared" si="184"/>
        <v>Oth</v>
      </c>
      <c r="K571" s="20" t="e">
        <f t="shared" si="185"/>
        <v>#N/A</v>
      </c>
      <c r="L571" s="20" t="e">
        <f t="shared" si="186"/>
        <v>#N/A</v>
      </c>
      <c r="M571" s="20" t="e">
        <f t="shared" si="187"/>
        <v>#N/A</v>
      </c>
      <c r="N571" s="20" t="e">
        <f t="shared" si="188"/>
        <v>#N/A</v>
      </c>
      <c r="O571" s="20" t="e">
        <f t="shared" si="189"/>
        <v>#N/A</v>
      </c>
      <c r="P571" s="20" t="e">
        <f t="shared" si="190"/>
        <v>#N/A</v>
      </c>
      <c r="Q571" s="20" t="e">
        <f t="shared" si="191"/>
        <v>#N/A</v>
      </c>
      <c r="R571" s="20" t="e">
        <f t="shared" si="192"/>
        <v>#N/A</v>
      </c>
      <c r="S571" s="20">
        <f t="shared" si="193"/>
        <v>-1.8982880357888954</v>
      </c>
      <c r="T571" s="20">
        <f t="shared" si="194"/>
        <v>8.063828607268643E-2</v>
      </c>
    </row>
    <row r="572" spans="1:20" x14ac:dyDescent="0.25">
      <c r="A572">
        <f t="shared" si="195"/>
        <v>570</v>
      </c>
      <c r="B572">
        <f t="shared" si="196"/>
        <v>10</v>
      </c>
      <c r="C572">
        <f t="shared" si="197"/>
        <v>1.9000000000000008</v>
      </c>
      <c r="D572" s="15">
        <f t="shared" si="198"/>
        <v>2.4324324324324325</v>
      </c>
      <c r="E572">
        <f t="shared" si="199"/>
        <v>1</v>
      </c>
      <c r="F572" s="3">
        <f t="shared" si="200"/>
        <v>179.99999999999986</v>
      </c>
      <c r="G572" s="3">
        <f t="shared" si="201"/>
        <v>3.1415926535897909</v>
      </c>
      <c r="H572" s="18">
        <f t="shared" si="202"/>
        <v>-1.9000000000000008</v>
      </c>
      <c r="I572" s="3">
        <f t="shared" si="203"/>
        <v>4.4516257000082342E-15</v>
      </c>
      <c r="J572" s="19" t="str">
        <f t="shared" si="184"/>
        <v>Oth</v>
      </c>
      <c r="K572" s="20" t="e">
        <f t="shared" si="185"/>
        <v>#N/A</v>
      </c>
      <c r="L572" s="20" t="e">
        <f t="shared" si="186"/>
        <v>#N/A</v>
      </c>
      <c r="M572" s="20" t="e">
        <f t="shared" si="187"/>
        <v>#N/A</v>
      </c>
      <c r="N572" s="20" t="e">
        <f t="shared" si="188"/>
        <v>#N/A</v>
      </c>
      <c r="O572" s="20" t="e">
        <f t="shared" si="189"/>
        <v>#N/A</v>
      </c>
      <c r="P572" s="20" t="e">
        <f t="shared" si="190"/>
        <v>#N/A</v>
      </c>
      <c r="Q572" s="20" t="e">
        <f t="shared" si="191"/>
        <v>#N/A</v>
      </c>
      <c r="R572" s="20" t="e">
        <f t="shared" si="192"/>
        <v>#N/A</v>
      </c>
      <c r="S572" s="20">
        <f t="shared" si="193"/>
        <v>-1.9000000000000008</v>
      </c>
      <c r="T572" s="20">
        <f t="shared" si="194"/>
        <v>4.4516257000082342E-15</v>
      </c>
    </row>
    <row r="573" spans="1:20" x14ac:dyDescent="0.25">
      <c r="A573">
        <f t="shared" si="195"/>
        <v>571</v>
      </c>
      <c r="B573">
        <f t="shared" si="196"/>
        <v>11</v>
      </c>
      <c r="C573">
        <f t="shared" si="197"/>
        <v>2.0000000000000009</v>
      </c>
      <c r="D573" s="15">
        <f t="shared" si="198"/>
        <v>2.278481012658228</v>
      </c>
      <c r="E573">
        <f t="shared" si="199"/>
        <v>0</v>
      </c>
      <c r="F573" s="3">
        <f t="shared" si="200"/>
        <v>0</v>
      </c>
      <c r="G573" s="3">
        <f t="shared" si="201"/>
        <v>0</v>
      </c>
      <c r="H573" s="18">
        <f t="shared" si="202"/>
        <v>2.0000000000000009</v>
      </c>
      <c r="I573" s="3">
        <f t="shared" si="203"/>
        <v>0</v>
      </c>
      <c r="J573" s="19" t="str">
        <f t="shared" si="184"/>
        <v>L</v>
      </c>
      <c r="K573" s="20">
        <f t="shared" si="185"/>
        <v>2.0000000000000009</v>
      </c>
      <c r="L573" s="20">
        <f t="shared" si="186"/>
        <v>0</v>
      </c>
      <c r="M573" s="20" t="e">
        <f t="shared" si="187"/>
        <v>#N/A</v>
      </c>
      <c r="N573" s="20" t="e">
        <f t="shared" si="188"/>
        <v>#N/A</v>
      </c>
      <c r="O573" s="20" t="e">
        <f t="shared" si="189"/>
        <v>#N/A</v>
      </c>
      <c r="P573" s="20" t="e">
        <f t="shared" si="190"/>
        <v>#N/A</v>
      </c>
      <c r="Q573" s="20" t="e">
        <f t="shared" si="191"/>
        <v>#N/A</v>
      </c>
      <c r="R573" s="20" t="e">
        <f t="shared" si="192"/>
        <v>#N/A</v>
      </c>
      <c r="S573" s="20" t="e">
        <f t="shared" si="193"/>
        <v>#N/A</v>
      </c>
      <c r="T573" s="20" t="e">
        <f t="shared" si="194"/>
        <v>#N/A</v>
      </c>
    </row>
    <row r="574" spans="1:20" x14ac:dyDescent="0.25">
      <c r="A574">
        <f t="shared" si="195"/>
        <v>572</v>
      </c>
      <c r="B574">
        <f t="shared" si="196"/>
        <v>11</v>
      </c>
      <c r="C574">
        <f t="shared" si="197"/>
        <v>2.0000000000000009</v>
      </c>
      <c r="D574" s="15">
        <f t="shared" si="198"/>
        <v>2.278481012658228</v>
      </c>
      <c r="E574">
        <f t="shared" si="199"/>
        <v>1</v>
      </c>
      <c r="F574" s="3">
        <f t="shared" si="200"/>
        <v>2.278481012658228</v>
      </c>
      <c r="G574" s="3">
        <f t="shared" si="201"/>
        <v>3.9766995615060675E-2</v>
      </c>
      <c r="H574" s="18">
        <f t="shared" si="202"/>
        <v>1.9984187944546046</v>
      </c>
      <c r="I574" s="3">
        <f t="shared" si="203"/>
        <v>7.9513030193851308E-2</v>
      </c>
      <c r="J574" s="19" t="str">
        <f t="shared" si="184"/>
        <v>L</v>
      </c>
      <c r="K574" s="20">
        <f t="shared" si="185"/>
        <v>1.9984187944546046</v>
      </c>
      <c r="L574" s="20">
        <f t="shared" si="186"/>
        <v>7.9513030193851308E-2</v>
      </c>
      <c r="M574" s="20" t="e">
        <f t="shared" si="187"/>
        <v>#N/A</v>
      </c>
      <c r="N574" s="20" t="e">
        <f t="shared" si="188"/>
        <v>#N/A</v>
      </c>
      <c r="O574" s="20" t="e">
        <f t="shared" si="189"/>
        <v>#N/A</v>
      </c>
      <c r="P574" s="20" t="e">
        <f t="shared" si="190"/>
        <v>#N/A</v>
      </c>
      <c r="Q574" s="20" t="e">
        <f t="shared" si="191"/>
        <v>#N/A</v>
      </c>
      <c r="R574" s="20" t="e">
        <f t="shared" si="192"/>
        <v>#N/A</v>
      </c>
      <c r="S574" s="20" t="e">
        <f t="shared" si="193"/>
        <v>#N/A</v>
      </c>
      <c r="T574" s="20" t="e">
        <f t="shared" si="194"/>
        <v>#N/A</v>
      </c>
    </row>
    <row r="575" spans="1:20" x14ac:dyDescent="0.25">
      <c r="A575">
        <f t="shared" si="195"/>
        <v>573</v>
      </c>
      <c r="B575">
        <f t="shared" si="196"/>
        <v>11</v>
      </c>
      <c r="C575">
        <f t="shared" si="197"/>
        <v>2.0000000000000009</v>
      </c>
      <c r="D575" s="15">
        <f t="shared" si="198"/>
        <v>2.278481012658228</v>
      </c>
      <c r="E575">
        <f t="shared" si="199"/>
        <v>1</v>
      </c>
      <c r="F575" s="3">
        <f t="shared" si="200"/>
        <v>4.556962025316456</v>
      </c>
      <c r="G575" s="3">
        <f t="shared" si="201"/>
        <v>7.9533991230121351E-2</v>
      </c>
      <c r="H575" s="18">
        <f t="shared" si="202"/>
        <v>1.9936776780293926</v>
      </c>
      <c r="I575" s="3">
        <f t="shared" si="203"/>
        <v>0.15890033394342884</v>
      </c>
      <c r="J575" s="19" t="str">
        <f t="shared" si="184"/>
        <v>L</v>
      </c>
      <c r="K575" s="20">
        <f t="shared" si="185"/>
        <v>1.9936776780293926</v>
      </c>
      <c r="L575" s="20">
        <f t="shared" si="186"/>
        <v>0.15890033394342884</v>
      </c>
      <c r="M575" s="20" t="e">
        <f t="shared" si="187"/>
        <v>#N/A</v>
      </c>
      <c r="N575" s="20" t="e">
        <f t="shared" si="188"/>
        <v>#N/A</v>
      </c>
      <c r="O575" s="20" t="e">
        <f t="shared" si="189"/>
        <v>#N/A</v>
      </c>
      <c r="P575" s="20" t="e">
        <f t="shared" si="190"/>
        <v>#N/A</v>
      </c>
      <c r="Q575" s="20" t="e">
        <f t="shared" si="191"/>
        <v>#N/A</v>
      </c>
      <c r="R575" s="20" t="e">
        <f t="shared" si="192"/>
        <v>#N/A</v>
      </c>
      <c r="S575" s="20" t="e">
        <f t="shared" si="193"/>
        <v>#N/A</v>
      </c>
      <c r="T575" s="20" t="e">
        <f t="shared" si="194"/>
        <v>#N/A</v>
      </c>
    </row>
    <row r="576" spans="1:20" x14ac:dyDescent="0.25">
      <c r="A576">
        <f t="shared" si="195"/>
        <v>574</v>
      </c>
      <c r="B576">
        <f t="shared" si="196"/>
        <v>11</v>
      </c>
      <c r="C576">
        <f t="shared" si="197"/>
        <v>2.0000000000000009</v>
      </c>
      <c r="D576" s="15">
        <f t="shared" si="198"/>
        <v>2.278481012658228</v>
      </c>
      <c r="E576">
        <f t="shared" si="199"/>
        <v>1</v>
      </c>
      <c r="F576" s="3">
        <f t="shared" si="200"/>
        <v>6.8354430379746844</v>
      </c>
      <c r="G576" s="3">
        <f t="shared" si="201"/>
        <v>0.11930098684518205</v>
      </c>
      <c r="H576" s="18">
        <f t="shared" si="202"/>
        <v>1.9857841474039477</v>
      </c>
      <c r="I576" s="3">
        <f t="shared" si="203"/>
        <v>0.23803638360380971</v>
      </c>
      <c r="J576" s="19" t="str">
        <f t="shared" si="184"/>
        <v>L</v>
      </c>
      <c r="K576" s="20">
        <f t="shared" si="185"/>
        <v>1.9857841474039477</v>
      </c>
      <c r="L576" s="20">
        <f t="shared" si="186"/>
        <v>0.23803638360380971</v>
      </c>
      <c r="M576" s="20" t="e">
        <f t="shared" si="187"/>
        <v>#N/A</v>
      </c>
      <c r="N576" s="20" t="e">
        <f t="shared" si="188"/>
        <v>#N/A</v>
      </c>
      <c r="O576" s="20" t="e">
        <f t="shared" si="189"/>
        <v>#N/A</v>
      </c>
      <c r="P576" s="20" t="e">
        <f t="shared" si="190"/>
        <v>#N/A</v>
      </c>
      <c r="Q576" s="20" t="e">
        <f t="shared" si="191"/>
        <v>#N/A</v>
      </c>
      <c r="R576" s="20" t="e">
        <f t="shared" si="192"/>
        <v>#N/A</v>
      </c>
      <c r="S576" s="20" t="e">
        <f t="shared" si="193"/>
        <v>#N/A</v>
      </c>
      <c r="T576" s="20" t="e">
        <f t="shared" si="194"/>
        <v>#N/A</v>
      </c>
    </row>
    <row r="577" spans="1:20" x14ac:dyDescent="0.25">
      <c r="A577">
        <f t="shared" si="195"/>
        <v>575</v>
      </c>
      <c r="B577">
        <f t="shared" si="196"/>
        <v>11</v>
      </c>
      <c r="C577">
        <f t="shared" si="197"/>
        <v>2.0000000000000009</v>
      </c>
      <c r="D577" s="15">
        <f t="shared" si="198"/>
        <v>2.278481012658228</v>
      </c>
      <c r="E577">
        <f t="shared" si="199"/>
        <v>1</v>
      </c>
      <c r="F577" s="3">
        <f t="shared" si="200"/>
        <v>9.113924050632912</v>
      </c>
      <c r="G577" s="3">
        <f t="shared" si="201"/>
        <v>0.1590679824602427</v>
      </c>
      <c r="H577" s="18">
        <f t="shared" si="202"/>
        <v>1.9747506838726676</v>
      </c>
      <c r="I577" s="3">
        <f t="shared" si="203"/>
        <v>0.31679604881443013</v>
      </c>
      <c r="J577" s="19" t="str">
        <f t="shared" si="184"/>
        <v>L</v>
      </c>
      <c r="K577" s="20">
        <f t="shared" si="185"/>
        <v>1.9747506838726676</v>
      </c>
      <c r="L577" s="20">
        <f t="shared" si="186"/>
        <v>0.31679604881443013</v>
      </c>
      <c r="M577" s="20" t="e">
        <f t="shared" si="187"/>
        <v>#N/A</v>
      </c>
      <c r="N577" s="20" t="e">
        <f t="shared" si="188"/>
        <v>#N/A</v>
      </c>
      <c r="O577" s="20" t="e">
        <f t="shared" si="189"/>
        <v>#N/A</v>
      </c>
      <c r="P577" s="20" t="e">
        <f t="shared" si="190"/>
        <v>#N/A</v>
      </c>
      <c r="Q577" s="20" t="e">
        <f t="shared" si="191"/>
        <v>#N/A</v>
      </c>
      <c r="R577" s="20" t="e">
        <f t="shared" si="192"/>
        <v>#N/A</v>
      </c>
      <c r="S577" s="20" t="e">
        <f t="shared" si="193"/>
        <v>#N/A</v>
      </c>
      <c r="T577" s="20" t="e">
        <f t="shared" si="194"/>
        <v>#N/A</v>
      </c>
    </row>
    <row r="578" spans="1:20" x14ac:dyDescent="0.25">
      <c r="A578">
        <f t="shared" si="195"/>
        <v>576</v>
      </c>
      <c r="B578">
        <f t="shared" si="196"/>
        <v>11</v>
      </c>
      <c r="C578">
        <f t="shared" si="197"/>
        <v>2.0000000000000009</v>
      </c>
      <c r="D578" s="15">
        <f t="shared" si="198"/>
        <v>2.278481012658228</v>
      </c>
      <c r="E578">
        <f t="shared" si="199"/>
        <v>1</v>
      </c>
      <c r="F578" s="3">
        <f t="shared" si="200"/>
        <v>11.39240506329114</v>
      </c>
      <c r="G578" s="3">
        <f t="shared" si="201"/>
        <v>0.19883497807530337</v>
      </c>
      <c r="H578" s="18">
        <f t="shared" si="202"/>
        <v>1.9605947336092733</v>
      </c>
      <c r="I578" s="3">
        <f t="shared" si="203"/>
        <v>0.39505479435590551</v>
      </c>
      <c r="J578" s="19" t="str">
        <f t="shared" si="184"/>
        <v>L</v>
      </c>
      <c r="K578" s="20">
        <f t="shared" si="185"/>
        <v>1.9605947336092733</v>
      </c>
      <c r="L578" s="20">
        <f t="shared" si="186"/>
        <v>0.39505479435590551</v>
      </c>
      <c r="M578" s="20" t="e">
        <f t="shared" si="187"/>
        <v>#N/A</v>
      </c>
      <c r="N578" s="20" t="e">
        <f t="shared" si="188"/>
        <v>#N/A</v>
      </c>
      <c r="O578" s="20" t="e">
        <f t="shared" si="189"/>
        <v>#N/A</v>
      </c>
      <c r="P578" s="20" t="e">
        <f t="shared" si="190"/>
        <v>#N/A</v>
      </c>
      <c r="Q578" s="20" t="e">
        <f t="shared" si="191"/>
        <v>#N/A</v>
      </c>
      <c r="R578" s="20" t="e">
        <f t="shared" si="192"/>
        <v>#N/A</v>
      </c>
      <c r="S578" s="20" t="e">
        <f t="shared" si="193"/>
        <v>#N/A</v>
      </c>
      <c r="T578" s="20" t="e">
        <f t="shared" si="194"/>
        <v>#N/A</v>
      </c>
    </row>
    <row r="579" spans="1:20" x14ac:dyDescent="0.25">
      <c r="A579">
        <f t="shared" si="195"/>
        <v>577</v>
      </c>
      <c r="B579">
        <f t="shared" si="196"/>
        <v>11</v>
      </c>
      <c r="C579">
        <f t="shared" si="197"/>
        <v>2.0000000000000009</v>
      </c>
      <c r="D579" s="15">
        <f t="shared" si="198"/>
        <v>2.278481012658228</v>
      </c>
      <c r="E579">
        <f t="shared" si="199"/>
        <v>1</v>
      </c>
      <c r="F579" s="3">
        <f t="shared" si="200"/>
        <v>13.670886075949367</v>
      </c>
      <c r="G579" s="3">
        <f t="shared" si="201"/>
        <v>0.23860197369036404</v>
      </c>
      <c r="H579" s="18">
        <f t="shared" si="202"/>
        <v>1.943338680080821</v>
      </c>
      <c r="I579" s="3">
        <f t="shared" si="203"/>
        <v>0.47268887706580998</v>
      </c>
      <c r="J579" s="19" t="str">
        <f t="shared" ref="J579:J642" si="204">VLOOKUP(A579,$AQ$3:$AR$58,2,1)</f>
        <v>L</v>
      </c>
      <c r="K579" s="20">
        <f t="shared" si="185"/>
        <v>1.943338680080821</v>
      </c>
      <c r="L579" s="20">
        <f t="shared" si="186"/>
        <v>0.47268887706580998</v>
      </c>
      <c r="M579" s="20" t="e">
        <f t="shared" si="187"/>
        <v>#N/A</v>
      </c>
      <c r="N579" s="20" t="e">
        <f t="shared" si="188"/>
        <v>#N/A</v>
      </c>
      <c r="O579" s="20" t="e">
        <f t="shared" si="189"/>
        <v>#N/A</v>
      </c>
      <c r="P579" s="20" t="e">
        <f t="shared" si="190"/>
        <v>#N/A</v>
      </c>
      <c r="Q579" s="20" t="e">
        <f t="shared" si="191"/>
        <v>#N/A</v>
      </c>
      <c r="R579" s="20" t="e">
        <f t="shared" si="192"/>
        <v>#N/A</v>
      </c>
      <c r="S579" s="20" t="e">
        <f t="shared" si="193"/>
        <v>#N/A</v>
      </c>
      <c r="T579" s="20" t="e">
        <f t="shared" si="194"/>
        <v>#N/A</v>
      </c>
    </row>
    <row r="580" spans="1:20" x14ac:dyDescent="0.25">
      <c r="A580">
        <f t="shared" si="195"/>
        <v>578</v>
      </c>
      <c r="B580">
        <f t="shared" si="196"/>
        <v>11</v>
      </c>
      <c r="C580">
        <f t="shared" si="197"/>
        <v>2.0000000000000009</v>
      </c>
      <c r="D580" s="15">
        <f t="shared" si="198"/>
        <v>2.278481012658228</v>
      </c>
      <c r="E580">
        <f t="shared" si="199"/>
        <v>1</v>
      </c>
      <c r="F580" s="3">
        <f t="shared" si="200"/>
        <v>15.949367088607595</v>
      </c>
      <c r="G580" s="3">
        <f t="shared" si="201"/>
        <v>0.27836896930542471</v>
      </c>
      <c r="H580" s="18">
        <f t="shared" si="202"/>
        <v>1.9230098086548417</v>
      </c>
      <c r="I580" s="3">
        <f t="shared" si="203"/>
        <v>0.54957554150205079</v>
      </c>
      <c r="J580" s="19" t="str">
        <f t="shared" si="204"/>
        <v>L</v>
      </c>
      <c r="K580" s="20">
        <f t="shared" ref="K580:K643" si="205">IF(J580="L",H580,NA())</f>
        <v>1.9230098086548417</v>
      </c>
      <c r="L580" s="20">
        <f t="shared" ref="L580:L643" si="206">IF(J580="l",I580,NA())</f>
        <v>0.54957554150205079</v>
      </c>
      <c r="M580" s="20" t="e">
        <f t="shared" ref="M580:M643" si="207">IF(J580="C",H580,NA())</f>
        <v>#N/A</v>
      </c>
      <c r="N580" s="20" t="e">
        <f t="shared" ref="N580:N643" si="208">IF(J580="C",I580,NA())</f>
        <v>#N/A</v>
      </c>
      <c r="O580" s="20" t="e">
        <f t="shared" ref="O580:O643" si="209">IF(J580="LD",H580,NA())</f>
        <v>#N/A</v>
      </c>
      <c r="P580" s="20" t="e">
        <f t="shared" ref="P580:P643" si="210">IF(J580="LD",I580,NA())</f>
        <v>#N/A</v>
      </c>
      <c r="Q580" s="20" t="e">
        <f t="shared" ref="Q580:Q643" si="211">IF(J580="SNP",H580,NA())</f>
        <v>#N/A</v>
      </c>
      <c r="R580" s="20" t="e">
        <f t="shared" ref="R580:R643" si="212">IF(J580="SNP",I580,NA())</f>
        <v>#N/A</v>
      </c>
      <c r="S580" s="20" t="e">
        <f t="shared" ref="S580:S643" si="213">IF(J580="Oth",H580,NA())</f>
        <v>#N/A</v>
      </c>
      <c r="T580" s="20" t="e">
        <f t="shared" ref="T580:T643" si="214">IF(J580="oth",I580,NA())</f>
        <v>#N/A</v>
      </c>
    </row>
    <row r="581" spans="1:20" x14ac:dyDescent="0.25">
      <c r="A581">
        <f t="shared" si="195"/>
        <v>579</v>
      </c>
      <c r="B581">
        <f t="shared" si="196"/>
        <v>11</v>
      </c>
      <c r="C581">
        <f t="shared" si="197"/>
        <v>2.0000000000000009</v>
      </c>
      <c r="D581" s="15">
        <f t="shared" si="198"/>
        <v>2.278481012658228</v>
      </c>
      <c r="E581">
        <f t="shared" si="199"/>
        <v>1</v>
      </c>
      <c r="F581" s="3">
        <f t="shared" si="200"/>
        <v>18.227848101265824</v>
      </c>
      <c r="G581" s="3">
        <f t="shared" si="201"/>
        <v>0.3181359649204854</v>
      </c>
      <c r="H581" s="18">
        <f t="shared" si="202"/>
        <v>1.8996402634555662</v>
      </c>
      <c r="I581" s="3">
        <f t="shared" si="203"/>
        <v>0.62559321404445467</v>
      </c>
      <c r="J581" s="19" t="str">
        <f t="shared" si="204"/>
        <v>L</v>
      </c>
      <c r="K581" s="20">
        <f t="shared" si="205"/>
        <v>1.8996402634555662</v>
      </c>
      <c r="L581" s="20">
        <f t="shared" si="206"/>
        <v>0.62559321404445467</v>
      </c>
      <c r="M581" s="20" t="e">
        <f t="shared" si="207"/>
        <v>#N/A</v>
      </c>
      <c r="N581" s="20" t="e">
        <f t="shared" si="208"/>
        <v>#N/A</v>
      </c>
      <c r="O581" s="20" t="e">
        <f t="shared" si="209"/>
        <v>#N/A</v>
      </c>
      <c r="P581" s="20" t="e">
        <f t="shared" si="210"/>
        <v>#N/A</v>
      </c>
      <c r="Q581" s="20" t="e">
        <f t="shared" si="211"/>
        <v>#N/A</v>
      </c>
      <c r="R581" s="20" t="e">
        <f t="shared" si="212"/>
        <v>#N/A</v>
      </c>
      <c r="S581" s="20" t="e">
        <f t="shared" si="213"/>
        <v>#N/A</v>
      </c>
      <c r="T581" s="20" t="e">
        <f t="shared" si="214"/>
        <v>#N/A</v>
      </c>
    </row>
    <row r="582" spans="1:20" x14ac:dyDescent="0.25">
      <c r="A582">
        <f t="shared" si="195"/>
        <v>580</v>
      </c>
      <c r="B582">
        <f t="shared" si="196"/>
        <v>11</v>
      </c>
      <c r="C582">
        <f t="shared" si="197"/>
        <v>2.0000000000000009</v>
      </c>
      <c r="D582" s="15">
        <f t="shared" si="198"/>
        <v>2.278481012658228</v>
      </c>
      <c r="E582">
        <f t="shared" si="199"/>
        <v>1</v>
      </c>
      <c r="F582" s="3">
        <f t="shared" si="200"/>
        <v>20.506329113924053</v>
      </c>
      <c r="G582" s="3">
        <f t="shared" si="201"/>
        <v>0.3579029605355461</v>
      </c>
      <c r="H582" s="18">
        <f t="shared" si="202"/>
        <v>1.8732669965374567</v>
      </c>
      <c r="I582" s="3">
        <f t="shared" si="203"/>
        <v>0.70062169512764894</v>
      </c>
      <c r="J582" s="19" t="str">
        <f t="shared" si="204"/>
        <v>L</v>
      </c>
      <c r="K582" s="20">
        <f t="shared" si="205"/>
        <v>1.8732669965374567</v>
      </c>
      <c r="L582" s="20">
        <f t="shared" si="206"/>
        <v>0.70062169512764894</v>
      </c>
      <c r="M582" s="20" t="e">
        <f t="shared" si="207"/>
        <v>#N/A</v>
      </c>
      <c r="N582" s="20" t="e">
        <f t="shared" si="208"/>
        <v>#N/A</v>
      </c>
      <c r="O582" s="20" t="e">
        <f t="shared" si="209"/>
        <v>#N/A</v>
      </c>
      <c r="P582" s="20" t="e">
        <f t="shared" si="210"/>
        <v>#N/A</v>
      </c>
      <c r="Q582" s="20" t="e">
        <f t="shared" si="211"/>
        <v>#N/A</v>
      </c>
      <c r="R582" s="20" t="e">
        <f t="shared" si="212"/>
        <v>#N/A</v>
      </c>
      <c r="S582" s="20" t="e">
        <f t="shared" si="213"/>
        <v>#N/A</v>
      </c>
      <c r="T582" s="20" t="e">
        <f t="shared" si="214"/>
        <v>#N/A</v>
      </c>
    </row>
    <row r="583" spans="1:20" x14ac:dyDescent="0.25">
      <c r="A583">
        <f t="shared" si="195"/>
        <v>581</v>
      </c>
      <c r="B583">
        <f t="shared" si="196"/>
        <v>11</v>
      </c>
      <c r="C583">
        <f t="shared" si="197"/>
        <v>2.0000000000000009</v>
      </c>
      <c r="D583" s="15">
        <f t="shared" si="198"/>
        <v>2.278481012658228</v>
      </c>
      <c r="E583">
        <f t="shared" si="199"/>
        <v>1</v>
      </c>
      <c r="F583" s="3">
        <f t="shared" si="200"/>
        <v>22.784810126582283</v>
      </c>
      <c r="G583" s="3">
        <f t="shared" si="201"/>
        <v>0.39766995615060685</v>
      </c>
      <c r="H583" s="18">
        <f t="shared" si="202"/>
        <v>1.843931709456414</v>
      </c>
      <c r="I583" s="3">
        <f t="shared" si="203"/>
        <v>0.77454234930128263</v>
      </c>
      <c r="J583" s="19" t="str">
        <f t="shared" si="204"/>
        <v>L</v>
      </c>
      <c r="K583" s="20">
        <f t="shared" si="205"/>
        <v>1.843931709456414</v>
      </c>
      <c r="L583" s="20">
        <f t="shared" si="206"/>
        <v>0.77454234930128263</v>
      </c>
      <c r="M583" s="20" t="e">
        <f t="shared" si="207"/>
        <v>#N/A</v>
      </c>
      <c r="N583" s="20" t="e">
        <f t="shared" si="208"/>
        <v>#N/A</v>
      </c>
      <c r="O583" s="20" t="e">
        <f t="shared" si="209"/>
        <v>#N/A</v>
      </c>
      <c r="P583" s="20" t="e">
        <f t="shared" si="210"/>
        <v>#N/A</v>
      </c>
      <c r="Q583" s="20" t="e">
        <f t="shared" si="211"/>
        <v>#N/A</v>
      </c>
      <c r="R583" s="20" t="e">
        <f t="shared" si="212"/>
        <v>#N/A</v>
      </c>
      <c r="S583" s="20" t="e">
        <f t="shared" si="213"/>
        <v>#N/A</v>
      </c>
      <c r="T583" s="20" t="e">
        <f t="shared" si="214"/>
        <v>#N/A</v>
      </c>
    </row>
    <row r="584" spans="1:20" x14ac:dyDescent="0.25">
      <c r="A584">
        <f t="shared" si="195"/>
        <v>582</v>
      </c>
      <c r="B584">
        <f t="shared" si="196"/>
        <v>11</v>
      </c>
      <c r="C584">
        <f t="shared" si="197"/>
        <v>2.0000000000000009</v>
      </c>
      <c r="D584" s="15">
        <f t="shared" si="198"/>
        <v>2.278481012658228</v>
      </c>
      <c r="E584">
        <f t="shared" si="199"/>
        <v>1</v>
      </c>
      <c r="F584" s="3">
        <f t="shared" si="200"/>
        <v>25.063291139240512</v>
      </c>
      <c r="G584" s="3">
        <f t="shared" si="201"/>
        <v>0.43743695176566744</v>
      </c>
      <c r="H584" s="18">
        <f t="shared" si="202"/>
        <v>1.8116807873310472</v>
      </c>
      <c r="I584" s="3">
        <f t="shared" si="203"/>
        <v>0.84723829281705654</v>
      </c>
      <c r="J584" s="19" t="str">
        <f t="shared" si="204"/>
        <v>L</v>
      </c>
      <c r="K584" s="20">
        <f t="shared" si="205"/>
        <v>1.8116807873310472</v>
      </c>
      <c r="L584" s="20">
        <f t="shared" si="206"/>
        <v>0.84723829281705654</v>
      </c>
      <c r="M584" s="20" t="e">
        <f t="shared" si="207"/>
        <v>#N/A</v>
      </c>
      <c r="N584" s="20" t="e">
        <f t="shared" si="208"/>
        <v>#N/A</v>
      </c>
      <c r="O584" s="20" t="e">
        <f t="shared" si="209"/>
        <v>#N/A</v>
      </c>
      <c r="P584" s="20" t="e">
        <f t="shared" si="210"/>
        <v>#N/A</v>
      </c>
      <c r="Q584" s="20" t="e">
        <f t="shared" si="211"/>
        <v>#N/A</v>
      </c>
      <c r="R584" s="20" t="e">
        <f t="shared" si="212"/>
        <v>#N/A</v>
      </c>
      <c r="S584" s="20" t="e">
        <f t="shared" si="213"/>
        <v>#N/A</v>
      </c>
      <c r="T584" s="20" t="e">
        <f t="shared" si="214"/>
        <v>#N/A</v>
      </c>
    </row>
    <row r="585" spans="1:20" x14ac:dyDescent="0.25">
      <c r="A585">
        <f t="shared" si="195"/>
        <v>583</v>
      </c>
      <c r="B585">
        <f t="shared" si="196"/>
        <v>11</v>
      </c>
      <c r="C585">
        <f t="shared" si="197"/>
        <v>2.0000000000000009</v>
      </c>
      <c r="D585" s="15">
        <f t="shared" si="198"/>
        <v>2.278481012658228</v>
      </c>
      <c r="E585">
        <f t="shared" si="199"/>
        <v>1</v>
      </c>
      <c r="F585" s="3">
        <f t="shared" si="200"/>
        <v>27.341772151898741</v>
      </c>
      <c r="G585" s="3">
        <f t="shared" si="201"/>
        <v>0.47720394738072819</v>
      </c>
      <c r="H585" s="18">
        <f t="shared" si="202"/>
        <v>1.7765652254982645</v>
      </c>
      <c r="I585" s="3">
        <f t="shared" si="203"/>
        <v>0.91859457844595638</v>
      </c>
      <c r="J585" s="19" t="str">
        <f t="shared" si="204"/>
        <v>L</v>
      </c>
      <c r="K585" s="20">
        <f t="shared" si="205"/>
        <v>1.7765652254982645</v>
      </c>
      <c r="L585" s="20">
        <f t="shared" si="206"/>
        <v>0.91859457844595638</v>
      </c>
      <c r="M585" s="20" t="e">
        <f t="shared" si="207"/>
        <v>#N/A</v>
      </c>
      <c r="N585" s="20" t="e">
        <f t="shared" si="208"/>
        <v>#N/A</v>
      </c>
      <c r="O585" s="20" t="e">
        <f t="shared" si="209"/>
        <v>#N/A</v>
      </c>
      <c r="P585" s="20" t="e">
        <f t="shared" si="210"/>
        <v>#N/A</v>
      </c>
      <c r="Q585" s="20" t="e">
        <f t="shared" si="211"/>
        <v>#N/A</v>
      </c>
      <c r="R585" s="20" t="e">
        <f t="shared" si="212"/>
        <v>#N/A</v>
      </c>
      <c r="S585" s="20" t="e">
        <f t="shared" si="213"/>
        <v>#N/A</v>
      </c>
      <c r="T585" s="20" t="e">
        <f t="shared" si="214"/>
        <v>#N/A</v>
      </c>
    </row>
    <row r="586" spans="1:20" x14ac:dyDescent="0.25">
      <c r="A586">
        <f t="shared" si="195"/>
        <v>584</v>
      </c>
      <c r="B586">
        <f t="shared" si="196"/>
        <v>11</v>
      </c>
      <c r="C586">
        <f t="shared" si="197"/>
        <v>2.0000000000000009</v>
      </c>
      <c r="D586" s="15">
        <f t="shared" si="198"/>
        <v>2.278481012658228</v>
      </c>
      <c r="E586">
        <f t="shared" si="199"/>
        <v>1</v>
      </c>
      <c r="F586" s="3">
        <f t="shared" si="200"/>
        <v>29.620253164556971</v>
      </c>
      <c r="G586" s="3">
        <f t="shared" si="201"/>
        <v>0.51697094299578883</v>
      </c>
      <c r="H586" s="18">
        <f t="shared" si="202"/>
        <v>1.7386405488791656</v>
      </c>
      <c r="I586" s="3">
        <f t="shared" si="203"/>
        <v>0.98849837723344636</v>
      </c>
      <c r="J586" s="19" t="str">
        <f t="shared" si="204"/>
        <v>L</v>
      </c>
      <c r="K586" s="20">
        <f t="shared" si="205"/>
        <v>1.7386405488791656</v>
      </c>
      <c r="L586" s="20">
        <f t="shared" si="206"/>
        <v>0.98849837723344636</v>
      </c>
      <c r="M586" s="20" t="e">
        <f t="shared" si="207"/>
        <v>#N/A</v>
      </c>
      <c r="N586" s="20" t="e">
        <f t="shared" si="208"/>
        <v>#N/A</v>
      </c>
      <c r="O586" s="20" t="e">
        <f t="shared" si="209"/>
        <v>#N/A</v>
      </c>
      <c r="P586" s="20" t="e">
        <f t="shared" si="210"/>
        <v>#N/A</v>
      </c>
      <c r="Q586" s="20" t="e">
        <f t="shared" si="211"/>
        <v>#N/A</v>
      </c>
      <c r="R586" s="20" t="e">
        <f t="shared" si="212"/>
        <v>#N/A</v>
      </c>
      <c r="S586" s="20" t="e">
        <f t="shared" si="213"/>
        <v>#N/A</v>
      </c>
      <c r="T586" s="20" t="e">
        <f t="shared" si="214"/>
        <v>#N/A</v>
      </c>
    </row>
    <row r="587" spans="1:20" x14ac:dyDescent="0.25">
      <c r="A587">
        <f t="shared" si="195"/>
        <v>585</v>
      </c>
      <c r="B587">
        <f t="shared" si="196"/>
        <v>11</v>
      </c>
      <c r="C587">
        <f t="shared" si="197"/>
        <v>2.0000000000000009</v>
      </c>
      <c r="D587" s="15">
        <f t="shared" si="198"/>
        <v>2.278481012658228</v>
      </c>
      <c r="E587">
        <f t="shared" si="199"/>
        <v>1</v>
      </c>
      <c r="F587" s="3">
        <f t="shared" si="200"/>
        <v>31.8987341772152</v>
      </c>
      <c r="G587" s="3">
        <f t="shared" si="201"/>
        <v>0.55673793861084964</v>
      </c>
      <c r="H587" s="18">
        <f t="shared" si="202"/>
        <v>1.6979667241827283</v>
      </c>
      <c r="I587" s="3">
        <f t="shared" si="203"/>
        <v>1.0568391569052398</v>
      </c>
      <c r="J587" s="19" t="str">
        <f t="shared" si="204"/>
        <v>L</v>
      </c>
      <c r="K587" s="20">
        <f t="shared" si="205"/>
        <v>1.6979667241827283</v>
      </c>
      <c r="L587" s="20">
        <f t="shared" si="206"/>
        <v>1.0568391569052398</v>
      </c>
      <c r="M587" s="20" t="e">
        <f t="shared" si="207"/>
        <v>#N/A</v>
      </c>
      <c r="N587" s="20" t="e">
        <f t="shared" si="208"/>
        <v>#N/A</v>
      </c>
      <c r="O587" s="20" t="e">
        <f t="shared" si="209"/>
        <v>#N/A</v>
      </c>
      <c r="P587" s="20" t="e">
        <f t="shared" si="210"/>
        <v>#N/A</v>
      </c>
      <c r="Q587" s="20" t="e">
        <f t="shared" si="211"/>
        <v>#N/A</v>
      </c>
      <c r="R587" s="20" t="e">
        <f t="shared" si="212"/>
        <v>#N/A</v>
      </c>
      <c r="S587" s="20" t="e">
        <f t="shared" si="213"/>
        <v>#N/A</v>
      </c>
      <c r="T587" s="20" t="e">
        <f t="shared" si="214"/>
        <v>#N/A</v>
      </c>
    </row>
    <row r="588" spans="1:20" x14ac:dyDescent="0.25">
      <c r="A588">
        <f t="shared" si="195"/>
        <v>586</v>
      </c>
      <c r="B588">
        <f t="shared" si="196"/>
        <v>11</v>
      </c>
      <c r="C588">
        <f t="shared" si="197"/>
        <v>2.0000000000000009</v>
      </c>
      <c r="D588" s="15">
        <f t="shared" si="198"/>
        <v>2.278481012658228</v>
      </c>
      <c r="E588">
        <f t="shared" si="199"/>
        <v>1</v>
      </c>
      <c r="F588" s="3">
        <f t="shared" si="200"/>
        <v>34.177215189873429</v>
      </c>
      <c r="G588" s="3">
        <f t="shared" si="201"/>
        <v>0.59650493422591033</v>
      </c>
      <c r="H588" s="18">
        <f t="shared" si="202"/>
        <v>1.6546080650861148</v>
      </c>
      <c r="I588" s="3">
        <f t="shared" si="203"/>
        <v>1.1235088566415425</v>
      </c>
      <c r="J588" s="19" t="str">
        <f t="shared" si="204"/>
        <v>L</v>
      </c>
      <c r="K588" s="20">
        <f t="shared" si="205"/>
        <v>1.6546080650861148</v>
      </c>
      <c r="L588" s="20">
        <f t="shared" si="206"/>
        <v>1.1235088566415425</v>
      </c>
      <c r="M588" s="20" t="e">
        <f t="shared" si="207"/>
        <v>#N/A</v>
      </c>
      <c r="N588" s="20" t="e">
        <f t="shared" si="208"/>
        <v>#N/A</v>
      </c>
      <c r="O588" s="20" t="e">
        <f t="shared" si="209"/>
        <v>#N/A</v>
      </c>
      <c r="P588" s="20" t="e">
        <f t="shared" si="210"/>
        <v>#N/A</v>
      </c>
      <c r="Q588" s="20" t="e">
        <f t="shared" si="211"/>
        <v>#N/A</v>
      </c>
      <c r="R588" s="20" t="e">
        <f t="shared" si="212"/>
        <v>#N/A</v>
      </c>
      <c r="S588" s="20" t="e">
        <f t="shared" si="213"/>
        <v>#N/A</v>
      </c>
      <c r="T588" s="20" t="e">
        <f t="shared" si="214"/>
        <v>#N/A</v>
      </c>
    </row>
    <row r="589" spans="1:20" x14ac:dyDescent="0.25">
      <c r="A589">
        <f t="shared" si="195"/>
        <v>587</v>
      </c>
      <c r="B589">
        <f t="shared" si="196"/>
        <v>11</v>
      </c>
      <c r="C589">
        <f t="shared" si="197"/>
        <v>2.0000000000000009</v>
      </c>
      <c r="D589" s="15">
        <f t="shared" si="198"/>
        <v>2.278481012658228</v>
      </c>
      <c r="E589">
        <f t="shared" si="199"/>
        <v>1</v>
      </c>
      <c r="F589" s="3">
        <f t="shared" si="200"/>
        <v>36.455696202531655</v>
      </c>
      <c r="G589" s="3">
        <f t="shared" si="201"/>
        <v>0.63627192984097092</v>
      </c>
      <c r="H589" s="18">
        <f t="shared" si="202"/>
        <v>1.60863313054153</v>
      </c>
      <c r="I589" s="3">
        <f t="shared" si="203"/>
        <v>1.1884020579434216</v>
      </c>
      <c r="J589" s="19" t="str">
        <f t="shared" si="204"/>
        <v>L</v>
      </c>
      <c r="K589" s="20">
        <f t="shared" si="205"/>
        <v>1.60863313054153</v>
      </c>
      <c r="L589" s="20">
        <f t="shared" si="206"/>
        <v>1.1884020579434216</v>
      </c>
      <c r="M589" s="20" t="e">
        <f t="shared" si="207"/>
        <v>#N/A</v>
      </c>
      <c r="N589" s="20" t="e">
        <f t="shared" si="208"/>
        <v>#N/A</v>
      </c>
      <c r="O589" s="20" t="e">
        <f t="shared" si="209"/>
        <v>#N/A</v>
      </c>
      <c r="P589" s="20" t="e">
        <f t="shared" si="210"/>
        <v>#N/A</v>
      </c>
      <c r="Q589" s="20" t="e">
        <f t="shared" si="211"/>
        <v>#N/A</v>
      </c>
      <c r="R589" s="20" t="e">
        <f t="shared" si="212"/>
        <v>#N/A</v>
      </c>
      <c r="S589" s="20" t="e">
        <f t="shared" si="213"/>
        <v>#N/A</v>
      </c>
      <c r="T589" s="20" t="e">
        <f t="shared" si="214"/>
        <v>#N/A</v>
      </c>
    </row>
    <row r="590" spans="1:20" x14ac:dyDescent="0.25">
      <c r="A590">
        <f t="shared" si="195"/>
        <v>588</v>
      </c>
      <c r="B590">
        <f t="shared" si="196"/>
        <v>11</v>
      </c>
      <c r="C590">
        <f t="shared" si="197"/>
        <v>2.0000000000000009</v>
      </c>
      <c r="D590" s="15">
        <f t="shared" si="198"/>
        <v>2.278481012658228</v>
      </c>
      <c r="E590">
        <f t="shared" si="199"/>
        <v>1</v>
      </c>
      <c r="F590" s="3">
        <f t="shared" si="200"/>
        <v>38.734177215189881</v>
      </c>
      <c r="G590" s="3">
        <f t="shared" si="201"/>
        <v>0.6760389254560315</v>
      </c>
      <c r="H590" s="18">
        <f t="shared" si="202"/>
        <v>1.5601146163704249</v>
      </c>
      <c r="I590" s="3">
        <f t="shared" si="203"/>
        <v>1.2514161513211206</v>
      </c>
      <c r="J590" s="19" t="str">
        <f t="shared" si="204"/>
        <v>L</v>
      </c>
      <c r="K590" s="20">
        <f t="shared" si="205"/>
        <v>1.5601146163704249</v>
      </c>
      <c r="L590" s="20">
        <f t="shared" si="206"/>
        <v>1.2514161513211206</v>
      </c>
      <c r="M590" s="20" t="e">
        <f t="shared" si="207"/>
        <v>#N/A</v>
      </c>
      <c r="N590" s="20" t="e">
        <f t="shared" si="208"/>
        <v>#N/A</v>
      </c>
      <c r="O590" s="20" t="e">
        <f t="shared" si="209"/>
        <v>#N/A</v>
      </c>
      <c r="P590" s="20" t="e">
        <f t="shared" si="210"/>
        <v>#N/A</v>
      </c>
      <c r="Q590" s="20" t="e">
        <f t="shared" si="211"/>
        <v>#N/A</v>
      </c>
      <c r="R590" s="20" t="e">
        <f t="shared" si="212"/>
        <v>#N/A</v>
      </c>
      <c r="S590" s="20" t="e">
        <f t="shared" si="213"/>
        <v>#N/A</v>
      </c>
      <c r="T590" s="20" t="e">
        <f t="shared" si="214"/>
        <v>#N/A</v>
      </c>
    </row>
    <row r="591" spans="1:20" x14ac:dyDescent="0.25">
      <c r="A591">
        <f t="shared" ref="A591:A652" si="215">A590+1</f>
        <v>589</v>
      </c>
      <c r="B591">
        <f t="shared" si="196"/>
        <v>11</v>
      </c>
      <c r="C591">
        <f t="shared" si="197"/>
        <v>2.0000000000000009</v>
      </c>
      <c r="D591" s="15">
        <f t="shared" si="198"/>
        <v>2.278481012658228</v>
      </c>
      <c r="E591">
        <f t="shared" si="199"/>
        <v>1</v>
      </c>
      <c r="F591" s="3">
        <f t="shared" si="200"/>
        <v>41.012658227848107</v>
      </c>
      <c r="G591" s="3">
        <f t="shared" si="201"/>
        <v>0.7158059210710922</v>
      </c>
      <c r="H591" s="18">
        <f t="shared" si="202"/>
        <v>1.5091292403164609</v>
      </c>
      <c r="I591" s="3">
        <f t="shared" si="203"/>
        <v>1.312451498540752</v>
      </c>
      <c r="J591" s="19" t="str">
        <f t="shared" si="204"/>
        <v>L</v>
      </c>
      <c r="K591" s="20">
        <f t="shared" si="205"/>
        <v>1.5091292403164609</v>
      </c>
      <c r="L591" s="20">
        <f t="shared" si="206"/>
        <v>1.312451498540752</v>
      </c>
      <c r="M591" s="20" t="e">
        <f t="shared" si="207"/>
        <v>#N/A</v>
      </c>
      <c r="N591" s="20" t="e">
        <f t="shared" si="208"/>
        <v>#N/A</v>
      </c>
      <c r="O591" s="20" t="e">
        <f t="shared" si="209"/>
        <v>#N/A</v>
      </c>
      <c r="P591" s="20" t="e">
        <f t="shared" si="210"/>
        <v>#N/A</v>
      </c>
      <c r="Q591" s="20" t="e">
        <f t="shared" si="211"/>
        <v>#N/A</v>
      </c>
      <c r="R591" s="20" t="e">
        <f t="shared" si="212"/>
        <v>#N/A</v>
      </c>
      <c r="S591" s="20" t="e">
        <f t="shared" si="213"/>
        <v>#N/A</v>
      </c>
      <c r="T591" s="20" t="e">
        <f t="shared" si="214"/>
        <v>#N/A</v>
      </c>
    </row>
    <row r="592" spans="1:20" x14ac:dyDescent="0.25">
      <c r="A592">
        <f t="shared" si="215"/>
        <v>590</v>
      </c>
      <c r="B592">
        <f t="shared" si="196"/>
        <v>11</v>
      </c>
      <c r="C592">
        <f t="shared" si="197"/>
        <v>2.0000000000000009</v>
      </c>
      <c r="D592" s="15">
        <f t="shared" si="198"/>
        <v>2.278481012658228</v>
      </c>
      <c r="E592">
        <f t="shared" si="199"/>
        <v>1</v>
      </c>
      <c r="F592" s="3">
        <f t="shared" si="200"/>
        <v>43.291139240506332</v>
      </c>
      <c r="G592" s="3">
        <f t="shared" si="201"/>
        <v>0.75557291668615278</v>
      </c>
      <c r="H592" s="18">
        <f t="shared" si="202"/>
        <v>1.4557576207389888</v>
      </c>
      <c r="I592" s="3">
        <f t="shared" si="203"/>
        <v>1.371411590172827</v>
      </c>
      <c r="J592" s="19" t="str">
        <f t="shared" si="204"/>
        <v>L</v>
      </c>
      <c r="K592" s="20">
        <f t="shared" si="205"/>
        <v>1.4557576207389888</v>
      </c>
      <c r="L592" s="20">
        <f t="shared" si="206"/>
        <v>1.371411590172827</v>
      </c>
      <c r="M592" s="20" t="e">
        <f t="shared" si="207"/>
        <v>#N/A</v>
      </c>
      <c r="N592" s="20" t="e">
        <f t="shared" si="208"/>
        <v>#N/A</v>
      </c>
      <c r="O592" s="20" t="e">
        <f t="shared" si="209"/>
        <v>#N/A</v>
      </c>
      <c r="P592" s="20" t="e">
        <f t="shared" si="210"/>
        <v>#N/A</v>
      </c>
      <c r="Q592" s="20" t="e">
        <f t="shared" si="211"/>
        <v>#N/A</v>
      </c>
      <c r="R592" s="20" t="e">
        <f t="shared" si="212"/>
        <v>#N/A</v>
      </c>
      <c r="S592" s="20" t="e">
        <f t="shared" si="213"/>
        <v>#N/A</v>
      </c>
      <c r="T592" s="20" t="e">
        <f t="shared" si="214"/>
        <v>#N/A</v>
      </c>
    </row>
    <row r="593" spans="1:20" x14ac:dyDescent="0.25">
      <c r="A593">
        <f t="shared" si="215"/>
        <v>591</v>
      </c>
      <c r="B593">
        <f t="shared" si="196"/>
        <v>11</v>
      </c>
      <c r="C593">
        <f t="shared" si="197"/>
        <v>2.0000000000000009</v>
      </c>
      <c r="D593" s="15">
        <f t="shared" si="198"/>
        <v>2.278481012658228</v>
      </c>
      <c r="E593">
        <f t="shared" si="199"/>
        <v>1</v>
      </c>
      <c r="F593" s="3">
        <f t="shared" si="200"/>
        <v>45.569620253164558</v>
      </c>
      <c r="G593" s="3">
        <f t="shared" si="201"/>
        <v>0.79533991230121348</v>
      </c>
      <c r="H593" s="18">
        <f t="shared" si="202"/>
        <v>1.4000841491388514</v>
      </c>
      <c r="I593" s="3">
        <f t="shared" si="203"/>
        <v>1.4282031981935002</v>
      </c>
      <c r="J593" s="19" t="str">
        <f t="shared" si="204"/>
        <v>L</v>
      </c>
      <c r="K593" s="20">
        <f t="shared" si="205"/>
        <v>1.4000841491388514</v>
      </c>
      <c r="L593" s="20">
        <f t="shared" si="206"/>
        <v>1.4282031981935002</v>
      </c>
      <c r="M593" s="20" t="e">
        <f t="shared" si="207"/>
        <v>#N/A</v>
      </c>
      <c r="N593" s="20" t="e">
        <f t="shared" si="208"/>
        <v>#N/A</v>
      </c>
      <c r="O593" s="20" t="e">
        <f t="shared" si="209"/>
        <v>#N/A</v>
      </c>
      <c r="P593" s="20" t="e">
        <f t="shared" si="210"/>
        <v>#N/A</v>
      </c>
      <c r="Q593" s="20" t="e">
        <f t="shared" si="211"/>
        <v>#N/A</v>
      </c>
      <c r="R593" s="20" t="e">
        <f t="shared" si="212"/>
        <v>#N/A</v>
      </c>
      <c r="S593" s="20" t="e">
        <f t="shared" si="213"/>
        <v>#N/A</v>
      </c>
      <c r="T593" s="20" t="e">
        <f t="shared" si="214"/>
        <v>#N/A</v>
      </c>
    </row>
    <row r="594" spans="1:20" x14ac:dyDescent="0.25">
      <c r="A594">
        <f t="shared" si="215"/>
        <v>592</v>
      </c>
      <c r="B594">
        <f t="shared" si="196"/>
        <v>11</v>
      </c>
      <c r="C594">
        <f t="shared" si="197"/>
        <v>2.0000000000000009</v>
      </c>
      <c r="D594" s="15">
        <f t="shared" si="198"/>
        <v>2.278481012658228</v>
      </c>
      <c r="E594">
        <f t="shared" si="199"/>
        <v>1</v>
      </c>
      <c r="F594" s="3">
        <f t="shared" si="200"/>
        <v>47.848101265822784</v>
      </c>
      <c r="G594" s="3">
        <f t="shared" si="201"/>
        <v>0.83510690791627407</v>
      </c>
      <c r="H594" s="18">
        <f t="shared" si="202"/>
        <v>1.3421968567180744</v>
      </c>
      <c r="I594" s="3">
        <f t="shared" si="203"/>
        <v>1.4827365233972369</v>
      </c>
      <c r="J594" s="19" t="str">
        <f t="shared" si="204"/>
        <v>L</v>
      </c>
      <c r="K594" s="20">
        <f t="shared" si="205"/>
        <v>1.3421968567180744</v>
      </c>
      <c r="L594" s="20">
        <f t="shared" si="206"/>
        <v>1.4827365233972369</v>
      </c>
      <c r="M594" s="20" t="e">
        <f t="shared" si="207"/>
        <v>#N/A</v>
      </c>
      <c r="N594" s="20" t="e">
        <f t="shared" si="208"/>
        <v>#N/A</v>
      </c>
      <c r="O594" s="20" t="e">
        <f t="shared" si="209"/>
        <v>#N/A</v>
      </c>
      <c r="P594" s="20" t="e">
        <f t="shared" si="210"/>
        <v>#N/A</v>
      </c>
      <c r="Q594" s="20" t="e">
        <f t="shared" si="211"/>
        <v>#N/A</v>
      </c>
      <c r="R594" s="20" t="e">
        <f t="shared" si="212"/>
        <v>#N/A</v>
      </c>
      <c r="S594" s="20" t="e">
        <f t="shared" si="213"/>
        <v>#N/A</v>
      </c>
      <c r="T594" s="20" t="e">
        <f t="shared" si="214"/>
        <v>#N/A</v>
      </c>
    </row>
    <row r="595" spans="1:20" x14ac:dyDescent="0.25">
      <c r="A595">
        <f t="shared" si="215"/>
        <v>593</v>
      </c>
      <c r="B595">
        <f t="shared" si="196"/>
        <v>11</v>
      </c>
      <c r="C595">
        <f t="shared" si="197"/>
        <v>2.0000000000000009</v>
      </c>
      <c r="D595" s="15">
        <f t="shared" si="198"/>
        <v>2.278481012658228</v>
      </c>
      <c r="E595">
        <f t="shared" si="199"/>
        <v>1</v>
      </c>
      <c r="F595" s="3">
        <f t="shared" si="200"/>
        <v>50.12658227848101</v>
      </c>
      <c r="G595" s="3">
        <f t="shared" si="201"/>
        <v>0.87487390353133476</v>
      </c>
      <c r="H595" s="18">
        <f t="shared" si="202"/>
        <v>1.282187275184441</v>
      </c>
      <c r="I595" s="3">
        <f t="shared" si="203"/>
        <v>1.5349253373878164</v>
      </c>
      <c r="J595" s="19" t="str">
        <f t="shared" si="204"/>
        <v>L</v>
      </c>
      <c r="K595" s="20">
        <f t="shared" si="205"/>
        <v>1.282187275184441</v>
      </c>
      <c r="L595" s="20">
        <f t="shared" si="206"/>
        <v>1.5349253373878164</v>
      </c>
      <c r="M595" s="20" t="e">
        <f t="shared" si="207"/>
        <v>#N/A</v>
      </c>
      <c r="N595" s="20" t="e">
        <f t="shared" si="208"/>
        <v>#N/A</v>
      </c>
      <c r="O595" s="20" t="e">
        <f t="shared" si="209"/>
        <v>#N/A</v>
      </c>
      <c r="P595" s="20" t="e">
        <f t="shared" si="210"/>
        <v>#N/A</v>
      </c>
      <c r="Q595" s="20" t="e">
        <f t="shared" si="211"/>
        <v>#N/A</v>
      </c>
      <c r="R595" s="20" t="e">
        <f t="shared" si="212"/>
        <v>#N/A</v>
      </c>
      <c r="S595" s="20" t="e">
        <f t="shared" si="213"/>
        <v>#N/A</v>
      </c>
      <c r="T595" s="20" t="e">
        <f t="shared" si="214"/>
        <v>#N/A</v>
      </c>
    </row>
    <row r="596" spans="1:20" x14ac:dyDescent="0.25">
      <c r="A596">
        <f t="shared" si="215"/>
        <v>594</v>
      </c>
      <c r="B596">
        <f t="shared" si="196"/>
        <v>11</v>
      </c>
      <c r="C596">
        <f t="shared" si="197"/>
        <v>2.0000000000000009</v>
      </c>
      <c r="D596" s="15">
        <f t="shared" si="198"/>
        <v>2.278481012658228</v>
      </c>
      <c r="E596">
        <f t="shared" si="199"/>
        <v>1</v>
      </c>
      <c r="F596" s="3">
        <f t="shared" si="200"/>
        <v>52.405063291139236</v>
      </c>
      <c r="G596" s="3">
        <f t="shared" si="201"/>
        <v>0.91464089914639546</v>
      </c>
      <c r="H596" s="18">
        <f t="shared" si="202"/>
        <v>1.2201502920210494</v>
      </c>
      <c r="I596" s="3">
        <f t="shared" si="203"/>
        <v>1.5846871189231493</v>
      </c>
      <c r="J596" s="19" t="str">
        <f t="shared" si="204"/>
        <v>L</v>
      </c>
      <c r="K596" s="20">
        <f t="shared" si="205"/>
        <v>1.2201502920210494</v>
      </c>
      <c r="L596" s="20">
        <f t="shared" si="206"/>
        <v>1.5846871189231493</v>
      </c>
      <c r="M596" s="20" t="e">
        <f t="shared" si="207"/>
        <v>#N/A</v>
      </c>
      <c r="N596" s="20" t="e">
        <f t="shared" si="208"/>
        <v>#N/A</v>
      </c>
      <c r="O596" s="20" t="e">
        <f t="shared" si="209"/>
        <v>#N/A</v>
      </c>
      <c r="P596" s="20" t="e">
        <f t="shared" si="210"/>
        <v>#N/A</v>
      </c>
      <c r="Q596" s="20" t="e">
        <f t="shared" si="211"/>
        <v>#N/A</v>
      </c>
      <c r="R596" s="20" t="e">
        <f t="shared" si="212"/>
        <v>#N/A</v>
      </c>
      <c r="S596" s="20" t="e">
        <f t="shared" si="213"/>
        <v>#N/A</v>
      </c>
      <c r="T596" s="20" t="e">
        <f t="shared" si="214"/>
        <v>#N/A</v>
      </c>
    </row>
    <row r="597" spans="1:20" x14ac:dyDescent="0.25">
      <c r="A597">
        <f t="shared" si="215"/>
        <v>595</v>
      </c>
      <c r="B597">
        <f t="shared" si="196"/>
        <v>11</v>
      </c>
      <c r="C597">
        <f t="shared" si="197"/>
        <v>2.0000000000000009</v>
      </c>
      <c r="D597" s="15">
        <f t="shared" si="198"/>
        <v>2.278481012658228</v>
      </c>
      <c r="E597">
        <f t="shared" si="199"/>
        <v>1</v>
      </c>
      <c r="F597" s="3">
        <f t="shared" si="200"/>
        <v>54.683544303797461</v>
      </c>
      <c r="G597" s="3">
        <f t="shared" si="201"/>
        <v>0.95440789476145604</v>
      </c>
      <c r="H597" s="18">
        <f t="shared" si="202"/>
        <v>1.1561840004496975</v>
      </c>
      <c r="I597" s="3">
        <f t="shared" si="203"/>
        <v>1.6319431843983225</v>
      </c>
      <c r="J597" s="19" t="str">
        <f t="shared" si="204"/>
        <v>L</v>
      </c>
      <c r="K597" s="20">
        <f t="shared" si="205"/>
        <v>1.1561840004496975</v>
      </c>
      <c r="L597" s="20">
        <f t="shared" si="206"/>
        <v>1.6319431843983225</v>
      </c>
      <c r="M597" s="20" t="e">
        <f t="shared" si="207"/>
        <v>#N/A</v>
      </c>
      <c r="N597" s="20" t="e">
        <f t="shared" si="208"/>
        <v>#N/A</v>
      </c>
      <c r="O597" s="20" t="e">
        <f t="shared" si="209"/>
        <v>#N/A</v>
      </c>
      <c r="P597" s="20" t="e">
        <f t="shared" si="210"/>
        <v>#N/A</v>
      </c>
      <c r="Q597" s="20" t="e">
        <f t="shared" si="211"/>
        <v>#N/A</v>
      </c>
      <c r="R597" s="20" t="e">
        <f t="shared" si="212"/>
        <v>#N/A</v>
      </c>
      <c r="S597" s="20" t="e">
        <f t="shared" si="213"/>
        <v>#N/A</v>
      </c>
      <c r="T597" s="20" t="e">
        <f t="shared" si="214"/>
        <v>#N/A</v>
      </c>
    </row>
    <row r="598" spans="1:20" x14ac:dyDescent="0.25">
      <c r="A598">
        <f t="shared" si="215"/>
        <v>596</v>
      </c>
      <c r="B598">
        <f t="shared" si="196"/>
        <v>11</v>
      </c>
      <c r="C598">
        <f t="shared" si="197"/>
        <v>2.0000000000000009</v>
      </c>
      <c r="D598" s="15">
        <f t="shared" si="198"/>
        <v>2.278481012658228</v>
      </c>
      <c r="E598">
        <f t="shared" si="199"/>
        <v>1</v>
      </c>
      <c r="F598" s="3">
        <f t="shared" si="200"/>
        <v>56.962025316455687</v>
      </c>
      <c r="G598" s="3">
        <f t="shared" si="201"/>
        <v>0.99417489037651674</v>
      </c>
      <c r="H598" s="18">
        <f t="shared" si="202"/>
        <v>1.090389544325336</v>
      </c>
      <c r="I598" s="3">
        <f t="shared" si="203"/>
        <v>1.6766188122605536</v>
      </c>
      <c r="J598" s="19" t="str">
        <f t="shared" si="204"/>
        <v>L</v>
      </c>
      <c r="K598" s="20">
        <f t="shared" si="205"/>
        <v>1.090389544325336</v>
      </c>
      <c r="L598" s="20">
        <f t="shared" si="206"/>
        <v>1.6766188122605536</v>
      </c>
      <c r="M598" s="20" t="e">
        <f t="shared" si="207"/>
        <v>#N/A</v>
      </c>
      <c r="N598" s="20" t="e">
        <f t="shared" si="208"/>
        <v>#N/A</v>
      </c>
      <c r="O598" s="20" t="e">
        <f t="shared" si="209"/>
        <v>#N/A</v>
      </c>
      <c r="P598" s="20" t="e">
        <f t="shared" si="210"/>
        <v>#N/A</v>
      </c>
      <c r="Q598" s="20" t="e">
        <f t="shared" si="211"/>
        <v>#N/A</v>
      </c>
      <c r="R598" s="20" t="e">
        <f t="shared" si="212"/>
        <v>#N/A</v>
      </c>
      <c r="S598" s="20" t="e">
        <f t="shared" si="213"/>
        <v>#N/A</v>
      </c>
      <c r="T598" s="20" t="e">
        <f t="shared" si="214"/>
        <v>#N/A</v>
      </c>
    </row>
    <row r="599" spans="1:20" x14ac:dyDescent="0.25">
      <c r="A599">
        <f t="shared" si="215"/>
        <v>597</v>
      </c>
      <c r="B599">
        <f t="shared" si="196"/>
        <v>11</v>
      </c>
      <c r="C599">
        <f t="shared" si="197"/>
        <v>2.0000000000000009</v>
      </c>
      <c r="D599" s="15">
        <f t="shared" si="198"/>
        <v>2.278481012658228</v>
      </c>
      <c r="E599">
        <f t="shared" si="199"/>
        <v>1</v>
      </c>
      <c r="F599" s="3">
        <f t="shared" si="200"/>
        <v>59.240506329113913</v>
      </c>
      <c r="G599" s="3">
        <f t="shared" si="201"/>
        <v>1.0339418859915772</v>
      </c>
      <c r="H599" s="18">
        <f t="shared" si="202"/>
        <v>1.0228709582068454</v>
      </c>
      <c r="I599" s="3">
        <f t="shared" si="203"/>
        <v>1.7186433611593224</v>
      </c>
      <c r="J599" s="19" t="str">
        <f t="shared" si="204"/>
        <v>L</v>
      </c>
      <c r="K599" s="20">
        <f t="shared" si="205"/>
        <v>1.0228709582068454</v>
      </c>
      <c r="L599" s="20">
        <f t="shared" si="206"/>
        <v>1.7186433611593224</v>
      </c>
      <c r="M599" s="20" t="e">
        <f t="shared" si="207"/>
        <v>#N/A</v>
      </c>
      <c r="N599" s="20" t="e">
        <f t="shared" si="208"/>
        <v>#N/A</v>
      </c>
      <c r="O599" s="20" t="e">
        <f t="shared" si="209"/>
        <v>#N/A</v>
      </c>
      <c r="P599" s="20" t="e">
        <f t="shared" si="210"/>
        <v>#N/A</v>
      </c>
      <c r="Q599" s="20" t="e">
        <f t="shared" si="211"/>
        <v>#N/A</v>
      </c>
      <c r="R599" s="20" t="e">
        <f t="shared" si="212"/>
        <v>#N/A</v>
      </c>
      <c r="S599" s="20" t="e">
        <f t="shared" si="213"/>
        <v>#N/A</v>
      </c>
      <c r="T599" s="20" t="e">
        <f t="shared" si="214"/>
        <v>#N/A</v>
      </c>
    </row>
    <row r="600" spans="1:20" x14ac:dyDescent="0.25">
      <c r="A600">
        <f t="shared" si="215"/>
        <v>598</v>
      </c>
      <c r="B600">
        <f t="shared" si="196"/>
        <v>11</v>
      </c>
      <c r="C600">
        <f t="shared" si="197"/>
        <v>2.0000000000000009</v>
      </c>
      <c r="D600" s="15">
        <f t="shared" si="198"/>
        <v>2.278481012658228</v>
      </c>
      <c r="E600">
        <f t="shared" si="199"/>
        <v>1</v>
      </c>
      <c r="F600" s="3">
        <f t="shared" si="200"/>
        <v>61.518987341772139</v>
      </c>
      <c r="G600" s="3">
        <f t="shared" si="201"/>
        <v>1.073708881606638</v>
      </c>
      <c r="H600" s="18">
        <f t="shared" si="202"/>
        <v>0.95373500285701274</v>
      </c>
      <c r="I600" s="3">
        <f t="shared" si="203"/>
        <v>1.7579503816448683</v>
      </c>
      <c r="J600" s="19" t="str">
        <f t="shared" si="204"/>
        <v>L</v>
      </c>
      <c r="K600" s="20">
        <f t="shared" si="205"/>
        <v>0.95373500285701274</v>
      </c>
      <c r="L600" s="20">
        <f t="shared" si="206"/>
        <v>1.7579503816448683</v>
      </c>
      <c r="M600" s="20" t="e">
        <f t="shared" si="207"/>
        <v>#N/A</v>
      </c>
      <c r="N600" s="20" t="e">
        <f t="shared" si="208"/>
        <v>#N/A</v>
      </c>
      <c r="O600" s="20" t="e">
        <f t="shared" si="209"/>
        <v>#N/A</v>
      </c>
      <c r="P600" s="20" t="e">
        <f t="shared" si="210"/>
        <v>#N/A</v>
      </c>
      <c r="Q600" s="20" t="e">
        <f t="shared" si="211"/>
        <v>#N/A</v>
      </c>
      <c r="R600" s="20" t="e">
        <f t="shared" si="212"/>
        <v>#N/A</v>
      </c>
      <c r="S600" s="20" t="e">
        <f t="shared" si="213"/>
        <v>#N/A</v>
      </c>
      <c r="T600" s="20" t="e">
        <f t="shared" si="214"/>
        <v>#N/A</v>
      </c>
    </row>
    <row r="601" spans="1:20" x14ac:dyDescent="0.25">
      <c r="A601">
        <f t="shared" si="215"/>
        <v>599</v>
      </c>
      <c r="B601">
        <f t="shared" si="196"/>
        <v>11</v>
      </c>
      <c r="C601">
        <f t="shared" si="197"/>
        <v>2.0000000000000009</v>
      </c>
      <c r="D601" s="15">
        <f t="shared" si="198"/>
        <v>2.278481012658228</v>
      </c>
      <c r="E601">
        <f t="shared" si="199"/>
        <v>1</v>
      </c>
      <c r="F601" s="3">
        <f t="shared" si="200"/>
        <v>63.797468354430364</v>
      </c>
      <c r="G601" s="3">
        <f t="shared" si="201"/>
        <v>1.1134758772216984</v>
      </c>
      <c r="H601" s="18">
        <f t="shared" si="202"/>
        <v>0.88309099643182498</v>
      </c>
      <c r="I601" s="3">
        <f t="shared" si="203"/>
        <v>1.7944777212384249</v>
      </c>
      <c r="J601" s="19" t="str">
        <f t="shared" si="204"/>
        <v>L</v>
      </c>
      <c r="K601" s="20">
        <f t="shared" si="205"/>
        <v>0.88309099643182498</v>
      </c>
      <c r="L601" s="20">
        <f t="shared" si="206"/>
        <v>1.7944777212384249</v>
      </c>
      <c r="M601" s="20" t="e">
        <f t="shared" si="207"/>
        <v>#N/A</v>
      </c>
      <c r="N601" s="20" t="e">
        <f t="shared" si="208"/>
        <v>#N/A</v>
      </c>
      <c r="O601" s="20" t="e">
        <f t="shared" si="209"/>
        <v>#N/A</v>
      </c>
      <c r="P601" s="20" t="e">
        <f t="shared" si="210"/>
        <v>#N/A</v>
      </c>
      <c r="Q601" s="20" t="e">
        <f t="shared" si="211"/>
        <v>#N/A</v>
      </c>
      <c r="R601" s="20" t="e">
        <f t="shared" si="212"/>
        <v>#N/A</v>
      </c>
      <c r="S601" s="20" t="e">
        <f t="shared" si="213"/>
        <v>#N/A</v>
      </c>
      <c r="T601" s="20" t="e">
        <f t="shared" si="214"/>
        <v>#N/A</v>
      </c>
    </row>
    <row r="602" spans="1:20" x14ac:dyDescent="0.25">
      <c r="A602">
        <f t="shared" si="215"/>
        <v>600</v>
      </c>
      <c r="B602">
        <f t="shared" si="196"/>
        <v>11</v>
      </c>
      <c r="C602">
        <f t="shared" si="197"/>
        <v>2.0000000000000009</v>
      </c>
      <c r="D602" s="15">
        <f t="shared" si="198"/>
        <v>2.278481012658228</v>
      </c>
      <c r="E602">
        <f t="shared" si="199"/>
        <v>1</v>
      </c>
      <c r="F602" s="3">
        <f t="shared" si="200"/>
        <v>66.075949367088597</v>
      </c>
      <c r="G602" s="3">
        <f t="shared" si="201"/>
        <v>1.1532428728367594</v>
      </c>
      <c r="H602" s="18">
        <f t="shared" si="202"/>
        <v>0.81105064162598839</v>
      </c>
      <c r="I602" s="3">
        <f t="shared" si="203"/>
        <v>1.8281676227080701</v>
      </c>
      <c r="J602" s="19" t="str">
        <f t="shared" si="204"/>
        <v>L</v>
      </c>
      <c r="K602" s="20">
        <f t="shared" si="205"/>
        <v>0.81105064162598839</v>
      </c>
      <c r="L602" s="20">
        <f t="shared" si="206"/>
        <v>1.8281676227080701</v>
      </c>
      <c r="M602" s="20" t="e">
        <f t="shared" si="207"/>
        <v>#N/A</v>
      </c>
      <c r="N602" s="20" t="e">
        <f t="shared" si="208"/>
        <v>#N/A</v>
      </c>
      <c r="O602" s="20" t="e">
        <f t="shared" si="209"/>
        <v>#N/A</v>
      </c>
      <c r="P602" s="20" t="e">
        <f t="shared" si="210"/>
        <v>#N/A</v>
      </c>
      <c r="Q602" s="20" t="e">
        <f t="shared" si="211"/>
        <v>#N/A</v>
      </c>
      <c r="R602" s="20" t="e">
        <f t="shared" si="212"/>
        <v>#N/A</v>
      </c>
      <c r="S602" s="20" t="e">
        <f t="shared" si="213"/>
        <v>#N/A</v>
      </c>
      <c r="T602" s="20" t="e">
        <f t="shared" si="214"/>
        <v>#N/A</v>
      </c>
    </row>
    <row r="603" spans="1:20" x14ac:dyDescent="0.25">
      <c r="A603">
        <f t="shared" si="215"/>
        <v>601</v>
      </c>
      <c r="B603">
        <f t="shared" si="196"/>
        <v>11</v>
      </c>
      <c r="C603">
        <f t="shared" si="197"/>
        <v>2.0000000000000009</v>
      </c>
      <c r="D603" s="15">
        <f t="shared" si="198"/>
        <v>2.278481012658228</v>
      </c>
      <c r="E603">
        <f t="shared" si="199"/>
        <v>1</v>
      </c>
      <c r="F603" s="3">
        <f t="shared" si="200"/>
        <v>68.35443037974683</v>
      </c>
      <c r="G603" s="3">
        <f t="shared" si="201"/>
        <v>1.19300986845182</v>
      </c>
      <c r="H603" s="18">
        <f t="shared" si="202"/>
        <v>0.73772784904801647</v>
      </c>
      <c r="I603" s="3">
        <f t="shared" si="203"/>
        <v>1.8589668153947749</v>
      </c>
      <c r="J603" s="19" t="str">
        <f t="shared" si="204"/>
        <v>L</v>
      </c>
      <c r="K603" s="20">
        <f t="shared" si="205"/>
        <v>0.73772784904801647</v>
      </c>
      <c r="L603" s="20">
        <f t="shared" si="206"/>
        <v>1.8589668153947749</v>
      </c>
      <c r="M603" s="20" t="e">
        <f t="shared" si="207"/>
        <v>#N/A</v>
      </c>
      <c r="N603" s="20" t="e">
        <f t="shared" si="208"/>
        <v>#N/A</v>
      </c>
      <c r="O603" s="20" t="e">
        <f t="shared" si="209"/>
        <v>#N/A</v>
      </c>
      <c r="P603" s="20" t="e">
        <f t="shared" si="210"/>
        <v>#N/A</v>
      </c>
      <c r="Q603" s="20" t="e">
        <f t="shared" si="211"/>
        <v>#N/A</v>
      </c>
      <c r="R603" s="20" t="e">
        <f t="shared" si="212"/>
        <v>#N/A</v>
      </c>
      <c r="S603" s="20" t="e">
        <f t="shared" si="213"/>
        <v>#N/A</v>
      </c>
      <c r="T603" s="20" t="e">
        <f t="shared" si="214"/>
        <v>#N/A</v>
      </c>
    </row>
    <row r="604" spans="1:20" x14ac:dyDescent="0.25">
      <c r="A604">
        <f t="shared" si="215"/>
        <v>602</v>
      </c>
      <c r="B604">
        <f t="shared" si="196"/>
        <v>11</v>
      </c>
      <c r="C604">
        <f t="shared" si="197"/>
        <v>2.0000000000000009</v>
      </c>
      <c r="D604" s="15">
        <f t="shared" si="198"/>
        <v>2.278481012658228</v>
      </c>
      <c r="E604">
        <f t="shared" si="199"/>
        <v>1</v>
      </c>
      <c r="F604" s="3">
        <f t="shared" si="200"/>
        <v>70.632911392405063</v>
      </c>
      <c r="G604" s="3">
        <f t="shared" si="201"/>
        <v>1.2327768640668808</v>
      </c>
      <c r="H604" s="18">
        <f t="shared" si="202"/>
        <v>0.66323855710413604</v>
      </c>
      <c r="I604" s="3">
        <f t="shared" si="203"/>
        <v>1.8868265994442699</v>
      </c>
      <c r="J604" s="19" t="str">
        <f t="shared" si="204"/>
        <v>L</v>
      </c>
      <c r="K604" s="20">
        <f t="shared" si="205"/>
        <v>0.66323855710413604</v>
      </c>
      <c r="L604" s="20">
        <f t="shared" si="206"/>
        <v>1.8868265994442699</v>
      </c>
      <c r="M604" s="20" t="e">
        <f t="shared" si="207"/>
        <v>#N/A</v>
      </c>
      <c r="N604" s="20" t="e">
        <f t="shared" si="208"/>
        <v>#N/A</v>
      </c>
      <c r="O604" s="20" t="e">
        <f t="shared" si="209"/>
        <v>#N/A</v>
      </c>
      <c r="P604" s="20" t="e">
        <f t="shared" si="210"/>
        <v>#N/A</v>
      </c>
      <c r="Q604" s="20" t="e">
        <f t="shared" si="211"/>
        <v>#N/A</v>
      </c>
      <c r="R604" s="20" t="e">
        <f t="shared" si="212"/>
        <v>#N/A</v>
      </c>
      <c r="S604" s="20" t="e">
        <f t="shared" si="213"/>
        <v>#N/A</v>
      </c>
      <c r="T604" s="20" t="e">
        <f t="shared" si="214"/>
        <v>#N/A</v>
      </c>
    </row>
    <row r="605" spans="1:20" x14ac:dyDescent="0.25">
      <c r="A605">
        <f t="shared" si="215"/>
        <v>603</v>
      </c>
      <c r="B605">
        <f t="shared" si="196"/>
        <v>11</v>
      </c>
      <c r="C605">
        <f t="shared" si="197"/>
        <v>2.0000000000000009</v>
      </c>
      <c r="D605" s="15">
        <f t="shared" si="198"/>
        <v>2.278481012658228</v>
      </c>
      <c r="E605">
        <f t="shared" si="199"/>
        <v>1</v>
      </c>
      <c r="F605" s="3">
        <f t="shared" si="200"/>
        <v>72.911392405063296</v>
      </c>
      <c r="G605" s="3">
        <f t="shared" si="201"/>
        <v>1.2725438596819416</v>
      </c>
      <c r="H605" s="18">
        <f t="shared" si="202"/>
        <v>0.58770054867584198</v>
      </c>
      <c r="I605" s="3">
        <f t="shared" si="203"/>
        <v>1.9117029228115225</v>
      </c>
      <c r="J605" s="19" t="str">
        <f t="shared" si="204"/>
        <v>L</v>
      </c>
      <c r="K605" s="20">
        <f t="shared" si="205"/>
        <v>0.58770054867584198</v>
      </c>
      <c r="L605" s="20">
        <f t="shared" si="206"/>
        <v>1.9117029228115225</v>
      </c>
      <c r="M605" s="20" t="e">
        <f t="shared" si="207"/>
        <v>#N/A</v>
      </c>
      <c r="N605" s="20" t="e">
        <f t="shared" si="208"/>
        <v>#N/A</v>
      </c>
      <c r="O605" s="20" t="e">
        <f t="shared" si="209"/>
        <v>#N/A</v>
      </c>
      <c r="P605" s="20" t="e">
        <f t="shared" si="210"/>
        <v>#N/A</v>
      </c>
      <c r="Q605" s="20" t="e">
        <f t="shared" si="211"/>
        <v>#N/A</v>
      </c>
      <c r="R605" s="20" t="e">
        <f t="shared" si="212"/>
        <v>#N/A</v>
      </c>
      <c r="S605" s="20" t="e">
        <f t="shared" si="213"/>
        <v>#N/A</v>
      </c>
      <c r="T605" s="20" t="e">
        <f t="shared" si="214"/>
        <v>#N/A</v>
      </c>
    </row>
    <row r="606" spans="1:20" x14ac:dyDescent="0.25">
      <c r="A606">
        <f t="shared" si="215"/>
        <v>604</v>
      </c>
      <c r="B606">
        <f t="shared" si="196"/>
        <v>11</v>
      </c>
      <c r="C606">
        <f t="shared" si="197"/>
        <v>2.0000000000000009</v>
      </c>
      <c r="D606" s="15">
        <f t="shared" si="198"/>
        <v>2.278481012658228</v>
      </c>
      <c r="E606">
        <f t="shared" si="199"/>
        <v>1</v>
      </c>
      <c r="F606" s="3">
        <f t="shared" si="200"/>
        <v>75.189873417721529</v>
      </c>
      <c r="G606" s="3">
        <f t="shared" si="201"/>
        <v>1.3123108552970024</v>
      </c>
      <c r="H606" s="18">
        <f t="shared" si="202"/>
        <v>0.51123326488094922</v>
      </c>
      <c r="I606" s="3">
        <f t="shared" si="203"/>
        <v>1.9335564509160752</v>
      </c>
      <c r="J606" s="19" t="str">
        <f t="shared" si="204"/>
        <v>L</v>
      </c>
      <c r="K606" s="20">
        <f t="shared" si="205"/>
        <v>0.51123326488094922</v>
      </c>
      <c r="L606" s="20">
        <f t="shared" si="206"/>
        <v>1.9335564509160752</v>
      </c>
      <c r="M606" s="20" t="e">
        <f t="shared" si="207"/>
        <v>#N/A</v>
      </c>
      <c r="N606" s="20" t="e">
        <f t="shared" si="208"/>
        <v>#N/A</v>
      </c>
      <c r="O606" s="20" t="e">
        <f t="shared" si="209"/>
        <v>#N/A</v>
      </c>
      <c r="P606" s="20" t="e">
        <f t="shared" si="210"/>
        <v>#N/A</v>
      </c>
      <c r="Q606" s="20" t="e">
        <f t="shared" si="211"/>
        <v>#N/A</v>
      </c>
      <c r="R606" s="20" t="e">
        <f t="shared" si="212"/>
        <v>#N/A</v>
      </c>
      <c r="S606" s="20" t="e">
        <f t="shared" si="213"/>
        <v>#N/A</v>
      </c>
      <c r="T606" s="20" t="e">
        <f t="shared" si="214"/>
        <v>#N/A</v>
      </c>
    </row>
    <row r="607" spans="1:20" x14ac:dyDescent="0.25">
      <c r="A607">
        <f t="shared" si="215"/>
        <v>605</v>
      </c>
      <c r="B607">
        <f t="shared" si="196"/>
        <v>11</v>
      </c>
      <c r="C607">
        <f t="shared" si="197"/>
        <v>2.0000000000000009</v>
      </c>
      <c r="D607" s="15">
        <f t="shared" si="198"/>
        <v>2.278481012658228</v>
      </c>
      <c r="E607">
        <f t="shared" si="199"/>
        <v>1</v>
      </c>
      <c r="F607" s="3">
        <f t="shared" si="200"/>
        <v>77.468354430379762</v>
      </c>
      <c r="G607" s="3">
        <f t="shared" si="201"/>
        <v>1.352077850912063</v>
      </c>
      <c r="H607" s="18">
        <f t="shared" si="202"/>
        <v>0.43395761621263612</v>
      </c>
      <c r="I607" s="3">
        <f t="shared" si="203"/>
        <v>1.9523526288381026</v>
      </c>
      <c r="J607" s="19" t="str">
        <f t="shared" si="204"/>
        <v>L</v>
      </c>
      <c r="K607" s="20">
        <f t="shared" si="205"/>
        <v>0.43395761621263612</v>
      </c>
      <c r="L607" s="20">
        <f t="shared" si="206"/>
        <v>1.9523526288381026</v>
      </c>
      <c r="M607" s="20" t="e">
        <f t="shared" si="207"/>
        <v>#N/A</v>
      </c>
      <c r="N607" s="20" t="e">
        <f t="shared" si="208"/>
        <v>#N/A</v>
      </c>
      <c r="O607" s="20" t="e">
        <f t="shared" si="209"/>
        <v>#N/A</v>
      </c>
      <c r="P607" s="20" t="e">
        <f t="shared" si="210"/>
        <v>#N/A</v>
      </c>
      <c r="Q607" s="20" t="e">
        <f t="shared" si="211"/>
        <v>#N/A</v>
      </c>
      <c r="R607" s="20" t="e">
        <f t="shared" si="212"/>
        <v>#N/A</v>
      </c>
      <c r="S607" s="20" t="e">
        <f t="shared" si="213"/>
        <v>#N/A</v>
      </c>
      <c r="T607" s="20" t="e">
        <f t="shared" si="214"/>
        <v>#N/A</v>
      </c>
    </row>
    <row r="608" spans="1:20" x14ac:dyDescent="0.25">
      <c r="A608">
        <f t="shared" si="215"/>
        <v>606</v>
      </c>
      <c r="B608">
        <f t="shared" si="196"/>
        <v>11</v>
      </c>
      <c r="C608">
        <f t="shared" si="197"/>
        <v>2.0000000000000009</v>
      </c>
      <c r="D608" s="15">
        <f t="shared" si="198"/>
        <v>2.278481012658228</v>
      </c>
      <c r="E608">
        <f t="shared" si="199"/>
        <v>1</v>
      </c>
      <c r="F608" s="3">
        <f t="shared" si="200"/>
        <v>79.746835443037995</v>
      </c>
      <c r="G608" s="3">
        <f t="shared" si="201"/>
        <v>1.3918448465271238</v>
      </c>
      <c r="H608" s="18">
        <f t="shared" si="202"/>
        <v>0.35599579135510023</v>
      </c>
      <c r="I608" s="3">
        <f t="shared" si="203"/>
        <v>1.9680617359568422</v>
      </c>
      <c r="J608" s="19" t="str">
        <f t="shared" si="204"/>
        <v>L</v>
      </c>
      <c r="K608" s="20">
        <f t="shared" si="205"/>
        <v>0.35599579135510023</v>
      </c>
      <c r="L608" s="20">
        <f t="shared" si="206"/>
        <v>1.9680617359568422</v>
      </c>
      <c r="M608" s="20" t="e">
        <f t="shared" si="207"/>
        <v>#N/A</v>
      </c>
      <c r="N608" s="20" t="e">
        <f t="shared" si="208"/>
        <v>#N/A</v>
      </c>
      <c r="O608" s="20" t="e">
        <f t="shared" si="209"/>
        <v>#N/A</v>
      </c>
      <c r="P608" s="20" t="e">
        <f t="shared" si="210"/>
        <v>#N/A</v>
      </c>
      <c r="Q608" s="20" t="e">
        <f t="shared" si="211"/>
        <v>#N/A</v>
      </c>
      <c r="R608" s="20" t="e">
        <f t="shared" si="212"/>
        <v>#N/A</v>
      </c>
      <c r="S608" s="20" t="e">
        <f t="shared" si="213"/>
        <v>#N/A</v>
      </c>
      <c r="T608" s="20" t="e">
        <f t="shared" si="214"/>
        <v>#N/A</v>
      </c>
    </row>
    <row r="609" spans="1:20" x14ac:dyDescent="0.25">
      <c r="A609">
        <f t="shared" si="215"/>
        <v>607</v>
      </c>
      <c r="B609">
        <f t="shared" si="196"/>
        <v>11</v>
      </c>
      <c r="C609">
        <f t="shared" si="197"/>
        <v>2.0000000000000009</v>
      </c>
      <c r="D609" s="15">
        <f t="shared" si="198"/>
        <v>2.278481012658228</v>
      </c>
      <c r="E609">
        <f t="shared" si="199"/>
        <v>1</v>
      </c>
      <c r="F609" s="3">
        <f t="shared" si="200"/>
        <v>82.025316455696228</v>
      </c>
      <c r="G609" s="3">
        <f t="shared" si="201"/>
        <v>1.4316118421421846</v>
      </c>
      <c r="H609" s="18">
        <f t="shared" si="202"/>
        <v>0.27747106397813587</v>
      </c>
      <c r="I609" s="3">
        <f t="shared" si="203"/>
        <v>1.9806589329450048</v>
      </c>
      <c r="J609" s="19" t="str">
        <f t="shared" si="204"/>
        <v>L</v>
      </c>
      <c r="K609" s="20">
        <f t="shared" si="205"/>
        <v>0.27747106397813587</v>
      </c>
      <c r="L609" s="20">
        <f t="shared" si="206"/>
        <v>1.9806589329450048</v>
      </c>
      <c r="M609" s="20" t="e">
        <f t="shared" si="207"/>
        <v>#N/A</v>
      </c>
      <c r="N609" s="20" t="e">
        <f t="shared" si="208"/>
        <v>#N/A</v>
      </c>
      <c r="O609" s="20" t="e">
        <f t="shared" si="209"/>
        <v>#N/A</v>
      </c>
      <c r="P609" s="20" t="e">
        <f t="shared" si="210"/>
        <v>#N/A</v>
      </c>
      <c r="Q609" s="20" t="e">
        <f t="shared" si="211"/>
        <v>#N/A</v>
      </c>
      <c r="R609" s="20" t="e">
        <f t="shared" si="212"/>
        <v>#N/A</v>
      </c>
      <c r="S609" s="20" t="e">
        <f t="shared" si="213"/>
        <v>#N/A</v>
      </c>
      <c r="T609" s="20" t="e">
        <f t="shared" si="214"/>
        <v>#N/A</v>
      </c>
    </row>
    <row r="610" spans="1:20" x14ac:dyDescent="0.25">
      <c r="A610">
        <f t="shared" si="215"/>
        <v>608</v>
      </c>
      <c r="B610">
        <f t="shared" si="196"/>
        <v>11</v>
      </c>
      <c r="C610">
        <f t="shared" si="197"/>
        <v>2.0000000000000009</v>
      </c>
      <c r="D610" s="15">
        <f t="shared" si="198"/>
        <v>2.278481012658228</v>
      </c>
      <c r="E610">
        <f t="shared" si="199"/>
        <v>1</v>
      </c>
      <c r="F610" s="3">
        <f t="shared" si="200"/>
        <v>84.30379746835446</v>
      </c>
      <c r="G610" s="3">
        <f t="shared" si="201"/>
        <v>1.4713788377572454</v>
      </c>
      <c r="H610" s="18">
        <f t="shared" si="202"/>
        <v>0.19850759781612229</v>
      </c>
      <c r="I610" s="3">
        <f t="shared" si="203"/>
        <v>1.9901243010448559</v>
      </c>
      <c r="J610" s="19" t="str">
        <f t="shared" si="204"/>
        <v>L</v>
      </c>
      <c r="K610" s="20">
        <f t="shared" si="205"/>
        <v>0.19850759781612229</v>
      </c>
      <c r="L610" s="20">
        <f t="shared" si="206"/>
        <v>1.9901243010448559</v>
      </c>
      <c r="M610" s="20" t="e">
        <f t="shared" si="207"/>
        <v>#N/A</v>
      </c>
      <c r="N610" s="20" t="e">
        <f t="shared" si="208"/>
        <v>#N/A</v>
      </c>
      <c r="O610" s="20" t="e">
        <f t="shared" si="209"/>
        <v>#N/A</v>
      </c>
      <c r="P610" s="20" t="e">
        <f t="shared" si="210"/>
        <v>#N/A</v>
      </c>
      <c r="Q610" s="20" t="e">
        <f t="shared" si="211"/>
        <v>#N/A</v>
      </c>
      <c r="R610" s="20" t="e">
        <f t="shared" si="212"/>
        <v>#N/A</v>
      </c>
      <c r="S610" s="20" t="e">
        <f t="shared" si="213"/>
        <v>#N/A</v>
      </c>
      <c r="T610" s="20" t="e">
        <f t="shared" si="214"/>
        <v>#N/A</v>
      </c>
    </row>
    <row r="611" spans="1:20" x14ac:dyDescent="0.25">
      <c r="A611">
        <f t="shared" si="215"/>
        <v>609</v>
      </c>
      <c r="B611">
        <f t="shared" si="196"/>
        <v>11</v>
      </c>
      <c r="C611">
        <f t="shared" si="197"/>
        <v>2.0000000000000009</v>
      </c>
      <c r="D611" s="15">
        <f t="shared" si="198"/>
        <v>2.278481012658228</v>
      </c>
      <c r="E611">
        <f t="shared" si="199"/>
        <v>1</v>
      </c>
      <c r="F611" s="3">
        <f t="shared" si="200"/>
        <v>86.582278481012693</v>
      </c>
      <c r="G611" s="3">
        <f t="shared" si="201"/>
        <v>1.511145833372306</v>
      </c>
      <c r="H611" s="18">
        <f t="shared" si="202"/>
        <v>0.11923025033963902</v>
      </c>
      <c r="I611" s="3">
        <f t="shared" si="203"/>
        <v>1.9964428735638671</v>
      </c>
      <c r="J611" s="19" t="str">
        <f t="shared" si="204"/>
        <v>L</v>
      </c>
      <c r="K611" s="20">
        <f t="shared" si="205"/>
        <v>0.11923025033963902</v>
      </c>
      <c r="L611" s="20">
        <f t="shared" si="206"/>
        <v>1.9964428735638671</v>
      </c>
      <c r="M611" s="20" t="e">
        <f t="shared" si="207"/>
        <v>#N/A</v>
      </c>
      <c r="N611" s="20" t="e">
        <f t="shared" si="208"/>
        <v>#N/A</v>
      </c>
      <c r="O611" s="20" t="e">
        <f t="shared" si="209"/>
        <v>#N/A</v>
      </c>
      <c r="P611" s="20" t="e">
        <f t="shared" si="210"/>
        <v>#N/A</v>
      </c>
      <c r="Q611" s="20" t="e">
        <f t="shared" si="211"/>
        <v>#N/A</v>
      </c>
      <c r="R611" s="20" t="e">
        <f t="shared" si="212"/>
        <v>#N/A</v>
      </c>
      <c r="S611" s="20" t="e">
        <f t="shared" si="213"/>
        <v>#N/A</v>
      </c>
      <c r="T611" s="20" t="e">
        <f t="shared" si="214"/>
        <v>#N/A</v>
      </c>
    </row>
    <row r="612" spans="1:20" x14ac:dyDescent="0.25">
      <c r="A612">
        <f t="shared" si="215"/>
        <v>610</v>
      </c>
      <c r="B612">
        <f t="shared" si="196"/>
        <v>11</v>
      </c>
      <c r="C612">
        <f t="shared" si="197"/>
        <v>2.0000000000000009</v>
      </c>
      <c r="D612" s="15">
        <f t="shared" si="198"/>
        <v>2.278481012658228</v>
      </c>
      <c r="E612">
        <f t="shared" si="199"/>
        <v>1</v>
      </c>
      <c r="F612" s="3">
        <f t="shared" si="200"/>
        <v>88.860759493670926</v>
      </c>
      <c r="G612" s="3">
        <f t="shared" si="201"/>
        <v>1.550912828987367</v>
      </c>
      <c r="H612" s="18">
        <f t="shared" si="202"/>
        <v>3.9764375330138838E-2</v>
      </c>
      <c r="I612" s="3">
        <f t="shared" si="203"/>
        <v>1.999604659540132</v>
      </c>
      <c r="J612" s="19" t="str">
        <f t="shared" si="204"/>
        <v>L</v>
      </c>
      <c r="K612" s="20">
        <f t="shared" si="205"/>
        <v>3.9764375330138838E-2</v>
      </c>
      <c r="L612" s="20">
        <f t="shared" si="206"/>
        <v>1.999604659540132</v>
      </c>
      <c r="M612" s="20" t="e">
        <f t="shared" si="207"/>
        <v>#N/A</v>
      </c>
      <c r="N612" s="20" t="e">
        <f t="shared" si="208"/>
        <v>#N/A</v>
      </c>
      <c r="O612" s="20" t="e">
        <f t="shared" si="209"/>
        <v>#N/A</v>
      </c>
      <c r="P612" s="20" t="e">
        <f t="shared" si="210"/>
        <v>#N/A</v>
      </c>
      <c r="Q612" s="20" t="e">
        <f t="shared" si="211"/>
        <v>#N/A</v>
      </c>
      <c r="R612" s="20" t="e">
        <f t="shared" si="212"/>
        <v>#N/A</v>
      </c>
      <c r="S612" s="20" t="e">
        <f t="shared" si="213"/>
        <v>#N/A</v>
      </c>
      <c r="T612" s="20" t="e">
        <f t="shared" si="214"/>
        <v>#N/A</v>
      </c>
    </row>
    <row r="613" spans="1:20" x14ac:dyDescent="0.25">
      <c r="A613">
        <f t="shared" si="215"/>
        <v>611</v>
      </c>
      <c r="B613">
        <f t="shared" si="196"/>
        <v>11</v>
      </c>
      <c r="C613">
        <f t="shared" si="197"/>
        <v>2.0000000000000009</v>
      </c>
      <c r="D613" s="15">
        <f t="shared" si="198"/>
        <v>2.278481012658228</v>
      </c>
      <c r="E613">
        <f t="shared" si="199"/>
        <v>1</v>
      </c>
      <c r="F613" s="3">
        <f t="shared" si="200"/>
        <v>91.139240506329159</v>
      </c>
      <c r="G613" s="3">
        <f t="shared" si="201"/>
        <v>1.5906798246024276</v>
      </c>
      <c r="H613" s="18">
        <f t="shared" si="202"/>
        <v>-3.9764375330141703E-2</v>
      </c>
      <c r="I613" s="3">
        <f t="shared" si="203"/>
        <v>1.999604659540132</v>
      </c>
      <c r="J613" s="19" t="str">
        <f t="shared" si="204"/>
        <v>L</v>
      </c>
      <c r="K613" s="20">
        <f t="shared" si="205"/>
        <v>-3.9764375330141703E-2</v>
      </c>
      <c r="L613" s="20">
        <f t="shared" si="206"/>
        <v>1.999604659540132</v>
      </c>
      <c r="M613" s="20" t="e">
        <f t="shared" si="207"/>
        <v>#N/A</v>
      </c>
      <c r="N613" s="20" t="e">
        <f t="shared" si="208"/>
        <v>#N/A</v>
      </c>
      <c r="O613" s="20" t="e">
        <f t="shared" si="209"/>
        <v>#N/A</v>
      </c>
      <c r="P613" s="20" t="e">
        <f t="shared" si="210"/>
        <v>#N/A</v>
      </c>
      <c r="Q613" s="20" t="e">
        <f t="shared" si="211"/>
        <v>#N/A</v>
      </c>
      <c r="R613" s="20" t="e">
        <f t="shared" si="212"/>
        <v>#N/A</v>
      </c>
      <c r="S613" s="20" t="e">
        <f t="shared" si="213"/>
        <v>#N/A</v>
      </c>
      <c r="T613" s="20" t="e">
        <f t="shared" si="214"/>
        <v>#N/A</v>
      </c>
    </row>
    <row r="614" spans="1:20" x14ac:dyDescent="0.25">
      <c r="A614">
        <f t="shared" si="215"/>
        <v>612</v>
      </c>
      <c r="B614">
        <f t="shared" si="196"/>
        <v>11</v>
      </c>
      <c r="C614">
        <f t="shared" si="197"/>
        <v>2.0000000000000009</v>
      </c>
      <c r="D614" s="15">
        <f t="shared" si="198"/>
        <v>2.278481012658228</v>
      </c>
      <c r="E614">
        <f t="shared" si="199"/>
        <v>1</v>
      </c>
      <c r="F614" s="3">
        <f t="shared" si="200"/>
        <v>93.417721518987392</v>
      </c>
      <c r="G614" s="3">
        <f t="shared" si="201"/>
        <v>1.6304468202174887</v>
      </c>
      <c r="H614" s="18">
        <f t="shared" si="202"/>
        <v>-0.11923025033964188</v>
      </c>
      <c r="I614" s="3">
        <f t="shared" si="203"/>
        <v>1.9964428735638668</v>
      </c>
      <c r="J614" s="19" t="str">
        <f t="shared" si="204"/>
        <v>L</v>
      </c>
      <c r="K614" s="20">
        <f t="shared" si="205"/>
        <v>-0.11923025033964188</v>
      </c>
      <c r="L614" s="20">
        <f t="shared" si="206"/>
        <v>1.9964428735638668</v>
      </c>
      <c r="M614" s="20" t="e">
        <f t="shared" si="207"/>
        <v>#N/A</v>
      </c>
      <c r="N614" s="20" t="e">
        <f t="shared" si="208"/>
        <v>#N/A</v>
      </c>
      <c r="O614" s="20" t="e">
        <f t="shared" si="209"/>
        <v>#N/A</v>
      </c>
      <c r="P614" s="20" t="e">
        <f t="shared" si="210"/>
        <v>#N/A</v>
      </c>
      <c r="Q614" s="20" t="e">
        <f t="shared" si="211"/>
        <v>#N/A</v>
      </c>
      <c r="R614" s="20" t="e">
        <f t="shared" si="212"/>
        <v>#N/A</v>
      </c>
      <c r="S614" s="20" t="e">
        <f t="shared" si="213"/>
        <v>#N/A</v>
      </c>
      <c r="T614" s="20" t="e">
        <f t="shared" si="214"/>
        <v>#N/A</v>
      </c>
    </row>
    <row r="615" spans="1:20" x14ac:dyDescent="0.25">
      <c r="A615">
        <f t="shared" si="215"/>
        <v>613</v>
      </c>
      <c r="B615">
        <f t="shared" si="196"/>
        <v>11</v>
      </c>
      <c r="C615">
        <f t="shared" si="197"/>
        <v>2.0000000000000009</v>
      </c>
      <c r="D615" s="15">
        <f t="shared" si="198"/>
        <v>2.278481012658228</v>
      </c>
      <c r="E615">
        <f t="shared" si="199"/>
        <v>1</v>
      </c>
      <c r="F615" s="3">
        <f t="shared" si="200"/>
        <v>95.696202531645625</v>
      </c>
      <c r="G615" s="3">
        <f t="shared" si="201"/>
        <v>1.670213815832549</v>
      </c>
      <c r="H615" s="18">
        <f t="shared" si="202"/>
        <v>-0.1985075978161247</v>
      </c>
      <c r="I615" s="3">
        <f t="shared" si="203"/>
        <v>1.9901243010448557</v>
      </c>
      <c r="J615" s="19" t="str">
        <f t="shared" si="204"/>
        <v>L</v>
      </c>
      <c r="K615" s="20">
        <f t="shared" si="205"/>
        <v>-0.1985075978161247</v>
      </c>
      <c r="L615" s="20">
        <f t="shared" si="206"/>
        <v>1.9901243010448557</v>
      </c>
      <c r="M615" s="20" t="e">
        <f t="shared" si="207"/>
        <v>#N/A</v>
      </c>
      <c r="N615" s="20" t="e">
        <f t="shared" si="208"/>
        <v>#N/A</v>
      </c>
      <c r="O615" s="20" t="e">
        <f t="shared" si="209"/>
        <v>#N/A</v>
      </c>
      <c r="P615" s="20" t="e">
        <f t="shared" si="210"/>
        <v>#N/A</v>
      </c>
      <c r="Q615" s="20" t="e">
        <f t="shared" si="211"/>
        <v>#N/A</v>
      </c>
      <c r="R615" s="20" t="e">
        <f t="shared" si="212"/>
        <v>#N/A</v>
      </c>
      <c r="S615" s="20" t="e">
        <f t="shared" si="213"/>
        <v>#N/A</v>
      </c>
      <c r="T615" s="20" t="e">
        <f t="shared" si="214"/>
        <v>#N/A</v>
      </c>
    </row>
    <row r="616" spans="1:20" x14ac:dyDescent="0.25">
      <c r="A616">
        <f t="shared" si="215"/>
        <v>614</v>
      </c>
      <c r="B616">
        <f t="shared" si="196"/>
        <v>11</v>
      </c>
      <c r="C616">
        <f t="shared" si="197"/>
        <v>2.0000000000000009</v>
      </c>
      <c r="D616" s="15">
        <f t="shared" si="198"/>
        <v>2.278481012658228</v>
      </c>
      <c r="E616">
        <f t="shared" si="199"/>
        <v>1</v>
      </c>
      <c r="F616" s="3">
        <f t="shared" si="200"/>
        <v>97.974683544303858</v>
      </c>
      <c r="G616" s="3">
        <f t="shared" si="201"/>
        <v>1.70998081144761</v>
      </c>
      <c r="H616" s="18">
        <f t="shared" si="202"/>
        <v>-0.2774710639781387</v>
      </c>
      <c r="I616" s="3">
        <f t="shared" si="203"/>
        <v>1.9806589329450044</v>
      </c>
      <c r="J616" s="19" t="str">
        <f t="shared" si="204"/>
        <v>L</v>
      </c>
      <c r="K616" s="20">
        <f t="shared" si="205"/>
        <v>-0.2774710639781387</v>
      </c>
      <c r="L616" s="20">
        <f t="shared" si="206"/>
        <v>1.9806589329450044</v>
      </c>
      <c r="M616" s="20" t="e">
        <f t="shared" si="207"/>
        <v>#N/A</v>
      </c>
      <c r="N616" s="20" t="e">
        <f t="shared" si="208"/>
        <v>#N/A</v>
      </c>
      <c r="O616" s="20" t="e">
        <f t="shared" si="209"/>
        <v>#N/A</v>
      </c>
      <c r="P616" s="20" t="e">
        <f t="shared" si="210"/>
        <v>#N/A</v>
      </c>
      <c r="Q616" s="20" t="e">
        <f t="shared" si="211"/>
        <v>#N/A</v>
      </c>
      <c r="R616" s="20" t="e">
        <f t="shared" si="212"/>
        <v>#N/A</v>
      </c>
      <c r="S616" s="20" t="e">
        <f t="shared" si="213"/>
        <v>#N/A</v>
      </c>
      <c r="T616" s="20" t="e">
        <f t="shared" si="214"/>
        <v>#N/A</v>
      </c>
    </row>
    <row r="617" spans="1:20" x14ac:dyDescent="0.25">
      <c r="A617">
        <f t="shared" si="215"/>
        <v>615</v>
      </c>
      <c r="B617">
        <f t="shared" si="196"/>
        <v>11</v>
      </c>
      <c r="C617">
        <f t="shared" si="197"/>
        <v>2.0000000000000009</v>
      </c>
      <c r="D617" s="15">
        <f t="shared" si="198"/>
        <v>2.278481012658228</v>
      </c>
      <c r="E617">
        <f t="shared" si="199"/>
        <v>1</v>
      </c>
      <c r="F617" s="3">
        <f t="shared" si="200"/>
        <v>100.25316455696209</v>
      </c>
      <c r="G617" s="3">
        <f t="shared" si="201"/>
        <v>1.7497478070626709</v>
      </c>
      <c r="H617" s="18">
        <f t="shared" si="202"/>
        <v>-0.35599579135510306</v>
      </c>
      <c r="I617" s="3">
        <f t="shared" si="203"/>
        <v>1.9680617359568418</v>
      </c>
      <c r="J617" s="19" t="str">
        <f t="shared" si="204"/>
        <v>L</v>
      </c>
      <c r="K617" s="20">
        <f t="shared" si="205"/>
        <v>-0.35599579135510306</v>
      </c>
      <c r="L617" s="20">
        <f t="shared" si="206"/>
        <v>1.9680617359568418</v>
      </c>
      <c r="M617" s="20" t="e">
        <f t="shared" si="207"/>
        <v>#N/A</v>
      </c>
      <c r="N617" s="20" t="e">
        <f t="shared" si="208"/>
        <v>#N/A</v>
      </c>
      <c r="O617" s="20" t="e">
        <f t="shared" si="209"/>
        <v>#N/A</v>
      </c>
      <c r="P617" s="20" t="e">
        <f t="shared" si="210"/>
        <v>#N/A</v>
      </c>
      <c r="Q617" s="20" t="e">
        <f t="shared" si="211"/>
        <v>#N/A</v>
      </c>
      <c r="R617" s="20" t="e">
        <f t="shared" si="212"/>
        <v>#N/A</v>
      </c>
      <c r="S617" s="20" t="e">
        <f t="shared" si="213"/>
        <v>#N/A</v>
      </c>
      <c r="T617" s="20" t="e">
        <f t="shared" si="214"/>
        <v>#N/A</v>
      </c>
    </row>
    <row r="618" spans="1:20" x14ac:dyDescent="0.25">
      <c r="A618">
        <f t="shared" si="215"/>
        <v>616</v>
      </c>
      <c r="B618">
        <f t="shared" si="196"/>
        <v>11</v>
      </c>
      <c r="C618">
        <f t="shared" si="197"/>
        <v>2.0000000000000009</v>
      </c>
      <c r="D618" s="15">
        <f t="shared" si="198"/>
        <v>2.278481012658228</v>
      </c>
      <c r="E618">
        <f t="shared" si="199"/>
        <v>1</v>
      </c>
      <c r="F618" s="3">
        <f t="shared" si="200"/>
        <v>102.53164556962032</v>
      </c>
      <c r="G618" s="3">
        <f t="shared" si="201"/>
        <v>1.7895148026777314</v>
      </c>
      <c r="H618" s="18">
        <f t="shared" si="202"/>
        <v>-0.43395761621263845</v>
      </c>
      <c r="I618" s="3">
        <f t="shared" si="203"/>
        <v>1.9523526288381021</v>
      </c>
      <c r="J618" s="19" t="str">
        <f t="shared" si="204"/>
        <v>L</v>
      </c>
      <c r="K618" s="20">
        <f t="shared" si="205"/>
        <v>-0.43395761621263845</v>
      </c>
      <c r="L618" s="20">
        <f t="shared" si="206"/>
        <v>1.9523526288381021</v>
      </c>
      <c r="M618" s="20" t="e">
        <f t="shared" si="207"/>
        <v>#N/A</v>
      </c>
      <c r="N618" s="20" t="e">
        <f t="shared" si="208"/>
        <v>#N/A</v>
      </c>
      <c r="O618" s="20" t="e">
        <f t="shared" si="209"/>
        <v>#N/A</v>
      </c>
      <c r="P618" s="20" t="e">
        <f t="shared" si="210"/>
        <v>#N/A</v>
      </c>
      <c r="Q618" s="20" t="e">
        <f t="shared" si="211"/>
        <v>#N/A</v>
      </c>
      <c r="R618" s="20" t="e">
        <f t="shared" si="212"/>
        <v>#N/A</v>
      </c>
      <c r="S618" s="20" t="e">
        <f t="shared" si="213"/>
        <v>#N/A</v>
      </c>
      <c r="T618" s="20" t="e">
        <f t="shared" si="214"/>
        <v>#N/A</v>
      </c>
    </row>
    <row r="619" spans="1:20" x14ac:dyDescent="0.25">
      <c r="A619">
        <f t="shared" si="215"/>
        <v>617</v>
      </c>
      <c r="B619">
        <f t="shared" si="196"/>
        <v>11</v>
      </c>
      <c r="C619">
        <f t="shared" si="197"/>
        <v>2.0000000000000009</v>
      </c>
      <c r="D619" s="15">
        <f t="shared" si="198"/>
        <v>2.278481012658228</v>
      </c>
      <c r="E619">
        <f t="shared" si="199"/>
        <v>1</v>
      </c>
      <c r="F619" s="3">
        <f t="shared" si="200"/>
        <v>104.81012658227856</v>
      </c>
      <c r="G619" s="3">
        <f t="shared" si="201"/>
        <v>1.8292817982927922</v>
      </c>
      <c r="H619" s="18">
        <f t="shared" si="202"/>
        <v>-0.511233264880952</v>
      </c>
      <c r="I619" s="3">
        <f t="shared" si="203"/>
        <v>1.9335564509160745</v>
      </c>
      <c r="J619" s="19" t="str">
        <f t="shared" si="204"/>
        <v>L</v>
      </c>
      <c r="K619" s="20">
        <f t="shared" si="205"/>
        <v>-0.511233264880952</v>
      </c>
      <c r="L619" s="20">
        <f t="shared" si="206"/>
        <v>1.9335564509160745</v>
      </c>
      <c r="M619" s="20" t="e">
        <f t="shared" si="207"/>
        <v>#N/A</v>
      </c>
      <c r="N619" s="20" t="e">
        <f t="shared" si="208"/>
        <v>#N/A</v>
      </c>
      <c r="O619" s="20" t="e">
        <f t="shared" si="209"/>
        <v>#N/A</v>
      </c>
      <c r="P619" s="20" t="e">
        <f t="shared" si="210"/>
        <v>#N/A</v>
      </c>
      <c r="Q619" s="20" t="e">
        <f t="shared" si="211"/>
        <v>#N/A</v>
      </c>
      <c r="R619" s="20" t="e">
        <f t="shared" si="212"/>
        <v>#N/A</v>
      </c>
      <c r="S619" s="20" t="e">
        <f t="shared" si="213"/>
        <v>#N/A</v>
      </c>
      <c r="T619" s="20" t="e">
        <f t="shared" si="214"/>
        <v>#N/A</v>
      </c>
    </row>
    <row r="620" spans="1:20" x14ac:dyDescent="0.25">
      <c r="A620">
        <f t="shared" si="215"/>
        <v>618</v>
      </c>
      <c r="B620">
        <f t="shared" si="196"/>
        <v>11</v>
      </c>
      <c r="C620">
        <f t="shared" si="197"/>
        <v>2.0000000000000009</v>
      </c>
      <c r="D620" s="15">
        <f t="shared" si="198"/>
        <v>2.278481012658228</v>
      </c>
      <c r="E620">
        <f t="shared" si="199"/>
        <v>1</v>
      </c>
      <c r="F620" s="3">
        <f t="shared" si="200"/>
        <v>107.08860759493679</v>
      </c>
      <c r="G620" s="3">
        <f t="shared" si="201"/>
        <v>1.8690487939078528</v>
      </c>
      <c r="H620" s="18">
        <f t="shared" si="202"/>
        <v>-0.5877005486758442</v>
      </c>
      <c r="I620" s="3">
        <f t="shared" si="203"/>
        <v>1.9117029228115219</v>
      </c>
      <c r="J620" s="19" t="str">
        <f t="shared" si="204"/>
        <v>L</v>
      </c>
      <c r="K620" s="20">
        <f t="shared" si="205"/>
        <v>-0.5877005486758442</v>
      </c>
      <c r="L620" s="20">
        <f t="shared" si="206"/>
        <v>1.9117029228115219</v>
      </c>
      <c r="M620" s="20" t="e">
        <f t="shared" si="207"/>
        <v>#N/A</v>
      </c>
      <c r="N620" s="20" t="e">
        <f t="shared" si="208"/>
        <v>#N/A</v>
      </c>
      <c r="O620" s="20" t="e">
        <f t="shared" si="209"/>
        <v>#N/A</v>
      </c>
      <c r="P620" s="20" t="e">
        <f t="shared" si="210"/>
        <v>#N/A</v>
      </c>
      <c r="Q620" s="20" t="e">
        <f t="shared" si="211"/>
        <v>#N/A</v>
      </c>
      <c r="R620" s="20" t="e">
        <f t="shared" si="212"/>
        <v>#N/A</v>
      </c>
      <c r="S620" s="20" t="e">
        <f t="shared" si="213"/>
        <v>#N/A</v>
      </c>
      <c r="T620" s="20" t="e">
        <f t="shared" si="214"/>
        <v>#N/A</v>
      </c>
    </row>
    <row r="621" spans="1:20" x14ac:dyDescent="0.25">
      <c r="A621">
        <f t="shared" si="215"/>
        <v>619</v>
      </c>
      <c r="B621">
        <f t="shared" si="196"/>
        <v>11</v>
      </c>
      <c r="C621">
        <f t="shared" si="197"/>
        <v>2.0000000000000009</v>
      </c>
      <c r="D621" s="15">
        <f t="shared" si="198"/>
        <v>2.278481012658228</v>
      </c>
      <c r="E621">
        <f t="shared" si="199"/>
        <v>1</v>
      </c>
      <c r="F621" s="3">
        <f t="shared" si="200"/>
        <v>109.36708860759502</v>
      </c>
      <c r="G621" s="3">
        <f t="shared" si="201"/>
        <v>1.9088157895229136</v>
      </c>
      <c r="H621" s="18">
        <f t="shared" si="202"/>
        <v>-0.66323855710413837</v>
      </c>
      <c r="I621" s="3">
        <f t="shared" si="203"/>
        <v>1.8868265994442692</v>
      </c>
      <c r="J621" s="19" t="str">
        <f t="shared" si="204"/>
        <v>L</v>
      </c>
      <c r="K621" s="20">
        <f t="shared" si="205"/>
        <v>-0.66323855710413837</v>
      </c>
      <c r="L621" s="20">
        <f t="shared" si="206"/>
        <v>1.8868265994442692</v>
      </c>
      <c r="M621" s="20" t="e">
        <f t="shared" si="207"/>
        <v>#N/A</v>
      </c>
      <c r="N621" s="20" t="e">
        <f t="shared" si="208"/>
        <v>#N/A</v>
      </c>
      <c r="O621" s="20" t="e">
        <f t="shared" si="209"/>
        <v>#N/A</v>
      </c>
      <c r="P621" s="20" t="e">
        <f t="shared" si="210"/>
        <v>#N/A</v>
      </c>
      <c r="Q621" s="20" t="e">
        <f t="shared" si="211"/>
        <v>#N/A</v>
      </c>
      <c r="R621" s="20" t="e">
        <f t="shared" si="212"/>
        <v>#N/A</v>
      </c>
      <c r="S621" s="20" t="e">
        <f t="shared" si="213"/>
        <v>#N/A</v>
      </c>
      <c r="T621" s="20" t="e">
        <f t="shared" si="214"/>
        <v>#N/A</v>
      </c>
    </row>
    <row r="622" spans="1:20" x14ac:dyDescent="0.25">
      <c r="A622">
        <f t="shared" si="215"/>
        <v>620</v>
      </c>
      <c r="B622">
        <f t="shared" si="196"/>
        <v>11</v>
      </c>
      <c r="C622">
        <f t="shared" si="197"/>
        <v>2.0000000000000009</v>
      </c>
      <c r="D622" s="15">
        <f t="shared" si="198"/>
        <v>2.278481012658228</v>
      </c>
      <c r="E622">
        <f t="shared" si="199"/>
        <v>1</v>
      </c>
      <c r="F622" s="3">
        <f t="shared" si="200"/>
        <v>111.64556962025326</v>
      </c>
      <c r="G622" s="3">
        <f t="shared" si="201"/>
        <v>1.9485827851379747</v>
      </c>
      <c r="H622" s="18">
        <f t="shared" si="202"/>
        <v>-0.73772784904801914</v>
      </c>
      <c r="I622" s="3">
        <f t="shared" si="203"/>
        <v>1.8589668153947738</v>
      </c>
      <c r="J622" s="19" t="str">
        <f t="shared" si="204"/>
        <v>L</v>
      </c>
      <c r="K622" s="20">
        <f t="shared" si="205"/>
        <v>-0.73772784904801914</v>
      </c>
      <c r="L622" s="20">
        <f t="shared" si="206"/>
        <v>1.8589668153947738</v>
      </c>
      <c r="M622" s="20" t="e">
        <f t="shared" si="207"/>
        <v>#N/A</v>
      </c>
      <c r="N622" s="20" t="e">
        <f t="shared" si="208"/>
        <v>#N/A</v>
      </c>
      <c r="O622" s="20" t="e">
        <f t="shared" si="209"/>
        <v>#N/A</v>
      </c>
      <c r="P622" s="20" t="e">
        <f t="shared" si="210"/>
        <v>#N/A</v>
      </c>
      <c r="Q622" s="20" t="e">
        <f t="shared" si="211"/>
        <v>#N/A</v>
      </c>
      <c r="R622" s="20" t="e">
        <f t="shared" si="212"/>
        <v>#N/A</v>
      </c>
      <c r="S622" s="20" t="e">
        <f t="shared" si="213"/>
        <v>#N/A</v>
      </c>
      <c r="T622" s="20" t="e">
        <f t="shared" si="214"/>
        <v>#N/A</v>
      </c>
    </row>
    <row r="623" spans="1:20" x14ac:dyDescent="0.25">
      <c r="A623">
        <f t="shared" si="215"/>
        <v>621</v>
      </c>
      <c r="B623">
        <f t="shared" si="196"/>
        <v>11</v>
      </c>
      <c r="C623">
        <f t="shared" si="197"/>
        <v>2.0000000000000009</v>
      </c>
      <c r="D623" s="15">
        <f t="shared" si="198"/>
        <v>2.278481012658228</v>
      </c>
      <c r="E623">
        <f t="shared" si="199"/>
        <v>1</v>
      </c>
      <c r="F623" s="3">
        <f t="shared" si="200"/>
        <v>113.92405063291149</v>
      </c>
      <c r="G623" s="3">
        <f t="shared" si="201"/>
        <v>1.988349780753035</v>
      </c>
      <c r="H623" s="18">
        <f t="shared" si="202"/>
        <v>-0.81105064162599061</v>
      </c>
      <c r="I623" s="3">
        <f t="shared" si="203"/>
        <v>1.828167622708069</v>
      </c>
      <c r="J623" s="19" t="str">
        <f t="shared" si="204"/>
        <v>L</v>
      </c>
      <c r="K623" s="20">
        <f t="shared" si="205"/>
        <v>-0.81105064162599061</v>
      </c>
      <c r="L623" s="20">
        <f t="shared" si="206"/>
        <v>1.828167622708069</v>
      </c>
      <c r="M623" s="20" t="e">
        <f t="shared" si="207"/>
        <v>#N/A</v>
      </c>
      <c r="N623" s="20" t="e">
        <f t="shared" si="208"/>
        <v>#N/A</v>
      </c>
      <c r="O623" s="20" t="e">
        <f t="shared" si="209"/>
        <v>#N/A</v>
      </c>
      <c r="P623" s="20" t="e">
        <f t="shared" si="210"/>
        <v>#N/A</v>
      </c>
      <c r="Q623" s="20" t="e">
        <f t="shared" si="211"/>
        <v>#N/A</v>
      </c>
      <c r="R623" s="20" t="e">
        <f t="shared" si="212"/>
        <v>#N/A</v>
      </c>
      <c r="S623" s="20" t="e">
        <f t="shared" si="213"/>
        <v>#N/A</v>
      </c>
      <c r="T623" s="20" t="e">
        <f t="shared" si="214"/>
        <v>#N/A</v>
      </c>
    </row>
    <row r="624" spans="1:20" x14ac:dyDescent="0.25">
      <c r="A624">
        <f t="shared" si="215"/>
        <v>622</v>
      </c>
      <c r="B624">
        <f t="shared" si="196"/>
        <v>11</v>
      </c>
      <c r="C624">
        <f t="shared" si="197"/>
        <v>2.0000000000000009</v>
      </c>
      <c r="D624" s="15">
        <f t="shared" si="198"/>
        <v>2.278481012658228</v>
      </c>
      <c r="E624">
        <f t="shared" si="199"/>
        <v>1</v>
      </c>
      <c r="F624" s="3">
        <f t="shared" si="200"/>
        <v>116.20253164556972</v>
      </c>
      <c r="G624" s="3">
        <f t="shared" si="201"/>
        <v>2.0281167763680958</v>
      </c>
      <c r="H624" s="18">
        <f t="shared" si="202"/>
        <v>-0.88309099643182676</v>
      </c>
      <c r="I624" s="3">
        <f t="shared" si="203"/>
        <v>1.7944777212384242</v>
      </c>
      <c r="J624" s="19" t="str">
        <f t="shared" si="204"/>
        <v>L</v>
      </c>
      <c r="K624" s="20">
        <f t="shared" si="205"/>
        <v>-0.88309099643182676</v>
      </c>
      <c r="L624" s="20">
        <f t="shared" si="206"/>
        <v>1.7944777212384242</v>
      </c>
      <c r="M624" s="20" t="e">
        <f t="shared" si="207"/>
        <v>#N/A</v>
      </c>
      <c r="N624" s="20" t="e">
        <f t="shared" si="208"/>
        <v>#N/A</v>
      </c>
      <c r="O624" s="20" t="e">
        <f t="shared" si="209"/>
        <v>#N/A</v>
      </c>
      <c r="P624" s="20" t="e">
        <f t="shared" si="210"/>
        <v>#N/A</v>
      </c>
      <c r="Q624" s="20" t="e">
        <f t="shared" si="211"/>
        <v>#N/A</v>
      </c>
      <c r="R624" s="20" t="e">
        <f t="shared" si="212"/>
        <v>#N/A</v>
      </c>
      <c r="S624" s="20" t="e">
        <f t="shared" si="213"/>
        <v>#N/A</v>
      </c>
      <c r="T624" s="20" t="e">
        <f t="shared" si="214"/>
        <v>#N/A</v>
      </c>
    </row>
    <row r="625" spans="1:20" x14ac:dyDescent="0.25">
      <c r="A625">
        <f t="shared" si="215"/>
        <v>623</v>
      </c>
      <c r="B625">
        <f t="shared" si="196"/>
        <v>11</v>
      </c>
      <c r="C625">
        <f t="shared" si="197"/>
        <v>2.0000000000000009</v>
      </c>
      <c r="D625" s="15">
        <f t="shared" si="198"/>
        <v>2.278481012658228</v>
      </c>
      <c r="E625">
        <f t="shared" si="199"/>
        <v>1</v>
      </c>
      <c r="F625" s="3">
        <f t="shared" si="200"/>
        <v>118.48101265822795</v>
      </c>
      <c r="G625" s="3">
        <f t="shared" si="201"/>
        <v>2.0678837719831571</v>
      </c>
      <c r="H625" s="18">
        <f t="shared" si="202"/>
        <v>-0.95373500285701607</v>
      </c>
      <c r="I625" s="3">
        <f t="shared" si="203"/>
        <v>1.7579503816448665</v>
      </c>
      <c r="J625" s="19" t="str">
        <f t="shared" si="204"/>
        <v>L</v>
      </c>
      <c r="K625" s="20">
        <f t="shared" si="205"/>
        <v>-0.95373500285701607</v>
      </c>
      <c r="L625" s="20">
        <f t="shared" si="206"/>
        <v>1.7579503816448665</v>
      </c>
      <c r="M625" s="20" t="e">
        <f t="shared" si="207"/>
        <v>#N/A</v>
      </c>
      <c r="N625" s="20" t="e">
        <f t="shared" si="208"/>
        <v>#N/A</v>
      </c>
      <c r="O625" s="20" t="e">
        <f t="shared" si="209"/>
        <v>#N/A</v>
      </c>
      <c r="P625" s="20" t="e">
        <f t="shared" si="210"/>
        <v>#N/A</v>
      </c>
      <c r="Q625" s="20" t="e">
        <f t="shared" si="211"/>
        <v>#N/A</v>
      </c>
      <c r="R625" s="20" t="e">
        <f t="shared" si="212"/>
        <v>#N/A</v>
      </c>
      <c r="S625" s="20" t="e">
        <f t="shared" si="213"/>
        <v>#N/A</v>
      </c>
      <c r="T625" s="20" t="e">
        <f t="shared" si="214"/>
        <v>#N/A</v>
      </c>
    </row>
    <row r="626" spans="1:20" x14ac:dyDescent="0.25">
      <c r="A626">
        <f t="shared" si="215"/>
        <v>624</v>
      </c>
      <c r="B626">
        <f t="shared" si="196"/>
        <v>11</v>
      </c>
      <c r="C626">
        <f t="shared" si="197"/>
        <v>2.0000000000000009</v>
      </c>
      <c r="D626" s="15">
        <f t="shared" si="198"/>
        <v>2.278481012658228</v>
      </c>
      <c r="E626">
        <f t="shared" si="199"/>
        <v>1</v>
      </c>
      <c r="F626" s="3">
        <f t="shared" si="200"/>
        <v>120.75949367088619</v>
      </c>
      <c r="G626" s="3">
        <f t="shared" si="201"/>
        <v>2.1076507675982175</v>
      </c>
      <c r="H626" s="18">
        <f t="shared" si="202"/>
        <v>-1.0228709582068478</v>
      </c>
      <c r="I626" s="3">
        <f t="shared" si="203"/>
        <v>1.718643361159321</v>
      </c>
      <c r="J626" s="19" t="str">
        <f t="shared" si="204"/>
        <v>L</v>
      </c>
      <c r="K626" s="20">
        <f t="shared" si="205"/>
        <v>-1.0228709582068478</v>
      </c>
      <c r="L626" s="20">
        <f t="shared" si="206"/>
        <v>1.718643361159321</v>
      </c>
      <c r="M626" s="20" t="e">
        <f t="shared" si="207"/>
        <v>#N/A</v>
      </c>
      <c r="N626" s="20" t="e">
        <f t="shared" si="208"/>
        <v>#N/A</v>
      </c>
      <c r="O626" s="20" t="e">
        <f t="shared" si="209"/>
        <v>#N/A</v>
      </c>
      <c r="P626" s="20" t="e">
        <f t="shared" si="210"/>
        <v>#N/A</v>
      </c>
      <c r="Q626" s="20" t="e">
        <f t="shared" si="211"/>
        <v>#N/A</v>
      </c>
      <c r="R626" s="20" t="e">
        <f t="shared" si="212"/>
        <v>#N/A</v>
      </c>
      <c r="S626" s="20" t="e">
        <f t="shared" si="213"/>
        <v>#N/A</v>
      </c>
      <c r="T626" s="20" t="e">
        <f t="shared" si="214"/>
        <v>#N/A</v>
      </c>
    </row>
    <row r="627" spans="1:20" x14ac:dyDescent="0.25">
      <c r="A627">
        <f t="shared" si="215"/>
        <v>625</v>
      </c>
      <c r="B627">
        <f t="shared" si="196"/>
        <v>11</v>
      </c>
      <c r="C627">
        <f t="shared" si="197"/>
        <v>2.0000000000000009</v>
      </c>
      <c r="D627" s="15">
        <f t="shared" si="198"/>
        <v>2.278481012658228</v>
      </c>
      <c r="E627">
        <f t="shared" si="199"/>
        <v>1</v>
      </c>
      <c r="F627" s="3">
        <f t="shared" si="200"/>
        <v>123.03797468354442</v>
      </c>
      <c r="G627" s="3">
        <f t="shared" si="201"/>
        <v>2.1474177632132783</v>
      </c>
      <c r="H627" s="18">
        <f t="shared" si="202"/>
        <v>-1.0903895443253389</v>
      </c>
      <c r="I627" s="3">
        <f t="shared" si="203"/>
        <v>1.6766188122605516</v>
      </c>
      <c r="J627" s="19" t="str">
        <f t="shared" si="204"/>
        <v>L</v>
      </c>
      <c r="K627" s="20">
        <f t="shared" si="205"/>
        <v>-1.0903895443253389</v>
      </c>
      <c r="L627" s="20">
        <f t="shared" si="206"/>
        <v>1.6766188122605516</v>
      </c>
      <c r="M627" s="20" t="e">
        <f t="shared" si="207"/>
        <v>#N/A</v>
      </c>
      <c r="N627" s="20" t="e">
        <f t="shared" si="208"/>
        <v>#N/A</v>
      </c>
      <c r="O627" s="20" t="e">
        <f t="shared" si="209"/>
        <v>#N/A</v>
      </c>
      <c r="P627" s="20" t="e">
        <f t="shared" si="210"/>
        <v>#N/A</v>
      </c>
      <c r="Q627" s="20" t="e">
        <f t="shared" si="211"/>
        <v>#N/A</v>
      </c>
      <c r="R627" s="20" t="e">
        <f t="shared" si="212"/>
        <v>#N/A</v>
      </c>
      <c r="S627" s="20" t="e">
        <f t="shared" si="213"/>
        <v>#N/A</v>
      </c>
      <c r="T627" s="20" t="e">
        <f t="shared" si="214"/>
        <v>#N/A</v>
      </c>
    </row>
    <row r="628" spans="1:20" x14ac:dyDescent="0.25">
      <c r="A628">
        <f t="shared" si="215"/>
        <v>626</v>
      </c>
      <c r="B628">
        <f t="shared" si="196"/>
        <v>11</v>
      </c>
      <c r="C628">
        <f t="shared" si="197"/>
        <v>2.0000000000000009</v>
      </c>
      <c r="D628" s="15">
        <f t="shared" si="198"/>
        <v>2.278481012658228</v>
      </c>
      <c r="E628">
        <f t="shared" si="199"/>
        <v>1</v>
      </c>
      <c r="F628" s="3">
        <f t="shared" si="200"/>
        <v>125.31645569620265</v>
      </c>
      <c r="G628" s="3">
        <f t="shared" si="201"/>
        <v>2.1871847588283391</v>
      </c>
      <c r="H628" s="18">
        <f t="shared" si="202"/>
        <v>-1.1561840004497004</v>
      </c>
      <c r="I628" s="3">
        <f t="shared" si="203"/>
        <v>1.6319431843983203</v>
      </c>
      <c r="J628" s="19" t="str">
        <f t="shared" si="204"/>
        <v>C</v>
      </c>
      <c r="K628" s="20" t="e">
        <f t="shared" si="205"/>
        <v>#N/A</v>
      </c>
      <c r="L628" s="20" t="e">
        <f t="shared" si="206"/>
        <v>#N/A</v>
      </c>
      <c r="M628" s="20">
        <f t="shared" si="207"/>
        <v>-1.1561840004497004</v>
      </c>
      <c r="N628" s="20">
        <f t="shared" si="208"/>
        <v>1.6319431843983203</v>
      </c>
      <c r="O628" s="20" t="e">
        <f t="shared" si="209"/>
        <v>#N/A</v>
      </c>
      <c r="P628" s="20" t="e">
        <f t="shared" si="210"/>
        <v>#N/A</v>
      </c>
      <c r="Q628" s="20" t="e">
        <f t="shared" si="211"/>
        <v>#N/A</v>
      </c>
      <c r="R628" s="20" t="e">
        <f t="shared" si="212"/>
        <v>#N/A</v>
      </c>
      <c r="S628" s="20" t="e">
        <f t="shared" si="213"/>
        <v>#N/A</v>
      </c>
      <c r="T628" s="20" t="e">
        <f t="shared" si="214"/>
        <v>#N/A</v>
      </c>
    </row>
    <row r="629" spans="1:20" x14ac:dyDescent="0.25">
      <c r="A629">
        <f t="shared" si="215"/>
        <v>627</v>
      </c>
      <c r="B629">
        <f t="shared" si="196"/>
        <v>11</v>
      </c>
      <c r="C629">
        <f t="shared" si="197"/>
        <v>2.0000000000000009</v>
      </c>
      <c r="D629" s="15">
        <f t="shared" si="198"/>
        <v>2.278481012658228</v>
      </c>
      <c r="E629">
        <f t="shared" si="199"/>
        <v>1</v>
      </c>
      <c r="F629" s="3">
        <f t="shared" si="200"/>
        <v>127.59493670886089</v>
      </c>
      <c r="G629" s="3">
        <f t="shared" si="201"/>
        <v>2.2269517544433999</v>
      </c>
      <c r="H629" s="18">
        <f t="shared" si="202"/>
        <v>-1.2201502920210525</v>
      </c>
      <c r="I629" s="3">
        <f t="shared" si="203"/>
        <v>1.5846871189231466</v>
      </c>
      <c r="J629" s="19" t="str">
        <f t="shared" si="204"/>
        <v>C</v>
      </c>
      <c r="K629" s="20" t="e">
        <f t="shared" si="205"/>
        <v>#N/A</v>
      </c>
      <c r="L629" s="20" t="e">
        <f t="shared" si="206"/>
        <v>#N/A</v>
      </c>
      <c r="M629" s="20">
        <f t="shared" si="207"/>
        <v>-1.2201502920210525</v>
      </c>
      <c r="N629" s="20">
        <f t="shared" si="208"/>
        <v>1.5846871189231466</v>
      </c>
      <c r="O629" s="20" t="e">
        <f t="shared" si="209"/>
        <v>#N/A</v>
      </c>
      <c r="P629" s="20" t="e">
        <f t="shared" si="210"/>
        <v>#N/A</v>
      </c>
      <c r="Q629" s="20" t="e">
        <f t="shared" si="211"/>
        <v>#N/A</v>
      </c>
      <c r="R629" s="20" t="e">
        <f t="shared" si="212"/>
        <v>#N/A</v>
      </c>
      <c r="S629" s="20" t="e">
        <f t="shared" si="213"/>
        <v>#N/A</v>
      </c>
      <c r="T629" s="20" t="e">
        <f t="shared" si="214"/>
        <v>#N/A</v>
      </c>
    </row>
    <row r="630" spans="1:20" x14ac:dyDescent="0.25">
      <c r="A630">
        <f t="shared" si="215"/>
        <v>628</v>
      </c>
      <c r="B630">
        <f t="shared" ref="B630:B652" si="216">VLOOKUP(A630,$Y$2:$Z$13,2,1)</f>
        <v>11</v>
      </c>
      <c r="C630">
        <f t="shared" ref="C630:C652" si="217">VLOOKUP(B630,$V$2:$AB$14,7,0)</f>
        <v>2.0000000000000009</v>
      </c>
      <c r="D630" s="15">
        <f t="shared" ref="D630:D652" si="218">VLOOKUP(B630,$V$2:$AC$13,8,0)</f>
        <v>2.278481012658228</v>
      </c>
      <c r="E630">
        <f t="shared" ref="E630:E652" si="219">IF(OR(A630=$Y$3,A630=$Y$4,A630=$Y$5,A630=$Y$6,A630=$Y$7,A630=$Y$8,A630=$Y$9,A630=$Y$10,A630=$Y$11,A630=$Y$12,A630=$Y$12),0,1)</f>
        <v>1</v>
      </c>
      <c r="F630" s="3">
        <f t="shared" ref="F630:F652" si="220">IF(E630=0,0,D630+F629)</f>
        <v>129.8734177215191</v>
      </c>
      <c r="G630" s="3">
        <f t="shared" ref="G630:G652" si="221">(F630/180)*PI()</f>
        <v>2.2667187500584602</v>
      </c>
      <c r="H630" s="18">
        <f t="shared" ref="H630:H652" si="222">C630*COS(G630)</f>
        <v>-1.2821872751844436</v>
      </c>
      <c r="I630" s="3">
        <f t="shared" ref="I630:I652" si="223">C630*SIN(G630)</f>
        <v>1.5349253373878142</v>
      </c>
      <c r="J630" s="19" t="str">
        <f t="shared" si="204"/>
        <v>C</v>
      </c>
      <c r="K630" s="20" t="e">
        <f t="shared" si="205"/>
        <v>#N/A</v>
      </c>
      <c r="L630" s="20" t="e">
        <f t="shared" si="206"/>
        <v>#N/A</v>
      </c>
      <c r="M630" s="20">
        <f t="shared" si="207"/>
        <v>-1.2821872751844436</v>
      </c>
      <c r="N630" s="20">
        <f t="shared" si="208"/>
        <v>1.5349253373878142</v>
      </c>
      <c r="O630" s="20" t="e">
        <f t="shared" si="209"/>
        <v>#N/A</v>
      </c>
      <c r="P630" s="20" t="e">
        <f t="shared" si="210"/>
        <v>#N/A</v>
      </c>
      <c r="Q630" s="20" t="e">
        <f t="shared" si="211"/>
        <v>#N/A</v>
      </c>
      <c r="R630" s="20" t="e">
        <f t="shared" si="212"/>
        <v>#N/A</v>
      </c>
      <c r="S630" s="20" t="e">
        <f t="shared" si="213"/>
        <v>#N/A</v>
      </c>
      <c r="T630" s="20" t="e">
        <f t="shared" si="214"/>
        <v>#N/A</v>
      </c>
    </row>
    <row r="631" spans="1:20" x14ac:dyDescent="0.25">
      <c r="A631">
        <f t="shared" si="215"/>
        <v>629</v>
      </c>
      <c r="B631">
        <f t="shared" si="216"/>
        <v>11</v>
      </c>
      <c r="C631">
        <f t="shared" si="217"/>
        <v>2.0000000000000009</v>
      </c>
      <c r="D631" s="15">
        <f t="shared" si="218"/>
        <v>2.278481012658228</v>
      </c>
      <c r="E631">
        <f t="shared" si="219"/>
        <v>1</v>
      </c>
      <c r="F631" s="3">
        <f t="shared" si="220"/>
        <v>132.15189873417734</v>
      </c>
      <c r="G631" s="3">
        <f t="shared" si="221"/>
        <v>2.306485745673521</v>
      </c>
      <c r="H631" s="18">
        <f t="shared" si="222"/>
        <v>-1.3421968567180771</v>
      </c>
      <c r="I631" s="3">
        <f t="shared" si="223"/>
        <v>1.4827365233972343</v>
      </c>
      <c r="J631" s="19" t="str">
        <f t="shared" si="204"/>
        <v>C</v>
      </c>
      <c r="K631" s="20" t="e">
        <f t="shared" si="205"/>
        <v>#N/A</v>
      </c>
      <c r="L631" s="20" t="e">
        <f t="shared" si="206"/>
        <v>#N/A</v>
      </c>
      <c r="M631" s="20">
        <f t="shared" si="207"/>
        <v>-1.3421968567180771</v>
      </c>
      <c r="N631" s="20">
        <f t="shared" si="208"/>
        <v>1.4827365233972343</v>
      </c>
      <c r="O631" s="20" t="e">
        <f t="shared" si="209"/>
        <v>#N/A</v>
      </c>
      <c r="P631" s="20" t="e">
        <f t="shared" si="210"/>
        <v>#N/A</v>
      </c>
      <c r="Q631" s="20" t="e">
        <f t="shared" si="211"/>
        <v>#N/A</v>
      </c>
      <c r="R631" s="20" t="e">
        <f t="shared" si="212"/>
        <v>#N/A</v>
      </c>
      <c r="S631" s="20" t="e">
        <f t="shared" si="213"/>
        <v>#N/A</v>
      </c>
      <c r="T631" s="20" t="e">
        <f t="shared" si="214"/>
        <v>#N/A</v>
      </c>
    </row>
    <row r="632" spans="1:20" x14ac:dyDescent="0.25">
      <c r="A632">
        <f t="shared" si="215"/>
        <v>630</v>
      </c>
      <c r="B632">
        <f t="shared" si="216"/>
        <v>11</v>
      </c>
      <c r="C632">
        <f t="shared" si="217"/>
        <v>2.0000000000000009</v>
      </c>
      <c r="D632" s="15">
        <f t="shared" si="218"/>
        <v>2.278481012658228</v>
      </c>
      <c r="E632">
        <f t="shared" si="219"/>
        <v>1</v>
      </c>
      <c r="F632" s="3">
        <f t="shared" si="220"/>
        <v>134.43037974683557</v>
      </c>
      <c r="G632" s="3">
        <f t="shared" si="221"/>
        <v>2.3462527412885819</v>
      </c>
      <c r="H632" s="18">
        <f t="shared" si="222"/>
        <v>-1.4000841491388545</v>
      </c>
      <c r="I632" s="3">
        <f t="shared" si="223"/>
        <v>1.4282031981934973</v>
      </c>
      <c r="J632" s="19" t="str">
        <f t="shared" si="204"/>
        <v>C</v>
      </c>
      <c r="K632" s="20" t="e">
        <f t="shared" si="205"/>
        <v>#N/A</v>
      </c>
      <c r="L632" s="20" t="e">
        <f t="shared" si="206"/>
        <v>#N/A</v>
      </c>
      <c r="M632" s="20">
        <f t="shared" si="207"/>
        <v>-1.4000841491388545</v>
      </c>
      <c r="N632" s="20">
        <f t="shared" si="208"/>
        <v>1.4282031981934973</v>
      </c>
      <c r="O632" s="20" t="e">
        <f t="shared" si="209"/>
        <v>#N/A</v>
      </c>
      <c r="P632" s="20" t="e">
        <f t="shared" si="210"/>
        <v>#N/A</v>
      </c>
      <c r="Q632" s="20" t="e">
        <f t="shared" si="211"/>
        <v>#N/A</v>
      </c>
      <c r="R632" s="20" t="e">
        <f t="shared" si="212"/>
        <v>#N/A</v>
      </c>
      <c r="S632" s="20" t="e">
        <f t="shared" si="213"/>
        <v>#N/A</v>
      </c>
      <c r="T632" s="20" t="e">
        <f t="shared" si="214"/>
        <v>#N/A</v>
      </c>
    </row>
    <row r="633" spans="1:20" x14ac:dyDescent="0.25">
      <c r="A633">
        <f t="shared" si="215"/>
        <v>631</v>
      </c>
      <c r="B633">
        <f t="shared" si="216"/>
        <v>11</v>
      </c>
      <c r="C633">
        <f t="shared" si="217"/>
        <v>2.0000000000000009</v>
      </c>
      <c r="D633" s="15">
        <f t="shared" si="218"/>
        <v>2.278481012658228</v>
      </c>
      <c r="E633">
        <f t="shared" si="219"/>
        <v>1</v>
      </c>
      <c r="F633" s="3">
        <f t="shared" si="220"/>
        <v>136.7088607594938</v>
      </c>
      <c r="G633" s="3">
        <f t="shared" si="221"/>
        <v>2.3860197369036427</v>
      </c>
      <c r="H633" s="18">
        <f t="shared" si="222"/>
        <v>-1.455757620738992</v>
      </c>
      <c r="I633" s="3">
        <f t="shared" si="223"/>
        <v>1.3714115901728239</v>
      </c>
      <c r="J633" s="19" t="str">
        <f t="shared" si="204"/>
        <v>C</v>
      </c>
      <c r="K633" s="20" t="e">
        <f t="shared" si="205"/>
        <v>#N/A</v>
      </c>
      <c r="L633" s="20" t="e">
        <f t="shared" si="206"/>
        <v>#N/A</v>
      </c>
      <c r="M633" s="20">
        <f t="shared" si="207"/>
        <v>-1.455757620738992</v>
      </c>
      <c r="N633" s="20">
        <f t="shared" si="208"/>
        <v>1.3714115901728239</v>
      </c>
      <c r="O633" s="20" t="e">
        <f t="shared" si="209"/>
        <v>#N/A</v>
      </c>
      <c r="P633" s="20" t="e">
        <f t="shared" si="210"/>
        <v>#N/A</v>
      </c>
      <c r="Q633" s="20" t="e">
        <f t="shared" si="211"/>
        <v>#N/A</v>
      </c>
      <c r="R633" s="20" t="e">
        <f t="shared" si="212"/>
        <v>#N/A</v>
      </c>
      <c r="S633" s="20" t="e">
        <f t="shared" si="213"/>
        <v>#N/A</v>
      </c>
      <c r="T633" s="20" t="e">
        <f t="shared" si="214"/>
        <v>#N/A</v>
      </c>
    </row>
    <row r="634" spans="1:20" x14ac:dyDescent="0.25">
      <c r="A634">
        <f t="shared" si="215"/>
        <v>632</v>
      </c>
      <c r="B634">
        <f t="shared" si="216"/>
        <v>11</v>
      </c>
      <c r="C634">
        <f t="shared" si="217"/>
        <v>2.0000000000000009</v>
      </c>
      <c r="D634" s="15">
        <f t="shared" si="218"/>
        <v>2.278481012658228</v>
      </c>
      <c r="E634">
        <f t="shared" si="219"/>
        <v>1</v>
      </c>
      <c r="F634" s="3">
        <f t="shared" si="220"/>
        <v>138.98734177215204</v>
      </c>
      <c r="G634" s="3">
        <f t="shared" si="221"/>
        <v>2.4257867325187035</v>
      </c>
      <c r="H634" s="18">
        <f t="shared" si="222"/>
        <v>-1.509129240316464</v>
      </c>
      <c r="I634" s="3">
        <f t="shared" si="223"/>
        <v>1.3124514985407483</v>
      </c>
      <c r="J634" s="19" t="str">
        <f t="shared" si="204"/>
        <v>C</v>
      </c>
      <c r="K634" s="20" t="e">
        <f t="shared" si="205"/>
        <v>#N/A</v>
      </c>
      <c r="L634" s="20" t="e">
        <f t="shared" si="206"/>
        <v>#N/A</v>
      </c>
      <c r="M634" s="20">
        <f t="shared" si="207"/>
        <v>-1.509129240316464</v>
      </c>
      <c r="N634" s="20">
        <f t="shared" si="208"/>
        <v>1.3124514985407483</v>
      </c>
      <c r="O634" s="20" t="e">
        <f t="shared" si="209"/>
        <v>#N/A</v>
      </c>
      <c r="P634" s="20" t="e">
        <f t="shared" si="210"/>
        <v>#N/A</v>
      </c>
      <c r="Q634" s="20" t="e">
        <f t="shared" si="211"/>
        <v>#N/A</v>
      </c>
      <c r="R634" s="20" t="e">
        <f t="shared" si="212"/>
        <v>#N/A</v>
      </c>
      <c r="S634" s="20" t="e">
        <f t="shared" si="213"/>
        <v>#N/A</v>
      </c>
      <c r="T634" s="20" t="e">
        <f t="shared" si="214"/>
        <v>#N/A</v>
      </c>
    </row>
    <row r="635" spans="1:20" x14ac:dyDescent="0.25">
      <c r="A635">
        <f t="shared" si="215"/>
        <v>633</v>
      </c>
      <c r="B635">
        <f t="shared" si="216"/>
        <v>11</v>
      </c>
      <c r="C635">
        <f t="shared" si="217"/>
        <v>2.0000000000000009</v>
      </c>
      <c r="D635" s="15">
        <f t="shared" si="218"/>
        <v>2.278481012658228</v>
      </c>
      <c r="E635">
        <f t="shared" si="219"/>
        <v>1</v>
      </c>
      <c r="F635" s="3">
        <f t="shared" si="220"/>
        <v>141.26582278481027</v>
      </c>
      <c r="G635" s="3">
        <f t="shared" si="221"/>
        <v>2.4655537281337638</v>
      </c>
      <c r="H635" s="18">
        <f t="shared" si="222"/>
        <v>-1.5601146163704276</v>
      </c>
      <c r="I635" s="3">
        <f t="shared" si="223"/>
        <v>1.2514161513211173</v>
      </c>
      <c r="J635" s="19" t="str">
        <f t="shared" si="204"/>
        <v>C</v>
      </c>
      <c r="K635" s="20" t="e">
        <f t="shared" si="205"/>
        <v>#N/A</v>
      </c>
      <c r="L635" s="20" t="e">
        <f t="shared" si="206"/>
        <v>#N/A</v>
      </c>
      <c r="M635" s="20">
        <f t="shared" si="207"/>
        <v>-1.5601146163704276</v>
      </c>
      <c r="N635" s="20">
        <f t="shared" si="208"/>
        <v>1.2514161513211173</v>
      </c>
      <c r="O635" s="20" t="e">
        <f t="shared" si="209"/>
        <v>#N/A</v>
      </c>
      <c r="P635" s="20" t="e">
        <f t="shared" si="210"/>
        <v>#N/A</v>
      </c>
      <c r="Q635" s="20" t="e">
        <f t="shared" si="211"/>
        <v>#N/A</v>
      </c>
      <c r="R635" s="20" t="e">
        <f t="shared" si="212"/>
        <v>#N/A</v>
      </c>
      <c r="S635" s="20" t="e">
        <f t="shared" si="213"/>
        <v>#N/A</v>
      </c>
      <c r="T635" s="20" t="e">
        <f t="shared" si="214"/>
        <v>#N/A</v>
      </c>
    </row>
    <row r="636" spans="1:20" x14ac:dyDescent="0.25">
      <c r="A636">
        <f t="shared" si="215"/>
        <v>634</v>
      </c>
      <c r="B636">
        <f t="shared" si="216"/>
        <v>11</v>
      </c>
      <c r="C636">
        <f t="shared" si="217"/>
        <v>2.0000000000000009</v>
      </c>
      <c r="D636" s="15">
        <f t="shared" si="218"/>
        <v>2.278481012658228</v>
      </c>
      <c r="E636">
        <f t="shared" si="219"/>
        <v>1</v>
      </c>
      <c r="F636" s="3">
        <f t="shared" si="220"/>
        <v>143.5443037974685</v>
      </c>
      <c r="G636" s="3">
        <f t="shared" si="221"/>
        <v>2.5053207237488251</v>
      </c>
      <c r="H636" s="18">
        <f t="shared" si="222"/>
        <v>-1.6086331305415333</v>
      </c>
      <c r="I636" s="3">
        <f t="shared" si="223"/>
        <v>1.1884020579434171</v>
      </c>
      <c r="J636" s="19" t="str">
        <f t="shared" si="204"/>
        <v>C</v>
      </c>
      <c r="K636" s="20" t="e">
        <f t="shared" si="205"/>
        <v>#N/A</v>
      </c>
      <c r="L636" s="20" t="e">
        <f t="shared" si="206"/>
        <v>#N/A</v>
      </c>
      <c r="M636" s="20">
        <f t="shared" si="207"/>
        <v>-1.6086331305415333</v>
      </c>
      <c r="N636" s="20">
        <f t="shared" si="208"/>
        <v>1.1884020579434171</v>
      </c>
      <c r="O636" s="20" t="e">
        <f t="shared" si="209"/>
        <v>#N/A</v>
      </c>
      <c r="P636" s="20" t="e">
        <f t="shared" si="210"/>
        <v>#N/A</v>
      </c>
      <c r="Q636" s="20" t="e">
        <f t="shared" si="211"/>
        <v>#N/A</v>
      </c>
      <c r="R636" s="20" t="e">
        <f t="shared" si="212"/>
        <v>#N/A</v>
      </c>
      <c r="S636" s="20" t="e">
        <f t="shared" si="213"/>
        <v>#N/A</v>
      </c>
      <c r="T636" s="20" t="e">
        <f t="shared" si="214"/>
        <v>#N/A</v>
      </c>
    </row>
    <row r="637" spans="1:20" x14ac:dyDescent="0.25">
      <c r="A637">
        <f t="shared" si="215"/>
        <v>635</v>
      </c>
      <c r="B637">
        <f t="shared" si="216"/>
        <v>11</v>
      </c>
      <c r="C637">
        <f t="shared" si="217"/>
        <v>2.0000000000000009</v>
      </c>
      <c r="D637" s="15">
        <f t="shared" si="218"/>
        <v>2.278481012658228</v>
      </c>
      <c r="E637">
        <f t="shared" si="219"/>
        <v>1</v>
      </c>
      <c r="F637" s="3">
        <f t="shared" si="220"/>
        <v>145.82278481012673</v>
      </c>
      <c r="G637" s="3">
        <f t="shared" si="221"/>
        <v>2.5450877193638859</v>
      </c>
      <c r="H637" s="18">
        <f t="shared" si="222"/>
        <v>-1.6546080650861184</v>
      </c>
      <c r="I637" s="3">
        <f t="shared" si="223"/>
        <v>1.1235088566415377</v>
      </c>
      <c r="J637" s="19" t="str">
        <f t="shared" si="204"/>
        <v>C</v>
      </c>
      <c r="K637" s="20" t="e">
        <f t="shared" si="205"/>
        <v>#N/A</v>
      </c>
      <c r="L637" s="20" t="e">
        <f t="shared" si="206"/>
        <v>#N/A</v>
      </c>
      <c r="M637" s="20">
        <f t="shared" si="207"/>
        <v>-1.6546080650861184</v>
      </c>
      <c r="N637" s="20">
        <f t="shared" si="208"/>
        <v>1.1235088566415377</v>
      </c>
      <c r="O637" s="20" t="e">
        <f t="shared" si="209"/>
        <v>#N/A</v>
      </c>
      <c r="P637" s="20" t="e">
        <f t="shared" si="210"/>
        <v>#N/A</v>
      </c>
      <c r="Q637" s="20" t="e">
        <f t="shared" si="211"/>
        <v>#N/A</v>
      </c>
      <c r="R637" s="20" t="e">
        <f t="shared" si="212"/>
        <v>#N/A</v>
      </c>
      <c r="S637" s="20" t="e">
        <f t="shared" si="213"/>
        <v>#N/A</v>
      </c>
      <c r="T637" s="20" t="e">
        <f t="shared" si="214"/>
        <v>#N/A</v>
      </c>
    </row>
    <row r="638" spans="1:20" x14ac:dyDescent="0.25">
      <c r="A638">
        <f t="shared" si="215"/>
        <v>636</v>
      </c>
      <c r="B638">
        <f t="shared" si="216"/>
        <v>11</v>
      </c>
      <c r="C638">
        <f t="shared" si="217"/>
        <v>2.0000000000000009</v>
      </c>
      <c r="D638" s="15">
        <f t="shared" si="218"/>
        <v>2.278481012658228</v>
      </c>
      <c r="E638">
        <f t="shared" si="219"/>
        <v>1</v>
      </c>
      <c r="F638" s="3">
        <f t="shared" si="220"/>
        <v>148.10126582278497</v>
      </c>
      <c r="G638" s="3">
        <f t="shared" si="221"/>
        <v>2.5848547149789463</v>
      </c>
      <c r="H638" s="18">
        <f t="shared" si="222"/>
        <v>-1.697966724182731</v>
      </c>
      <c r="I638" s="3">
        <f t="shared" si="223"/>
        <v>1.0568391569052353</v>
      </c>
      <c r="J638" s="19" t="str">
        <f t="shared" si="204"/>
        <v>C</v>
      </c>
      <c r="K638" s="20" t="e">
        <f t="shared" si="205"/>
        <v>#N/A</v>
      </c>
      <c r="L638" s="20" t="e">
        <f t="shared" si="206"/>
        <v>#N/A</v>
      </c>
      <c r="M638" s="20">
        <f t="shared" si="207"/>
        <v>-1.697966724182731</v>
      </c>
      <c r="N638" s="20">
        <f t="shared" si="208"/>
        <v>1.0568391569052353</v>
      </c>
      <c r="O638" s="20" t="e">
        <f t="shared" si="209"/>
        <v>#N/A</v>
      </c>
      <c r="P638" s="20" t="e">
        <f t="shared" si="210"/>
        <v>#N/A</v>
      </c>
      <c r="Q638" s="20" t="e">
        <f t="shared" si="211"/>
        <v>#N/A</v>
      </c>
      <c r="R638" s="20" t="e">
        <f t="shared" si="212"/>
        <v>#N/A</v>
      </c>
      <c r="S638" s="20" t="e">
        <f t="shared" si="213"/>
        <v>#N/A</v>
      </c>
      <c r="T638" s="20" t="e">
        <f t="shared" si="214"/>
        <v>#N/A</v>
      </c>
    </row>
    <row r="639" spans="1:20" x14ac:dyDescent="0.25">
      <c r="A639">
        <f t="shared" si="215"/>
        <v>637</v>
      </c>
      <c r="B639">
        <f t="shared" si="216"/>
        <v>11</v>
      </c>
      <c r="C639">
        <f t="shared" si="217"/>
        <v>2.0000000000000009</v>
      </c>
      <c r="D639" s="15">
        <f t="shared" si="218"/>
        <v>2.278481012658228</v>
      </c>
      <c r="E639">
        <f t="shared" si="219"/>
        <v>1</v>
      </c>
      <c r="F639" s="3">
        <f t="shared" si="220"/>
        <v>150.3797468354432</v>
      </c>
      <c r="G639" s="3">
        <f t="shared" si="221"/>
        <v>2.6246217105940071</v>
      </c>
      <c r="H639" s="18">
        <f t="shared" si="222"/>
        <v>-1.7386405488791683</v>
      </c>
      <c r="I639" s="3">
        <f t="shared" si="223"/>
        <v>0.98849837723344169</v>
      </c>
      <c r="J639" s="19" t="str">
        <f t="shared" si="204"/>
        <v>C</v>
      </c>
      <c r="K639" s="20" t="e">
        <f t="shared" si="205"/>
        <v>#N/A</v>
      </c>
      <c r="L639" s="20" t="e">
        <f t="shared" si="206"/>
        <v>#N/A</v>
      </c>
      <c r="M639" s="20">
        <f t="shared" si="207"/>
        <v>-1.7386405488791683</v>
      </c>
      <c r="N639" s="20">
        <f t="shared" si="208"/>
        <v>0.98849837723344169</v>
      </c>
      <c r="O639" s="20" t="e">
        <f t="shared" si="209"/>
        <v>#N/A</v>
      </c>
      <c r="P639" s="20" t="e">
        <f t="shared" si="210"/>
        <v>#N/A</v>
      </c>
      <c r="Q639" s="20" t="e">
        <f t="shared" si="211"/>
        <v>#N/A</v>
      </c>
      <c r="R639" s="20" t="e">
        <f t="shared" si="212"/>
        <v>#N/A</v>
      </c>
      <c r="S639" s="20" t="e">
        <f t="shared" si="213"/>
        <v>#N/A</v>
      </c>
      <c r="T639" s="20" t="e">
        <f t="shared" si="214"/>
        <v>#N/A</v>
      </c>
    </row>
    <row r="640" spans="1:20" x14ac:dyDescent="0.25">
      <c r="A640">
        <f t="shared" si="215"/>
        <v>638</v>
      </c>
      <c r="B640">
        <f t="shared" si="216"/>
        <v>11</v>
      </c>
      <c r="C640">
        <f t="shared" si="217"/>
        <v>2.0000000000000009</v>
      </c>
      <c r="D640" s="15">
        <f t="shared" si="218"/>
        <v>2.278481012658228</v>
      </c>
      <c r="E640">
        <f t="shared" si="219"/>
        <v>1</v>
      </c>
      <c r="F640" s="3">
        <f t="shared" si="220"/>
        <v>152.65822784810143</v>
      </c>
      <c r="G640" s="3">
        <f t="shared" si="221"/>
        <v>2.6643887062090679</v>
      </c>
      <c r="H640" s="18">
        <f t="shared" si="222"/>
        <v>-1.7765652254982671</v>
      </c>
      <c r="I640" s="3">
        <f t="shared" si="223"/>
        <v>0.91859457844595138</v>
      </c>
      <c r="J640" s="19" t="str">
        <f t="shared" si="204"/>
        <v>C</v>
      </c>
      <c r="K640" s="20" t="e">
        <f t="shared" si="205"/>
        <v>#N/A</v>
      </c>
      <c r="L640" s="20" t="e">
        <f t="shared" si="206"/>
        <v>#N/A</v>
      </c>
      <c r="M640" s="20">
        <f t="shared" si="207"/>
        <v>-1.7765652254982671</v>
      </c>
      <c r="N640" s="20">
        <f t="shared" si="208"/>
        <v>0.91859457844595138</v>
      </c>
      <c r="O640" s="20" t="e">
        <f t="shared" si="209"/>
        <v>#N/A</v>
      </c>
      <c r="P640" s="20" t="e">
        <f t="shared" si="210"/>
        <v>#N/A</v>
      </c>
      <c r="Q640" s="20" t="e">
        <f t="shared" si="211"/>
        <v>#N/A</v>
      </c>
      <c r="R640" s="20" t="e">
        <f t="shared" si="212"/>
        <v>#N/A</v>
      </c>
      <c r="S640" s="20" t="e">
        <f t="shared" si="213"/>
        <v>#N/A</v>
      </c>
      <c r="T640" s="20" t="e">
        <f t="shared" si="214"/>
        <v>#N/A</v>
      </c>
    </row>
    <row r="641" spans="1:20" x14ac:dyDescent="0.25">
      <c r="A641">
        <f t="shared" si="215"/>
        <v>639</v>
      </c>
      <c r="B641">
        <f t="shared" si="216"/>
        <v>11</v>
      </c>
      <c r="C641">
        <f t="shared" si="217"/>
        <v>2.0000000000000009</v>
      </c>
      <c r="D641" s="15">
        <f t="shared" si="218"/>
        <v>2.278481012658228</v>
      </c>
      <c r="E641">
        <f t="shared" si="219"/>
        <v>1</v>
      </c>
      <c r="F641" s="3">
        <f t="shared" si="220"/>
        <v>154.93670886075967</v>
      </c>
      <c r="G641" s="3">
        <f t="shared" si="221"/>
        <v>2.7041557018241287</v>
      </c>
      <c r="H641" s="18">
        <f t="shared" si="222"/>
        <v>-1.8116807873310496</v>
      </c>
      <c r="I641" s="3">
        <f t="shared" si="223"/>
        <v>0.84723829281705132</v>
      </c>
      <c r="J641" s="19" t="str">
        <f t="shared" si="204"/>
        <v>C</v>
      </c>
      <c r="K641" s="20" t="e">
        <f t="shared" si="205"/>
        <v>#N/A</v>
      </c>
      <c r="L641" s="20" t="e">
        <f t="shared" si="206"/>
        <v>#N/A</v>
      </c>
      <c r="M641" s="20">
        <f t="shared" si="207"/>
        <v>-1.8116807873310496</v>
      </c>
      <c r="N641" s="20">
        <f t="shared" si="208"/>
        <v>0.84723829281705132</v>
      </c>
      <c r="O641" s="20" t="e">
        <f t="shared" si="209"/>
        <v>#N/A</v>
      </c>
      <c r="P641" s="20" t="e">
        <f t="shared" si="210"/>
        <v>#N/A</v>
      </c>
      <c r="Q641" s="20" t="e">
        <f t="shared" si="211"/>
        <v>#N/A</v>
      </c>
      <c r="R641" s="20" t="e">
        <f t="shared" si="212"/>
        <v>#N/A</v>
      </c>
      <c r="S641" s="20" t="e">
        <f t="shared" si="213"/>
        <v>#N/A</v>
      </c>
      <c r="T641" s="20" t="e">
        <f t="shared" si="214"/>
        <v>#N/A</v>
      </c>
    </row>
    <row r="642" spans="1:20" x14ac:dyDescent="0.25">
      <c r="A642">
        <f t="shared" si="215"/>
        <v>640</v>
      </c>
      <c r="B642">
        <f t="shared" si="216"/>
        <v>11</v>
      </c>
      <c r="C642">
        <f t="shared" si="217"/>
        <v>2.0000000000000009</v>
      </c>
      <c r="D642" s="15">
        <f t="shared" si="218"/>
        <v>2.278481012658228</v>
      </c>
      <c r="E642">
        <f t="shared" si="219"/>
        <v>1</v>
      </c>
      <c r="F642" s="3">
        <f t="shared" si="220"/>
        <v>157.2151898734179</v>
      </c>
      <c r="G642" s="3">
        <f t="shared" si="221"/>
        <v>2.7439226974391895</v>
      </c>
      <c r="H642" s="18">
        <f t="shared" si="222"/>
        <v>-1.8439317094564165</v>
      </c>
      <c r="I642" s="3">
        <f t="shared" si="223"/>
        <v>0.77454234930127686</v>
      </c>
      <c r="J642" s="19" t="str">
        <f t="shared" si="204"/>
        <v>C</v>
      </c>
      <c r="K642" s="20" t="e">
        <f t="shared" si="205"/>
        <v>#N/A</v>
      </c>
      <c r="L642" s="20" t="e">
        <f t="shared" si="206"/>
        <v>#N/A</v>
      </c>
      <c r="M642" s="20">
        <f t="shared" si="207"/>
        <v>-1.8439317094564165</v>
      </c>
      <c r="N642" s="20">
        <f t="shared" si="208"/>
        <v>0.77454234930127686</v>
      </c>
      <c r="O642" s="20" t="e">
        <f t="shared" si="209"/>
        <v>#N/A</v>
      </c>
      <c r="P642" s="20" t="e">
        <f t="shared" si="210"/>
        <v>#N/A</v>
      </c>
      <c r="Q642" s="20" t="e">
        <f t="shared" si="211"/>
        <v>#N/A</v>
      </c>
      <c r="R642" s="20" t="e">
        <f t="shared" si="212"/>
        <v>#N/A</v>
      </c>
      <c r="S642" s="20" t="e">
        <f t="shared" si="213"/>
        <v>#N/A</v>
      </c>
      <c r="T642" s="20" t="e">
        <f t="shared" si="214"/>
        <v>#N/A</v>
      </c>
    </row>
    <row r="643" spans="1:20" x14ac:dyDescent="0.25">
      <c r="A643">
        <f t="shared" si="215"/>
        <v>641</v>
      </c>
      <c r="B643">
        <f t="shared" si="216"/>
        <v>11</v>
      </c>
      <c r="C643">
        <f t="shared" si="217"/>
        <v>2.0000000000000009</v>
      </c>
      <c r="D643" s="15">
        <f t="shared" si="218"/>
        <v>2.278481012658228</v>
      </c>
      <c r="E643">
        <f t="shared" si="219"/>
        <v>1</v>
      </c>
      <c r="F643" s="3">
        <f t="shared" si="220"/>
        <v>159.49367088607613</v>
      </c>
      <c r="G643" s="3">
        <f t="shared" si="221"/>
        <v>2.7836896930542503</v>
      </c>
      <c r="H643" s="18">
        <f t="shared" si="222"/>
        <v>-1.8732669965374589</v>
      </c>
      <c r="I643" s="3">
        <f t="shared" si="223"/>
        <v>0.70062169512764305</v>
      </c>
      <c r="J643" s="19" t="str">
        <f t="shared" ref="J643:J652" si="224">VLOOKUP(A643,$AQ$3:$AR$58,2,1)</f>
        <v>LD</v>
      </c>
      <c r="K643" s="20" t="e">
        <f t="shared" si="205"/>
        <v>#N/A</v>
      </c>
      <c r="L643" s="20" t="e">
        <f t="shared" si="206"/>
        <v>#N/A</v>
      </c>
      <c r="M643" s="20" t="e">
        <f t="shared" si="207"/>
        <v>#N/A</v>
      </c>
      <c r="N643" s="20" t="e">
        <f t="shared" si="208"/>
        <v>#N/A</v>
      </c>
      <c r="O643" s="20">
        <f t="shared" si="209"/>
        <v>-1.8732669965374589</v>
      </c>
      <c r="P643" s="20">
        <f t="shared" si="210"/>
        <v>0.70062169512764305</v>
      </c>
      <c r="Q643" s="20" t="e">
        <f t="shared" si="211"/>
        <v>#N/A</v>
      </c>
      <c r="R643" s="20" t="e">
        <f t="shared" si="212"/>
        <v>#N/A</v>
      </c>
      <c r="S643" s="20" t="e">
        <f t="shared" si="213"/>
        <v>#N/A</v>
      </c>
      <c r="T643" s="20" t="e">
        <f t="shared" si="214"/>
        <v>#N/A</v>
      </c>
    </row>
    <row r="644" spans="1:20" x14ac:dyDescent="0.25">
      <c r="A644">
        <f t="shared" si="215"/>
        <v>642</v>
      </c>
      <c r="B644">
        <f t="shared" si="216"/>
        <v>11</v>
      </c>
      <c r="C644">
        <f t="shared" si="217"/>
        <v>2.0000000000000009</v>
      </c>
      <c r="D644" s="15">
        <f t="shared" si="218"/>
        <v>2.278481012658228</v>
      </c>
      <c r="E644">
        <f t="shared" si="219"/>
        <v>1</v>
      </c>
      <c r="F644" s="3">
        <f t="shared" si="220"/>
        <v>161.77215189873436</v>
      </c>
      <c r="G644" s="3">
        <f t="shared" si="221"/>
        <v>2.8234566886693111</v>
      </c>
      <c r="H644" s="18">
        <f t="shared" si="222"/>
        <v>-1.8996402634555682</v>
      </c>
      <c r="I644" s="3">
        <f t="shared" si="223"/>
        <v>0.62559321404444845</v>
      </c>
      <c r="J644" s="19" t="str">
        <f t="shared" si="224"/>
        <v>LD</v>
      </c>
      <c r="K644" s="20" t="e">
        <f t="shared" ref="K644:K652" si="225">IF(J644="L",H644,NA())</f>
        <v>#N/A</v>
      </c>
      <c r="L644" s="20" t="e">
        <f t="shared" ref="L644:L652" si="226">IF(J644="l",I644,NA())</f>
        <v>#N/A</v>
      </c>
      <c r="M644" s="20" t="e">
        <f t="shared" ref="M644:M652" si="227">IF(J644="C",H644,NA())</f>
        <v>#N/A</v>
      </c>
      <c r="N644" s="20" t="e">
        <f t="shared" ref="N644:N652" si="228">IF(J644="C",I644,NA())</f>
        <v>#N/A</v>
      </c>
      <c r="O644" s="20">
        <f t="shared" ref="O644:O652" si="229">IF(J644="LD",H644,NA())</f>
        <v>-1.8996402634555682</v>
      </c>
      <c r="P644" s="20">
        <f t="shared" ref="P644:P652" si="230">IF(J644="LD",I644,NA())</f>
        <v>0.62559321404444845</v>
      </c>
      <c r="Q644" s="20" t="e">
        <f t="shared" ref="Q644:Q652" si="231">IF(J644="SNP",H644,NA())</f>
        <v>#N/A</v>
      </c>
      <c r="R644" s="20" t="e">
        <f t="shared" ref="R644:R652" si="232">IF(J644="SNP",I644,NA())</f>
        <v>#N/A</v>
      </c>
      <c r="S644" s="20" t="e">
        <f t="shared" ref="S644:S652" si="233">IF(J644="Oth",H644,NA())</f>
        <v>#N/A</v>
      </c>
      <c r="T644" s="20" t="e">
        <f t="shared" ref="T644:T652" si="234">IF(J644="oth",I644,NA())</f>
        <v>#N/A</v>
      </c>
    </row>
    <row r="645" spans="1:20" x14ac:dyDescent="0.25">
      <c r="A645">
        <f t="shared" si="215"/>
        <v>643</v>
      </c>
      <c r="B645">
        <f t="shared" si="216"/>
        <v>11</v>
      </c>
      <c r="C645">
        <f t="shared" si="217"/>
        <v>2.0000000000000009</v>
      </c>
      <c r="D645" s="15">
        <f t="shared" si="218"/>
        <v>2.278481012658228</v>
      </c>
      <c r="E645">
        <f t="shared" si="219"/>
        <v>1</v>
      </c>
      <c r="F645" s="3">
        <f t="shared" si="220"/>
        <v>164.0506329113926</v>
      </c>
      <c r="G645" s="3">
        <f t="shared" si="221"/>
        <v>2.8632236842843719</v>
      </c>
      <c r="H645" s="18">
        <f t="shared" si="222"/>
        <v>-1.9230098086548437</v>
      </c>
      <c r="I645" s="3">
        <f t="shared" si="223"/>
        <v>0.54957554150204435</v>
      </c>
      <c r="J645" s="19" t="str">
        <f t="shared" si="224"/>
        <v>LD</v>
      </c>
      <c r="K645" s="20" t="e">
        <f t="shared" si="225"/>
        <v>#N/A</v>
      </c>
      <c r="L645" s="20" t="e">
        <f t="shared" si="226"/>
        <v>#N/A</v>
      </c>
      <c r="M645" s="20" t="e">
        <f t="shared" si="227"/>
        <v>#N/A</v>
      </c>
      <c r="N645" s="20" t="e">
        <f t="shared" si="228"/>
        <v>#N/A</v>
      </c>
      <c r="O645" s="20">
        <f t="shared" si="229"/>
        <v>-1.9230098086548437</v>
      </c>
      <c r="P645" s="20">
        <f t="shared" si="230"/>
        <v>0.54957554150204435</v>
      </c>
      <c r="Q645" s="20" t="e">
        <f t="shared" si="231"/>
        <v>#N/A</v>
      </c>
      <c r="R645" s="20" t="e">
        <f t="shared" si="232"/>
        <v>#N/A</v>
      </c>
      <c r="S645" s="20" t="e">
        <f t="shared" si="233"/>
        <v>#N/A</v>
      </c>
      <c r="T645" s="20" t="e">
        <f t="shared" si="234"/>
        <v>#N/A</v>
      </c>
    </row>
    <row r="646" spans="1:20" x14ac:dyDescent="0.25">
      <c r="A646">
        <f t="shared" si="215"/>
        <v>644</v>
      </c>
      <c r="B646">
        <f t="shared" si="216"/>
        <v>11</v>
      </c>
      <c r="C646">
        <f t="shared" si="217"/>
        <v>2.0000000000000009</v>
      </c>
      <c r="D646" s="15">
        <f t="shared" si="218"/>
        <v>2.278481012658228</v>
      </c>
      <c r="E646">
        <f t="shared" si="219"/>
        <v>1</v>
      </c>
      <c r="F646" s="3">
        <f t="shared" si="220"/>
        <v>166.32911392405083</v>
      </c>
      <c r="G646" s="3">
        <f t="shared" si="221"/>
        <v>2.9029906798994327</v>
      </c>
      <c r="H646" s="18">
        <f t="shared" si="222"/>
        <v>-1.9433386800808226</v>
      </c>
      <c r="I646" s="3">
        <f t="shared" si="223"/>
        <v>0.47268887706580315</v>
      </c>
      <c r="J646" s="19" t="str">
        <f t="shared" si="224"/>
        <v>LD</v>
      </c>
      <c r="K646" s="20" t="e">
        <f t="shared" si="225"/>
        <v>#N/A</v>
      </c>
      <c r="L646" s="20" t="e">
        <f t="shared" si="226"/>
        <v>#N/A</v>
      </c>
      <c r="M646" s="20" t="e">
        <f t="shared" si="227"/>
        <v>#N/A</v>
      </c>
      <c r="N646" s="20" t="e">
        <f t="shared" si="228"/>
        <v>#N/A</v>
      </c>
      <c r="O646" s="20">
        <f t="shared" si="229"/>
        <v>-1.9433386800808226</v>
      </c>
      <c r="P646" s="20">
        <f t="shared" si="230"/>
        <v>0.47268887706580315</v>
      </c>
      <c r="Q646" s="20" t="e">
        <f t="shared" si="231"/>
        <v>#N/A</v>
      </c>
      <c r="R646" s="20" t="e">
        <f t="shared" si="232"/>
        <v>#N/A</v>
      </c>
      <c r="S646" s="20" t="e">
        <f t="shared" si="233"/>
        <v>#N/A</v>
      </c>
      <c r="T646" s="20" t="e">
        <f t="shared" si="234"/>
        <v>#N/A</v>
      </c>
    </row>
    <row r="647" spans="1:20" x14ac:dyDescent="0.25">
      <c r="A647">
        <f t="shared" si="215"/>
        <v>645</v>
      </c>
      <c r="B647">
        <f t="shared" si="216"/>
        <v>11</v>
      </c>
      <c r="C647">
        <f t="shared" si="217"/>
        <v>2.0000000000000009</v>
      </c>
      <c r="D647" s="15">
        <f t="shared" si="218"/>
        <v>2.278481012658228</v>
      </c>
      <c r="E647">
        <f t="shared" si="219"/>
        <v>1</v>
      </c>
      <c r="F647" s="3">
        <f t="shared" si="220"/>
        <v>168.60759493670906</v>
      </c>
      <c r="G647" s="3">
        <f t="shared" si="221"/>
        <v>2.9427576755144931</v>
      </c>
      <c r="H647" s="18">
        <f t="shared" si="222"/>
        <v>-1.9605947336092744</v>
      </c>
      <c r="I647" s="3">
        <f t="shared" si="223"/>
        <v>0.39505479435589924</v>
      </c>
      <c r="J647" s="19" t="str">
        <f t="shared" si="224"/>
        <v>LD</v>
      </c>
      <c r="K647" s="20" t="e">
        <f t="shared" si="225"/>
        <v>#N/A</v>
      </c>
      <c r="L647" s="20" t="e">
        <f t="shared" si="226"/>
        <v>#N/A</v>
      </c>
      <c r="M647" s="20" t="e">
        <f t="shared" si="227"/>
        <v>#N/A</v>
      </c>
      <c r="N647" s="20" t="e">
        <f t="shared" si="228"/>
        <v>#N/A</v>
      </c>
      <c r="O647" s="20">
        <f t="shared" si="229"/>
        <v>-1.9605947336092744</v>
      </c>
      <c r="P647" s="20">
        <f t="shared" si="230"/>
        <v>0.39505479435589924</v>
      </c>
      <c r="Q647" s="20" t="e">
        <f t="shared" si="231"/>
        <v>#N/A</v>
      </c>
      <c r="R647" s="20" t="e">
        <f t="shared" si="232"/>
        <v>#N/A</v>
      </c>
      <c r="S647" s="20" t="e">
        <f t="shared" si="233"/>
        <v>#N/A</v>
      </c>
      <c r="T647" s="20" t="e">
        <f t="shared" si="234"/>
        <v>#N/A</v>
      </c>
    </row>
    <row r="648" spans="1:20" x14ac:dyDescent="0.25">
      <c r="A648">
        <f t="shared" si="215"/>
        <v>646</v>
      </c>
      <c r="B648">
        <f t="shared" si="216"/>
        <v>11</v>
      </c>
      <c r="C648">
        <f t="shared" si="217"/>
        <v>2.0000000000000009</v>
      </c>
      <c r="D648" s="15">
        <f t="shared" si="218"/>
        <v>2.278481012658228</v>
      </c>
      <c r="E648">
        <f t="shared" si="219"/>
        <v>1</v>
      </c>
      <c r="F648" s="3">
        <f t="shared" si="220"/>
        <v>170.8860759493673</v>
      </c>
      <c r="G648" s="3">
        <f t="shared" si="221"/>
        <v>2.9825246711295543</v>
      </c>
      <c r="H648" s="18">
        <f t="shared" si="222"/>
        <v>-1.9747506838726689</v>
      </c>
      <c r="I648" s="3">
        <f t="shared" si="223"/>
        <v>0.31679604881442264</v>
      </c>
      <c r="J648" s="19" t="str">
        <f t="shared" si="224"/>
        <v>LD</v>
      </c>
      <c r="K648" s="20" t="e">
        <f t="shared" si="225"/>
        <v>#N/A</v>
      </c>
      <c r="L648" s="20" t="e">
        <f t="shared" si="226"/>
        <v>#N/A</v>
      </c>
      <c r="M648" s="20" t="e">
        <f t="shared" si="227"/>
        <v>#N/A</v>
      </c>
      <c r="N648" s="20" t="e">
        <f t="shared" si="228"/>
        <v>#N/A</v>
      </c>
      <c r="O648" s="20">
        <f t="shared" si="229"/>
        <v>-1.9747506838726689</v>
      </c>
      <c r="P648" s="20">
        <f t="shared" si="230"/>
        <v>0.31679604881442264</v>
      </c>
      <c r="Q648" s="20" t="e">
        <f t="shared" si="231"/>
        <v>#N/A</v>
      </c>
      <c r="R648" s="20" t="e">
        <f t="shared" si="232"/>
        <v>#N/A</v>
      </c>
      <c r="S648" s="20" t="e">
        <f t="shared" si="233"/>
        <v>#N/A</v>
      </c>
      <c r="T648" s="20" t="e">
        <f t="shared" si="234"/>
        <v>#N/A</v>
      </c>
    </row>
    <row r="649" spans="1:20" x14ac:dyDescent="0.25">
      <c r="A649">
        <f t="shared" si="215"/>
        <v>647</v>
      </c>
      <c r="B649">
        <f t="shared" si="216"/>
        <v>11</v>
      </c>
      <c r="C649">
        <f t="shared" si="217"/>
        <v>2.0000000000000009</v>
      </c>
      <c r="D649" s="15">
        <f t="shared" si="218"/>
        <v>2.278481012658228</v>
      </c>
      <c r="E649">
        <f t="shared" si="219"/>
        <v>1</v>
      </c>
      <c r="F649" s="3">
        <f t="shared" si="220"/>
        <v>173.16455696202553</v>
      </c>
      <c r="G649" s="3">
        <f t="shared" si="221"/>
        <v>3.0222916667446147</v>
      </c>
      <c r="H649" s="18">
        <f t="shared" si="222"/>
        <v>-1.9857841474039486</v>
      </c>
      <c r="I649" s="3">
        <f t="shared" si="223"/>
        <v>0.23803638360380278</v>
      </c>
      <c r="J649" s="19" t="str">
        <f t="shared" si="224"/>
        <v>Oth</v>
      </c>
      <c r="K649" s="20" t="e">
        <f t="shared" si="225"/>
        <v>#N/A</v>
      </c>
      <c r="L649" s="20" t="e">
        <f t="shared" si="226"/>
        <v>#N/A</v>
      </c>
      <c r="M649" s="20" t="e">
        <f t="shared" si="227"/>
        <v>#N/A</v>
      </c>
      <c r="N649" s="20" t="e">
        <f t="shared" si="228"/>
        <v>#N/A</v>
      </c>
      <c r="O649" s="20" t="e">
        <f t="shared" si="229"/>
        <v>#N/A</v>
      </c>
      <c r="P649" s="20" t="e">
        <f t="shared" si="230"/>
        <v>#N/A</v>
      </c>
      <c r="Q649" s="20" t="e">
        <f t="shared" si="231"/>
        <v>#N/A</v>
      </c>
      <c r="R649" s="20" t="e">
        <f t="shared" si="232"/>
        <v>#N/A</v>
      </c>
      <c r="S649" s="20">
        <f t="shared" si="233"/>
        <v>-1.9857841474039486</v>
      </c>
      <c r="T649" s="20">
        <f t="shared" si="234"/>
        <v>0.23803638360380278</v>
      </c>
    </row>
    <row r="650" spans="1:20" x14ac:dyDescent="0.25">
      <c r="A650">
        <f t="shared" si="215"/>
        <v>648</v>
      </c>
      <c r="B650">
        <f t="shared" si="216"/>
        <v>11</v>
      </c>
      <c r="C650">
        <f t="shared" si="217"/>
        <v>2.0000000000000009</v>
      </c>
      <c r="D650" s="15">
        <f t="shared" si="218"/>
        <v>2.278481012658228</v>
      </c>
      <c r="E650">
        <f t="shared" si="219"/>
        <v>1</v>
      </c>
      <c r="F650" s="3">
        <f t="shared" si="220"/>
        <v>175.44303797468376</v>
      </c>
      <c r="G650" s="3">
        <f t="shared" si="221"/>
        <v>3.0620586623596755</v>
      </c>
      <c r="H650" s="18">
        <f t="shared" si="222"/>
        <v>-1.9936776780293932</v>
      </c>
      <c r="I650" s="3">
        <f t="shared" si="223"/>
        <v>0.15890033394342162</v>
      </c>
      <c r="J650" s="19" t="str">
        <f t="shared" si="224"/>
        <v>Oth</v>
      </c>
      <c r="K650" s="20" t="e">
        <f t="shared" si="225"/>
        <v>#N/A</v>
      </c>
      <c r="L650" s="20" t="e">
        <f t="shared" si="226"/>
        <v>#N/A</v>
      </c>
      <c r="M650" s="20" t="e">
        <f t="shared" si="227"/>
        <v>#N/A</v>
      </c>
      <c r="N650" s="20" t="e">
        <f t="shared" si="228"/>
        <v>#N/A</v>
      </c>
      <c r="O650" s="20" t="e">
        <f t="shared" si="229"/>
        <v>#N/A</v>
      </c>
      <c r="P650" s="20" t="e">
        <f t="shared" si="230"/>
        <v>#N/A</v>
      </c>
      <c r="Q650" s="20" t="e">
        <f t="shared" si="231"/>
        <v>#N/A</v>
      </c>
      <c r="R650" s="20" t="e">
        <f t="shared" si="232"/>
        <v>#N/A</v>
      </c>
      <c r="S650" s="20">
        <f t="shared" si="233"/>
        <v>-1.9936776780293932</v>
      </c>
      <c r="T650" s="20">
        <f t="shared" si="234"/>
        <v>0.15890033394342162</v>
      </c>
    </row>
    <row r="651" spans="1:20" x14ac:dyDescent="0.25">
      <c r="A651">
        <f t="shared" si="215"/>
        <v>649</v>
      </c>
      <c r="B651">
        <f t="shared" si="216"/>
        <v>11</v>
      </c>
      <c r="C651">
        <f t="shared" si="217"/>
        <v>2.0000000000000009</v>
      </c>
      <c r="D651" s="15">
        <f t="shared" si="218"/>
        <v>2.278481012658228</v>
      </c>
      <c r="E651">
        <f t="shared" si="219"/>
        <v>1</v>
      </c>
      <c r="F651" s="3">
        <f t="shared" si="220"/>
        <v>177.72151898734199</v>
      </c>
      <c r="G651" s="3">
        <f t="shared" si="221"/>
        <v>3.1018256579747363</v>
      </c>
      <c r="H651" s="18">
        <f t="shared" si="222"/>
        <v>-1.998418794454605</v>
      </c>
      <c r="I651" s="3">
        <f t="shared" si="223"/>
        <v>7.9513030193843828E-2</v>
      </c>
      <c r="J651" s="19" t="str">
        <f t="shared" si="224"/>
        <v>Oth</v>
      </c>
      <c r="K651" s="20" t="e">
        <f t="shared" si="225"/>
        <v>#N/A</v>
      </c>
      <c r="L651" s="20" t="e">
        <f t="shared" si="226"/>
        <v>#N/A</v>
      </c>
      <c r="M651" s="20" t="e">
        <f t="shared" si="227"/>
        <v>#N/A</v>
      </c>
      <c r="N651" s="20" t="e">
        <f t="shared" si="228"/>
        <v>#N/A</v>
      </c>
      <c r="O651" s="20" t="e">
        <f t="shared" si="229"/>
        <v>#N/A</v>
      </c>
      <c r="P651" s="20" t="e">
        <f t="shared" si="230"/>
        <v>#N/A</v>
      </c>
      <c r="Q651" s="20" t="e">
        <f t="shared" si="231"/>
        <v>#N/A</v>
      </c>
      <c r="R651" s="20" t="e">
        <f t="shared" si="232"/>
        <v>#N/A</v>
      </c>
      <c r="S651" s="20">
        <f t="shared" si="233"/>
        <v>-1.998418794454605</v>
      </c>
      <c r="T651" s="20">
        <f t="shared" si="234"/>
        <v>7.9513030193843828E-2</v>
      </c>
    </row>
    <row r="652" spans="1:20" x14ac:dyDescent="0.25">
      <c r="A652">
        <f t="shared" si="215"/>
        <v>650</v>
      </c>
      <c r="B652">
        <f t="shared" si="216"/>
        <v>11</v>
      </c>
      <c r="C652">
        <f t="shared" si="217"/>
        <v>2.0000000000000009</v>
      </c>
      <c r="D652" s="15">
        <f t="shared" si="218"/>
        <v>2.278481012658228</v>
      </c>
      <c r="E652">
        <f t="shared" si="219"/>
        <v>1</v>
      </c>
      <c r="F652" s="3">
        <f t="shared" si="220"/>
        <v>180.00000000000023</v>
      </c>
      <c r="G652" s="3">
        <f t="shared" si="221"/>
        <v>3.1415926535897971</v>
      </c>
      <c r="H652" s="18">
        <f t="shared" si="222"/>
        <v>-2.0000000000000009</v>
      </c>
      <c r="I652" s="3">
        <f t="shared" si="223"/>
        <v>-7.7485760863194062E-15</v>
      </c>
      <c r="J652" s="19" t="str">
        <f t="shared" si="224"/>
        <v>Oth</v>
      </c>
      <c r="K652" s="20" t="e">
        <f t="shared" si="225"/>
        <v>#N/A</v>
      </c>
      <c r="L652" s="20" t="e">
        <f t="shared" si="226"/>
        <v>#N/A</v>
      </c>
      <c r="M652" s="20" t="e">
        <f t="shared" si="227"/>
        <v>#N/A</v>
      </c>
      <c r="N652" s="20" t="e">
        <f t="shared" si="228"/>
        <v>#N/A</v>
      </c>
      <c r="O652" s="20" t="e">
        <f t="shared" si="229"/>
        <v>#N/A</v>
      </c>
      <c r="P652" s="20" t="e">
        <f t="shared" si="230"/>
        <v>#N/A</v>
      </c>
      <c r="Q652" s="20" t="e">
        <f t="shared" si="231"/>
        <v>#N/A</v>
      </c>
      <c r="R652" s="20" t="e">
        <f t="shared" si="232"/>
        <v>#N/A</v>
      </c>
      <c r="S652" s="20">
        <f t="shared" si="233"/>
        <v>-2.0000000000000009</v>
      </c>
      <c r="T652" s="20">
        <f t="shared" si="234"/>
        <v>-7.7485760863194062E-15</v>
      </c>
    </row>
  </sheetData>
  <mergeCells count="3">
    <mergeCell ref="AF1:AJ1"/>
    <mergeCell ref="AU1:AV1"/>
    <mergeCell ref="AU9:AV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D681-CC47-4ED4-8CFB-3B8C8CEF0166}">
  <dimension ref="A1:F92"/>
  <sheetViews>
    <sheetView topLeftCell="A57" workbookViewId="0">
      <selection activeCell="B3" sqref="B3"/>
    </sheetView>
  </sheetViews>
  <sheetFormatPr defaultRowHeight="15" x14ac:dyDescent="0.25"/>
  <cols>
    <col min="1" max="1" width="10.7109375" bestFit="1" customWidth="1"/>
  </cols>
  <sheetData>
    <row r="1" spans="1:5" x14ac:dyDescent="0.25">
      <c r="A1" s="1" t="s">
        <v>251</v>
      </c>
    </row>
    <row r="2" spans="1:5" x14ac:dyDescent="0.25">
      <c r="B2" t="s">
        <v>247</v>
      </c>
      <c r="C2" t="s">
        <v>248</v>
      </c>
      <c r="D2" t="s">
        <v>249</v>
      </c>
      <c r="E2" t="s">
        <v>250</v>
      </c>
    </row>
    <row r="3" spans="1:5" x14ac:dyDescent="0.25">
      <c r="A3" s="26">
        <v>42736</v>
      </c>
      <c r="B3" s="3" t="e">
        <f>AVERAGE(HAVER!C90:C92)</f>
        <v>#N/A</v>
      </c>
      <c r="C3" s="3" t="e">
        <f>AVERAGE(HAVER!D90:D92)</f>
        <v>#N/A</v>
      </c>
      <c r="D3" s="3"/>
      <c r="E3" s="3"/>
    </row>
    <row r="4" spans="1:5" x14ac:dyDescent="0.25">
      <c r="A4" s="26">
        <v>42767</v>
      </c>
      <c r="B4" s="3" t="e">
        <f>AVERAGE(HAVER!C91:C93)</f>
        <v>#N/A</v>
      </c>
      <c r="C4" s="3" t="e">
        <f>AVERAGE(HAVER!D91:D93)</f>
        <v>#N/A</v>
      </c>
      <c r="D4" s="3"/>
      <c r="E4" s="3"/>
    </row>
    <row r="5" spans="1:5" x14ac:dyDescent="0.25">
      <c r="A5" s="26">
        <v>42795</v>
      </c>
      <c r="B5" s="3">
        <f>AVERAGE(HAVER!C92:C94)</f>
        <v>2.7920000000000003</v>
      </c>
      <c r="C5" s="3">
        <f>AVERAGE(HAVER!D92:D94)</f>
        <v>2.8653333333333335</v>
      </c>
      <c r="D5" s="3"/>
      <c r="E5" s="3"/>
    </row>
    <row r="6" spans="1:5" x14ac:dyDescent="0.25">
      <c r="A6" s="26">
        <v>42826</v>
      </c>
      <c r="B6" s="3">
        <f>AVERAGE(HAVER!C93:C95)</f>
        <v>2.7696666666666672</v>
      </c>
      <c r="C6" s="3">
        <f>AVERAGE(HAVER!D93:D95)</f>
        <v>2.8010000000000002</v>
      </c>
      <c r="D6" s="3"/>
      <c r="E6" s="3"/>
    </row>
    <row r="7" spans="1:5" x14ac:dyDescent="0.25">
      <c r="A7" s="26">
        <v>42856</v>
      </c>
      <c r="B7" s="3">
        <f>AVERAGE(HAVER!C94:C96)</f>
        <v>2.6693333333333329</v>
      </c>
      <c r="C7" s="3">
        <f>AVERAGE(HAVER!D94:D96)</f>
        <v>2.7436666666666665</v>
      </c>
      <c r="D7" s="3"/>
      <c r="E7" s="3"/>
    </row>
    <row r="8" spans="1:5" x14ac:dyDescent="0.25">
      <c r="A8" s="26">
        <v>42887</v>
      </c>
      <c r="B8" s="3">
        <f>AVERAGE(HAVER!C95:C97)</f>
        <v>2.6</v>
      </c>
      <c r="C8" s="3">
        <f>AVERAGE(HAVER!D95:D97)</f>
        <v>2.6796666666666664</v>
      </c>
      <c r="D8" s="3"/>
      <c r="E8" s="3"/>
    </row>
    <row r="9" spans="1:5" x14ac:dyDescent="0.25">
      <c r="A9" s="26">
        <v>42917</v>
      </c>
      <c r="B9" s="3">
        <f>AVERAGE(HAVER!C96:C98)</f>
        <v>2.4496666666666669</v>
      </c>
      <c r="C9" s="3">
        <f>AVERAGE(HAVER!D96:D98)</f>
        <v>2.573</v>
      </c>
      <c r="D9" s="3"/>
      <c r="E9" s="3"/>
    </row>
    <row r="10" spans="1:5" x14ac:dyDescent="0.25">
      <c r="A10" s="26">
        <v>42948</v>
      </c>
      <c r="B10" s="3">
        <f>AVERAGE(HAVER!C97:C99)</f>
        <v>2.454333333333333</v>
      </c>
      <c r="C10" s="3">
        <f>AVERAGE(HAVER!D97:D99)</f>
        <v>2.5016666666666669</v>
      </c>
      <c r="D10" s="3"/>
      <c r="E10" s="3"/>
    </row>
    <row r="11" spans="1:5" x14ac:dyDescent="0.25">
      <c r="A11" s="26">
        <v>42979</v>
      </c>
      <c r="B11" s="3">
        <f>AVERAGE(HAVER!C98:C100)</f>
        <v>2.5609999999999999</v>
      </c>
      <c r="C11" s="3">
        <f>AVERAGE(HAVER!D98:D100)</f>
        <v>2.4886666666666666</v>
      </c>
      <c r="D11" s="3"/>
      <c r="E11" s="3"/>
    </row>
    <row r="12" spans="1:5" x14ac:dyDescent="0.25">
      <c r="A12" s="26">
        <v>43009</v>
      </c>
      <c r="B12" s="3">
        <f>AVERAGE(HAVER!C99:C101)</f>
        <v>2.4786666666666668</v>
      </c>
      <c r="C12" s="3">
        <f>AVERAGE(HAVER!D99:D101)</f>
        <v>2.4983333333333335</v>
      </c>
      <c r="D12" s="3"/>
      <c r="E12" s="3"/>
    </row>
    <row r="13" spans="1:5" x14ac:dyDescent="0.25">
      <c r="A13" s="26">
        <v>43040</v>
      </c>
      <c r="B13" s="3">
        <f>AVERAGE(HAVER!C100:C102)</f>
        <v>2.4653333333333332</v>
      </c>
      <c r="C13" s="3">
        <f>AVERAGE(HAVER!D100:D102)</f>
        <v>2.5016666666666665</v>
      </c>
      <c r="D13" s="3"/>
      <c r="E13" s="3"/>
    </row>
    <row r="14" spans="1:5" x14ac:dyDescent="0.25">
      <c r="A14" s="26">
        <v>43070</v>
      </c>
      <c r="B14" s="3">
        <f>AVERAGE(HAVER!C101:C103)</f>
        <v>2.4813333333333332</v>
      </c>
      <c r="C14" s="3">
        <f>AVERAGE(HAVER!D101:D103)</f>
        <v>2.4750000000000001</v>
      </c>
      <c r="D14" s="3"/>
      <c r="E14" s="3"/>
    </row>
    <row r="15" spans="1:5" x14ac:dyDescent="0.25">
      <c r="A15" s="26">
        <v>43101</v>
      </c>
      <c r="B15" s="3">
        <f>AVERAGE(HAVER!C102:C104)</f>
        <v>2.4419999999999997</v>
      </c>
      <c r="C15" s="3">
        <f>AVERAGE(HAVER!D102:D104)</f>
        <v>2.4626666666666668</v>
      </c>
      <c r="D15" s="3"/>
      <c r="E15" s="3"/>
    </row>
    <row r="16" spans="1:5" x14ac:dyDescent="0.25">
      <c r="A16" s="26">
        <v>43132</v>
      </c>
      <c r="B16" s="3">
        <f>AVERAGE(HAVER!C103:C105)</f>
        <v>2.4376666666666669</v>
      </c>
      <c r="C16" s="3">
        <f>AVERAGE(HAVER!D103:D105)</f>
        <v>2.4536666666666669</v>
      </c>
      <c r="D16" s="3"/>
      <c r="E16" s="3"/>
    </row>
    <row r="17" spans="1:5" x14ac:dyDescent="0.25">
      <c r="A17" s="26">
        <v>43160</v>
      </c>
      <c r="B17" s="3">
        <f>AVERAGE(HAVER!C104:C106)</f>
        <v>2.3353333333333333</v>
      </c>
      <c r="C17" s="3">
        <f>AVERAGE(HAVER!D104:D106)</f>
        <v>2.4050000000000002</v>
      </c>
      <c r="D17" s="3"/>
      <c r="E17" s="3"/>
    </row>
    <row r="18" spans="1:5" x14ac:dyDescent="0.25">
      <c r="A18" s="26">
        <v>43191</v>
      </c>
      <c r="B18" s="3">
        <f>AVERAGE(HAVER!C105:C107)</f>
        <v>2.3289999999999997</v>
      </c>
      <c r="C18" s="3">
        <f>AVERAGE(HAVER!D105:D107)</f>
        <v>2.3673333333333333</v>
      </c>
      <c r="D18" s="3"/>
      <c r="E18" s="3"/>
    </row>
    <row r="19" spans="1:5" x14ac:dyDescent="0.25">
      <c r="A19" s="26">
        <v>43221</v>
      </c>
      <c r="B19" s="3">
        <f>AVERAGE(HAVER!C106:C108)</f>
        <v>2.1853333333333333</v>
      </c>
      <c r="C19" s="3">
        <f>AVERAGE(HAVER!D106:D108)</f>
        <v>2.2833333333333332</v>
      </c>
      <c r="D19" s="3"/>
      <c r="E19" s="3"/>
    </row>
    <row r="20" spans="1:5" x14ac:dyDescent="0.25">
      <c r="A20" s="26">
        <v>43252</v>
      </c>
      <c r="B20" s="3">
        <f>AVERAGE(HAVER!C107:C109)</f>
        <v>2.246</v>
      </c>
      <c r="C20" s="3">
        <f>AVERAGE(HAVER!D107:D109)</f>
        <v>2.2536666666666672</v>
      </c>
      <c r="D20" s="3"/>
      <c r="E20" s="3"/>
    </row>
    <row r="21" spans="1:5" x14ac:dyDescent="0.25">
      <c r="A21" s="26">
        <v>43282</v>
      </c>
      <c r="B21" s="3">
        <f>AVERAGE(HAVER!C108:C110)</f>
        <v>2.2393333333333332</v>
      </c>
      <c r="C21" s="3">
        <f>AVERAGE(HAVER!D108:D110)</f>
        <v>2.2236666666666669</v>
      </c>
      <c r="D21" s="3"/>
      <c r="E21" s="3"/>
    </row>
    <row r="22" spans="1:5" x14ac:dyDescent="0.25">
      <c r="A22" s="26">
        <v>43313</v>
      </c>
      <c r="B22" s="3">
        <f>AVERAGE(HAVER!C109:C111)</f>
        <v>2.3316666666666666</v>
      </c>
      <c r="C22" s="3">
        <f>AVERAGE(HAVER!D109:D111)</f>
        <v>2.2723333333333331</v>
      </c>
      <c r="D22" s="3"/>
      <c r="E22" s="3"/>
    </row>
    <row r="23" spans="1:5" x14ac:dyDescent="0.25">
      <c r="A23" s="26">
        <v>43344</v>
      </c>
      <c r="B23" s="3">
        <f>AVERAGE(HAVER!C110:C112)</f>
        <v>2.2266666666666666</v>
      </c>
      <c r="C23" s="3">
        <f>AVERAGE(HAVER!D110:D112)</f>
        <v>2.2656666666666667</v>
      </c>
      <c r="D23" s="3"/>
      <c r="E23" s="3"/>
    </row>
    <row r="24" spans="1:5" x14ac:dyDescent="0.25">
      <c r="A24" s="26">
        <v>43374</v>
      </c>
      <c r="B24" s="3">
        <f>AVERAGE(HAVER!C111:C113)</f>
        <v>2.2823333333333333</v>
      </c>
      <c r="C24" s="3">
        <f>AVERAGE(HAVER!D111:D113)</f>
        <v>2.2799999999999998</v>
      </c>
      <c r="D24" s="3"/>
      <c r="E24" s="3"/>
    </row>
    <row r="25" spans="1:5" x14ac:dyDescent="0.25">
      <c r="A25" s="26">
        <v>43405</v>
      </c>
      <c r="B25" s="3">
        <f>AVERAGE(HAVER!C112:C114)</f>
        <v>2.4266666666666663</v>
      </c>
      <c r="C25" s="3">
        <f>AVERAGE(HAVER!D112:D114)</f>
        <v>2.311666666666667</v>
      </c>
      <c r="D25" s="3"/>
      <c r="E25" s="3"/>
    </row>
    <row r="26" spans="1:5" x14ac:dyDescent="0.25">
      <c r="A26" s="26">
        <v>43435</v>
      </c>
      <c r="B26" s="3">
        <f>AVERAGE(HAVER!C113:C115)</f>
        <v>2.4843333333333333</v>
      </c>
      <c r="C26" s="3">
        <f>AVERAGE(HAVER!D113:D115)</f>
        <v>2.3976666666666664</v>
      </c>
      <c r="D26" s="3"/>
      <c r="E26" s="3"/>
    </row>
    <row r="27" spans="1:5" x14ac:dyDescent="0.25">
      <c r="A27" s="26">
        <v>43466</v>
      </c>
      <c r="B27" s="3">
        <f>AVERAGE(HAVER!C114:C116)</f>
        <v>2.4646666666666666</v>
      </c>
      <c r="C27" s="3">
        <f>AVERAGE(HAVER!D114:D116)</f>
        <v>2.4586666666666663</v>
      </c>
      <c r="D27" s="3"/>
      <c r="E27" s="3"/>
    </row>
    <row r="28" spans="1:5" x14ac:dyDescent="0.25">
      <c r="A28" s="26">
        <v>43497</v>
      </c>
      <c r="B28" s="3">
        <f>AVERAGE(HAVER!C115:C117)</f>
        <v>2.4226666666666667</v>
      </c>
      <c r="C28" s="3">
        <f>AVERAGE(HAVER!D115:D117)</f>
        <v>2.4573333333333331</v>
      </c>
      <c r="D28" s="3"/>
      <c r="E28" s="3"/>
    </row>
    <row r="29" spans="1:5" x14ac:dyDescent="0.25">
      <c r="A29" s="26">
        <v>43525</v>
      </c>
      <c r="B29" s="3">
        <f>AVERAGE(HAVER!C116:C118)</f>
        <v>2.387</v>
      </c>
      <c r="C29" s="3">
        <f>AVERAGE(HAVER!D116:D118)</f>
        <v>2.4250000000000003</v>
      </c>
      <c r="D29" s="3"/>
      <c r="E29" s="3"/>
    </row>
    <row r="30" spans="1:5" x14ac:dyDescent="0.25">
      <c r="A30" s="26">
        <v>43556</v>
      </c>
      <c r="B30" s="3">
        <f>AVERAGE(HAVER!C117:C119)</f>
        <v>2.448</v>
      </c>
      <c r="C30" s="3">
        <f>AVERAGE(HAVER!D117:D119)</f>
        <v>2.4193333333333338</v>
      </c>
      <c r="D30" s="3"/>
      <c r="E30" s="3"/>
    </row>
    <row r="31" spans="1:5" x14ac:dyDescent="0.25">
      <c r="A31" s="26">
        <v>43586</v>
      </c>
      <c r="B31" s="3">
        <f>AVERAGE(HAVER!C118:C120)</f>
        <v>2.3716666666666666</v>
      </c>
      <c r="C31" s="3">
        <f>AVERAGE(HAVER!D118:D120)</f>
        <v>2.4023333333333334</v>
      </c>
      <c r="D31" s="3"/>
      <c r="E31" s="3"/>
    </row>
    <row r="32" spans="1:5" x14ac:dyDescent="0.25">
      <c r="A32" s="26">
        <v>43617</v>
      </c>
      <c r="B32" s="3">
        <f>AVERAGE(HAVER!C119:C121)</f>
        <v>2.4003333333333332</v>
      </c>
      <c r="C32" s="3">
        <f>AVERAGE(HAVER!D119:D121)</f>
        <v>2.4066666666666667</v>
      </c>
      <c r="D32" s="3"/>
      <c r="E32" s="3"/>
    </row>
    <row r="33" spans="1:5" x14ac:dyDescent="0.25">
      <c r="A33" s="26">
        <v>43647</v>
      </c>
      <c r="B33" s="3">
        <f>AVERAGE(HAVER!C120:C122)</f>
        <v>2.1946666666666665</v>
      </c>
      <c r="C33" s="3">
        <f>AVERAGE(HAVER!D120:D122)</f>
        <v>2.3223333333333334</v>
      </c>
      <c r="D33" s="3"/>
      <c r="E33" s="3"/>
    </row>
    <row r="34" spans="1:5" x14ac:dyDescent="0.25">
      <c r="A34" s="26">
        <v>43678</v>
      </c>
      <c r="B34" s="3">
        <f>AVERAGE(HAVER!C121:C123)</f>
        <v>2.1803333333333335</v>
      </c>
      <c r="C34" s="3">
        <f>AVERAGE(HAVER!D121:D123)</f>
        <v>2.2583333333333333</v>
      </c>
      <c r="D34" s="3"/>
      <c r="E34" s="3"/>
    </row>
    <row r="35" spans="1:5" x14ac:dyDescent="0.25">
      <c r="A35" s="26">
        <v>43709</v>
      </c>
      <c r="B35" s="3">
        <f>AVERAGE(HAVER!C122:C124)</f>
        <v>2.2473333333333336</v>
      </c>
      <c r="C35" s="3">
        <f>AVERAGE(HAVER!D122:D124)</f>
        <v>2.2073333333333331</v>
      </c>
      <c r="D35" s="3"/>
      <c r="E35" s="3"/>
    </row>
    <row r="36" spans="1:5" x14ac:dyDescent="0.25">
      <c r="A36" s="26">
        <v>43739</v>
      </c>
      <c r="B36" s="3">
        <f>AVERAGE(HAVER!C123:C125)</f>
        <v>2.2866666666666666</v>
      </c>
      <c r="C36" s="3">
        <f>AVERAGE(HAVER!D123:D125)</f>
        <v>2.238</v>
      </c>
      <c r="D36" s="3"/>
      <c r="E36" s="3"/>
    </row>
    <row r="37" spans="1:5" x14ac:dyDescent="0.25">
      <c r="A37" s="26">
        <v>43770</v>
      </c>
      <c r="B37" s="3">
        <f>AVERAGE(HAVER!C124:C126)</f>
        <v>2.2506666666666666</v>
      </c>
      <c r="C37" s="3">
        <f>AVERAGE(HAVER!D124:D126)</f>
        <v>2.2616666666666667</v>
      </c>
      <c r="D37" s="3"/>
      <c r="E37" s="3"/>
    </row>
    <row r="38" spans="1:5" x14ac:dyDescent="0.25">
      <c r="A38" s="26">
        <v>43800</v>
      </c>
      <c r="B38" s="3">
        <f>AVERAGE(HAVER!C125:C127)</f>
        <v>2.2560000000000002</v>
      </c>
      <c r="C38" s="3">
        <f>AVERAGE(HAVER!D125:D127)</f>
        <v>2.2646666666666668</v>
      </c>
      <c r="D38" s="3"/>
      <c r="E38" s="3"/>
    </row>
    <row r="39" spans="1:5" x14ac:dyDescent="0.25">
      <c r="A39" s="26">
        <v>43831</v>
      </c>
      <c r="B39" s="3">
        <f>AVERAGE(HAVER!C126:C128)</f>
        <v>2.2243333333333335</v>
      </c>
      <c r="C39" s="3">
        <f>AVERAGE(HAVER!D126:D128)</f>
        <v>2.2436666666666665</v>
      </c>
      <c r="D39" s="3"/>
      <c r="E39" s="3"/>
    </row>
    <row r="40" spans="1:5" x14ac:dyDescent="0.25">
      <c r="A40" s="26">
        <v>43862</v>
      </c>
      <c r="B40" s="3">
        <f>AVERAGE(HAVER!C127:C129)</f>
        <v>2.206</v>
      </c>
      <c r="C40" s="3">
        <f>AVERAGE(HAVER!D127:D129)</f>
        <v>2.2286666666666668</v>
      </c>
      <c r="D40" s="3"/>
      <c r="E40" s="3"/>
    </row>
    <row r="41" spans="1:5" x14ac:dyDescent="0.25">
      <c r="A41" s="26">
        <v>43891</v>
      </c>
      <c r="B41" s="3">
        <f>AVERAGE(HAVER!C128:C130)</f>
        <v>1.954</v>
      </c>
      <c r="C41" s="3">
        <f>AVERAGE(HAVER!D128:D130)</f>
        <v>2.1279999999999997</v>
      </c>
      <c r="D41" s="3"/>
      <c r="E41" s="3"/>
    </row>
    <row r="42" spans="1:5" x14ac:dyDescent="0.25">
      <c r="A42" s="26">
        <v>43922</v>
      </c>
      <c r="B42" s="3">
        <f>AVERAGE(HAVER!C129:C131)</f>
        <v>1.6493333333333331</v>
      </c>
      <c r="C42" s="3">
        <f>AVERAGE(HAVER!D129:D131)</f>
        <v>1.9363333333333335</v>
      </c>
      <c r="D42" s="3"/>
      <c r="E42" s="3"/>
    </row>
    <row r="43" spans="1:5" x14ac:dyDescent="0.25">
      <c r="A43" s="26">
        <v>43952</v>
      </c>
      <c r="B43" s="3">
        <f>AVERAGE(HAVER!C130:C132)</f>
        <v>1.4029999999999998</v>
      </c>
      <c r="C43" s="3">
        <f>AVERAGE(HAVER!D130:D132)</f>
        <v>1.6686666666666667</v>
      </c>
      <c r="D43" s="3"/>
      <c r="E43" s="3"/>
    </row>
    <row r="44" spans="1:5" x14ac:dyDescent="0.25">
      <c r="A44" s="26">
        <v>43983</v>
      </c>
      <c r="B44" s="3">
        <f>AVERAGE(HAVER!C131:C133)</f>
        <v>1.3480000000000001</v>
      </c>
      <c r="C44" s="3">
        <f>AVERAGE(HAVER!D131:D133)</f>
        <v>1.4666666666666668</v>
      </c>
      <c r="D44" s="3"/>
      <c r="E44" s="3"/>
    </row>
    <row r="45" spans="1:5" x14ac:dyDescent="0.25">
      <c r="A45" s="26">
        <v>44013</v>
      </c>
      <c r="B45" s="3">
        <f>AVERAGE(HAVER!C132:C134)</f>
        <v>1.5</v>
      </c>
      <c r="C45" s="3">
        <f>AVERAGE(HAVER!D132:D134)</f>
        <v>1.417</v>
      </c>
      <c r="D45" s="3"/>
      <c r="E45" s="3"/>
    </row>
    <row r="46" spans="1:5" x14ac:dyDescent="0.25">
      <c r="A46" s="26">
        <v>44044</v>
      </c>
      <c r="B46" s="3">
        <f>AVERAGE(HAVER!C133:C135)</f>
        <v>1.7646666666666668</v>
      </c>
      <c r="C46" s="3">
        <f>AVERAGE(HAVER!D133:D135)</f>
        <v>1.5373333333333334</v>
      </c>
      <c r="D46" s="3"/>
      <c r="E46" s="3"/>
    </row>
    <row r="47" spans="1:5" x14ac:dyDescent="0.25">
      <c r="A47" s="26">
        <v>44075</v>
      </c>
      <c r="B47" s="3">
        <f>AVERAGE(HAVER!C134:C136)</f>
        <v>1.9103333333333332</v>
      </c>
      <c r="C47" s="3">
        <f>AVERAGE(HAVER!D134:D136)</f>
        <v>1.7246666666666668</v>
      </c>
      <c r="D47" s="3"/>
      <c r="E47" s="3"/>
    </row>
    <row r="48" spans="1:5" x14ac:dyDescent="0.25">
      <c r="A48" s="26">
        <v>44105</v>
      </c>
      <c r="B48" s="3">
        <f>AVERAGE(HAVER!C135:C137)</f>
        <v>2.1439999999999997</v>
      </c>
      <c r="C48" s="3">
        <f>AVERAGE(HAVER!D135:D137)</f>
        <v>1.9393333333333331</v>
      </c>
      <c r="D48" s="3"/>
      <c r="E48" s="3"/>
    </row>
    <row r="49" spans="1:5" x14ac:dyDescent="0.25">
      <c r="A49" s="26">
        <v>44136</v>
      </c>
      <c r="B49" s="3">
        <f>AVERAGE(HAVER!C136:C138)</f>
        <v>2.1143333333333332</v>
      </c>
      <c r="C49" s="3">
        <f>AVERAGE(HAVER!D136:D138)</f>
        <v>2.0563333333333333</v>
      </c>
      <c r="D49" s="3"/>
      <c r="E49" s="3"/>
    </row>
    <row r="50" spans="1:5" x14ac:dyDescent="0.25">
      <c r="A50" s="26">
        <v>44166</v>
      </c>
      <c r="B50" s="3">
        <f>AVERAGE(HAVER!C137:C139)</f>
        <v>2.3839999999999999</v>
      </c>
      <c r="C50" s="3">
        <f>AVERAGE(HAVER!D137:D139)</f>
        <v>2.2143333333333337</v>
      </c>
      <c r="D50" s="3"/>
      <c r="E50" s="3"/>
    </row>
    <row r="51" spans="1:5" x14ac:dyDescent="0.25">
      <c r="A51" s="26">
        <v>44197</v>
      </c>
      <c r="B51" s="3">
        <f>AVERAGE(HAVER!C138:C140)</f>
        <v>2.4323333333333337</v>
      </c>
      <c r="C51" s="3">
        <f>AVERAGE(HAVER!D138:D140)</f>
        <v>2.3106666666666666</v>
      </c>
      <c r="D51" s="3"/>
      <c r="E51" s="3"/>
    </row>
    <row r="52" spans="1:5" x14ac:dyDescent="0.25">
      <c r="A52" s="26">
        <v>44228</v>
      </c>
      <c r="B52" s="3">
        <f>AVERAGE(HAVER!C139:C141)</f>
        <v>2.6413333333333333</v>
      </c>
      <c r="C52" s="3">
        <f>AVERAGE(HAVER!D139:D141)</f>
        <v>2.4863333333333331</v>
      </c>
      <c r="D52" s="3"/>
      <c r="E52" s="3"/>
    </row>
    <row r="53" spans="1:5" x14ac:dyDescent="0.25">
      <c r="A53" s="26">
        <v>44256</v>
      </c>
      <c r="B53" s="3">
        <f>AVERAGE(HAVER!C140:C142)</f>
        <v>2.7353333333333332</v>
      </c>
      <c r="C53" s="3">
        <f>AVERAGE(HAVER!D140:D142)</f>
        <v>2.6033333333333331</v>
      </c>
      <c r="D53" s="3"/>
      <c r="E53" s="3"/>
    </row>
    <row r="54" spans="1:5" x14ac:dyDescent="0.25">
      <c r="A54" s="26">
        <v>44287</v>
      </c>
      <c r="B54" s="3">
        <f>AVERAGE(HAVER!C141:C143)</f>
        <v>2.9446666666666665</v>
      </c>
      <c r="C54" s="3">
        <f>AVERAGE(HAVER!D141:D143)</f>
        <v>2.7739999999999996</v>
      </c>
      <c r="D54" s="3"/>
      <c r="E54" s="3"/>
    </row>
    <row r="55" spans="1:5" x14ac:dyDescent="0.25">
      <c r="A55" s="26">
        <v>44317</v>
      </c>
      <c r="B55" s="3">
        <f>AVERAGE(HAVER!C142:C144)</f>
        <v>3.1880000000000002</v>
      </c>
      <c r="C55" s="3">
        <f>AVERAGE(HAVER!D142:D144)</f>
        <v>2.956</v>
      </c>
      <c r="D55" s="3"/>
      <c r="E55" s="3"/>
    </row>
    <row r="56" spans="1:5" x14ac:dyDescent="0.25">
      <c r="A56" s="26">
        <v>44348</v>
      </c>
      <c r="B56" s="3">
        <f>AVERAGE(HAVER!C143:C145)</f>
        <v>3.2803333333333335</v>
      </c>
      <c r="C56" s="3">
        <f>AVERAGE(HAVER!D143:D145)</f>
        <v>3.1376666666666666</v>
      </c>
      <c r="D56" s="3"/>
      <c r="E56" s="3"/>
    </row>
    <row r="57" spans="1:5" x14ac:dyDescent="0.25">
      <c r="A57" s="26">
        <v>44378</v>
      </c>
      <c r="B57" s="3">
        <f>AVERAGE(HAVER!C144:C146)</f>
        <v>3.2086666666666663</v>
      </c>
      <c r="C57" s="3">
        <f>AVERAGE(HAVER!D144:D146)</f>
        <v>3.2256666666666667</v>
      </c>
      <c r="D57" s="3"/>
      <c r="E57" s="3"/>
    </row>
    <row r="58" spans="1:5" x14ac:dyDescent="0.25">
      <c r="A58" s="26">
        <v>44409</v>
      </c>
      <c r="B58" s="3">
        <f>AVERAGE(HAVER!C145:C147)</f>
        <v>3.1333333333333329</v>
      </c>
      <c r="C58" s="3">
        <f>AVERAGE(HAVER!D145:D147)</f>
        <v>3.2073333333333331</v>
      </c>
      <c r="D58" s="3"/>
      <c r="E58" s="3"/>
    </row>
    <row r="59" spans="1:5" x14ac:dyDescent="0.25">
      <c r="A59" s="26">
        <v>44440</v>
      </c>
      <c r="B59" s="3">
        <f>AVERAGE(HAVER!C146:C148)</f>
        <v>3.4169999999999998</v>
      </c>
      <c r="C59" s="3">
        <f>AVERAGE(HAVER!D146:D148)</f>
        <v>3.2530000000000001</v>
      </c>
      <c r="D59" s="3"/>
      <c r="E59" s="3"/>
    </row>
    <row r="60" spans="1:5" x14ac:dyDescent="0.25">
      <c r="A60" s="26">
        <v>44470</v>
      </c>
      <c r="B60" s="3">
        <f>AVERAGE(HAVER!C147:C149)</f>
        <v>4.0119999999999996</v>
      </c>
      <c r="C60" s="3">
        <f>AVERAGE(HAVER!D147:D149)</f>
        <v>3.5206666666666666</v>
      </c>
      <c r="D60" s="3"/>
      <c r="E60" s="3"/>
    </row>
    <row r="61" spans="1:5" x14ac:dyDescent="0.25">
      <c r="A61" s="26">
        <v>44501</v>
      </c>
      <c r="B61" s="3">
        <f>AVERAGE(HAVER!C148:C150)</f>
        <v>4.4189999999999996</v>
      </c>
      <c r="C61" s="3">
        <f>AVERAGE(HAVER!D148:D150)</f>
        <v>3.9493333333333331</v>
      </c>
      <c r="D61" s="3"/>
      <c r="E61" s="3"/>
    </row>
    <row r="62" spans="1:5" x14ac:dyDescent="0.25">
      <c r="A62" s="26">
        <v>44531</v>
      </c>
      <c r="B62" s="3">
        <f>AVERAGE(HAVER!C149:C151)</f>
        <v>4.75</v>
      </c>
      <c r="C62" s="3">
        <f>AVERAGE(HAVER!D149:D151)</f>
        <v>4.3936666666666664</v>
      </c>
      <c r="D62" s="3"/>
      <c r="E62" s="3"/>
    </row>
    <row r="63" spans="1:5" x14ac:dyDescent="0.25">
      <c r="A63" s="26">
        <v>44562</v>
      </c>
      <c r="B63" s="3">
        <f>AVERAGE(HAVER!C150:C152)</f>
        <v>4.6900000000000004</v>
      </c>
      <c r="C63" s="3">
        <f>AVERAGE(HAVER!D150:D152)</f>
        <v>4.6196666666666673</v>
      </c>
      <c r="D63" s="3"/>
      <c r="E63" s="3"/>
    </row>
    <row r="64" spans="1:5" x14ac:dyDescent="0.25">
      <c r="A64" s="26">
        <v>44593</v>
      </c>
      <c r="B64" s="3">
        <f>AVERAGE(HAVER!C151:C153)</f>
        <v>4.8393333333333333</v>
      </c>
      <c r="C64" s="3">
        <f>AVERAGE(HAVER!D151:D153)</f>
        <v>4.7596666666666669</v>
      </c>
      <c r="D64" s="3"/>
      <c r="E64" s="3"/>
    </row>
    <row r="65" spans="1:6" x14ac:dyDescent="0.25">
      <c r="A65" s="26">
        <v>44621</v>
      </c>
      <c r="B65" s="3">
        <f>AVERAGE(HAVER!C152:C154)</f>
        <v>5.0963333333333338</v>
      </c>
      <c r="C65" s="3">
        <f>AVERAGE(HAVER!D152:D154)</f>
        <v>4.875</v>
      </c>
      <c r="D65" s="3"/>
      <c r="E65" s="3"/>
    </row>
    <row r="66" spans="1:6" x14ac:dyDescent="0.25">
      <c r="A66" s="26">
        <v>44652</v>
      </c>
      <c r="B66" s="3">
        <f>AVERAGE(HAVER!C153:C155)</f>
        <v>5.5866666666666669</v>
      </c>
      <c r="C66" s="3">
        <f>AVERAGE(HAVER!D153:D155)</f>
        <v>5.1740000000000004</v>
      </c>
      <c r="D66" s="3"/>
      <c r="E66" s="3"/>
    </row>
    <row r="67" spans="1:6" x14ac:dyDescent="0.25">
      <c r="A67" s="26">
        <v>44682</v>
      </c>
      <c r="B67" s="3">
        <f>AVERAGE(HAVER!C154:C156)</f>
        <v>5.9170000000000007</v>
      </c>
      <c r="C67" s="3">
        <f>AVERAGE(HAVER!D154:D156)</f>
        <v>5.5333333333333341</v>
      </c>
      <c r="D67" s="3"/>
      <c r="E67" s="3"/>
    </row>
    <row r="68" spans="1:6" x14ac:dyDescent="0.25">
      <c r="A68" s="26">
        <v>44713</v>
      </c>
      <c r="B68" s="3">
        <f>AVERAGE(HAVER!C155:C157)</f>
        <v>6.057666666666667</v>
      </c>
      <c r="C68" s="3">
        <f>AVERAGE(HAVER!D155:D157)</f>
        <v>5.8539999999999992</v>
      </c>
      <c r="D68" s="3"/>
      <c r="E68" s="3"/>
    </row>
    <row r="69" spans="1:6" x14ac:dyDescent="0.25">
      <c r="A69" s="26">
        <v>44743</v>
      </c>
      <c r="B69" s="3">
        <f>AVERAGE(HAVER!C156:C158)</f>
        <v>6.2809999999999997</v>
      </c>
      <c r="C69" s="3">
        <f>AVERAGE(HAVER!D156:D158)</f>
        <v>6.0853333333333337</v>
      </c>
      <c r="D69" s="3">
        <f>AVERAGE(HAVER!E156:E158)</f>
        <v>5.5666666666666664</v>
      </c>
      <c r="E69" s="3">
        <f>AVERAGE(HAVER!F156:F158)</f>
        <v>5.0333333333333323</v>
      </c>
      <c r="F69" s="3"/>
    </row>
    <row r="70" spans="1:6" x14ac:dyDescent="0.25">
      <c r="A70" s="26">
        <v>44774</v>
      </c>
      <c r="B70" s="3">
        <f>AVERAGE(HAVER!C157:C159)</f>
        <v>6.464666666666667</v>
      </c>
      <c r="C70" s="3">
        <f>AVERAGE(HAVER!D157:D159)</f>
        <v>6.2679999999999998</v>
      </c>
      <c r="D70" s="3">
        <f>AVERAGE(HAVER!E157:E159)</f>
        <v>5.8666666666666671</v>
      </c>
      <c r="E70" s="3">
        <f>AVERAGE(HAVER!F157:F159)</f>
        <v>5.2666666666666666</v>
      </c>
    </row>
    <row r="71" spans="1:6" x14ac:dyDescent="0.25">
      <c r="A71" s="26">
        <v>44805</v>
      </c>
      <c r="B71" s="3">
        <f>AVERAGE(HAVER!C158:C160)</f>
        <v>6.580000000000001</v>
      </c>
      <c r="C71" s="3">
        <f>AVERAGE(HAVER!D158:D160)</f>
        <v>6.4420000000000002</v>
      </c>
      <c r="D71" s="3">
        <f>AVERAGE(HAVER!E158:E160)</f>
        <v>6.1333333333333329</v>
      </c>
      <c r="E71" s="3">
        <f>AVERAGE(HAVER!F158:F160)</f>
        <v>5.5333333333333341</v>
      </c>
    </row>
    <row r="72" spans="1:6" x14ac:dyDescent="0.25">
      <c r="A72" s="26">
        <v>44835</v>
      </c>
      <c r="B72" s="3">
        <f>AVERAGE(HAVER!C159:C161)</f>
        <v>6.431</v>
      </c>
      <c r="C72" s="3">
        <f>AVERAGE(HAVER!D159:D161)</f>
        <v>6.492</v>
      </c>
      <c r="D72" s="3">
        <f>AVERAGE(HAVER!E159:E161)</f>
        <v>6.333333333333333</v>
      </c>
      <c r="E72" s="3">
        <f>AVERAGE(HAVER!F159:F161)</f>
        <v>5.7333333333333334</v>
      </c>
    </row>
    <row r="73" spans="1:6" x14ac:dyDescent="0.25">
      <c r="A73" s="26">
        <v>44866</v>
      </c>
      <c r="B73" s="3">
        <f>AVERAGE(HAVER!C160:C162)</f>
        <v>6.2020000000000008</v>
      </c>
      <c r="C73" s="3">
        <f>AVERAGE(HAVER!D160:D162)</f>
        <v>6.4043333333333337</v>
      </c>
      <c r="D73" s="3">
        <f>AVERAGE(HAVER!E160:E162)</f>
        <v>6.2333333333333334</v>
      </c>
      <c r="E73" s="3">
        <f>AVERAGE(HAVER!F160:F162)</f>
        <v>5.833333333333333</v>
      </c>
    </row>
    <row r="74" spans="1:6" x14ac:dyDescent="0.25">
      <c r="A74" s="26">
        <v>44896</v>
      </c>
      <c r="B74" s="3">
        <f>AVERAGE(HAVER!C161:C163)</f>
        <v>5.9170000000000007</v>
      </c>
      <c r="C74" s="3">
        <f>AVERAGE(HAVER!D161:D163)</f>
        <v>6.1833333333333327</v>
      </c>
      <c r="D74" s="3">
        <f>AVERAGE(HAVER!E161:E163)</f>
        <v>6.2666666666666657</v>
      </c>
      <c r="E74" s="3">
        <f>AVERAGE(HAVER!F161:F163)</f>
        <v>5.9666666666666659</v>
      </c>
    </row>
    <row r="75" spans="1:6" x14ac:dyDescent="0.25">
      <c r="A75" s="26">
        <v>44927</v>
      </c>
      <c r="B75" s="3">
        <f>AVERAGE(HAVER!C162:C164)</f>
        <v>5.7766666666666673</v>
      </c>
      <c r="C75" s="3">
        <f>AVERAGE(HAVER!D162:D164)</f>
        <v>5.9653333333333336</v>
      </c>
      <c r="D75" s="3">
        <f>AVERAGE(HAVER!E162:E164)</f>
        <v>6.333333333333333</v>
      </c>
      <c r="E75" s="3">
        <f>AVERAGE(HAVER!F162:F164)</f>
        <v>5.9333333333333336</v>
      </c>
    </row>
    <row r="76" spans="1:6" x14ac:dyDescent="0.25">
      <c r="A76" s="26">
        <v>44958</v>
      </c>
      <c r="B76" s="3">
        <f>AVERAGE(HAVER!C163:C165)</f>
        <v>5.657</v>
      </c>
      <c r="C76" s="3">
        <f>AVERAGE(HAVER!D163:D165)</f>
        <v>5.7836666666666661</v>
      </c>
      <c r="D76" s="3">
        <f>AVERAGE(HAVER!E163:E165)</f>
        <v>6.5</v>
      </c>
      <c r="E76" s="3">
        <f>AVERAGE(HAVER!F163:F165)</f>
        <v>5.9333333333333336</v>
      </c>
    </row>
    <row r="77" spans="1:6" x14ac:dyDescent="0.25">
      <c r="A77" s="26">
        <v>44986</v>
      </c>
      <c r="B77" s="3">
        <f>AVERAGE(HAVER!C164:C166)</f>
        <v>5.4996666666666663</v>
      </c>
      <c r="C77" s="3">
        <f>AVERAGE(HAVER!D164:D166)</f>
        <v>5.644333333333333</v>
      </c>
      <c r="D77" s="3">
        <f>AVERAGE(HAVER!E164:E166)</f>
        <v>6.4666666666666659</v>
      </c>
      <c r="E77" s="3">
        <f>AVERAGE(HAVER!F164:F166)</f>
        <v>5.7</v>
      </c>
    </row>
    <row r="78" spans="1:6" x14ac:dyDescent="0.25">
      <c r="A78" s="26">
        <v>45017</v>
      </c>
      <c r="B78" s="3">
        <f>AVERAGE(HAVER!C165:C167)</f>
        <v>5.5516666666666667</v>
      </c>
      <c r="C78" s="3">
        <f>AVERAGE(HAVER!D165:D167)</f>
        <v>5.5693333333333328</v>
      </c>
      <c r="D78" s="3">
        <f>AVERAGE(HAVER!E165:E167)</f>
        <v>6.5666666666666664</v>
      </c>
      <c r="E78" s="3">
        <f>AVERAGE(HAVER!F165:F167)</f>
        <v>5.5999999999999988</v>
      </c>
    </row>
    <row r="79" spans="1:6" x14ac:dyDescent="0.25">
      <c r="A79" s="26">
        <v>45047</v>
      </c>
      <c r="B79" s="3">
        <f>AVERAGE(HAVER!C166:C168)</f>
        <v>5.469666666666666</v>
      </c>
      <c r="C79" s="3">
        <f>AVERAGE(HAVER!D166:D168)</f>
        <v>5.5069999999999988</v>
      </c>
      <c r="D79" s="3">
        <f>AVERAGE(HAVER!E166:E168)</f>
        <v>6.6333333333333329</v>
      </c>
      <c r="E79" s="3">
        <f>AVERAGE(HAVER!F166:F168)</f>
        <v>5.3999999999999995</v>
      </c>
    </row>
    <row r="80" spans="1:6" x14ac:dyDescent="0.25">
      <c r="A80" s="26">
        <v>45078</v>
      </c>
      <c r="B80" s="3">
        <f>AVERAGE(HAVER!C167:C169)</f>
        <v>5.3216666666666663</v>
      </c>
      <c r="C80" s="3">
        <f>AVERAGE(HAVER!D167:D169)</f>
        <v>5.4479999999999995</v>
      </c>
      <c r="D80" s="3">
        <f>AVERAGE(HAVER!E167:E169)</f>
        <v>6.833333333333333</v>
      </c>
      <c r="E80" s="3">
        <f>AVERAGE(HAVER!F167:F169)</f>
        <v>5.3000000000000007</v>
      </c>
    </row>
    <row r="81" spans="1:5" x14ac:dyDescent="0.25">
      <c r="A81" s="26">
        <v>45108</v>
      </c>
      <c r="B81" s="3">
        <f>AVERAGE(HAVER!C168:C170)</f>
        <v>5.1990000000000007</v>
      </c>
      <c r="C81" s="3">
        <f>AVERAGE(HAVER!D168:D170)</f>
        <v>5.3303333333333329</v>
      </c>
      <c r="D81" s="3">
        <f>AVERAGE(HAVER!E168:E170)</f>
        <v>6.8666666666666663</v>
      </c>
      <c r="E81" s="3">
        <f>AVERAGE(HAVER!F168:F170)</f>
        <v>5.166666666666667</v>
      </c>
    </row>
    <row r="82" spans="1:5" x14ac:dyDescent="0.25">
      <c r="A82" s="26">
        <v>45139</v>
      </c>
      <c r="B82" s="3">
        <f>AVERAGE(HAVER!C169:C171)</f>
        <v>4.9833333333333334</v>
      </c>
      <c r="C82" s="3">
        <f>AVERAGE(HAVER!D169:D171)</f>
        <v>5.1680000000000001</v>
      </c>
      <c r="D82" s="3">
        <f>AVERAGE(HAVER!E169:E171)</f>
        <v>6.9000000000000012</v>
      </c>
      <c r="E82" s="3">
        <f>AVERAGE(HAVER!F169:F171)</f>
        <v>5.1000000000000005</v>
      </c>
    </row>
    <row r="83" spans="1:5" x14ac:dyDescent="0.25">
      <c r="A83" s="26">
        <v>45170</v>
      </c>
      <c r="B83" s="3">
        <f>AVERAGE(HAVER!C170:C172)</f>
        <v>4.8223333333333338</v>
      </c>
      <c r="C83" s="3">
        <f>AVERAGE(HAVER!D170:D172)</f>
        <v>5.0013333333333323</v>
      </c>
      <c r="D83" s="3">
        <f>AVERAGE(HAVER!E170:E172)</f>
        <v>6.9000000000000012</v>
      </c>
      <c r="E83" s="3">
        <f>AVERAGE(HAVER!F170:F172)</f>
        <v>5.0666666666666664</v>
      </c>
    </row>
    <row r="84" spans="1:5" x14ac:dyDescent="0.25">
      <c r="A84" s="26">
        <v>45200</v>
      </c>
      <c r="B84" s="3">
        <f>AVERAGE(HAVER!C171:C173)</f>
        <v>4.5256666666666669</v>
      </c>
      <c r="C84" s="3">
        <f>AVERAGE(HAVER!D171:D173)</f>
        <v>4.7770000000000001</v>
      </c>
      <c r="D84" s="3">
        <f>AVERAGE(HAVER!E171:E173)</f>
        <v>6.9333333333333336</v>
      </c>
      <c r="E84" s="3">
        <f>AVERAGE(HAVER!F171:F173)</f>
        <v>5.0999999999999996</v>
      </c>
    </row>
    <row r="85" spans="1:5" x14ac:dyDescent="0.25">
      <c r="A85" s="26">
        <v>45231</v>
      </c>
      <c r="B85" s="3">
        <f>AVERAGE(HAVER!C172:C174)</f>
        <v>4.4463333333333335</v>
      </c>
      <c r="C85" s="3">
        <f>AVERAGE(HAVER!D172:D174)</f>
        <v>4.5979999999999999</v>
      </c>
      <c r="D85" s="3">
        <f>AVERAGE(HAVER!E172:E174)</f>
        <v>6.9666666666666659</v>
      </c>
      <c r="E85" s="3">
        <f>AVERAGE(HAVER!F172:F174)</f>
        <v>5.1333333333333337</v>
      </c>
    </row>
    <row r="86" spans="1:5" x14ac:dyDescent="0.25">
      <c r="A86" s="26">
        <v>45261</v>
      </c>
      <c r="B86" s="3">
        <f>AVERAGE(HAVER!C173:C175)</f>
        <v>4.3816666666666668</v>
      </c>
      <c r="C86" s="3">
        <f>AVERAGE(HAVER!D173:D175)</f>
        <v>4.4513333333333334</v>
      </c>
      <c r="D86" s="3">
        <f>AVERAGE(HAVER!E173:E175)</f>
        <v>6.9333333333333336</v>
      </c>
      <c r="E86" s="3">
        <f>AVERAGE(HAVER!F173:F175)</f>
        <v>5.2</v>
      </c>
    </row>
    <row r="87" spans="1:5" x14ac:dyDescent="0.25">
      <c r="A87" s="26">
        <v>45292</v>
      </c>
      <c r="B87" s="3">
        <f>AVERAGE(HAVER!C174:C176)</f>
        <v>4.3313333333333333</v>
      </c>
      <c r="C87" s="3">
        <f>AVERAGE(HAVER!D174:D176)</f>
        <v>4.386333333333333</v>
      </c>
      <c r="D87" s="3">
        <f>AVERAGE(HAVER!E174:E176)</f>
        <v>6.833333333333333</v>
      </c>
      <c r="E87" s="3">
        <f>AVERAGE(HAVER!F174:F176)</f>
        <v>5.2</v>
      </c>
    </row>
    <row r="88" spans="1:5" x14ac:dyDescent="0.25">
      <c r="A88" s="26">
        <v>45323</v>
      </c>
      <c r="B88" s="3">
        <f>AVERAGE(HAVER!C175:C177)</f>
        <v>4.2809999999999997</v>
      </c>
      <c r="C88" s="3">
        <f>AVERAGE(HAVER!D175:D177)</f>
        <v>4.3313333333333333</v>
      </c>
      <c r="D88" s="3">
        <f>AVERAGE(HAVER!E175:E177)</f>
        <v>6.666666666666667</v>
      </c>
      <c r="E88" s="3">
        <f>AVERAGE(HAVER!F175:F177)</f>
        <v>5.1333333333333337</v>
      </c>
    </row>
    <row r="89" spans="1:5" x14ac:dyDescent="0.25">
      <c r="A89" s="26">
        <v>45352</v>
      </c>
      <c r="B89" s="3">
        <f>AVERAGE(HAVER!C176:C178)</f>
        <v>4.112333333333333</v>
      </c>
      <c r="C89" s="3">
        <f>AVERAGE(HAVER!D176:D178)</f>
        <v>4.2413333333333334</v>
      </c>
      <c r="D89" s="3">
        <f>AVERAGE(HAVER!E176:E178)</f>
        <v>6.3666666666666671</v>
      </c>
      <c r="E89" s="3">
        <f>AVERAGE(HAVER!F176:F178)</f>
        <v>4.8999999999999995</v>
      </c>
    </row>
    <row r="90" spans="1:5" x14ac:dyDescent="0.25">
      <c r="A90" s="26">
        <v>45383</v>
      </c>
      <c r="B90" s="3">
        <f>AVERAGE(HAVER!C177:C179)</f>
        <v>4.0060000000000002</v>
      </c>
      <c r="C90" s="3">
        <f>AVERAGE(HAVER!D177:D179)</f>
        <v>4.133</v>
      </c>
      <c r="D90" s="3">
        <f>AVERAGE(HAVER!E177:E179)</f>
        <v>6.166666666666667</v>
      </c>
      <c r="E90" s="3">
        <f>AVERAGE(HAVER!F177:F179)</f>
        <v>4.7333333333333334</v>
      </c>
    </row>
    <row r="91" spans="1:5" x14ac:dyDescent="0.25">
      <c r="A91" s="26">
        <v>45413</v>
      </c>
      <c r="B91" s="3">
        <f>AVERAGE(HAVER!C178:C180)</f>
        <v>3.911</v>
      </c>
      <c r="C91" s="3">
        <f>AVERAGE(HAVER!D178:D180)</f>
        <v>4.0096666666666669</v>
      </c>
      <c r="D91" s="3">
        <f>AVERAGE(HAVER!E178:E180)</f>
        <v>6.0333333333333341</v>
      </c>
      <c r="E91" s="3">
        <f>AVERAGE(HAVER!F178:F180)</f>
        <v>4.4666666666666668</v>
      </c>
    </row>
    <row r="92" spans="1:5" x14ac:dyDescent="0.25">
      <c r="A92" s="26">
        <v>45444</v>
      </c>
      <c r="B92" s="3">
        <f>AVERAGE(HAVER!C179:C181)</f>
        <v>3.871</v>
      </c>
      <c r="C92" s="3">
        <f>AVERAGE(HAVER!D179:D181)</f>
        <v>3.9293333333333336</v>
      </c>
      <c r="D92" s="3">
        <f>AVERAGE(HAVER!E179:E181)</f>
        <v>5.9666666666666659</v>
      </c>
      <c r="E92" s="3">
        <f>AVERAGE(HAVER!F179:F181)</f>
        <v>4.2333333333333334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55B5-6A8D-465D-91C9-239051335876}">
  <dimension ref="A1:F181"/>
  <sheetViews>
    <sheetView workbookViewId="0">
      <pane xSplit="2" ySplit="7" topLeftCell="C92" activePane="bottomRight" state="frozen"/>
      <selection pane="topRight" activeCell="B1" sqref="B1"/>
      <selection pane="bottomLeft" activeCell="A7" sqref="A7"/>
      <selection pane="bottomRight" activeCell="E101" sqref="E101"/>
    </sheetView>
  </sheetViews>
  <sheetFormatPr defaultRowHeight="15" x14ac:dyDescent="0.25"/>
  <cols>
    <col min="1" max="1" width="10.7109375" bestFit="1" customWidth="1"/>
    <col min="3" max="9" width="20.85546875" customWidth="1"/>
  </cols>
  <sheetData>
    <row r="1" spans="1:6" x14ac:dyDescent="0.25">
      <c r="C1" t="s">
        <v>247</v>
      </c>
      <c r="D1" t="s">
        <v>248</v>
      </c>
      <c r="E1" t="s">
        <v>249</v>
      </c>
      <c r="F1" t="s">
        <v>250</v>
      </c>
    </row>
    <row r="2" spans="1:6" x14ac:dyDescent="0.25">
      <c r="B2" s="24" t="s">
        <v>57</v>
      </c>
      <c r="C2" t="s">
        <v>53</v>
      </c>
      <c r="D2" t="s">
        <v>54</v>
      </c>
      <c r="E2" t="s">
        <v>55</v>
      </c>
      <c r="F2" t="s">
        <v>56</v>
      </c>
    </row>
    <row r="3" spans="1:6" s="25" customFormat="1" ht="75" x14ac:dyDescent="0.25">
      <c r="B3" s="25" t="s">
        <v>63</v>
      </c>
      <c r="C3" s="25" t="s">
        <v>68</v>
      </c>
      <c r="D3" s="25" t="s">
        <v>69</v>
      </c>
      <c r="E3" s="25" t="s">
        <v>72</v>
      </c>
      <c r="F3" s="25" t="s">
        <v>73</v>
      </c>
    </row>
    <row r="4" spans="1:6" x14ac:dyDescent="0.25">
      <c r="B4" t="s">
        <v>62</v>
      </c>
      <c r="C4" t="s">
        <v>67</v>
      </c>
      <c r="D4" t="s">
        <v>67</v>
      </c>
      <c r="E4" t="s">
        <v>71</v>
      </c>
      <c r="F4" t="s">
        <v>71</v>
      </c>
    </row>
    <row r="5" spans="1:6" x14ac:dyDescent="0.25">
      <c r="B5" t="s">
        <v>61</v>
      </c>
      <c r="C5" t="s">
        <v>66</v>
      </c>
      <c r="D5" t="s">
        <v>66</v>
      </c>
      <c r="E5" t="s">
        <v>66</v>
      </c>
      <c r="F5" t="s">
        <v>66</v>
      </c>
    </row>
    <row r="6" spans="1:6" x14ac:dyDescent="0.25">
      <c r="B6" t="s">
        <v>60</v>
      </c>
      <c r="C6" t="s">
        <v>65</v>
      </c>
      <c r="D6" t="s">
        <v>65</v>
      </c>
      <c r="E6" t="s">
        <v>65</v>
      </c>
      <c r="F6" t="s">
        <v>65</v>
      </c>
    </row>
    <row r="7" spans="1:6" x14ac:dyDescent="0.25">
      <c r="B7" t="s">
        <v>59</v>
      </c>
      <c r="C7" t="s">
        <v>64</v>
      </c>
      <c r="D7" t="s">
        <v>64</v>
      </c>
      <c r="E7" t="s">
        <v>70</v>
      </c>
      <c r="F7" t="s">
        <v>70</v>
      </c>
    </row>
    <row r="8" spans="1:6" x14ac:dyDescent="0.25">
      <c r="A8" s="26">
        <v>40179</v>
      </c>
      <c r="B8" t="s">
        <v>58</v>
      </c>
      <c r="C8" s="15" t="e">
        <v>#N/A</v>
      </c>
      <c r="D8" s="15" t="e">
        <v>#N/A</v>
      </c>
      <c r="E8" s="3" t="e">
        <v>#N/A</v>
      </c>
      <c r="F8" s="3" t="e">
        <v>#N/A</v>
      </c>
    </row>
    <row r="9" spans="1:6" x14ac:dyDescent="0.25">
      <c r="A9" s="26">
        <v>40210</v>
      </c>
      <c r="B9" t="s">
        <v>74</v>
      </c>
      <c r="C9" s="15" t="e">
        <v>#N/A</v>
      </c>
      <c r="D9" s="15" t="e">
        <v>#N/A</v>
      </c>
      <c r="E9" s="3" t="e">
        <v>#N/A</v>
      </c>
      <c r="F9" s="3" t="e">
        <v>#N/A</v>
      </c>
    </row>
    <row r="10" spans="1:6" x14ac:dyDescent="0.25">
      <c r="A10" s="26">
        <v>40238</v>
      </c>
      <c r="B10" t="s">
        <v>75</v>
      </c>
      <c r="C10" s="15" t="e">
        <v>#N/A</v>
      </c>
      <c r="D10" s="15" t="e">
        <v>#N/A</v>
      </c>
      <c r="E10" s="3" t="e">
        <v>#N/A</v>
      </c>
      <c r="F10" s="3" t="e">
        <v>#N/A</v>
      </c>
    </row>
    <row r="11" spans="1:6" x14ac:dyDescent="0.25">
      <c r="A11" s="26">
        <v>40269</v>
      </c>
      <c r="B11" t="s">
        <v>76</v>
      </c>
      <c r="C11" s="15" t="e">
        <v>#N/A</v>
      </c>
      <c r="D11" s="15" t="e">
        <v>#N/A</v>
      </c>
      <c r="E11" s="3" t="e">
        <v>#N/A</v>
      </c>
      <c r="F11" s="3" t="e">
        <v>#N/A</v>
      </c>
    </row>
    <row r="12" spans="1:6" x14ac:dyDescent="0.25">
      <c r="A12" s="26">
        <v>40299</v>
      </c>
      <c r="B12" t="s">
        <v>77</v>
      </c>
      <c r="C12" s="15" t="e">
        <v>#N/A</v>
      </c>
      <c r="D12" s="15" t="e">
        <v>#N/A</v>
      </c>
      <c r="E12" s="3" t="e">
        <v>#N/A</v>
      </c>
      <c r="F12" s="3" t="e">
        <v>#N/A</v>
      </c>
    </row>
    <row r="13" spans="1:6" x14ac:dyDescent="0.25">
      <c r="A13" s="26">
        <v>40330</v>
      </c>
      <c r="B13" t="s">
        <v>78</v>
      </c>
      <c r="C13" s="15" t="e">
        <v>#N/A</v>
      </c>
      <c r="D13" s="15" t="e">
        <v>#N/A</v>
      </c>
      <c r="E13" s="3" t="e">
        <v>#N/A</v>
      </c>
      <c r="F13" s="3" t="e">
        <v>#N/A</v>
      </c>
    </row>
    <row r="14" spans="1:6" x14ac:dyDescent="0.25">
      <c r="A14" s="26">
        <v>40360</v>
      </c>
      <c r="B14" t="s">
        <v>79</v>
      </c>
      <c r="C14" s="15" t="e">
        <v>#N/A</v>
      </c>
      <c r="D14" s="15" t="e">
        <v>#N/A</v>
      </c>
      <c r="E14" s="3" t="e">
        <v>#N/A</v>
      </c>
      <c r="F14" s="3" t="e">
        <v>#N/A</v>
      </c>
    </row>
    <row r="15" spans="1:6" x14ac:dyDescent="0.25">
      <c r="A15" s="26">
        <v>40391</v>
      </c>
      <c r="B15" t="s">
        <v>80</v>
      </c>
      <c r="C15" s="15" t="e">
        <v>#N/A</v>
      </c>
      <c r="D15" s="15" t="e">
        <v>#N/A</v>
      </c>
      <c r="E15" s="3" t="e">
        <v>#N/A</v>
      </c>
      <c r="F15" s="3" t="e">
        <v>#N/A</v>
      </c>
    </row>
    <row r="16" spans="1:6" x14ac:dyDescent="0.25">
      <c r="A16" s="26">
        <v>40422</v>
      </c>
      <c r="B16" t="s">
        <v>81</v>
      </c>
      <c r="C16" s="15" t="e">
        <v>#N/A</v>
      </c>
      <c r="D16" s="15" t="e">
        <v>#N/A</v>
      </c>
      <c r="E16" s="3" t="e">
        <v>#N/A</v>
      </c>
      <c r="F16" s="3" t="e">
        <v>#N/A</v>
      </c>
    </row>
    <row r="17" spans="1:6" x14ac:dyDescent="0.25">
      <c r="A17" s="26">
        <v>40452</v>
      </c>
      <c r="B17" t="s">
        <v>82</v>
      </c>
      <c r="C17" s="15" t="e">
        <v>#N/A</v>
      </c>
      <c r="D17" s="15" t="e">
        <v>#N/A</v>
      </c>
      <c r="E17" s="3" t="e">
        <v>#N/A</v>
      </c>
      <c r="F17" s="3" t="e">
        <v>#N/A</v>
      </c>
    </row>
    <row r="18" spans="1:6" x14ac:dyDescent="0.25">
      <c r="A18" s="26">
        <v>40483</v>
      </c>
      <c r="B18" t="s">
        <v>83</v>
      </c>
      <c r="C18" s="15" t="e">
        <v>#N/A</v>
      </c>
      <c r="D18" s="15" t="e">
        <v>#N/A</v>
      </c>
      <c r="E18" s="3" t="e">
        <v>#N/A</v>
      </c>
      <c r="F18" s="3" t="e">
        <v>#N/A</v>
      </c>
    </row>
    <row r="19" spans="1:6" x14ac:dyDescent="0.25">
      <c r="A19" s="26">
        <v>40513</v>
      </c>
      <c r="B19" t="s">
        <v>84</v>
      </c>
      <c r="C19" s="15" t="e">
        <v>#N/A</v>
      </c>
      <c r="D19" s="15" t="e">
        <v>#N/A</v>
      </c>
      <c r="E19" s="3" t="e">
        <v>#N/A</v>
      </c>
      <c r="F19" s="3" t="e">
        <v>#N/A</v>
      </c>
    </row>
    <row r="20" spans="1:6" x14ac:dyDescent="0.25">
      <c r="A20" s="26">
        <v>40544</v>
      </c>
      <c r="B20" t="s">
        <v>85</v>
      </c>
      <c r="C20" s="15" t="e">
        <v>#N/A</v>
      </c>
      <c r="D20" s="15" t="e">
        <v>#N/A</v>
      </c>
      <c r="E20" s="3" t="e">
        <v>#N/A</v>
      </c>
      <c r="F20" s="3" t="e">
        <v>#N/A</v>
      </c>
    </row>
    <row r="21" spans="1:6" x14ac:dyDescent="0.25">
      <c r="A21" s="26">
        <v>40575</v>
      </c>
      <c r="B21" t="s">
        <v>86</v>
      </c>
      <c r="C21" s="15" t="e">
        <v>#N/A</v>
      </c>
      <c r="D21" s="15" t="e">
        <v>#N/A</v>
      </c>
      <c r="E21" s="3" t="e">
        <v>#N/A</v>
      </c>
      <c r="F21" s="3" t="e">
        <v>#N/A</v>
      </c>
    </row>
    <row r="22" spans="1:6" x14ac:dyDescent="0.25">
      <c r="A22" s="26">
        <v>40603</v>
      </c>
      <c r="B22" t="s">
        <v>87</v>
      </c>
      <c r="C22" s="15" t="e">
        <v>#N/A</v>
      </c>
      <c r="D22" s="15" t="e">
        <v>#N/A</v>
      </c>
      <c r="E22" s="3" t="e">
        <v>#N/A</v>
      </c>
      <c r="F22" s="3" t="e">
        <v>#N/A</v>
      </c>
    </row>
    <row r="23" spans="1:6" x14ac:dyDescent="0.25">
      <c r="A23" s="26">
        <v>40634</v>
      </c>
      <c r="B23" t="s">
        <v>88</v>
      </c>
      <c r="C23" s="15" t="e">
        <v>#N/A</v>
      </c>
      <c r="D23" s="15" t="e">
        <v>#N/A</v>
      </c>
      <c r="E23" s="3" t="e">
        <v>#N/A</v>
      </c>
      <c r="F23" s="3" t="e">
        <v>#N/A</v>
      </c>
    </row>
    <row r="24" spans="1:6" x14ac:dyDescent="0.25">
      <c r="A24" s="26">
        <v>40664</v>
      </c>
      <c r="B24" t="s">
        <v>89</v>
      </c>
      <c r="C24" s="15" t="e">
        <v>#N/A</v>
      </c>
      <c r="D24" s="15" t="e">
        <v>#N/A</v>
      </c>
      <c r="E24" s="3" t="e">
        <v>#N/A</v>
      </c>
      <c r="F24" s="3" t="e">
        <v>#N/A</v>
      </c>
    </row>
    <row r="25" spans="1:6" x14ac:dyDescent="0.25">
      <c r="A25" s="26">
        <v>40695</v>
      </c>
      <c r="B25" t="s">
        <v>90</v>
      </c>
      <c r="C25" s="15" t="e">
        <v>#N/A</v>
      </c>
      <c r="D25" s="15" t="e">
        <v>#N/A</v>
      </c>
      <c r="E25" s="3" t="e">
        <v>#N/A</v>
      </c>
      <c r="F25" s="3" t="e">
        <v>#N/A</v>
      </c>
    </row>
    <row r="26" spans="1:6" x14ac:dyDescent="0.25">
      <c r="A26" s="26">
        <v>40725</v>
      </c>
      <c r="B26" t="s">
        <v>91</v>
      </c>
      <c r="C26" s="15" t="e">
        <v>#N/A</v>
      </c>
      <c r="D26" s="15" t="e">
        <v>#N/A</v>
      </c>
      <c r="E26" s="3" t="e">
        <v>#N/A</v>
      </c>
      <c r="F26" s="3" t="e">
        <v>#N/A</v>
      </c>
    </row>
    <row r="27" spans="1:6" x14ac:dyDescent="0.25">
      <c r="A27" s="26">
        <v>40756</v>
      </c>
      <c r="B27" t="s">
        <v>92</v>
      </c>
      <c r="C27" s="15" t="e">
        <v>#N/A</v>
      </c>
      <c r="D27" s="15" t="e">
        <v>#N/A</v>
      </c>
      <c r="E27" s="3" t="e">
        <v>#N/A</v>
      </c>
      <c r="F27" s="3" t="e">
        <v>#N/A</v>
      </c>
    </row>
    <row r="28" spans="1:6" x14ac:dyDescent="0.25">
      <c r="A28" s="26">
        <v>40787</v>
      </c>
      <c r="B28" t="s">
        <v>93</v>
      </c>
      <c r="C28" s="15" t="e">
        <v>#N/A</v>
      </c>
      <c r="D28" s="15" t="e">
        <v>#N/A</v>
      </c>
      <c r="E28" s="3" t="e">
        <v>#N/A</v>
      </c>
      <c r="F28" s="3" t="e">
        <v>#N/A</v>
      </c>
    </row>
    <row r="29" spans="1:6" x14ac:dyDescent="0.25">
      <c r="A29" s="26">
        <v>40817</v>
      </c>
      <c r="B29" t="s">
        <v>94</v>
      </c>
      <c r="C29" s="15" t="e">
        <v>#N/A</v>
      </c>
      <c r="D29" s="15" t="e">
        <v>#N/A</v>
      </c>
      <c r="E29" s="3" t="e">
        <v>#N/A</v>
      </c>
      <c r="F29" s="3" t="e">
        <v>#N/A</v>
      </c>
    </row>
    <row r="30" spans="1:6" x14ac:dyDescent="0.25">
      <c r="A30" s="26">
        <v>40848</v>
      </c>
      <c r="B30" t="s">
        <v>95</v>
      </c>
      <c r="C30" s="15" t="e">
        <v>#N/A</v>
      </c>
      <c r="D30" s="15" t="e">
        <v>#N/A</v>
      </c>
      <c r="E30" s="3" t="e">
        <v>#N/A</v>
      </c>
      <c r="F30" s="3" t="e">
        <v>#N/A</v>
      </c>
    </row>
    <row r="31" spans="1:6" x14ac:dyDescent="0.25">
      <c r="A31" s="26">
        <v>40878</v>
      </c>
      <c r="B31" t="s">
        <v>96</v>
      </c>
      <c r="C31" s="15" t="e">
        <v>#N/A</v>
      </c>
      <c r="D31" s="15" t="e">
        <v>#N/A</v>
      </c>
      <c r="E31" s="3" t="e">
        <v>#N/A</v>
      </c>
      <c r="F31" s="3" t="e">
        <v>#N/A</v>
      </c>
    </row>
    <row r="32" spans="1:6" x14ac:dyDescent="0.25">
      <c r="A32" s="26">
        <v>40909</v>
      </c>
      <c r="B32" t="s">
        <v>97</v>
      </c>
      <c r="C32" s="15" t="e">
        <v>#N/A</v>
      </c>
      <c r="D32" s="15" t="e">
        <v>#N/A</v>
      </c>
      <c r="E32" s="3" t="e">
        <v>#N/A</v>
      </c>
      <c r="F32" s="3" t="e">
        <v>#N/A</v>
      </c>
    </row>
    <row r="33" spans="1:6" x14ac:dyDescent="0.25">
      <c r="A33" s="26">
        <v>40940</v>
      </c>
      <c r="B33" t="s">
        <v>98</v>
      </c>
      <c r="C33" s="15" t="e">
        <v>#N/A</v>
      </c>
      <c r="D33" s="15" t="e">
        <v>#N/A</v>
      </c>
      <c r="E33" s="3" t="e">
        <v>#N/A</v>
      </c>
      <c r="F33" s="3" t="e">
        <v>#N/A</v>
      </c>
    </row>
    <row r="34" spans="1:6" x14ac:dyDescent="0.25">
      <c r="A34" s="26">
        <v>40969</v>
      </c>
      <c r="B34" t="s">
        <v>99</v>
      </c>
      <c r="C34" s="15" t="e">
        <v>#N/A</v>
      </c>
      <c r="D34" s="15" t="e">
        <v>#N/A</v>
      </c>
      <c r="E34" s="3" t="e">
        <v>#N/A</v>
      </c>
      <c r="F34" s="3" t="e">
        <v>#N/A</v>
      </c>
    </row>
    <row r="35" spans="1:6" x14ac:dyDescent="0.25">
      <c r="A35" s="26">
        <v>41000</v>
      </c>
      <c r="B35" t="s">
        <v>100</v>
      </c>
      <c r="C35" s="15" t="e">
        <v>#N/A</v>
      </c>
      <c r="D35" s="15" t="e">
        <v>#N/A</v>
      </c>
      <c r="E35" s="3" t="e">
        <v>#N/A</v>
      </c>
      <c r="F35" s="3" t="e">
        <v>#N/A</v>
      </c>
    </row>
    <row r="36" spans="1:6" x14ac:dyDescent="0.25">
      <c r="A36" s="26">
        <v>41030</v>
      </c>
      <c r="B36" t="s">
        <v>101</v>
      </c>
      <c r="C36" s="15" t="e">
        <v>#N/A</v>
      </c>
      <c r="D36" s="15" t="e">
        <v>#N/A</v>
      </c>
      <c r="E36" s="3" t="e">
        <v>#N/A</v>
      </c>
      <c r="F36" s="3" t="e">
        <v>#N/A</v>
      </c>
    </row>
    <row r="37" spans="1:6" x14ac:dyDescent="0.25">
      <c r="A37" s="26">
        <v>41061</v>
      </c>
      <c r="B37" t="s">
        <v>102</v>
      </c>
      <c r="C37" s="15" t="e">
        <v>#N/A</v>
      </c>
      <c r="D37" s="15" t="e">
        <v>#N/A</v>
      </c>
      <c r="E37" s="3" t="e">
        <v>#N/A</v>
      </c>
      <c r="F37" s="3" t="e">
        <v>#N/A</v>
      </c>
    </row>
    <row r="38" spans="1:6" x14ac:dyDescent="0.25">
      <c r="A38" s="26">
        <v>41091</v>
      </c>
      <c r="B38" t="s">
        <v>103</v>
      </c>
      <c r="C38" s="15" t="e">
        <v>#N/A</v>
      </c>
      <c r="D38" s="15" t="e">
        <v>#N/A</v>
      </c>
      <c r="E38" s="3" t="e">
        <v>#N/A</v>
      </c>
      <c r="F38" s="3" t="e">
        <v>#N/A</v>
      </c>
    </row>
    <row r="39" spans="1:6" x14ac:dyDescent="0.25">
      <c r="A39" s="26">
        <v>41122</v>
      </c>
      <c r="B39" t="s">
        <v>104</v>
      </c>
      <c r="C39" s="15" t="e">
        <v>#N/A</v>
      </c>
      <c r="D39" s="15" t="e">
        <v>#N/A</v>
      </c>
      <c r="E39" s="3" t="e">
        <v>#N/A</v>
      </c>
      <c r="F39" s="3" t="e">
        <v>#N/A</v>
      </c>
    </row>
    <row r="40" spans="1:6" x14ac:dyDescent="0.25">
      <c r="A40" s="26">
        <v>41153</v>
      </c>
      <c r="B40" t="s">
        <v>105</v>
      </c>
      <c r="C40" s="15" t="e">
        <v>#N/A</v>
      </c>
      <c r="D40" s="15" t="e">
        <v>#N/A</v>
      </c>
      <c r="E40" s="3" t="e">
        <v>#N/A</v>
      </c>
      <c r="F40" s="3" t="e">
        <v>#N/A</v>
      </c>
    </row>
    <row r="41" spans="1:6" x14ac:dyDescent="0.25">
      <c r="A41" s="26">
        <v>41183</v>
      </c>
      <c r="B41" t="s">
        <v>106</v>
      </c>
      <c r="C41" s="15" t="e">
        <v>#N/A</v>
      </c>
      <c r="D41" s="15" t="e">
        <v>#N/A</v>
      </c>
      <c r="E41" s="3" t="e">
        <v>#N/A</v>
      </c>
      <c r="F41" s="3" t="e">
        <v>#N/A</v>
      </c>
    </row>
    <row r="42" spans="1:6" x14ac:dyDescent="0.25">
      <c r="A42" s="26">
        <v>41214</v>
      </c>
      <c r="B42" t="s">
        <v>107</v>
      </c>
      <c r="C42" s="15" t="e">
        <v>#N/A</v>
      </c>
      <c r="D42" s="15" t="e">
        <v>#N/A</v>
      </c>
      <c r="E42" s="3" t="e">
        <v>#N/A</v>
      </c>
      <c r="F42" s="3" t="e">
        <v>#N/A</v>
      </c>
    </row>
    <row r="43" spans="1:6" x14ac:dyDescent="0.25">
      <c r="A43" s="26">
        <v>41244</v>
      </c>
      <c r="B43" t="s">
        <v>108</v>
      </c>
      <c r="C43" s="15" t="e">
        <v>#N/A</v>
      </c>
      <c r="D43" s="15" t="e">
        <v>#N/A</v>
      </c>
      <c r="E43" s="3" t="e">
        <v>#N/A</v>
      </c>
      <c r="F43" s="3" t="e">
        <v>#N/A</v>
      </c>
    </row>
    <row r="44" spans="1:6" x14ac:dyDescent="0.25">
      <c r="A44" s="26">
        <v>41275</v>
      </c>
      <c r="B44" t="s">
        <v>109</v>
      </c>
      <c r="C44" s="15" t="e">
        <v>#N/A</v>
      </c>
      <c r="D44" s="15" t="e">
        <v>#N/A</v>
      </c>
      <c r="E44" s="3" t="e">
        <v>#N/A</v>
      </c>
      <c r="F44" s="3" t="e">
        <v>#N/A</v>
      </c>
    </row>
    <row r="45" spans="1:6" x14ac:dyDescent="0.25">
      <c r="A45" s="26">
        <v>41306</v>
      </c>
      <c r="B45" t="s">
        <v>110</v>
      </c>
      <c r="C45" s="15" t="e">
        <v>#N/A</v>
      </c>
      <c r="D45" s="15" t="e">
        <v>#N/A</v>
      </c>
      <c r="E45" s="3" t="e">
        <v>#N/A</v>
      </c>
      <c r="F45" s="3" t="e">
        <v>#N/A</v>
      </c>
    </row>
    <row r="46" spans="1:6" x14ac:dyDescent="0.25">
      <c r="A46" s="26">
        <v>41334</v>
      </c>
      <c r="B46" t="s">
        <v>111</v>
      </c>
      <c r="C46" s="15" t="e">
        <v>#N/A</v>
      </c>
      <c r="D46" s="15" t="e">
        <v>#N/A</v>
      </c>
      <c r="E46" s="3" t="e">
        <v>#N/A</v>
      </c>
      <c r="F46" s="3" t="e">
        <v>#N/A</v>
      </c>
    </row>
    <row r="47" spans="1:6" x14ac:dyDescent="0.25">
      <c r="A47" s="26">
        <v>41365</v>
      </c>
      <c r="B47" t="s">
        <v>112</v>
      </c>
      <c r="C47" s="15" t="e">
        <v>#N/A</v>
      </c>
      <c r="D47" s="15" t="e">
        <v>#N/A</v>
      </c>
      <c r="E47" s="3" t="e">
        <v>#N/A</v>
      </c>
      <c r="F47" s="3" t="e">
        <v>#N/A</v>
      </c>
    </row>
    <row r="48" spans="1:6" x14ac:dyDescent="0.25">
      <c r="A48" s="26">
        <v>41395</v>
      </c>
      <c r="B48" t="s">
        <v>113</v>
      </c>
      <c r="C48" s="15" t="e">
        <v>#N/A</v>
      </c>
      <c r="D48" s="15" t="e">
        <v>#N/A</v>
      </c>
      <c r="E48" s="3" t="e">
        <v>#N/A</v>
      </c>
      <c r="F48" s="3" t="e">
        <v>#N/A</v>
      </c>
    </row>
    <row r="49" spans="1:6" x14ac:dyDescent="0.25">
      <c r="A49" s="26">
        <v>41426</v>
      </c>
      <c r="B49" t="s">
        <v>114</v>
      </c>
      <c r="C49" s="15" t="e">
        <v>#N/A</v>
      </c>
      <c r="D49" s="15" t="e">
        <v>#N/A</v>
      </c>
      <c r="E49" s="3" t="e">
        <v>#N/A</v>
      </c>
      <c r="F49" s="3" t="e">
        <v>#N/A</v>
      </c>
    </row>
    <row r="50" spans="1:6" x14ac:dyDescent="0.25">
      <c r="A50" s="26">
        <v>41456</v>
      </c>
      <c r="B50" t="s">
        <v>115</v>
      </c>
      <c r="C50" s="15" t="e">
        <v>#N/A</v>
      </c>
      <c r="D50" s="15" t="e">
        <v>#N/A</v>
      </c>
      <c r="E50" s="3" t="e">
        <v>#N/A</v>
      </c>
      <c r="F50" s="3" t="e">
        <v>#N/A</v>
      </c>
    </row>
    <row r="51" spans="1:6" x14ac:dyDescent="0.25">
      <c r="A51" s="26">
        <v>41487</v>
      </c>
      <c r="B51" t="s">
        <v>116</v>
      </c>
      <c r="C51" s="15" t="e">
        <v>#N/A</v>
      </c>
      <c r="D51" s="15" t="e">
        <v>#N/A</v>
      </c>
      <c r="E51" s="3" t="e">
        <v>#N/A</v>
      </c>
      <c r="F51" s="3" t="e">
        <v>#N/A</v>
      </c>
    </row>
    <row r="52" spans="1:6" x14ac:dyDescent="0.25">
      <c r="A52" s="26">
        <v>41518</v>
      </c>
      <c r="B52" t="s">
        <v>117</v>
      </c>
      <c r="C52" s="15" t="e">
        <v>#N/A</v>
      </c>
      <c r="D52" s="15" t="e">
        <v>#N/A</v>
      </c>
      <c r="E52" s="3" t="e">
        <v>#N/A</v>
      </c>
      <c r="F52" s="3" t="e">
        <v>#N/A</v>
      </c>
    </row>
    <row r="53" spans="1:6" x14ac:dyDescent="0.25">
      <c r="A53" s="26">
        <v>41548</v>
      </c>
      <c r="B53" t="s">
        <v>118</v>
      </c>
      <c r="C53" s="15" t="e">
        <v>#N/A</v>
      </c>
      <c r="D53" s="15" t="e">
        <v>#N/A</v>
      </c>
      <c r="E53" s="3" t="e">
        <v>#N/A</v>
      </c>
      <c r="F53" s="3" t="e">
        <v>#N/A</v>
      </c>
    </row>
    <row r="54" spans="1:6" x14ac:dyDescent="0.25">
      <c r="A54" s="26">
        <v>41579</v>
      </c>
      <c r="B54" t="s">
        <v>119</v>
      </c>
      <c r="C54" s="15" t="e">
        <v>#N/A</v>
      </c>
      <c r="D54" s="15" t="e">
        <v>#N/A</v>
      </c>
      <c r="E54" s="3" t="e">
        <v>#N/A</v>
      </c>
      <c r="F54" s="3" t="e">
        <v>#N/A</v>
      </c>
    </row>
    <row r="55" spans="1:6" x14ac:dyDescent="0.25">
      <c r="A55" s="26">
        <v>41609</v>
      </c>
      <c r="B55" t="s">
        <v>120</v>
      </c>
      <c r="C55" s="15" t="e">
        <v>#N/A</v>
      </c>
      <c r="D55" s="15" t="e">
        <v>#N/A</v>
      </c>
      <c r="E55" s="3" t="e">
        <v>#N/A</v>
      </c>
      <c r="F55" s="3" t="e">
        <v>#N/A</v>
      </c>
    </row>
    <row r="56" spans="1:6" x14ac:dyDescent="0.25">
      <c r="A56" s="26">
        <v>41640</v>
      </c>
      <c r="B56" t="s">
        <v>121</v>
      </c>
      <c r="C56" s="15" t="e">
        <v>#N/A</v>
      </c>
      <c r="D56" s="15" t="e">
        <v>#N/A</v>
      </c>
      <c r="E56" s="3" t="e">
        <v>#N/A</v>
      </c>
      <c r="F56" s="3" t="e">
        <v>#N/A</v>
      </c>
    </row>
    <row r="57" spans="1:6" x14ac:dyDescent="0.25">
      <c r="A57" s="26">
        <v>41671</v>
      </c>
      <c r="B57" t="s">
        <v>122</v>
      </c>
      <c r="C57" s="15" t="e">
        <v>#N/A</v>
      </c>
      <c r="D57" s="15" t="e">
        <v>#N/A</v>
      </c>
      <c r="E57" s="3" t="e">
        <v>#N/A</v>
      </c>
      <c r="F57" s="3" t="e">
        <v>#N/A</v>
      </c>
    </row>
    <row r="58" spans="1:6" x14ac:dyDescent="0.25">
      <c r="A58" s="26">
        <v>41699</v>
      </c>
      <c r="B58" t="s">
        <v>123</v>
      </c>
      <c r="C58" s="15" t="e">
        <v>#N/A</v>
      </c>
      <c r="D58" s="15" t="e">
        <v>#N/A</v>
      </c>
      <c r="E58" s="3" t="e">
        <v>#N/A</v>
      </c>
      <c r="F58" s="3" t="e">
        <v>#N/A</v>
      </c>
    </row>
    <row r="59" spans="1:6" x14ac:dyDescent="0.25">
      <c r="A59" s="26">
        <v>41730</v>
      </c>
      <c r="B59" t="s">
        <v>124</v>
      </c>
      <c r="C59" s="15" t="e">
        <v>#N/A</v>
      </c>
      <c r="D59" s="15" t="e">
        <v>#N/A</v>
      </c>
      <c r="E59" s="3" t="e">
        <v>#N/A</v>
      </c>
      <c r="F59" s="3" t="e">
        <v>#N/A</v>
      </c>
    </row>
    <row r="60" spans="1:6" x14ac:dyDescent="0.25">
      <c r="A60" s="26">
        <v>41760</v>
      </c>
      <c r="B60" t="s">
        <v>125</v>
      </c>
      <c r="C60" s="15" t="e">
        <v>#N/A</v>
      </c>
      <c r="D60" s="15" t="e">
        <v>#N/A</v>
      </c>
      <c r="E60" s="3" t="e">
        <v>#N/A</v>
      </c>
      <c r="F60" s="3" t="e">
        <v>#N/A</v>
      </c>
    </row>
    <row r="61" spans="1:6" x14ac:dyDescent="0.25">
      <c r="A61" s="26">
        <v>41791</v>
      </c>
      <c r="B61" t="s">
        <v>126</v>
      </c>
      <c r="C61" s="15" t="e">
        <v>#N/A</v>
      </c>
      <c r="D61" s="15" t="e">
        <v>#N/A</v>
      </c>
      <c r="E61" s="3" t="e">
        <v>#N/A</v>
      </c>
      <c r="F61" s="3" t="e">
        <v>#N/A</v>
      </c>
    </row>
    <row r="62" spans="1:6" x14ac:dyDescent="0.25">
      <c r="A62" s="26">
        <v>41821</v>
      </c>
      <c r="B62" t="s">
        <v>127</v>
      </c>
      <c r="C62" s="15" t="e">
        <v>#N/A</v>
      </c>
      <c r="D62" s="15" t="e">
        <v>#N/A</v>
      </c>
      <c r="E62" s="3" t="e">
        <v>#N/A</v>
      </c>
      <c r="F62" s="3" t="e">
        <v>#N/A</v>
      </c>
    </row>
    <row r="63" spans="1:6" x14ac:dyDescent="0.25">
      <c r="A63" s="26">
        <v>41852</v>
      </c>
      <c r="B63" t="s">
        <v>128</v>
      </c>
      <c r="C63" s="15" t="e">
        <v>#N/A</v>
      </c>
      <c r="D63" s="15" t="e">
        <v>#N/A</v>
      </c>
      <c r="E63" s="3" t="e">
        <v>#N/A</v>
      </c>
      <c r="F63" s="3" t="e">
        <v>#N/A</v>
      </c>
    </row>
    <row r="64" spans="1:6" x14ac:dyDescent="0.25">
      <c r="A64" s="26">
        <v>41883</v>
      </c>
      <c r="B64" t="s">
        <v>129</v>
      </c>
      <c r="C64" s="15" t="e">
        <v>#N/A</v>
      </c>
      <c r="D64" s="15" t="e">
        <v>#N/A</v>
      </c>
      <c r="E64" s="3" t="e">
        <v>#N/A</v>
      </c>
      <c r="F64" s="3" t="e">
        <v>#N/A</v>
      </c>
    </row>
    <row r="65" spans="1:6" x14ac:dyDescent="0.25">
      <c r="A65" s="26">
        <v>41913</v>
      </c>
      <c r="B65" t="s">
        <v>130</v>
      </c>
      <c r="C65" s="15" t="e">
        <v>#N/A</v>
      </c>
      <c r="D65" s="15" t="e">
        <v>#N/A</v>
      </c>
      <c r="E65" s="3" t="e">
        <v>#N/A</v>
      </c>
      <c r="F65" s="3" t="e">
        <v>#N/A</v>
      </c>
    </row>
    <row r="66" spans="1:6" x14ac:dyDescent="0.25">
      <c r="A66" s="26">
        <v>41944</v>
      </c>
      <c r="B66" t="s">
        <v>131</v>
      </c>
      <c r="C66" s="15" t="e">
        <v>#N/A</v>
      </c>
      <c r="D66" s="15" t="e">
        <v>#N/A</v>
      </c>
      <c r="E66" s="3" t="e">
        <v>#N/A</v>
      </c>
      <c r="F66" s="3" t="e">
        <v>#N/A</v>
      </c>
    </row>
    <row r="67" spans="1:6" x14ac:dyDescent="0.25">
      <c r="A67" s="26">
        <v>41974</v>
      </c>
      <c r="B67" t="s">
        <v>132</v>
      </c>
      <c r="C67" s="15" t="e">
        <v>#N/A</v>
      </c>
      <c r="D67" s="15" t="e">
        <v>#N/A</v>
      </c>
      <c r="E67" s="3" t="e">
        <v>#N/A</v>
      </c>
      <c r="F67" s="3" t="e">
        <v>#N/A</v>
      </c>
    </row>
    <row r="68" spans="1:6" x14ac:dyDescent="0.25">
      <c r="A68" s="26">
        <v>42005</v>
      </c>
      <c r="B68" t="s">
        <v>133</v>
      </c>
      <c r="C68" s="15" t="e">
        <v>#N/A</v>
      </c>
      <c r="D68" s="15" t="e">
        <v>#N/A</v>
      </c>
      <c r="E68" s="3" t="e">
        <v>#N/A</v>
      </c>
      <c r="F68" s="3" t="e">
        <v>#N/A</v>
      </c>
    </row>
    <row r="69" spans="1:6" x14ac:dyDescent="0.25">
      <c r="A69" s="26">
        <v>42036</v>
      </c>
      <c r="B69" t="s">
        <v>134</v>
      </c>
      <c r="C69" s="15" t="e">
        <v>#N/A</v>
      </c>
      <c r="D69" s="15" t="e">
        <v>#N/A</v>
      </c>
      <c r="E69" s="3" t="e">
        <v>#N/A</v>
      </c>
      <c r="F69" s="3" t="e">
        <v>#N/A</v>
      </c>
    </row>
    <row r="70" spans="1:6" x14ac:dyDescent="0.25">
      <c r="A70" s="26">
        <v>42064</v>
      </c>
      <c r="B70" t="s">
        <v>135</v>
      </c>
      <c r="C70" s="15" t="e">
        <v>#N/A</v>
      </c>
      <c r="D70" s="15" t="e">
        <v>#N/A</v>
      </c>
      <c r="E70" s="3" t="e">
        <v>#N/A</v>
      </c>
      <c r="F70" s="3" t="e">
        <v>#N/A</v>
      </c>
    </row>
    <row r="71" spans="1:6" x14ac:dyDescent="0.25">
      <c r="A71" s="26">
        <v>42095</v>
      </c>
      <c r="B71" t="s">
        <v>136</v>
      </c>
      <c r="C71" s="15" t="e">
        <v>#N/A</v>
      </c>
      <c r="D71" s="15" t="e">
        <v>#N/A</v>
      </c>
      <c r="E71" s="3" t="e">
        <v>#N/A</v>
      </c>
      <c r="F71" s="3" t="e">
        <v>#N/A</v>
      </c>
    </row>
    <row r="72" spans="1:6" x14ac:dyDescent="0.25">
      <c r="A72" s="26">
        <v>42125</v>
      </c>
      <c r="B72" t="s">
        <v>137</v>
      </c>
      <c r="C72" s="15" t="e">
        <v>#N/A</v>
      </c>
      <c r="D72" s="15" t="e">
        <v>#N/A</v>
      </c>
      <c r="E72" s="3" t="e">
        <v>#N/A</v>
      </c>
      <c r="F72" s="3" t="e">
        <v>#N/A</v>
      </c>
    </row>
    <row r="73" spans="1:6" x14ac:dyDescent="0.25">
      <c r="A73" s="26">
        <v>42156</v>
      </c>
      <c r="B73" t="s">
        <v>138</v>
      </c>
      <c r="C73" s="15" t="e">
        <v>#N/A</v>
      </c>
      <c r="D73" s="15" t="e">
        <v>#N/A</v>
      </c>
      <c r="E73" s="3" t="e">
        <v>#N/A</v>
      </c>
      <c r="F73" s="3" t="e">
        <v>#N/A</v>
      </c>
    </row>
    <row r="74" spans="1:6" x14ac:dyDescent="0.25">
      <c r="A74" s="26">
        <v>42186</v>
      </c>
      <c r="B74" t="s">
        <v>139</v>
      </c>
      <c r="C74" s="15" t="e">
        <v>#N/A</v>
      </c>
      <c r="D74" s="15" t="e">
        <v>#N/A</v>
      </c>
      <c r="E74" s="3" t="e">
        <v>#N/A</v>
      </c>
      <c r="F74" s="3" t="e">
        <v>#N/A</v>
      </c>
    </row>
    <row r="75" spans="1:6" x14ac:dyDescent="0.25">
      <c r="A75" s="26">
        <v>42217</v>
      </c>
      <c r="B75" t="s">
        <v>140</v>
      </c>
      <c r="C75" s="15" t="e">
        <v>#N/A</v>
      </c>
      <c r="D75" s="15" t="e">
        <v>#N/A</v>
      </c>
      <c r="E75" s="3" t="e">
        <v>#N/A</v>
      </c>
      <c r="F75" s="3" t="e">
        <v>#N/A</v>
      </c>
    </row>
    <row r="76" spans="1:6" x14ac:dyDescent="0.25">
      <c r="A76" s="26">
        <v>42248</v>
      </c>
      <c r="B76" t="s">
        <v>141</v>
      </c>
      <c r="C76" s="15" t="e">
        <v>#N/A</v>
      </c>
      <c r="D76" s="15" t="e">
        <v>#N/A</v>
      </c>
      <c r="E76" s="3" t="e">
        <v>#N/A</v>
      </c>
      <c r="F76" s="3" t="e">
        <v>#N/A</v>
      </c>
    </row>
    <row r="77" spans="1:6" x14ac:dyDescent="0.25">
      <c r="A77" s="26">
        <v>42278</v>
      </c>
      <c r="B77" t="s">
        <v>142</v>
      </c>
      <c r="C77" s="15" t="e">
        <v>#N/A</v>
      </c>
      <c r="D77" s="15" t="e">
        <v>#N/A</v>
      </c>
      <c r="E77" s="3" t="e">
        <v>#N/A</v>
      </c>
      <c r="F77" s="3" t="e">
        <v>#N/A</v>
      </c>
    </row>
    <row r="78" spans="1:6" x14ac:dyDescent="0.25">
      <c r="A78" s="26">
        <v>42309</v>
      </c>
      <c r="B78" t="s">
        <v>143</v>
      </c>
      <c r="C78" s="15" t="e">
        <v>#N/A</v>
      </c>
      <c r="D78" s="15" t="e">
        <v>#N/A</v>
      </c>
      <c r="E78" s="3" t="e">
        <v>#N/A</v>
      </c>
      <c r="F78" s="3" t="e">
        <v>#N/A</v>
      </c>
    </row>
    <row r="79" spans="1:6" x14ac:dyDescent="0.25">
      <c r="A79" s="26">
        <v>42339</v>
      </c>
      <c r="B79" t="s">
        <v>144</v>
      </c>
      <c r="C79" s="15" t="e">
        <v>#N/A</v>
      </c>
      <c r="D79" s="15" t="e">
        <v>#N/A</v>
      </c>
      <c r="E79" s="3" t="e">
        <v>#N/A</v>
      </c>
      <c r="F79" s="3" t="e">
        <v>#N/A</v>
      </c>
    </row>
    <row r="80" spans="1:6" x14ac:dyDescent="0.25">
      <c r="A80" s="26">
        <v>42370</v>
      </c>
      <c r="B80" t="s">
        <v>145</v>
      </c>
      <c r="C80" s="15" t="e">
        <v>#N/A</v>
      </c>
      <c r="D80" s="15" t="e">
        <v>#N/A</v>
      </c>
      <c r="E80" s="3" t="e">
        <v>#N/A</v>
      </c>
      <c r="F80" s="3" t="e">
        <v>#N/A</v>
      </c>
    </row>
    <row r="81" spans="1:6" x14ac:dyDescent="0.25">
      <c r="A81" s="26">
        <v>42401</v>
      </c>
      <c r="B81" t="s">
        <v>146</v>
      </c>
      <c r="C81" s="15" t="e">
        <v>#N/A</v>
      </c>
      <c r="D81" s="15" t="e">
        <v>#N/A</v>
      </c>
      <c r="E81" s="3" t="e">
        <v>#N/A</v>
      </c>
      <c r="F81" s="3" t="e">
        <v>#N/A</v>
      </c>
    </row>
    <row r="82" spans="1:6" x14ac:dyDescent="0.25">
      <c r="A82" s="26">
        <v>42430</v>
      </c>
      <c r="B82" t="s">
        <v>147</v>
      </c>
      <c r="C82" s="15" t="e">
        <v>#N/A</v>
      </c>
      <c r="D82" s="15" t="e">
        <v>#N/A</v>
      </c>
      <c r="E82" s="3" t="e">
        <v>#N/A</v>
      </c>
      <c r="F82" s="3" t="e">
        <v>#N/A</v>
      </c>
    </row>
    <row r="83" spans="1:6" x14ac:dyDescent="0.25">
      <c r="A83" s="26">
        <v>42461</v>
      </c>
      <c r="B83" t="s">
        <v>148</v>
      </c>
      <c r="C83" s="15" t="e">
        <v>#N/A</v>
      </c>
      <c r="D83" s="15" t="e">
        <v>#N/A</v>
      </c>
      <c r="E83" s="3" t="e">
        <v>#N/A</v>
      </c>
      <c r="F83" s="3" t="e">
        <v>#N/A</v>
      </c>
    </row>
    <row r="84" spans="1:6" x14ac:dyDescent="0.25">
      <c r="A84" s="26">
        <v>42491</v>
      </c>
      <c r="B84" t="s">
        <v>149</v>
      </c>
      <c r="C84" s="15" t="e">
        <v>#N/A</v>
      </c>
      <c r="D84" s="15" t="e">
        <v>#N/A</v>
      </c>
      <c r="E84" s="3" t="e">
        <v>#N/A</v>
      </c>
      <c r="F84" s="3" t="e">
        <v>#N/A</v>
      </c>
    </row>
    <row r="85" spans="1:6" x14ac:dyDescent="0.25">
      <c r="A85" s="26">
        <v>42522</v>
      </c>
      <c r="B85" t="s">
        <v>150</v>
      </c>
      <c r="C85" s="15" t="e">
        <v>#N/A</v>
      </c>
      <c r="D85" s="15" t="e">
        <v>#N/A</v>
      </c>
      <c r="E85" s="3" t="e">
        <v>#N/A</v>
      </c>
      <c r="F85" s="3" t="e">
        <v>#N/A</v>
      </c>
    </row>
    <row r="86" spans="1:6" x14ac:dyDescent="0.25">
      <c r="A86" s="26">
        <v>42552</v>
      </c>
      <c r="B86" t="s">
        <v>151</v>
      </c>
      <c r="C86" s="15" t="e">
        <v>#N/A</v>
      </c>
      <c r="D86" s="15" t="e">
        <v>#N/A</v>
      </c>
      <c r="E86" s="3" t="e">
        <v>#N/A</v>
      </c>
      <c r="F86" s="3" t="e">
        <v>#N/A</v>
      </c>
    </row>
    <row r="87" spans="1:6" x14ac:dyDescent="0.25">
      <c r="A87" s="26">
        <v>42583</v>
      </c>
      <c r="B87" t="s">
        <v>152</v>
      </c>
      <c r="C87" s="15" t="e">
        <v>#N/A</v>
      </c>
      <c r="D87" s="15" t="e">
        <v>#N/A</v>
      </c>
      <c r="E87" s="3" t="e">
        <v>#N/A</v>
      </c>
      <c r="F87" s="3" t="e">
        <v>#N/A</v>
      </c>
    </row>
    <row r="88" spans="1:6" x14ac:dyDescent="0.25">
      <c r="A88" s="26">
        <v>42614</v>
      </c>
      <c r="B88" t="s">
        <v>153</v>
      </c>
      <c r="C88" s="15" t="e">
        <v>#N/A</v>
      </c>
      <c r="D88" s="15" t="e">
        <v>#N/A</v>
      </c>
      <c r="E88" s="3" t="e">
        <v>#N/A</v>
      </c>
      <c r="F88" s="3" t="e">
        <v>#N/A</v>
      </c>
    </row>
    <row r="89" spans="1:6" x14ac:dyDescent="0.25">
      <c r="A89" s="26">
        <v>42644</v>
      </c>
      <c r="B89" t="s">
        <v>154</v>
      </c>
      <c r="C89" s="15" t="e">
        <v>#N/A</v>
      </c>
      <c r="D89" s="15" t="e">
        <v>#N/A</v>
      </c>
      <c r="E89" s="3" t="e">
        <v>#N/A</v>
      </c>
      <c r="F89" s="3" t="e">
        <v>#N/A</v>
      </c>
    </row>
    <row r="90" spans="1:6" x14ac:dyDescent="0.25">
      <c r="A90" s="26">
        <v>42675</v>
      </c>
      <c r="B90" t="s">
        <v>155</v>
      </c>
      <c r="C90" s="15" t="e">
        <v>#N/A</v>
      </c>
      <c r="D90" s="15" t="e">
        <v>#N/A</v>
      </c>
      <c r="E90" s="3" t="e">
        <v>#N/A</v>
      </c>
      <c r="F90" s="3" t="e">
        <v>#N/A</v>
      </c>
    </row>
    <row r="91" spans="1:6" x14ac:dyDescent="0.25">
      <c r="A91" s="26">
        <v>42705</v>
      </c>
      <c r="B91" t="s">
        <v>156</v>
      </c>
      <c r="C91" s="15" t="e">
        <v>#N/A</v>
      </c>
      <c r="D91" s="15" t="e">
        <v>#N/A</v>
      </c>
      <c r="E91" s="3" t="e">
        <v>#N/A</v>
      </c>
      <c r="F91" s="3" t="e">
        <v>#N/A</v>
      </c>
    </row>
    <row r="92" spans="1:6" x14ac:dyDescent="0.25">
      <c r="A92" s="26">
        <v>42736</v>
      </c>
      <c r="B92" t="s">
        <v>157</v>
      </c>
      <c r="C92" s="15">
        <v>3.3460000000000001</v>
      </c>
      <c r="D92" s="15">
        <v>2.9630000000000001</v>
      </c>
      <c r="E92" s="3" t="e">
        <v>#N/A</v>
      </c>
      <c r="F92" s="3" t="e">
        <v>#N/A</v>
      </c>
    </row>
    <row r="93" spans="1:6" x14ac:dyDescent="0.25">
      <c r="A93" s="26">
        <v>42767</v>
      </c>
      <c r="B93" t="s">
        <v>158</v>
      </c>
      <c r="C93" s="15">
        <v>2.7480000000000002</v>
      </c>
      <c r="D93" s="15">
        <v>2.8410000000000002</v>
      </c>
      <c r="E93" s="3" t="e">
        <v>#N/A</v>
      </c>
      <c r="F93" s="3" t="e">
        <v>#N/A</v>
      </c>
    </row>
    <row r="94" spans="1:6" x14ac:dyDescent="0.25">
      <c r="A94" s="26">
        <v>42795</v>
      </c>
      <c r="B94" t="s">
        <v>159</v>
      </c>
      <c r="C94" s="15">
        <v>2.282</v>
      </c>
      <c r="D94" s="15">
        <v>2.7919999999999998</v>
      </c>
      <c r="E94" s="3" t="e">
        <v>#N/A</v>
      </c>
      <c r="F94" s="3" t="e">
        <v>#N/A</v>
      </c>
    </row>
    <row r="95" spans="1:6" x14ac:dyDescent="0.25">
      <c r="A95" s="26">
        <v>42826</v>
      </c>
      <c r="B95" t="s">
        <v>160</v>
      </c>
      <c r="C95" s="15">
        <v>3.2789999999999999</v>
      </c>
      <c r="D95" s="15">
        <v>2.77</v>
      </c>
      <c r="E95" s="3" t="e">
        <v>#N/A</v>
      </c>
      <c r="F95" s="3" t="e">
        <v>#N/A</v>
      </c>
    </row>
    <row r="96" spans="1:6" x14ac:dyDescent="0.25">
      <c r="A96" s="26">
        <v>42856</v>
      </c>
      <c r="B96" t="s">
        <v>161</v>
      </c>
      <c r="C96" s="15">
        <v>2.4470000000000001</v>
      </c>
      <c r="D96" s="15">
        <v>2.669</v>
      </c>
      <c r="E96" s="3" t="e">
        <v>#N/A</v>
      </c>
      <c r="F96" s="3" t="e">
        <v>#N/A</v>
      </c>
    </row>
    <row r="97" spans="1:6" x14ac:dyDescent="0.25">
      <c r="A97" s="26">
        <v>42887</v>
      </c>
      <c r="B97" t="s">
        <v>162</v>
      </c>
      <c r="C97" s="15">
        <v>2.0739999999999998</v>
      </c>
      <c r="D97" s="15">
        <v>2.6</v>
      </c>
      <c r="E97" s="3" t="e">
        <v>#N/A</v>
      </c>
      <c r="F97" s="3" t="e">
        <v>#N/A</v>
      </c>
    </row>
    <row r="98" spans="1:6" x14ac:dyDescent="0.25">
      <c r="A98" s="26">
        <v>42917</v>
      </c>
      <c r="B98" t="s">
        <v>163</v>
      </c>
      <c r="C98" s="15">
        <v>2.8279999999999998</v>
      </c>
      <c r="D98" s="15">
        <v>2.4500000000000002</v>
      </c>
      <c r="E98" s="3" t="e">
        <v>#N/A</v>
      </c>
      <c r="F98" s="3" t="e">
        <v>#N/A</v>
      </c>
    </row>
    <row r="99" spans="1:6" x14ac:dyDescent="0.25">
      <c r="A99" s="26">
        <v>42948</v>
      </c>
      <c r="B99" t="s">
        <v>164</v>
      </c>
      <c r="C99" s="15">
        <v>2.4609999999999999</v>
      </c>
      <c r="D99" s="15">
        <v>2.4550000000000001</v>
      </c>
      <c r="E99" s="3">
        <v>2.6</v>
      </c>
      <c r="F99" s="3">
        <v>2.4</v>
      </c>
    </row>
    <row r="100" spans="1:6" x14ac:dyDescent="0.25">
      <c r="A100" s="26">
        <v>42979</v>
      </c>
      <c r="B100" t="s">
        <v>165</v>
      </c>
      <c r="C100" s="15">
        <v>2.3940000000000001</v>
      </c>
      <c r="D100" s="15">
        <v>2.5609999999999999</v>
      </c>
      <c r="E100" s="3">
        <v>2.5</v>
      </c>
      <c r="F100" s="3">
        <v>2.2999999999999998</v>
      </c>
    </row>
    <row r="101" spans="1:6" x14ac:dyDescent="0.25">
      <c r="A101" s="26">
        <v>43009</v>
      </c>
      <c r="B101" t="s">
        <v>166</v>
      </c>
      <c r="C101" s="15">
        <v>2.581</v>
      </c>
      <c r="D101" s="15">
        <v>2.4790000000000001</v>
      </c>
      <c r="E101" s="3">
        <v>2.7</v>
      </c>
      <c r="F101" s="3">
        <v>2.6</v>
      </c>
    </row>
    <row r="102" spans="1:6" x14ac:dyDescent="0.25">
      <c r="A102" s="26">
        <v>43040</v>
      </c>
      <c r="B102" t="s">
        <v>167</v>
      </c>
      <c r="C102" s="15">
        <v>2.4209999999999998</v>
      </c>
      <c r="D102" s="15">
        <v>2.4649999999999999</v>
      </c>
      <c r="E102" s="3"/>
      <c r="F102" s="3"/>
    </row>
    <row r="103" spans="1:6" x14ac:dyDescent="0.25">
      <c r="A103" s="26">
        <v>43070</v>
      </c>
      <c r="B103" t="s">
        <v>168</v>
      </c>
      <c r="C103" s="15">
        <v>2.4420000000000002</v>
      </c>
      <c r="D103" s="15">
        <v>2.4809999999999999</v>
      </c>
      <c r="E103" s="3"/>
      <c r="F103" s="3"/>
    </row>
    <row r="104" spans="1:6" x14ac:dyDescent="0.25">
      <c r="A104" s="26">
        <v>43101</v>
      </c>
      <c r="B104" t="s">
        <v>169</v>
      </c>
      <c r="C104" s="15">
        <v>2.4630000000000001</v>
      </c>
      <c r="D104" s="15">
        <v>2.4420000000000002</v>
      </c>
      <c r="E104" s="3"/>
      <c r="F104" s="3"/>
    </row>
    <row r="105" spans="1:6" x14ac:dyDescent="0.25">
      <c r="A105" s="26">
        <v>43132</v>
      </c>
      <c r="B105" t="s">
        <v>170</v>
      </c>
      <c r="C105" s="15">
        <v>2.4079999999999999</v>
      </c>
      <c r="D105" s="15">
        <v>2.4380000000000002</v>
      </c>
      <c r="E105" s="3"/>
      <c r="F105" s="3"/>
    </row>
    <row r="106" spans="1:6" x14ac:dyDescent="0.25">
      <c r="A106" s="26">
        <v>43160</v>
      </c>
      <c r="B106" t="s">
        <v>171</v>
      </c>
      <c r="C106" s="15">
        <v>2.1349999999999998</v>
      </c>
      <c r="D106" s="15">
        <v>2.335</v>
      </c>
      <c r="E106" s="3"/>
      <c r="F106" s="3"/>
    </row>
    <row r="107" spans="1:6" x14ac:dyDescent="0.25">
      <c r="A107" s="26">
        <v>43191</v>
      </c>
      <c r="B107" t="s">
        <v>172</v>
      </c>
      <c r="C107" s="15">
        <v>2.444</v>
      </c>
      <c r="D107" s="15">
        <v>2.3290000000000002</v>
      </c>
      <c r="E107" s="3"/>
      <c r="F107" s="3"/>
    </row>
    <row r="108" spans="1:6" x14ac:dyDescent="0.25">
      <c r="A108" s="26">
        <v>43221</v>
      </c>
      <c r="B108" t="s">
        <v>173</v>
      </c>
      <c r="C108" s="15">
        <v>1.9770000000000001</v>
      </c>
      <c r="D108" s="15">
        <v>2.1859999999999999</v>
      </c>
      <c r="E108" s="3"/>
      <c r="F108" s="3"/>
    </row>
    <row r="109" spans="1:6" x14ac:dyDescent="0.25">
      <c r="A109" s="26">
        <v>43252</v>
      </c>
      <c r="B109" t="s">
        <v>174</v>
      </c>
      <c r="C109" s="15">
        <v>2.3170000000000002</v>
      </c>
      <c r="D109" s="15">
        <v>2.246</v>
      </c>
      <c r="E109" s="3"/>
      <c r="F109" s="3"/>
    </row>
    <row r="110" spans="1:6" x14ac:dyDescent="0.25">
      <c r="A110" s="26">
        <v>43282</v>
      </c>
      <c r="B110" t="s">
        <v>175</v>
      </c>
      <c r="C110" s="15">
        <v>2.4239999999999999</v>
      </c>
      <c r="D110" s="15">
        <v>2.2389999999999999</v>
      </c>
      <c r="E110" s="3"/>
      <c r="F110" s="3"/>
    </row>
    <row r="111" spans="1:6" x14ac:dyDescent="0.25">
      <c r="A111" s="26">
        <v>43313</v>
      </c>
      <c r="B111" t="s">
        <v>176</v>
      </c>
      <c r="C111" s="15">
        <v>2.254</v>
      </c>
      <c r="D111" s="15">
        <v>2.3319999999999999</v>
      </c>
      <c r="E111" s="3"/>
      <c r="F111" s="3"/>
    </row>
    <row r="112" spans="1:6" x14ac:dyDescent="0.25">
      <c r="A112" s="26">
        <v>43344</v>
      </c>
      <c r="B112" t="s">
        <v>177</v>
      </c>
      <c r="C112" s="15">
        <v>2.0019999999999998</v>
      </c>
      <c r="D112" s="15">
        <v>2.226</v>
      </c>
      <c r="E112" s="3"/>
      <c r="F112" s="3"/>
    </row>
    <row r="113" spans="1:6" x14ac:dyDescent="0.25">
      <c r="A113" s="26">
        <v>43374</v>
      </c>
      <c r="B113" t="s">
        <v>178</v>
      </c>
      <c r="C113" s="15">
        <v>2.5910000000000002</v>
      </c>
      <c r="D113" s="15">
        <v>2.282</v>
      </c>
      <c r="E113" s="3"/>
      <c r="F113" s="3"/>
    </row>
    <row r="114" spans="1:6" x14ac:dyDescent="0.25">
      <c r="A114" s="26">
        <v>43405</v>
      </c>
      <c r="B114" t="s">
        <v>179</v>
      </c>
      <c r="C114" s="15">
        <v>2.6869999999999998</v>
      </c>
      <c r="D114" s="15">
        <v>2.427</v>
      </c>
      <c r="E114" s="3"/>
      <c r="F114" s="3"/>
    </row>
    <row r="115" spans="1:6" x14ac:dyDescent="0.25">
      <c r="A115" s="26">
        <v>43435</v>
      </c>
      <c r="B115" t="s">
        <v>180</v>
      </c>
      <c r="C115" s="15">
        <v>2.1749999999999998</v>
      </c>
      <c r="D115" s="15">
        <v>2.484</v>
      </c>
      <c r="E115" s="3"/>
      <c r="F115" s="3"/>
    </row>
    <row r="116" spans="1:6" x14ac:dyDescent="0.25">
      <c r="A116" s="26">
        <v>43466</v>
      </c>
      <c r="B116" t="s">
        <v>181</v>
      </c>
      <c r="C116" s="15">
        <v>2.532</v>
      </c>
      <c r="D116" s="15">
        <v>2.4649999999999999</v>
      </c>
      <c r="E116" s="3"/>
      <c r="F116" s="3"/>
    </row>
    <row r="117" spans="1:6" x14ac:dyDescent="0.25">
      <c r="A117" s="26">
        <v>43497</v>
      </c>
      <c r="B117" t="s">
        <v>182</v>
      </c>
      <c r="C117" s="15">
        <v>2.5609999999999999</v>
      </c>
      <c r="D117" s="15">
        <v>2.423</v>
      </c>
      <c r="E117" s="3"/>
      <c r="F117" s="3"/>
    </row>
    <row r="118" spans="1:6" x14ac:dyDescent="0.25">
      <c r="A118" s="26">
        <v>43525</v>
      </c>
      <c r="B118" t="s">
        <v>183</v>
      </c>
      <c r="C118" s="15">
        <v>2.0680000000000001</v>
      </c>
      <c r="D118" s="15">
        <v>2.387</v>
      </c>
      <c r="E118" s="3"/>
      <c r="F118" s="3"/>
    </row>
    <row r="119" spans="1:6" x14ac:dyDescent="0.25">
      <c r="A119" s="26">
        <v>43556</v>
      </c>
      <c r="B119" t="s">
        <v>184</v>
      </c>
      <c r="C119" s="15">
        <v>2.7149999999999999</v>
      </c>
      <c r="D119" s="15">
        <v>2.448</v>
      </c>
      <c r="E119" s="3"/>
      <c r="F119" s="3"/>
    </row>
    <row r="120" spans="1:6" x14ac:dyDescent="0.25">
      <c r="A120" s="26">
        <v>43586</v>
      </c>
      <c r="B120" t="s">
        <v>185</v>
      </c>
      <c r="C120" s="15">
        <v>2.3319999999999999</v>
      </c>
      <c r="D120" s="15">
        <v>2.3719999999999999</v>
      </c>
      <c r="E120" s="3"/>
      <c r="F120" s="3"/>
    </row>
    <row r="121" spans="1:6" x14ac:dyDescent="0.25">
      <c r="A121" s="26">
        <v>43617</v>
      </c>
      <c r="B121" t="s">
        <v>186</v>
      </c>
      <c r="C121" s="15">
        <v>2.1539999999999999</v>
      </c>
      <c r="D121" s="15">
        <v>2.4</v>
      </c>
      <c r="E121" s="3"/>
      <c r="F121" s="3"/>
    </row>
    <row r="122" spans="1:6" x14ac:dyDescent="0.25">
      <c r="A122" s="26">
        <v>43647</v>
      </c>
      <c r="B122" t="s">
        <v>187</v>
      </c>
      <c r="C122" s="15">
        <v>2.0979999999999999</v>
      </c>
      <c r="D122" s="15">
        <v>2.1949999999999998</v>
      </c>
      <c r="E122" s="3"/>
      <c r="F122" s="3"/>
    </row>
    <row r="123" spans="1:6" x14ac:dyDescent="0.25">
      <c r="A123" s="26">
        <v>43678</v>
      </c>
      <c r="B123" t="s">
        <v>188</v>
      </c>
      <c r="C123" s="15">
        <v>2.2890000000000001</v>
      </c>
      <c r="D123" s="15">
        <v>2.1800000000000002</v>
      </c>
      <c r="E123" s="3"/>
      <c r="F123" s="3"/>
    </row>
    <row r="124" spans="1:6" x14ac:dyDescent="0.25">
      <c r="A124" s="26">
        <v>43709</v>
      </c>
      <c r="B124" t="s">
        <v>189</v>
      </c>
      <c r="C124" s="15">
        <v>2.355</v>
      </c>
      <c r="D124" s="15">
        <v>2.2469999999999999</v>
      </c>
      <c r="E124" s="3"/>
      <c r="F124" s="3"/>
    </row>
    <row r="125" spans="1:6" x14ac:dyDescent="0.25">
      <c r="A125" s="26">
        <v>43739</v>
      </c>
      <c r="B125" t="s">
        <v>190</v>
      </c>
      <c r="C125" s="15">
        <v>2.2160000000000002</v>
      </c>
      <c r="D125" s="15">
        <v>2.2869999999999999</v>
      </c>
      <c r="E125" s="3"/>
      <c r="F125" s="3"/>
    </row>
    <row r="126" spans="1:6" x14ac:dyDescent="0.25">
      <c r="A126" s="26">
        <v>43770</v>
      </c>
      <c r="B126" t="s">
        <v>191</v>
      </c>
      <c r="C126" s="15">
        <v>2.181</v>
      </c>
      <c r="D126" s="15">
        <v>2.2509999999999999</v>
      </c>
      <c r="E126" s="3"/>
      <c r="F126" s="3"/>
    </row>
    <row r="127" spans="1:6" x14ac:dyDescent="0.25">
      <c r="A127" s="26">
        <v>43800</v>
      </c>
      <c r="B127" t="s">
        <v>192</v>
      </c>
      <c r="C127" s="15">
        <v>2.371</v>
      </c>
      <c r="D127" s="15">
        <v>2.2559999999999998</v>
      </c>
      <c r="E127" s="3"/>
      <c r="F127" s="3"/>
    </row>
    <row r="128" spans="1:6" x14ac:dyDescent="0.25">
      <c r="A128" s="26">
        <v>43831</v>
      </c>
      <c r="B128" t="s">
        <v>193</v>
      </c>
      <c r="C128" s="15">
        <v>2.121</v>
      </c>
      <c r="D128" s="15">
        <v>2.2240000000000002</v>
      </c>
      <c r="E128" s="3"/>
      <c r="F128" s="3"/>
    </row>
    <row r="129" spans="1:6" x14ac:dyDescent="0.25">
      <c r="A129" s="26">
        <v>43862</v>
      </c>
      <c r="B129" t="s">
        <v>194</v>
      </c>
      <c r="C129" s="15">
        <v>2.1259999999999999</v>
      </c>
      <c r="D129" s="15">
        <v>2.206</v>
      </c>
      <c r="E129" s="3"/>
      <c r="F129" s="3"/>
    </row>
    <row r="130" spans="1:6" x14ac:dyDescent="0.25">
      <c r="A130" s="26">
        <v>43891</v>
      </c>
      <c r="B130" t="s">
        <v>195</v>
      </c>
      <c r="C130" s="15">
        <v>1.615</v>
      </c>
      <c r="D130" s="15">
        <v>1.954</v>
      </c>
      <c r="E130" s="3"/>
      <c r="F130" s="3"/>
    </row>
    <row r="131" spans="1:6" x14ac:dyDescent="0.25">
      <c r="A131" s="26">
        <v>43922</v>
      </c>
      <c r="B131" t="s">
        <v>196</v>
      </c>
      <c r="C131" s="15">
        <v>1.2070000000000001</v>
      </c>
      <c r="D131" s="15">
        <v>1.649</v>
      </c>
      <c r="E131" s="3"/>
      <c r="F131" s="3"/>
    </row>
    <row r="132" spans="1:6" x14ac:dyDescent="0.25">
      <c r="A132" s="26">
        <v>43952</v>
      </c>
      <c r="B132" t="s">
        <v>197</v>
      </c>
      <c r="C132" s="15">
        <v>1.387</v>
      </c>
      <c r="D132" s="15">
        <v>1.403</v>
      </c>
      <c r="E132" s="3"/>
      <c r="F132" s="3"/>
    </row>
    <row r="133" spans="1:6" x14ac:dyDescent="0.25">
      <c r="A133" s="26">
        <v>43983</v>
      </c>
      <c r="B133" t="s">
        <v>198</v>
      </c>
      <c r="C133" s="15">
        <v>1.45</v>
      </c>
      <c r="D133" s="15">
        <v>1.3480000000000001</v>
      </c>
      <c r="E133" s="3"/>
      <c r="F133" s="3"/>
    </row>
    <row r="134" spans="1:6" x14ac:dyDescent="0.25">
      <c r="A134" s="26">
        <v>44013</v>
      </c>
      <c r="B134" t="s">
        <v>199</v>
      </c>
      <c r="C134" s="15">
        <v>1.663</v>
      </c>
      <c r="D134" s="15">
        <v>1.5</v>
      </c>
      <c r="E134" s="3"/>
      <c r="F134" s="3"/>
    </row>
    <row r="135" spans="1:6" x14ac:dyDescent="0.25">
      <c r="A135" s="26">
        <v>44044</v>
      </c>
      <c r="B135" t="s">
        <v>200</v>
      </c>
      <c r="C135" s="15">
        <v>2.181</v>
      </c>
      <c r="D135" s="15">
        <v>1.764</v>
      </c>
      <c r="E135" s="3"/>
      <c r="F135" s="3"/>
    </row>
    <row r="136" spans="1:6" x14ac:dyDescent="0.25">
      <c r="A136" s="26">
        <v>44075</v>
      </c>
      <c r="B136" t="s">
        <v>201</v>
      </c>
      <c r="C136" s="15">
        <v>1.887</v>
      </c>
      <c r="D136" s="15">
        <v>1.91</v>
      </c>
      <c r="E136" s="3"/>
      <c r="F136" s="3"/>
    </row>
    <row r="137" spans="1:6" x14ac:dyDescent="0.25">
      <c r="A137" s="26">
        <v>44105</v>
      </c>
      <c r="B137" t="s">
        <v>202</v>
      </c>
      <c r="C137" s="15">
        <v>2.3639999999999999</v>
      </c>
      <c r="D137" s="15">
        <v>2.1440000000000001</v>
      </c>
      <c r="E137" s="3"/>
      <c r="F137" s="3"/>
    </row>
    <row r="138" spans="1:6" x14ac:dyDescent="0.25">
      <c r="A138" s="26">
        <v>44136</v>
      </c>
      <c r="B138" t="s">
        <v>203</v>
      </c>
      <c r="C138" s="15">
        <v>2.0920000000000001</v>
      </c>
      <c r="D138" s="15">
        <v>2.1150000000000002</v>
      </c>
      <c r="E138" s="3"/>
      <c r="F138" s="3"/>
    </row>
    <row r="139" spans="1:6" x14ac:dyDescent="0.25">
      <c r="A139" s="26">
        <v>44166</v>
      </c>
      <c r="B139" t="s">
        <v>204</v>
      </c>
      <c r="C139" s="15">
        <v>2.6960000000000002</v>
      </c>
      <c r="D139" s="15">
        <v>2.3839999999999999</v>
      </c>
      <c r="E139" s="3"/>
      <c r="F139" s="3"/>
    </row>
    <row r="140" spans="1:6" x14ac:dyDescent="0.25">
      <c r="A140" s="26">
        <v>44197</v>
      </c>
      <c r="B140" t="s">
        <v>205</v>
      </c>
      <c r="C140" s="15">
        <v>2.5089999999999999</v>
      </c>
      <c r="D140" s="15">
        <v>2.4329999999999998</v>
      </c>
      <c r="E140" s="3"/>
      <c r="F140" s="3"/>
    </row>
    <row r="141" spans="1:6" x14ac:dyDescent="0.25">
      <c r="A141" s="26">
        <v>44228</v>
      </c>
      <c r="B141" t="s">
        <v>206</v>
      </c>
      <c r="C141" s="15">
        <v>2.7189999999999999</v>
      </c>
      <c r="D141" s="15">
        <v>2.6419999999999999</v>
      </c>
      <c r="E141" s="3"/>
      <c r="F141" s="3"/>
    </row>
    <row r="142" spans="1:6" x14ac:dyDescent="0.25">
      <c r="A142" s="26">
        <v>44256</v>
      </c>
      <c r="B142" t="s">
        <v>207</v>
      </c>
      <c r="C142" s="15">
        <v>2.9780000000000002</v>
      </c>
      <c r="D142" s="15">
        <v>2.7349999999999999</v>
      </c>
      <c r="E142" s="3"/>
      <c r="F142" s="3"/>
    </row>
    <row r="143" spans="1:6" x14ac:dyDescent="0.25">
      <c r="A143" s="26">
        <v>44287</v>
      </c>
      <c r="B143" t="s">
        <v>208</v>
      </c>
      <c r="C143" s="15">
        <v>3.137</v>
      </c>
      <c r="D143" s="15">
        <v>2.9449999999999998</v>
      </c>
      <c r="E143" s="3"/>
      <c r="F143" s="3"/>
    </row>
    <row r="144" spans="1:6" x14ac:dyDescent="0.25">
      <c r="A144" s="26">
        <v>44317</v>
      </c>
      <c r="B144" t="s">
        <v>209</v>
      </c>
      <c r="C144" s="15">
        <v>3.4489999999999998</v>
      </c>
      <c r="D144" s="15">
        <v>3.1880000000000002</v>
      </c>
      <c r="E144" s="3"/>
      <c r="F144" s="3"/>
    </row>
    <row r="145" spans="1:6" x14ac:dyDescent="0.25">
      <c r="A145" s="26">
        <v>44348</v>
      </c>
      <c r="B145" t="s">
        <v>210</v>
      </c>
      <c r="C145" s="15">
        <v>3.2549999999999999</v>
      </c>
      <c r="D145" s="15">
        <v>3.28</v>
      </c>
      <c r="E145" s="3"/>
      <c r="F145" s="3"/>
    </row>
    <row r="146" spans="1:6" x14ac:dyDescent="0.25">
      <c r="A146" s="26">
        <v>44378</v>
      </c>
      <c r="B146" t="s">
        <v>211</v>
      </c>
      <c r="C146" s="15">
        <v>2.9220000000000002</v>
      </c>
      <c r="D146" s="15">
        <v>3.2090000000000001</v>
      </c>
      <c r="E146" s="3"/>
      <c r="F146" s="3"/>
    </row>
    <row r="147" spans="1:6" x14ac:dyDescent="0.25">
      <c r="A147" s="26">
        <v>44409</v>
      </c>
      <c r="B147" t="s">
        <v>212</v>
      </c>
      <c r="C147" s="15">
        <v>3.2229999999999999</v>
      </c>
      <c r="D147" s="15">
        <v>3.133</v>
      </c>
      <c r="E147" s="3"/>
      <c r="F147" s="3"/>
    </row>
    <row r="148" spans="1:6" x14ac:dyDescent="0.25">
      <c r="A148" s="26">
        <v>44440</v>
      </c>
      <c r="B148" t="s">
        <v>213</v>
      </c>
      <c r="C148" s="15">
        <v>4.1059999999999999</v>
      </c>
      <c r="D148" s="15">
        <v>3.4169999999999998</v>
      </c>
      <c r="E148" s="3"/>
      <c r="F148" s="3"/>
    </row>
    <row r="149" spans="1:6" x14ac:dyDescent="0.25">
      <c r="A149" s="26">
        <v>44470</v>
      </c>
      <c r="B149" t="s">
        <v>214</v>
      </c>
      <c r="C149" s="15">
        <v>4.7069999999999999</v>
      </c>
      <c r="D149" s="15">
        <v>4.0119999999999996</v>
      </c>
      <c r="E149" s="3"/>
      <c r="F149" s="3"/>
    </row>
    <row r="150" spans="1:6" x14ac:dyDescent="0.25">
      <c r="A150" s="26">
        <v>44501</v>
      </c>
      <c r="B150" t="s">
        <v>215</v>
      </c>
      <c r="C150" s="15">
        <v>4.444</v>
      </c>
      <c r="D150" s="15">
        <v>4.4189999999999996</v>
      </c>
      <c r="E150" s="3"/>
      <c r="F150" s="3"/>
    </row>
    <row r="151" spans="1:6" x14ac:dyDescent="0.25">
      <c r="A151" s="26">
        <v>44531</v>
      </c>
      <c r="B151" t="s">
        <v>216</v>
      </c>
      <c r="C151" s="15">
        <v>5.0990000000000002</v>
      </c>
      <c r="D151" s="15">
        <v>4.75</v>
      </c>
      <c r="E151" s="3"/>
      <c r="F151" s="3"/>
    </row>
    <row r="152" spans="1:6" x14ac:dyDescent="0.25">
      <c r="A152" s="26">
        <v>44562</v>
      </c>
      <c r="B152" t="s">
        <v>217</v>
      </c>
      <c r="C152" s="15">
        <v>4.5270000000000001</v>
      </c>
      <c r="D152" s="15">
        <v>4.6900000000000004</v>
      </c>
      <c r="E152" s="3"/>
      <c r="F152" s="3"/>
    </row>
    <row r="153" spans="1:6" x14ac:dyDescent="0.25">
      <c r="A153" s="26">
        <v>44593</v>
      </c>
      <c r="B153" t="s">
        <v>218</v>
      </c>
      <c r="C153" s="15">
        <v>4.8920000000000003</v>
      </c>
      <c r="D153" s="15">
        <v>4.8390000000000004</v>
      </c>
      <c r="E153" s="3"/>
      <c r="F153" s="3"/>
    </row>
    <row r="154" spans="1:6" x14ac:dyDescent="0.25">
      <c r="A154" s="26">
        <v>44621</v>
      </c>
      <c r="B154" t="s">
        <v>219</v>
      </c>
      <c r="C154" s="15">
        <v>5.87</v>
      </c>
      <c r="D154" s="15">
        <v>5.0960000000000001</v>
      </c>
      <c r="E154" s="3"/>
      <c r="F154" s="3"/>
    </row>
    <row r="155" spans="1:6" x14ac:dyDescent="0.25">
      <c r="A155" s="26">
        <v>44652</v>
      </c>
      <c r="B155" t="s">
        <v>220</v>
      </c>
      <c r="C155" s="15">
        <v>5.9980000000000002</v>
      </c>
      <c r="D155" s="15">
        <v>5.5869999999999997</v>
      </c>
      <c r="E155" s="3"/>
      <c r="F155" s="3"/>
    </row>
    <row r="156" spans="1:6" x14ac:dyDescent="0.25">
      <c r="A156" s="26">
        <v>44682</v>
      </c>
      <c r="B156" t="s">
        <v>221</v>
      </c>
      <c r="C156" s="15">
        <v>5.883</v>
      </c>
      <c r="D156" s="15">
        <v>5.9169999999999998</v>
      </c>
      <c r="E156" s="3">
        <v>5.5</v>
      </c>
      <c r="F156" s="3">
        <v>4.8</v>
      </c>
    </row>
    <row r="157" spans="1:6" x14ac:dyDescent="0.25">
      <c r="A157" s="26">
        <v>44713</v>
      </c>
      <c r="B157" t="s">
        <v>222</v>
      </c>
      <c r="C157" s="15">
        <v>6.2919999999999998</v>
      </c>
      <c r="D157" s="15">
        <v>6.0579999999999998</v>
      </c>
      <c r="E157" s="3">
        <v>5.7</v>
      </c>
      <c r="F157" s="3">
        <v>5.0999999999999996</v>
      </c>
    </row>
    <row r="158" spans="1:6" x14ac:dyDescent="0.25">
      <c r="A158" s="26">
        <v>44743</v>
      </c>
      <c r="B158" t="s">
        <v>223</v>
      </c>
      <c r="C158" s="15">
        <v>6.6680000000000001</v>
      </c>
      <c r="D158" s="15">
        <v>6.2809999999999997</v>
      </c>
      <c r="E158" s="3">
        <v>5.5</v>
      </c>
      <c r="F158" s="3">
        <v>5.2</v>
      </c>
    </row>
    <row r="159" spans="1:6" x14ac:dyDescent="0.25">
      <c r="A159" s="26">
        <v>44774</v>
      </c>
      <c r="B159" t="s">
        <v>224</v>
      </c>
      <c r="C159" s="15">
        <v>6.4340000000000002</v>
      </c>
      <c r="D159" s="15">
        <v>6.4649999999999999</v>
      </c>
      <c r="E159" s="3">
        <v>6.4</v>
      </c>
      <c r="F159" s="3">
        <v>5.5</v>
      </c>
    </row>
    <row r="160" spans="1:6" x14ac:dyDescent="0.25">
      <c r="A160" s="26">
        <v>44805</v>
      </c>
      <c r="B160" t="s">
        <v>225</v>
      </c>
      <c r="C160" s="15">
        <v>6.6379999999999999</v>
      </c>
      <c r="D160" s="15">
        <v>6.58</v>
      </c>
      <c r="E160" s="3">
        <v>6.5</v>
      </c>
      <c r="F160" s="3">
        <v>5.9</v>
      </c>
    </row>
    <row r="161" spans="1:6" x14ac:dyDescent="0.25">
      <c r="A161" s="26">
        <v>44835</v>
      </c>
      <c r="B161" t="s">
        <v>226</v>
      </c>
      <c r="C161" s="15">
        <v>6.2210000000000001</v>
      </c>
      <c r="D161" s="15">
        <v>6.431</v>
      </c>
      <c r="E161" s="3">
        <v>6.1</v>
      </c>
      <c r="F161" s="3">
        <v>5.8</v>
      </c>
    </row>
    <row r="162" spans="1:6" x14ac:dyDescent="0.25">
      <c r="A162" s="26">
        <v>44866</v>
      </c>
      <c r="B162" t="s">
        <v>227</v>
      </c>
      <c r="C162" s="15">
        <v>5.7469999999999999</v>
      </c>
      <c r="D162" s="15">
        <v>6.202</v>
      </c>
      <c r="E162" s="3">
        <v>6.1</v>
      </c>
      <c r="F162" s="3">
        <v>5.8</v>
      </c>
    </row>
    <row r="163" spans="1:6" x14ac:dyDescent="0.25">
      <c r="A163" s="26">
        <v>44896</v>
      </c>
      <c r="B163" t="s">
        <v>228</v>
      </c>
      <c r="C163" s="15">
        <v>5.7830000000000004</v>
      </c>
      <c r="D163" s="15">
        <v>5.9169999999999998</v>
      </c>
      <c r="E163" s="3">
        <v>6.6</v>
      </c>
      <c r="F163" s="3">
        <v>6.3</v>
      </c>
    </row>
    <row r="164" spans="1:6" x14ac:dyDescent="0.25">
      <c r="A164" s="26">
        <v>44927</v>
      </c>
      <c r="B164" t="s">
        <v>229</v>
      </c>
      <c r="C164" s="15">
        <v>5.8</v>
      </c>
      <c r="D164" s="15">
        <v>5.7770000000000001</v>
      </c>
      <c r="E164" s="3">
        <v>6.3</v>
      </c>
      <c r="F164" s="3">
        <v>5.7</v>
      </c>
    </row>
    <row r="165" spans="1:6" x14ac:dyDescent="0.25">
      <c r="A165" s="26">
        <v>44958</v>
      </c>
      <c r="B165" t="s">
        <v>230</v>
      </c>
      <c r="C165" s="15">
        <v>5.3879999999999999</v>
      </c>
      <c r="D165" s="15">
        <v>5.657</v>
      </c>
      <c r="E165" s="3">
        <v>6.6</v>
      </c>
      <c r="F165" s="3">
        <v>5.8</v>
      </c>
    </row>
    <row r="166" spans="1:6" x14ac:dyDescent="0.25">
      <c r="A166" s="26">
        <v>44986</v>
      </c>
      <c r="B166" t="s">
        <v>231</v>
      </c>
      <c r="C166" s="15">
        <v>5.3109999999999999</v>
      </c>
      <c r="D166" s="15">
        <v>5.4989999999999997</v>
      </c>
      <c r="E166" s="3">
        <v>6.5</v>
      </c>
      <c r="F166" s="3">
        <v>5.6</v>
      </c>
    </row>
    <row r="167" spans="1:6" x14ac:dyDescent="0.25">
      <c r="A167" s="26">
        <v>45017</v>
      </c>
      <c r="B167" t="s">
        <v>232</v>
      </c>
      <c r="C167" s="15">
        <v>5.9560000000000004</v>
      </c>
      <c r="D167" s="15">
        <v>5.5519999999999996</v>
      </c>
      <c r="E167" s="3">
        <v>6.6</v>
      </c>
      <c r="F167" s="3">
        <v>5.4</v>
      </c>
    </row>
    <row r="168" spans="1:6" x14ac:dyDescent="0.25">
      <c r="A168" s="26">
        <v>45047</v>
      </c>
      <c r="B168" t="s">
        <v>233</v>
      </c>
      <c r="C168" s="15">
        <v>5.1420000000000003</v>
      </c>
      <c r="D168" s="15">
        <v>5.47</v>
      </c>
      <c r="E168" s="3">
        <v>6.8</v>
      </c>
      <c r="F168" s="3">
        <v>5.2</v>
      </c>
    </row>
    <row r="169" spans="1:6" x14ac:dyDescent="0.25">
      <c r="A169" s="26">
        <v>45078</v>
      </c>
      <c r="B169" t="s">
        <v>234</v>
      </c>
      <c r="C169" s="15">
        <v>4.867</v>
      </c>
      <c r="D169" s="15">
        <v>5.3220000000000001</v>
      </c>
      <c r="E169" s="3">
        <v>7.1</v>
      </c>
      <c r="F169" s="3">
        <v>5.3</v>
      </c>
    </row>
    <row r="170" spans="1:6" x14ac:dyDescent="0.25">
      <c r="A170" s="26">
        <v>45108</v>
      </c>
      <c r="B170" t="s">
        <v>235</v>
      </c>
      <c r="C170" s="15">
        <v>5.5880000000000001</v>
      </c>
      <c r="D170" s="15">
        <v>5.1989999999999998</v>
      </c>
      <c r="E170" s="3">
        <v>6.7</v>
      </c>
      <c r="F170" s="3">
        <v>5</v>
      </c>
    </row>
    <row r="171" spans="1:6" x14ac:dyDescent="0.25">
      <c r="A171" s="26">
        <v>45139</v>
      </c>
      <c r="B171" t="s">
        <v>236</v>
      </c>
      <c r="C171" s="15">
        <v>4.4950000000000001</v>
      </c>
      <c r="D171" s="15">
        <v>4.9829999999999997</v>
      </c>
      <c r="E171" s="3">
        <v>6.9</v>
      </c>
      <c r="F171" s="3">
        <v>5</v>
      </c>
    </row>
    <row r="172" spans="1:6" x14ac:dyDescent="0.25">
      <c r="A172" s="26">
        <v>45170</v>
      </c>
      <c r="B172" t="s">
        <v>237</v>
      </c>
      <c r="C172" s="15">
        <v>4.3840000000000003</v>
      </c>
      <c r="D172" s="15">
        <v>4.8220000000000001</v>
      </c>
      <c r="E172" s="3">
        <v>7.1</v>
      </c>
      <c r="F172" s="3">
        <v>5.2</v>
      </c>
    </row>
    <row r="173" spans="1:6" x14ac:dyDescent="0.25">
      <c r="A173" s="26">
        <v>45200</v>
      </c>
      <c r="B173" t="s">
        <v>238</v>
      </c>
      <c r="C173" s="15">
        <v>4.6980000000000004</v>
      </c>
      <c r="D173" s="15">
        <v>4.5259999999999998</v>
      </c>
      <c r="E173" s="3">
        <v>6.8</v>
      </c>
      <c r="F173" s="3">
        <v>5.0999999999999996</v>
      </c>
    </row>
    <row r="174" spans="1:6" x14ac:dyDescent="0.25">
      <c r="A174" s="26">
        <v>45231</v>
      </c>
      <c r="B174" t="s">
        <v>239</v>
      </c>
      <c r="C174" s="15">
        <v>4.2569999999999997</v>
      </c>
      <c r="D174" s="15">
        <v>4.4459999999999997</v>
      </c>
      <c r="E174" s="3">
        <v>7</v>
      </c>
      <c r="F174" s="3">
        <v>5.0999999999999996</v>
      </c>
    </row>
    <row r="175" spans="1:6" x14ac:dyDescent="0.25">
      <c r="A175" s="26">
        <v>45261</v>
      </c>
      <c r="B175" t="s">
        <v>240</v>
      </c>
      <c r="C175" s="15">
        <v>4.1900000000000004</v>
      </c>
      <c r="D175" s="15">
        <v>4.3819999999999997</v>
      </c>
      <c r="E175" s="3">
        <v>7</v>
      </c>
      <c r="F175" s="3">
        <v>5.4</v>
      </c>
    </row>
    <row r="176" spans="1:6" x14ac:dyDescent="0.25">
      <c r="A176" s="26">
        <v>45292</v>
      </c>
      <c r="B176" t="s">
        <v>241</v>
      </c>
      <c r="C176" s="15">
        <v>4.5469999999999997</v>
      </c>
      <c r="D176" s="15">
        <v>4.3310000000000004</v>
      </c>
      <c r="E176" s="3">
        <v>6.5</v>
      </c>
      <c r="F176" s="3">
        <v>5.0999999999999996</v>
      </c>
    </row>
    <row r="177" spans="1:6" x14ac:dyDescent="0.25">
      <c r="A177" s="26">
        <v>45323</v>
      </c>
      <c r="B177" t="s">
        <v>242</v>
      </c>
      <c r="C177" s="15">
        <v>4.1059999999999999</v>
      </c>
      <c r="D177" s="15">
        <v>4.2809999999999997</v>
      </c>
      <c r="E177" s="3">
        <v>6.5</v>
      </c>
      <c r="F177" s="3">
        <v>4.9000000000000004</v>
      </c>
    </row>
    <row r="178" spans="1:6" x14ac:dyDescent="0.25">
      <c r="A178" s="26">
        <v>45352</v>
      </c>
      <c r="B178" t="s">
        <v>243</v>
      </c>
      <c r="C178" s="15">
        <v>3.6840000000000002</v>
      </c>
      <c r="D178" s="15">
        <v>4.1120000000000001</v>
      </c>
      <c r="E178" s="3">
        <v>6.1</v>
      </c>
      <c r="F178" s="3">
        <v>4.7</v>
      </c>
    </row>
    <row r="179" spans="1:6" x14ac:dyDescent="0.25">
      <c r="A179" s="26">
        <v>45383</v>
      </c>
      <c r="B179" t="s">
        <v>244</v>
      </c>
      <c r="C179" s="15">
        <v>4.2279999999999998</v>
      </c>
      <c r="D179" s="15">
        <v>4.0060000000000002</v>
      </c>
      <c r="E179" s="3">
        <v>5.9</v>
      </c>
      <c r="F179" s="3">
        <v>4.5999999999999996</v>
      </c>
    </row>
    <row r="180" spans="1:6" x14ac:dyDescent="0.25">
      <c r="A180" s="26">
        <v>45413</v>
      </c>
      <c r="B180" t="s">
        <v>245</v>
      </c>
      <c r="C180" s="15">
        <v>3.8210000000000002</v>
      </c>
      <c r="D180" s="15">
        <v>3.911</v>
      </c>
      <c r="E180" s="3">
        <v>6.1</v>
      </c>
      <c r="F180" s="3">
        <v>4.0999999999999996</v>
      </c>
    </row>
    <row r="181" spans="1:6" x14ac:dyDescent="0.25">
      <c r="A181" s="26">
        <v>45444</v>
      </c>
      <c r="B181" t="s">
        <v>246</v>
      </c>
      <c r="C181" s="15">
        <v>3.5640000000000001</v>
      </c>
      <c r="D181" s="15">
        <v>3.871</v>
      </c>
      <c r="E181" s="3">
        <v>5.9</v>
      </c>
      <c r="F18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Election result</vt:lpstr>
      <vt:lpstr>Election chart calculations</vt:lpstr>
      <vt:lpstr>DMP Chart Data</vt:lpstr>
      <vt:lpstr>HAVER</vt:lpstr>
      <vt:lpstr>Chart1</vt:lpstr>
      <vt:lpstr>Chart2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2024-07-04T14:49:35Z</dcterms:created>
  <dcterms:modified xsi:type="dcterms:W3CDTF">2024-07-08T12:43:03Z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2024-07-04T14:59:25Z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c33cf8e6-7a74-4595-bfd5-c63dba9b4a61</vt:lpwstr>
  </property>
  <property fmtid="{D5CDD505-2E9C-101B-9397-08002B2CF9AE}" pid="8" name="MSIP_Label_231f5784-19ed-4d1e-9a93-4ea41014d730_ContentBits">
    <vt:lpwstr>0</vt:lpwstr>
  </property>
</Properties>
</file>