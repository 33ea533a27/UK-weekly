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xecon-my.sharepoint.com/personal/eallenby_oxfordeconomics_com/Documents/Documents/2024-02/Weekly/1st weekly/"/>
    </mc:Choice>
  </mc:AlternateContent>
  <xr:revisionPtr revIDLastSave="413" documentId="13_ncr:1_{5E8EC1EF-1D75-47CC-9F65-60E57B1238C4}" xr6:coauthVersionLast="47" xr6:coauthVersionMax="47" xr10:uidLastSave="{ACCD1C6F-E92D-4F9E-85B3-75CDF3FF729B}"/>
  <bookViews>
    <workbookView xWindow="-110" yWindow="-110" windowWidth="19420" windowHeight="10300" xr2:uid="{F6BCF0D0-B5B3-4FD6-A2EA-1B6425987B53}"/>
  </bookViews>
  <sheets>
    <sheet name="Chart 1" sheetId="15" r:id="rId1"/>
    <sheet name="Chart 2" sheetId="10" r:id="rId2"/>
    <sheet name="Chart Data" sheetId="6" r:id="rId3"/>
    <sheet name="HAVER" sheetId="7" r:id="rId4"/>
    <sheet name="Model data" sheetId="3" r:id="rId5"/>
    <sheet name="GMW" sheetId="2" r:id="rId6"/>
  </sheets>
  <externalReferences>
    <externalReference r:id="rId7"/>
  </externalReferences>
  <definedNames>
    <definedName name="_DLX1.INC">#REF!</definedName>
    <definedName name="_DLX2.INC">HAVER!$A$3:$C$8</definedName>
    <definedName name="_DLX3.INC">HAVER!$G$3:$I$8</definedName>
    <definedName name="Annual_Data" localSheetId="5">GMW!$A$1:$A$2</definedName>
    <definedName name="Data">[1]sheet0!$C$2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6" l="1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H37" i="6"/>
  <c r="G22" i="6"/>
  <c r="G21" i="6"/>
  <c r="G20" i="6"/>
  <c r="G19" i="6"/>
  <c r="G18" i="6"/>
  <c r="G17" i="6"/>
  <c r="G16" i="6"/>
  <c r="G15" i="6"/>
  <c r="G14" i="6"/>
  <c r="G13" i="6"/>
  <c r="G12" i="6"/>
  <c r="G11" i="6"/>
  <c r="G6" i="6"/>
  <c r="G7" i="6"/>
  <c r="G8" i="6"/>
  <c r="G9" i="6"/>
  <c r="G10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G35" i="6"/>
  <c r="H35" i="6"/>
  <c r="G36" i="6"/>
  <c r="H36" i="6"/>
  <c r="G37" i="6"/>
  <c r="G5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5" i="6"/>
  <c r="C8" i="3" l="1" a="1"/>
  <c r="C8" i="3" s="1"/>
  <c r="C7" i="3" a="1"/>
  <c r="C7" i="3" s="1"/>
  <c r="B8" i="3"/>
  <c r="B9" i="3" l="1"/>
  <c r="C9" i="3" l="1" a="1"/>
  <c r="C9" i="3" s="1"/>
  <c r="B10" i="3"/>
  <c r="C10" i="3" l="1" a="1"/>
  <c r="C10" i="3" s="1"/>
  <c r="B11" i="3"/>
  <c r="C11" i="3" l="1" a="1"/>
  <c r="C11" i="3" s="1"/>
  <c r="B12" i="3"/>
  <c r="C12" i="3" l="1" a="1"/>
  <c r="C12" i="3" s="1"/>
  <c r="B13" i="3"/>
  <c r="C13" i="3" l="1" a="1"/>
  <c r="C13" i="3" s="1"/>
  <c r="B14" i="3"/>
  <c r="C14" i="3" l="1" a="1"/>
  <c r="C14" i="3" s="1"/>
  <c r="B15" i="3"/>
  <c r="C15" i="3" l="1" a="1"/>
  <c r="C15" i="3" s="1"/>
  <c r="B16" i="3"/>
  <c r="C16" i="3" l="1" a="1"/>
  <c r="C16" i="3" s="1"/>
  <c r="B17" i="3"/>
  <c r="C17" i="3" l="1" a="1"/>
  <c r="C17" i="3" s="1"/>
  <c r="B18" i="3"/>
  <c r="C18" i="3" l="1" a="1"/>
  <c r="C18" i="3" s="1"/>
  <c r="B19" i="3"/>
  <c r="C19" i="3" l="1" a="1"/>
  <c r="C19" i="3" s="1"/>
  <c r="B20" i="3"/>
  <c r="C20" i="3" l="1" a="1"/>
  <c r="C20" i="3" s="1"/>
  <c r="B21" i="3"/>
  <c r="C21" i="3" l="1" a="1"/>
  <c r="C21" i="3" s="1"/>
  <c r="B22" i="3"/>
  <c r="C22" i="3" l="1" a="1"/>
  <c r="C22" i="3" s="1"/>
  <c r="B23" i="3"/>
  <c r="C23" i="3" l="1" a="1"/>
  <c r="C23" i="3" s="1"/>
  <c r="B24" i="3"/>
  <c r="C24" i="3" l="1" a="1"/>
  <c r="C24" i="3" s="1"/>
  <c r="B25" i="3"/>
  <c r="C25" i="3" l="1" a="1"/>
  <c r="C25" i="3" s="1"/>
  <c r="B26" i="3"/>
  <c r="C26" i="3" l="1" a="1"/>
  <c r="C26" i="3" s="1"/>
  <c r="B27" i="3"/>
  <c r="C27" i="3" l="1" a="1"/>
  <c r="C27" i="3" s="1"/>
  <c r="B28" i="3"/>
  <c r="C28" i="3" l="1" a="1"/>
  <c r="C28" i="3" s="1"/>
  <c r="B29" i="3"/>
  <c r="C29" i="3" l="1" a="1"/>
  <c r="C29" i="3" s="1"/>
  <c r="B30" i="3"/>
  <c r="C30" i="3" l="1" a="1"/>
  <c r="C30" i="3" s="1"/>
  <c r="B31" i="3"/>
  <c r="C31" i="3" l="1" a="1"/>
  <c r="C31" i="3" s="1"/>
  <c r="B32" i="3"/>
  <c r="C32" i="3" l="1" a="1"/>
  <c r="C32" i="3" s="1"/>
  <c r="B33" i="3"/>
  <c r="C33" i="3" l="1" a="1"/>
  <c r="C33" i="3" s="1"/>
  <c r="B34" i="3"/>
  <c r="C34" i="3" l="1" a="1"/>
  <c r="C34" i="3" s="1"/>
  <c r="B35" i="3"/>
  <c r="C35" i="3" l="1" a="1"/>
  <c r="C35" i="3" s="1"/>
  <c r="B36" i="3"/>
  <c r="C36" i="3" l="1" a="1"/>
  <c r="C36" i="3" s="1"/>
  <c r="B37" i="3"/>
  <c r="C37" i="3" l="1" a="1"/>
  <c r="C37" i="3" s="1"/>
  <c r="B38" i="3"/>
  <c r="C38" i="3" l="1" a="1"/>
  <c r="C38" i="3" s="1"/>
  <c r="B39" i="3"/>
  <c r="C39" i="3" l="1" a="1"/>
  <c r="C39" i="3" s="1"/>
  <c r="B40" i="3"/>
  <c r="C40" i="3" l="1" a="1"/>
  <c r="C40" i="3" s="1"/>
  <c r="B41" i="3"/>
  <c r="C41" i="3" l="1" a="1"/>
  <c r="C41" i="3" s="1"/>
  <c r="B42" i="3"/>
  <c r="C42" i="3" l="1" a="1"/>
  <c r="C42" i="3" s="1"/>
  <c r="B43" i="3"/>
  <c r="C43" i="3" l="1" a="1"/>
  <c r="C43" i="3" s="1"/>
  <c r="B44" i="3"/>
  <c r="C44" i="3" l="1" a="1"/>
  <c r="C44" i="3" s="1"/>
  <c r="B45" i="3"/>
  <c r="C45" i="3" l="1" a="1"/>
  <c r="C45" i="3" s="1"/>
  <c r="B46" i="3"/>
  <c r="C46" i="3" l="1" a="1"/>
  <c r="C46" i="3" s="1"/>
  <c r="B47" i="3"/>
  <c r="C47" i="3" l="1" a="1"/>
  <c r="C47" i="3" s="1"/>
  <c r="B48" i="3"/>
  <c r="C48" i="3" l="1" a="1"/>
  <c r="C48" i="3" s="1"/>
  <c r="B49" i="3"/>
  <c r="C49" i="3" l="1" a="1"/>
  <c r="C49" i="3" s="1"/>
  <c r="B50" i="3"/>
  <c r="C50" i="3" l="1" a="1"/>
  <c r="C50" i="3" s="1"/>
  <c r="B51" i="3"/>
  <c r="C51" i="3" l="1" a="1"/>
  <c r="C51" i="3" s="1"/>
  <c r="B52" i="3"/>
  <c r="C52" i="3" l="1" a="1"/>
  <c r="C52" i="3" s="1"/>
  <c r="B53" i="3"/>
  <c r="C53" i="3" l="1" a="1"/>
  <c r="C53" i="3" s="1"/>
  <c r="B54" i="3"/>
  <c r="C54" i="3" l="1" a="1"/>
  <c r="C54" i="3" s="1"/>
  <c r="B55" i="3"/>
  <c r="C55" i="3" l="1" a="1"/>
  <c r="C55" i="3" s="1"/>
  <c r="B56" i="3"/>
  <c r="C56" i="3" l="1" a="1"/>
  <c r="C56" i="3" s="1"/>
  <c r="B57" i="3"/>
  <c r="C57" i="3" l="1" a="1"/>
  <c r="C57" i="3" s="1"/>
  <c r="B58" i="3"/>
  <c r="C58" i="3" l="1" a="1"/>
  <c r="C58" i="3" s="1"/>
  <c r="B59" i="3"/>
  <c r="C59" i="3" l="1" a="1"/>
  <c r="C59" i="3" s="1"/>
  <c r="B60" i="3"/>
  <c r="C60" i="3" l="1" a="1"/>
  <c r="C60" i="3" s="1"/>
  <c r="B61" i="3"/>
  <c r="C61" i="3" l="1" a="1"/>
  <c r="C61" i="3" s="1"/>
  <c r="B62" i="3"/>
  <c r="C62" i="3" l="1" a="1"/>
  <c r="C62" i="3" s="1"/>
  <c r="B63" i="3"/>
  <c r="C63" i="3" l="1" a="1"/>
  <c r="C63" i="3" s="1"/>
  <c r="B64" i="3"/>
  <c r="C64" i="3" l="1" a="1"/>
  <c r="C64" i="3" s="1"/>
  <c r="B65" i="3"/>
  <c r="C65" i="3" l="1" a="1"/>
  <c r="C65" i="3" s="1"/>
  <c r="B66" i="3"/>
  <c r="C66" i="3" l="1" a="1"/>
  <c r="C66" i="3" s="1"/>
  <c r="B67" i="3"/>
  <c r="C67" i="3" l="1" a="1"/>
  <c r="C67" i="3" s="1"/>
  <c r="B68" i="3"/>
  <c r="C68" i="3" l="1" a="1"/>
  <c r="C68" i="3" s="1"/>
  <c r="B69" i="3"/>
  <c r="C69" i="3" l="1" a="1"/>
  <c r="C69" i="3" s="1"/>
  <c r="B70" i="3"/>
  <c r="C70" i="3" l="1" a="1"/>
  <c r="C70" i="3" s="1"/>
  <c r="B71" i="3"/>
  <c r="C71" i="3" l="1" a="1"/>
  <c r="C71" i="3" s="1"/>
  <c r="B72" i="3"/>
  <c r="C72" i="3" l="1" a="1"/>
  <c r="C72" i="3" s="1"/>
  <c r="B73" i="3"/>
  <c r="C73" i="3" l="1" a="1"/>
  <c r="C73" i="3" s="1"/>
  <c r="B74" i="3"/>
  <c r="C74" i="3" l="1" a="1"/>
  <c r="C74" i="3" s="1"/>
  <c r="B75" i="3"/>
  <c r="C75" i="3" l="1" a="1"/>
  <c r="C75" i="3" s="1"/>
  <c r="B76" i="3"/>
  <c r="C76" i="3" l="1" a="1"/>
  <c r="C76" i="3" s="1"/>
  <c r="B77" i="3"/>
  <c r="C77" i="3" l="1" a="1"/>
  <c r="C77" i="3" s="1"/>
  <c r="B78" i="3"/>
  <c r="C78" i="3" l="1" a="1"/>
  <c r="C78" i="3" s="1"/>
  <c r="B79" i="3"/>
  <c r="C79" i="3" l="1" a="1"/>
  <c r="C79" i="3" s="1"/>
  <c r="B80" i="3"/>
  <c r="C80" i="3" l="1" a="1"/>
  <c r="C80" i="3" s="1"/>
  <c r="B81" i="3"/>
  <c r="C81" i="3" l="1" a="1"/>
  <c r="C81" i="3" s="1"/>
  <c r="B82" i="3"/>
  <c r="C82" i="3" l="1" a="1"/>
  <c r="C82" i="3" s="1"/>
  <c r="B83" i="3"/>
  <c r="C83" i="3" l="1" a="1"/>
  <c r="C83" i="3" s="1"/>
  <c r="B84" i="3"/>
  <c r="C84" i="3" l="1" a="1"/>
  <c r="C84" i="3" s="1"/>
  <c r="B85" i="3"/>
  <c r="C85" i="3" l="1" a="1"/>
  <c r="C85" i="3" s="1"/>
  <c r="B86" i="3"/>
  <c r="C86" i="3" l="1" a="1"/>
  <c r="C86" i="3" s="1"/>
  <c r="B87" i="3"/>
  <c r="C87" i="3" l="1" a="1"/>
  <c r="C87" i="3" s="1"/>
  <c r="B88" i="3"/>
  <c r="C88" i="3" l="1" a="1"/>
  <c r="C88" i="3" s="1"/>
  <c r="B89" i="3"/>
  <c r="C89" i="3" l="1" a="1"/>
  <c r="C89" i="3" s="1"/>
  <c r="B90" i="3"/>
  <c r="C90" i="3" l="1" a="1"/>
  <c r="C90" i="3" s="1"/>
  <c r="B91" i="3"/>
  <c r="C91" i="3" l="1" a="1"/>
  <c r="C91" i="3" s="1"/>
  <c r="B92" i="3"/>
  <c r="C92" i="3" l="1" a="1"/>
  <c r="C92" i="3" s="1"/>
  <c r="B93" i="3"/>
  <c r="C93" i="3" l="1" a="1"/>
  <c r="C93" i="3" s="1"/>
  <c r="B94" i="3"/>
  <c r="C94" i="3" l="1" a="1"/>
  <c r="C94" i="3" s="1"/>
  <c r="B95" i="3"/>
  <c r="C95" i="3" l="1" a="1"/>
  <c r="C95" i="3" s="1"/>
  <c r="B96" i="3"/>
  <c r="C96" i="3" l="1" a="1"/>
  <c r="C96" i="3" s="1"/>
  <c r="B97" i="3"/>
  <c r="C97" i="3" l="1" a="1"/>
  <c r="C97" i="3" s="1"/>
  <c r="B98" i="3"/>
  <c r="C98" i="3" l="1" a="1"/>
  <c r="C98" i="3" s="1"/>
  <c r="B99" i="3"/>
  <c r="C99" i="3" l="1" a="1"/>
  <c r="C99" i="3" s="1"/>
  <c r="B100" i="3"/>
  <c r="C100" i="3" l="1" a="1"/>
  <c r="C100" i="3" s="1"/>
  <c r="B101" i="3"/>
  <c r="C101" i="3" l="1" a="1"/>
  <c r="C101" i="3" s="1"/>
  <c r="B102" i="3"/>
  <c r="C102" i="3" l="1" a="1"/>
  <c r="C102" i="3" s="1"/>
  <c r="B103" i="3"/>
  <c r="C103" i="3" l="1" a="1"/>
  <c r="C103" i="3" s="1"/>
  <c r="B104" i="3"/>
  <c r="C104" i="3" l="1" a="1"/>
  <c r="C104" i="3" s="1"/>
  <c r="B105" i="3"/>
  <c r="C105" i="3" l="1" a="1"/>
  <c r="C105" i="3" s="1"/>
  <c r="B106" i="3"/>
  <c r="C106" i="3" l="1" a="1"/>
  <c r="C106" i="3" s="1"/>
  <c r="B107" i="3"/>
  <c r="C107" i="3" l="1" a="1"/>
  <c r="C107" i="3" s="1"/>
  <c r="B108" i="3"/>
  <c r="C108" i="3" l="1" a="1"/>
  <c r="C108" i="3" s="1"/>
  <c r="B109" i="3"/>
  <c r="C109" i="3" l="1" a="1"/>
  <c r="C109" i="3" s="1"/>
  <c r="B110" i="3"/>
  <c r="C110" i="3" l="1" a="1"/>
  <c r="C110" i="3" s="1"/>
  <c r="B111" i="3"/>
  <c r="C111" i="3" l="1" a="1"/>
  <c r="C111" i="3" s="1"/>
  <c r="B112" i="3"/>
  <c r="C112" i="3" l="1" a="1"/>
  <c r="C112" i="3" s="1"/>
  <c r="B113" i="3"/>
  <c r="C113" i="3" l="1" a="1"/>
  <c r="C113" i="3" s="1"/>
  <c r="B114" i="3"/>
  <c r="C114" i="3" l="1" a="1"/>
  <c r="C114" i="3" s="1"/>
  <c r="B115" i="3"/>
  <c r="C115" i="3" l="1" a="1"/>
  <c r="C115" i="3" s="1"/>
  <c r="B116" i="3"/>
  <c r="C116" i="3" l="1" a="1"/>
  <c r="C116" i="3" s="1"/>
  <c r="B117" i="3"/>
  <c r="C117" i="3" l="1" a="1"/>
  <c r="C117" i="3" s="1"/>
  <c r="B118" i="3"/>
  <c r="C118" i="3" l="1" a="1"/>
  <c r="C118" i="3" s="1"/>
  <c r="B119" i="3"/>
  <c r="C119" i="3" l="1" a="1"/>
  <c r="C119" i="3" s="1"/>
  <c r="B120" i="3"/>
  <c r="C120" i="3" l="1" a="1"/>
  <c r="C120" i="3" s="1"/>
  <c r="B121" i="3"/>
  <c r="C121" i="3" l="1" a="1"/>
  <c r="C121" i="3" s="1"/>
  <c r="B122" i="3"/>
  <c r="C122" i="3" l="1" a="1"/>
  <c r="C122" i="3" s="1"/>
  <c r="B123" i="3"/>
  <c r="C123" i="3" l="1" a="1"/>
  <c r="C123" i="3" s="1"/>
  <c r="B124" i="3"/>
  <c r="C124" i="3" l="1" a="1"/>
  <c r="C124" i="3" s="1"/>
  <c r="B125" i="3"/>
  <c r="C125" i="3" l="1" a="1"/>
  <c r="C125" i="3" s="1"/>
  <c r="B126" i="3"/>
  <c r="C126" i="3" l="1" a="1"/>
  <c r="C126" i="3" s="1"/>
  <c r="B127" i="3"/>
  <c r="C127" i="3" l="1" a="1"/>
  <c r="C127" i="3" s="1"/>
  <c r="B128" i="3"/>
  <c r="C128" i="3" l="1" a="1"/>
  <c r="C128" i="3" s="1"/>
  <c r="B129" i="3"/>
  <c r="C129" i="3" l="1" a="1"/>
  <c r="C129" i="3" s="1"/>
  <c r="B130" i="3"/>
  <c r="C130" i="3" l="1" a="1"/>
  <c r="C130" i="3" s="1"/>
  <c r="B131" i="3"/>
  <c r="C131" i="3" l="1" a="1"/>
  <c r="C131" i="3" s="1"/>
  <c r="B132" i="3"/>
  <c r="C132" i="3" l="1" a="1"/>
  <c r="C132" i="3" s="1"/>
  <c r="B133" i="3"/>
  <c r="C133" i="3" l="1" a="1"/>
  <c r="C133" i="3" s="1"/>
  <c r="B134" i="3"/>
  <c r="C134" i="3" l="1" a="1"/>
  <c r="C134" i="3" s="1"/>
  <c r="B135" i="3"/>
  <c r="C135" i="3" l="1" a="1"/>
  <c r="C135" i="3" s="1"/>
  <c r="B136" i="3"/>
  <c r="C136" i="3" l="1" a="1"/>
  <c r="C136" i="3" s="1"/>
  <c r="B137" i="3"/>
  <c r="C137" i="3" l="1" a="1"/>
  <c r="C137" i="3" s="1"/>
  <c r="B138" i="3"/>
  <c r="C138" i="3" l="1" a="1"/>
  <c r="C138" i="3" s="1"/>
  <c r="B139" i="3"/>
  <c r="C139" i="3" l="1" a="1"/>
  <c r="C139" i="3" s="1"/>
  <c r="B140" i="3"/>
  <c r="C140" i="3" l="1" a="1"/>
  <c r="C140" i="3" s="1"/>
  <c r="B141" i="3"/>
  <c r="C141" i="3" l="1" a="1"/>
  <c r="C141" i="3" s="1"/>
  <c r="B142" i="3"/>
  <c r="C142" i="3" l="1" a="1"/>
  <c r="C142" i="3" s="1"/>
  <c r="B143" i="3"/>
  <c r="C143" i="3" l="1" a="1"/>
  <c r="C143" i="3" s="1"/>
  <c r="B144" i="3"/>
  <c r="C144" i="3" l="1" a="1"/>
  <c r="C144" i="3" s="1"/>
  <c r="B145" i="3"/>
  <c r="C145" i="3" l="1" a="1"/>
  <c r="C145" i="3" s="1"/>
  <c r="B146" i="3"/>
  <c r="C146" i="3" l="1" a="1"/>
  <c r="C146" i="3" s="1"/>
  <c r="B147" i="3"/>
  <c r="C147" i="3" l="1" a="1"/>
  <c r="C147" i="3" s="1"/>
  <c r="B148" i="3"/>
  <c r="C148" i="3" l="1" a="1"/>
  <c r="C148" i="3" s="1"/>
  <c r="B149" i="3"/>
  <c r="C149" i="3" l="1" a="1"/>
  <c r="C149" i="3" s="1"/>
  <c r="B150" i="3"/>
  <c r="C150" i="3" l="1" a="1"/>
  <c r="C150" i="3" s="1"/>
  <c r="B151" i="3"/>
  <c r="C151" i="3" l="1" a="1"/>
  <c r="C151" i="3" s="1"/>
  <c r="B152" i="3"/>
  <c r="C152" i="3" l="1" a="1"/>
  <c r="C152" i="3" s="1"/>
  <c r="B153" i="3"/>
  <c r="C153" i="3" l="1" a="1"/>
  <c r="C153" i="3" s="1"/>
  <c r="B154" i="3"/>
  <c r="C154" i="3" l="1" a="1"/>
  <c r="C154" i="3" s="1"/>
  <c r="B155" i="3"/>
  <c r="C155" i="3" l="1" a="1"/>
  <c r="C155" i="3" s="1"/>
  <c r="B156" i="3"/>
  <c r="C156" i="3" l="1" a="1"/>
  <c r="C156" i="3" s="1"/>
  <c r="B157" i="3"/>
  <c r="C157" i="3" l="1" a="1"/>
  <c r="C157" i="3" s="1"/>
  <c r="B158" i="3"/>
  <c r="C158" i="3" l="1" a="1"/>
  <c r="C158" i="3" s="1"/>
  <c r="B159" i="3"/>
  <c r="C159" i="3" l="1" a="1"/>
  <c r="C159" i="3" s="1"/>
  <c r="B160" i="3"/>
  <c r="C160" i="3" l="1" a="1"/>
  <c r="C160" i="3" s="1"/>
  <c r="B161" i="3"/>
  <c r="C161" i="3" l="1" a="1"/>
  <c r="C161" i="3" s="1"/>
  <c r="B162" i="3"/>
  <c r="C162" i="3" l="1" a="1"/>
  <c r="C162" i="3" s="1"/>
  <c r="B163" i="3"/>
  <c r="C163" i="3" l="1" a="1"/>
  <c r="C163" i="3" s="1"/>
  <c r="B164" i="3"/>
  <c r="C164" i="3" l="1" a="1"/>
  <c r="C164" i="3" s="1"/>
  <c r="B165" i="3"/>
  <c r="C165" i="3" l="1" a="1"/>
  <c r="C165" i="3" s="1"/>
  <c r="B166" i="3"/>
  <c r="C166" i="3" l="1" a="1"/>
  <c r="C166" i="3" s="1"/>
  <c r="B167" i="3"/>
  <c r="C167" i="3" l="1" a="1"/>
  <c r="C167" i="3" s="1"/>
  <c r="B168" i="3"/>
  <c r="C168" i="3" l="1" a="1"/>
  <c r="C168" i="3" s="1"/>
  <c r="B169" i="3"/>
  <c r="C169" i="3" l="1" a="1"/>
  <c r="C169" i="3" s="1"/>
  <c r="B170" i="3"/>
  <c r="C170" i="3" l="1" a="1"/>
  <c r="C170" i="3" s="1"/>
  <c r="B171" i="3"/>
  <c r="C171" i="3" l="1" a="1"/>
  <c r="C171" i="3" s="1"/>
  <c r="B172" i="3"/>
  <c r="C172" i="3" l="1" a="1"/>
  <c r="C172" i="3" s="1"/>
  <c r="B173" i="3"/>
  <c r="C173" i="3" l="1" a="1"/>
  <c r="C173" i="3" s="1"/>
  <c r="B174" i="3"/>
  <c r="C174" i="3" l="1" a="1"/>
  <c r="C174" i="3" s="1"/>
  <c r="B175" i="3"/>
  <c r="C175" i="3" l="1" a="1"/>
  <c r="C175" i="3" s="1"/>
  <c r="B176" i="3"/>
  <c r="C176" i="3" l="1" a="1"/>
  <c r="C176" i="3" s="1"/>
  <c r="B177" i="3"/>
  <c r="C177" i="3" l="1" a="1"/>
  <c r="C177" i="3" s="1"/>
  <c r="B178" i="3"/>
  <c r="C178" i="3" l="1" a="1"/>
  <c r="C178" i="3" s="1"/>
  <c r="B179" i="3"/>
  <c r="C179" i="3" l="1" a="1"/>
  <c r="C179" i="3" s="1"/>
  <c r="B180" i="3"/>
  <c r="C180" i="3" l="1" a="1"/>
  <c r="C180" i="3" s="1"/>
  <c r="B181" i="3"/>
  <c r="C181" i="3" l="1" a="1"/>
  <c r="C181" i="3" s="1"/>
  <c r="B182" i="3"/>
  <c r="C182" i="3" l="1" a="1"/>
  <c r="C182" i="3" s="1"/>
  <c r="B183" i="3"/>
  <c r="C183" i="3" l="1" a="1"/>
  <c r="C183" i="3" s="1"/>
  <c r="B184" i="3"/>
  <c r="C184" i="3" l="1" a="1"/>
  <c r="C184" i="3" s="1"/>
  <c r="B185" i="3"/>
  <c r="C185" i="3" l="1" a="1"/>
  <c r="C185" i="3" s="1"/>
  <c r="B186" i="3"/>
  <c r="C186" i="3" l="1" a="1"/>
  <c r="C186" i="3" s="1"/>
  <c r="B187" i="3"/>
  <c r="C187" i="3" l="1" a="1"/>
  <c r="C187" i="3" s="1"/>
  <c r="B188" i="3"/>
  <c r="C188" i="3" l="1" a="1"/>
  <c r="C188" i="3" s="1"/>
  <c r="B189" i="3"/>
  <c r="C189" i="3" l="1" a="1"/>
  <c r="C189" i="3" s="1"/>
  <c r="B190" i="3"/>
  <c r="C190" i="3" l="1" a="1"/>
  <c r="C190" i="3" s="1"/>
  <c r="B191" i="3"/>
  <c r="C191" i="3" l="1" a="1"/>
  <c r="C191" i="3" s="1"/>
  <c r="B192" i="3"/>
  <c r="C192" i="3" l="1" a="1"/>
  <c r="C192" i="3" s="1"/>
  <c r="B193" i="3"/>
  <c r="C193" i="3" l="1" a="1"/>
  <c r="C193" i="3" s="1"/>
  <c r="B194" i="3"/>
  <c r="C194" i="3" l="1" a="1"/>
  <c r="C194" i="3" s="1"/>
  <c r="B195" i="3"/>
  <c r="C195" i="3" l="1" a="1"/>
  <c r="C195" i="3" s="1"/>
  <c r="B196" i="3"/>
  <c r="C196" i="3" l="1" a="1"/>
  <c r="C196" i="3" s="1"/>
  <c r="B197" i="3"/>
  <c r="C197" i="3" l="1" a="1"/>
  <c r="C197" i="3" s="1"/>
  <c r="B198" i="3"/>
  <c r="C198" i="3" l="1" a="1"/>
  <c r="C198" i="3" s="1"/>
  <c r="B199" i="3"/>
  <c r="C199" i="3" l="1" a="1"/>
  <c r="C199" i="3" s="1"/>
  <c r="B200" i="3"/>
  <c r="C200" i="3" l="1" a="1"/>
  <c r="C200" i="3" s="1"/>
  <c r="B201" i="3"/>
  <c r="C201" i="3" l="1" a="1"/>
  <c r="C201" i="3" s="1"/>
  <c r="B202" i="3"/>
  <c r="C202" i="3" l="1" a="1"/>
  <c r="C202" i="3" s="1"/>
  <c r="B203" i="3"/>
  <c r="C203" i="3" l="1" a="1"/>
  <c r="C203" i="3" s="1"/>
  <c r="B204" i="3"/>
  <c r="C204" i="3" l="1" a="1"/>
  <c r="C204" i="3" s="1"/>
  <c r="B205" i="3"/>
  <c r="C205" i="3" l="1" a="1"/>
  <c r="C205" i="3" s="1"/>
  <c r="B206" i="3"/>
  <c r="C206" i="3" l="1" a="1"/>
  <c r="C206" i="3" s="1"/>
  <c r="B207" i="3"/>
  <c r="C207" i="3" l="1" a="1"/>
  <c r="C207" i="3" s="1"/>
  <c r="B208" i="3"/>
  <c r="C208" i="3" l="1" a="1"/>
  <c r="C208" i="3" s="1"/>
  <c r="B209" i="3"/>
  <c r="C209" i="3" l="1" a="1"/>
  <c r="C209" i="3" s="1"/>
  <c r="B210" i="3"/>
  <c r="C210" i="3" l="1" a="1"/>
  <c r="C210" i="3" s="1"/>
  <c r="B211" i="3"/>
  <c r="C211" i="3" l="1" a="1"/>
  <c r="C211" i="3" s="1"/>
  <c r="B212" i="3"/>
  <c r="C212" i="3" l="1" a="1"/>
  <c r="C212" i="3" s="1"/>
  <c r="B213" i="3"/>
  <c r="C213" i="3" l="1" a="1"/>
  <c r="C213" i="3" s="1"/>
  <c r="B214" i="3"/>
  <c r="C214" i="3" l="1" a="1"/>
  <c r="C214" i="3" s="1"/>
  <c r="B215" i="3"/>
  <c r="C215" i="3" l="1" a="1"/>
  <c r="C215" i="3" s="1"/>
  <c r="B216" i="3"/>
  <c r="C216" i="3" l="1" a="1"/>
  <c r="C216" i="3" s="1"/>
  <c r="B217" i="3"/>
  <c r="C217" i="3" l="1" a="1"/>
  <c r="C217" i="3" s="1"/>
  <c r="B218" i="3"/>
  <c r="C218" i="3" l="1" a="1"/>
  <c r="C218" i="3" s="1"/>
  <c r="B219" i="3"/>
  <c r="C219" i="3" l="1" a="1"/>
  <c r="C219" i="3" s="1"/>
  <c r="B220" i="3"/>
  <c r="C220" i="3" l="1" a="1"/>
  <c r="C220" i="3" s="1"/>
  <c r="B221" i="3"/>
  <c r="C221" i="3" l="1" a="1"/>
  <c r="C221" i="3" s="1"/>
  <c r="B222" i="3"/>
  <c r="C222" i="3" l="1" a="1"/>
  <c r="C222" i="3" s="1"/>
  <c r="B223" i="3"/>
  <c r="C223" i="3" l="1" a="1"/>
  <c r="C223" i="3" s="1"/>
  <c r="B224" i="3"/>
  <c r="C224" i="3" l="1" a="1"/>
  <c r="C224" i="3" s="1"/>
  <c r="B225" i="3"/>
  <c r="C225" i="3" l="1" a="1"/>
  <c r="C225" i="3" s="1"/>
  <c r="B226" i="3"/>
  <c r="C226" i="3" l="1" a="1"/>
  <c r="C226" i="3" s="1"/>
  <c r="B227" i="3"/>
  <c r="C227" i="3" l="1" a="1"/>
  <c r="C227" i="3" s="1"/>
  <c r="B228" i="3"/>
  <c r="C228" i="3" l="1" a="1"/>
  <c r="C228" i="3" s="1"/>
  <c r="B229" i="3"/>
  <c r="C229" i="3" l="1" a="1"/>
  <c r="C229" i="3" s="1"/>
  <c r="B230" i="3"/>
  <c r="C230" i="3" l="1" a="1"/>
  <c r="C230" i="3" s="1"/>
  <c r="B231" i="3"/>
  <c r="C231" i="3" l="1" a="1"/>
  <c r="C231" i="3" s="1"/>
  <c r="B232" i="3"/>
  <c r="C232" i="3" l="1" a="1"/>
  <c r="C232" i="3" s="1"/>
  <c r="B233" i="3"/>
  <c r="C233" i="3" l="1" a="1"/>
  <c r="C233" i="3" s="1"/>
  <c r="B234" i="3"/>
  <c r="C234" i="3" l="1" a="1"/>
  <c r="C234" i="3" s="1"/>
  <c r="B235" i="3"/>
  <c r="C235" i="3" l="1" a="1"/>
  <c r="C235" i="3" s="1"/>
  <c r="B236" i="3"/>
  <c r="C236" i="3" l="1" a="1"/>
  <c r="C236" i="3" s="1"/>
  <c r="B237" i="3"/>
  <c r="C237" i="3" l="1" a="1"/>
  <c r="C237" i="3" s="1"/>
  <c r="B238" i="3"/>
  <c r="C238" i="3" l="1" a="1"/>
  <c r="C238" i="3" s="1"/>
  <c r="B239" i="3"/>
  <c r="C239" i="3" l="1" a="1"/>
  <c r="C239" i="3" s="1"/>
  <c r="B240" i="3"/>
  <c r="C240" i="3" l="1" a="1"/>
  <c r="C240" i="3" s="1"/>
  <c r="B241" i="3"/>
  <c r="C241" i="3" l="1" a="1"/>
  <c r="C241" i="3" s="1"/>
  <c r="B242" i="3"/>
  <c r="C242" i="3" l="1" a="1"/>
  <c r="C242" i="3" s="1"/>
  <c r="B243" i="3"/>
  <c r="C243" i="3" l="1" a="1"/>
  <c r="C243" i="3" s="1"/>
  <c r="B244" i="3"/>
  <c r="C244" i="3" l="1" a="1"/>
  <c r="C244" i="3" s="1"/>
  <c r="B245" i="3"/>
  <c r="C245" i="3" l="1" a="1"/>
  <c r="C245" i="3" s="1"/>
  <c r="B246" i="3"/>
  <c r="C246" i="3" l="1" a="1"/>
  <c r="C246" i="3" s="1"/>
  <c r="B247" i="3"/>
  <c r="C247" i="3" l="1" a="1"/>
  <c r="C247" i="3" s="1"/>
  <c r="B248" i="3"/>
  <c r="C248" i="3" l="1" a="1"/>
  <c r="C248" i="3" s="1"/>
  <c r="B249" i="3"/>
  <c r="C249" i="3" l="1" a="1"/>
  <c r="C249" i="3" s="1"/>
  <c r="B250" i="3"/>
  <c r="C250" i="3" l="1" a="1"/>
  <c r="C250" i="3" s="1"/>
  <c r="B251" i="3"/>
  <c r="C251" i="3" l="1" a="1"/>
  <c r="C251" i="3" s="1"/>
  <c r="B252" i="3"/>
  <c r="C252" i="3" l="1" a="1"/>
  <c r="C252" i="3" s="1"/>
  <c r="B253" i="3"/>
  <c r="C253" i="3" l="1" a="1"/>
  <c r="C253" i="3" s="1"/>
  <c r="B254" i="3"/>
  <c r="C254" i="3" l="1" a="1"/>
  <c r="C254" i="3" s="1"/>
  <c r="B255" i="3"/>
  <c r="C255" i="3" l="1" a="1"/>
  <c r="C255" i="3" s="1"/>
  <c r="B256" i="3"/>
  <c r="C256" i="3" l="1" a="1"/>
  <c r="C256" i="3" s="1"/>
  <c r="B257" i="3"/>
  <c r="C257" i="3" l="1" a="1"/>
  <c r="C257" i="3" s="1"/>
  <c r="B258" i="3"/>
  <c r="C258" i="3" l="1" a="1"/>
  <c r="C258" i="3" s="1"/>
  <c r="B259" i="3"/>
  <c r="C259" i="3" l="1" a="1"/>
  <c r="C259" i="3" s="1"/>
  <c r="B260" i="3"/>
  <c r="C260" i="3" l="1" a="1"/>
  <c r="C260" i="3" s="1"/>
  <c r="B261" i="3"/>
  <c r="C261" i="3" l="1" a="1"/>
  <c r="C261" i="3" s="1"/>
  <c r="B262" i="3"/>
  <c r="C262" i="3" l="1" a="1"/>
  <c r="C262" i="3" s="1"/>
  <c r="B263" i="3"/>
  <c r="C263" i="3" l="1" a="1"/>
  <c r="C263" i="3" s="1"/>
  <c r="B264" i="3"/>
  <c r="C264" i="3" l="1" a="1"/>
  <c r="C264" i="3" s="1"/>
  <c r="B265" i="3"/>
  <c r="C265" i="3" l="1" a="1"/>
  <c r="C265" i="3" s="1"/>
  <c r="B266" i="3"/>
  <c r="C266" i="3" l="1" a="1"/>
  <c r="C266" i="3" s="1"/>
  <c r="B267" i="3"/>
  <c r="C267" i="3" l="1" a="1"/>
  <c r="C267" i="3" s="1"/>
  <c r="B268" i="3"/>
  <c r="C268" i="3" l="1" a="1"/>
  <c r="C268" i="3" s="1"/>
  <c r="B269" i="3"/>
  <c r="C269" i="3" l="1" a="1"/>
  <c r="C269" i="3" s="1"/>
  <c r="B270" i="3"/>
  <c r="C270" i="3" l="1" a="1"/>
  <c r="C270" i="3" s="1"/>
  <c r="B271" i="3"/>
  <c r="C271" i="3" l="1" a="1"/>
  <c r="C271" i="3" s="1"/>
  <c r="B272" i="3"/>
  <c r="C272" i="3" l="1" a="1"/>
  <c r="C272" i="3" s="1"/>
  <c r="B273" i="3"/>
  <c r="C273" i="3" l="1" a="1"/>
  <c r="C273" i="3" s="1"/>
  <c r="B274" i="3"/>
  <c r="C274" i="3" l="1" a="1"/>
  <c r="C274" i="3" s="1"/>
  <c r="B275" i="3"/>
  <c r="C275" i="3" l="1" a="1"/>
  <c r="C275" i="3" s="1"/>
  <c r="B276" i="3"/>
  <c r="C276" i="3" l="1" a="1"/>
  <c r="C276" i="3" s="1"/>
  <c r="B277" i="3"/>
  <c r="C277" i="3" l="1" a="1"/>
  <c r="C277" i="3" s="1"/>
  <c r="B278" i="3"/>
  <c r="C278" i="3" l="1" a="1"/>
  <c r="C278" i="3" s="1"/>
  <c r="B279" i="3"/>
  <c r="C279" i="3" l="1" a="1"/>
  <c r="C279" i="3" s="1"/>
  <c r="B280" i="3"/>
  <c r="C280" i="3" l="1" a="1"/>
  <c r="C280" i="3" s="1"/>
  <c r="B281" i="3"/>
  <c r="C281" i="3" l="1" a="1"/>
  <c r="C281" i="3" s="1"/>
  <c r="B282" i="3"/>
  <c r="C282" i="3" l="1" a="1"/>
  <c r="C282" i="3" s="1"/>
  <c r="B283" i="3"/>
  <c r="C283" i="3" l="1" a="1"/>
  <c r="C283" i="3" s="1"/>
  <c r="B284" i="3"/>
  <c r="C284" i="3" l="1" a="1"/>
  <c r="C284" i="3" s="1"/>
  <c r="B285" i="3"/>
  <c r="C285" i="3" l="1" a="1"/>
  <c r="C285" i="3" s="1"/>
  <c r="B286" i="3"/>
  <c r="C286" i="3" l="1" a="1"/>
  <c r="C286" i="3" s="1"/>
  <c r="B287" i="3"/>
  <c r="C287" i="3" l="1" a="1"/>
  <c r="C287" i="3" s="1"/>
  <c r="B288" i="3"/>
  <c r="C288" i="3" l="1" a="1"/>
  <c r="C288" i="3" s="1"/>
  <c r="B289" i="3"/>
  <c r="C289" i="3" l="1" a="1"/>
  <c r="C289" i="3" s="1"/>
  <c r="B290" i="3"/>
  <c r="C290" i="3" l="1" a="1"/>
  <c r="C290" i="3" s="1"/>
  <c r="B291" i="3"/>
  <c r="C291" i="3" l="1" a="1"/>
  <c r="C291" i="3" s="1"/>
  <c r="B292" i="3"/>
  <c r="C292" i="3" l="1" a="1"/>
  <c r="C292" i="3" s="1"/>
  <c r="B293" i="3"/>
  <c r="C293" i="3" l="1" a="1"/>
  <c r="C293" i="3" s="1"/>
  <c r="B294" i="3"/>
  <c r="C294" i="3" l="1" a="1"/>
  <c r="C294" i="3" s="1"/>
  <c r="B295" i="3"/>
  <c r="C295" i="3" l="1" a="1"/>
  <c r="C295" i="3" s="1"/>
  <c r="B296" i="3"/>
  <c r="C296" i="3" l="1" a="1"/>
  <c r="C296" i="3" s="1"/>
  <c r="B297" i="3"/>
  <c r="C297" i="3" l="1" a="1"/>
  <c r="C297" i="3" s="1"/>
  <c r="B298" i="3"/>
  <c r="C298" i="3" l="1" a="1"/>
  <c r="C298" i="3" s="1"/>
  <c r="B299" i="3"/>
  <c r="C299" i="3" l="1" a="1"/>
  <c r="C299" i="3" s="1"/>
  <c r="B300" i="3"/>
  <c r="C300" i="3" l="1" a="1"/>
  <c r="C300" i="3" s="1"/>
  <c r="B301" i="3"/>
  <c r="C301" i="3" l="1" a="1"/>
  <c r="C301" i="3" s="1"/>
  <c r="B302" i="3"/>
  <c r="C302" i="3" l="1" a="1"/>
  <c r="C302" i="3" s="1"/>
  <c r="B303" i="3"/>
  <c r="C303" i="3" l="1" a="1"/>
  <c r="C303" i="3" s="1"/>
  <c r="B304" i="3"/>
  <c r="C304" i="3" l="1" a="1"/>
  <c r="C304" i="3" s="1"/>
  <c r="B305" i="3"/>
  <c r="C305" i="3" l="1" a="1"/>
  <c r="C305" i="3" s="1"/>
  <c r="B306" i="3"/>
  <c r="C306" i="3" l="1" a="1"/>
  <c r="C306" i="3" s="1"/>
  <c r="B307" i="3"/>
  <c r="C307" i="3" l="1" a="1"/>
  <c r="C307" i="3" s="1"/>
  <c r="B308" i="3"/>
  <c r="C308" i="3" l="1" a="1"/>
  <c r="C308" i="3" s="1"/>
  <c r="B309" i="3"/>
  <c r="C309" i="3" l="1" a="1"/>
  <c r="C309" i="3" s="1"/>
  <c r="B310" i="3"/>
  <c r="C310" i="3" l="1" a="1"/>
  <c r="C310" i="3" s="1"/>
  <c r="B311" i="3"/>
  <c r="C311" i="3" l="1" a="1"/>
  <c r="C311" i="3" s="1"/>
  <c r="B312" i="3"/>
  <c r="C312" i="3" l="1" a="1"/>
  <c r="C312" i="3" s="1"/>
  <c r="B313" i="3"/>
  <c r="C313" i="3" l="1" a="1"/>
  <c r="C313" i="3" s="1"/>
  <c r="B314" i="3"/>
  <c r="C314" i="3" l="1" a="1"/>
  <c r="C314" i="3" s="1"/>
  <c r="B315" i="3"/>
  <c r="C315" i="3" l="1" a="1"/>
  <c r="C315" i="3" s="1"/>
  <c r="B316" i="3"/>
  <c r="C316" i="3" l="1" a="1"/>
  <c r="C316" i="3" s="1"/>
  <c r="B317" i="3"/>
  <c r="C317" i="3" l="1" a="1"/>
  <c r="C317" i="3" s="1"/>
  <c r="B318" i="3"/>
  <c r="C318" i="3" l="1" a="1"/>
  <c r="C318" i="3" s="1"/>
  <c r="B6" i="3"/>
  <c r="C6" i="3" l="1" a="1"/>
  <c r="C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<sst xmlns="http://schemas.openxmlformats.org/spreadsheetml/2006/main" count="598" uniqueCount="582">
  <si>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</si>
  <si>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</si>
  <si>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</si>
  <si>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</si>
  <si>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</si>
  <si>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</si>
  <si>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</si>
  <si>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</si>
  <si>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</si>
  <si>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</si>
  <si>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</si>
  <si>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</si>
  <si>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</si>
  <si>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</si>
  <si>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</si>
  <si>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</si>
  <si>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</si>
  <si>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</si>
  <si>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</si>
  <si>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</si>
  <si>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</si>
  <si>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</si>
  <si>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</si>
  <si>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</si>
  <si>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</si>
  <si>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</si>
  <si>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</si>
  <si>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</si>
  <si>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</si>
  <si>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</si>
  <si>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</si>
  <si>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</si>
  <si>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</si>
  <si>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</si>
  <si>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</si>
  <si>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</si>
  <si>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</si>
  <si>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</si>
  <si>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</si>
  <si>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</si>
  <si>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</si>
  <si>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</si>
  <si>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</si>
  <si>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</si>
  <si>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</si>
  <si>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</si>
  <si>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</si>
  <si>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</si>
  <si>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</si>
  <si>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</si>
  <si>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</si>
  <si>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</si>
  <si>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</si>
  <si>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</si>
  <si>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</si>
  <si>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</si>
  <si>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</si>
  <si>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</si>
  <si>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</si>
  <si>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</si>
  <si>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</si>
  <si>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</si>
  <si>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</si>
  <si>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</si>
  <si>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</si>
  <si>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</si>
  <si>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</si>
  <si>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</si>
  <si>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</si>
  <si>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</si>
  <si>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</si>
  <si>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</si>
  <si>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</si>
  <si>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</si>
  <si>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</si>
  <si>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</si>
  <si>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</si>
  <si>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</si>
  <si>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</si>
  <si>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</si>
  <si>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</si>
  <si>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</si>
  <si>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</si>
  <si>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</si>
  <si>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</si>
  <si>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</si>
  <si>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</si>
  <si>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</si>
  <si>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</si>
  <si>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</si>
  <si>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</si>
  <si>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</si>
  <si>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</si>
  <si>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</si>
  <si>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</si>
  <si>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</si>
  <si>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</si>
  <si>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</si>
  <si>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</si>
  <si>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</si>
  <si>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</si>
  <si>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</si>
  <si>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</si>
  <si>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</si>
  <si>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</si>
  <si>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</si>
  <si>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</si>
  <si>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</si>
  <si>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</si>
  <si>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</si>
  <si>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</si>
  <si>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</si>
  <si>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</si>
  <si>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</si>
  <si>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</si>
  <si>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</si>
  <si>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</si>
  <si>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</si>
  <si>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</si>
  <si>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</si>
  <si>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</si>
  <si>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</si>
  <si>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</si>
  <si>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</si>
  <si>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</si>
  <si>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</si>
  <si>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</si>
  <si>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</si>
  <si>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</si>
  <si>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</si>
  <si>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</si>
  <si>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</si>
  <si>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</si>
  <si>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</si>
  <si>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</si>
  <si>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</si>
  <si>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</si>
  <si>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</si>
  <si>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</si>
  <si>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</si>
  <si>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</si>
  <si>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</si>
  <si>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</si>
  <si>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</si>
  <si>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</si>
  <si>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</si>
  <si>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</si>
  <si>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</si>
  <si>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</si>
  <si>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</si>
  <si>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</si>
  <si>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</si>
  <si>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</si>
  <si>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</si>
  <si>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</si>
  <si>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</si>
  <si>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</si>
  <si>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</si>
  <si>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</si>
  <si>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</si>
  <si>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</si>
  <si>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</si>
  <si>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</si>
  <si>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</si>
  <si>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</si>
  <si>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</si>
  <si>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</si>
  <si>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</si>
  <si>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</si>
  <si>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</si>
  <si>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</si>
  <si>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</si>
  <si>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</si>
  <si>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</si>
  <si>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</si>
  <si>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</si>
  <si>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</si>
  <si>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</si>
  <si>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</si>
  <si>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</si>
  <si>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</si>
  <si>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</si>
  <si>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</si>
  <si>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</si>
  <si>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</si>
  <si>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</si>
  <si>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</si>
  <si>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</si>
  <si>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</si>
  <si>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</si>
  <si>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</si>
  <si>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</si>
  <si>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</si>
  <si>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</si>
  <si>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</si>
  <si>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</si>
  <si>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</si>
  <si>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</si>
  <si>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</si>
  <si>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</si>
  <si>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</si>
  <si>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</si>
  <si>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</si>
  <si>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</si>
  <si>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</si>
  <si>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</si>
  <si>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</si>
  <si>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</si>
  <si>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</si>
  <si>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</si>
  <si>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</si>
  <si>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</si>
  <si>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</si>
  <si>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</si>
  <si>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</si>
  <si>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</si>
  <si>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</si>
  <si>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</si>
  <si>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</si>
  <si>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</si>
  <si>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</si>
  <si>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</si>
  <si>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</si>
  <si>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</si>
  <si>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</si>
  <si>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</si>
  <si>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</si>
  <si>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</si>
  <si>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</si>
  <si>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</si>
  <si>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</si>
  <si>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</si>
  <si>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</si>
  <si>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</si>
  <si>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</si>
  <si>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</si>
  <si>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</si>
  <si>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</si>
  <si>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</si>
  <si>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</si>
  <si>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</si>
  <si>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</si>
  <si>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</si>
  <si>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</si>
  <si>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</si>
  <si>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</si>
  <si>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</si>
  <si>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</si>
  <si>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</si>
  <si>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</si>
  <si>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</si>
  <si>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</si>
  <si>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</si>
  <si>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</si>
  <si>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</si>
  <si>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</si>
  <si>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</si>
  <si>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</si>
  <si>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</si>
  <si>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</si>
  <si>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</si>
  <si>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</si>
  <si>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</si>
  <si>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</si>
  <si>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</si>
  <si>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</si>
  <si>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</si>
  <si>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</si>
  <si>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</si>
  <si>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</si>
  <si>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</si>
  <si>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</si>
  <si>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</si>
  <si>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</si>
  <si>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</si>
  <si>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</si>
  <si>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</si>
  <si>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</si>
  <si>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</si>
  <si>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</si>
  <si>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</si>
  <si>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</si>
  <si>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</si>
  <si>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</si>
  <si>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</si>
  <si>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</si>
  <si>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</si>
  <si>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</si>
  <si>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</si>
  <si>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</si>
  <si>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</si>
  <si>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</si>
  <si>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</si>
  <si>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</si>
  <si>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</si>
  <si>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</si>
  <si>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</si>
  <si>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</si>
  <si>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</si>
  <si>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</si>
  <si>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</si>
  <si>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</si>
  <si>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</si>
  <si>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</si>
  <si>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</si>
  <si>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</si>
  <si>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</si>
  <si>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</si>
  <si>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</si>
  <si>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</si>
  <si>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</si>
  <si>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</si>
  <si>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</si>
  <si>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</si>
  <si>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</si>
  <si>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</si>
  <si>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</si>
  <si>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</si>
  <si>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</si>
  <si>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</si>
  <si>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</si>
  <si>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</si>
  <si>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</si>
  <si>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</si>
  <si>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</si>
  <si>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</si>
  <si>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</si>
  <si>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</si>
  <si>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</si>
  <si>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</si>
  <si>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</si>
  <si>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Level</t>
  </si>
  <si>
    <t>Office for National Statistics\Haver Analytics</t>
  </si>
  <si>
    <t>NA</t>
  </si>
  <si>
    <t>2023</t>
  </si>
  <si>
    <t>GBR</t>
  </si>
  <si>
    <t>UK</t>
  </si>
  <si>
    <t>L</t>
  </si>
  <si>
    <t>4</t>
  </si>
  <si>
    <t>.DTLM</t>
  </si>
  <si>
    <t>.LSOURCE</t>
  </si>
  <si>
    <t>.TN</t>
  </si>
  <si>
    <t>.T1</t>
  </si>
  <si>
    <t>.DESC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</si>
  <si>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</si>
  <si>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</si>
  <si>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</si>
  <si>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</si>
  <si>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</si>
  <si>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</si>
  <si>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</si>
  <si>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</si>
  <si>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</si>
  <si>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</si>
  <si>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</si>
  <si>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</si>
  <si>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</si>
  <si>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</si>
  <si>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</si>
  <si>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</si>
  <si>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</si>
  <si>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</si>
  <si>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FEB001G</t>
  </si>
  <si>
    <t>FEB001G.db</t>
  </si>
  <si>
    <t>Index</t>
  </si>
  <si>
    <t>Consumer price index</t>
  </si>
  <si>
    <t>False</t>
  </si>
  <si>
    <t>2015</t>
  </si>
  <si>
    <t>D7BT@UK</t>
  </si>
  <si>
    <t xml:space="preserve">UK: Consumer Price Index: All Items (NSA, 2015=100) </t>
  </si>
  <si>
    <t>CPI</t>
  </si>
  <si>
    <t>USVTVX@UK</t>
  </si>
  <si>
    <t>USVTVJ@UK</t>
  </si>
  <si>
    <t>201001 !M</t>
  </si>
  <si>
    <t>201001</t>
  </si>
  <si>
    <t>Jan-30-2024 09:33</t>
  </si>
  <si>
    <t>Bank of England</t>
  </si>
  <si>
    <t>Dec-2023</t>
  </si>
  <si>
    <t>Apr-1993</t>
  </si>
  <si>
    <t>UK: Mortgage Loans Approved: All Lenders: House Purchase (SA, Number)</t>
  </si>
  <si>
    <t>UK: Mortgage Lending: Total: Net New Loans (SA, Mil.GBP)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</si>
  <si>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</si>
  <si>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</si>
  <si>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</si>
  <si>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</si>
  <si>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</si>
  <si>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</si>
  <si>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</si>
  <si>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</si>
  <si>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</si>
  <si>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</si>
  <si>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</si>
  <si>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</si>
  <si>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</si>
  <si>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</si>
  <si>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</si>
  <si>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</si>
  <si>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</si>
  <si>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</si>
  <si>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</si>
  <si>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</si>
  <si>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</si>
  <si>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</si>
  <si>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</si>
  <si>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</si>
  <si>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</si>
  <si>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</si>
  <si>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</si>
  <si>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</si>
  <si>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</si>
  <si>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</si>
  <si>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</si>
  <si>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</si>
  <si>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</si>
  <si>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</si>
  <si>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</si>
  <si>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</si>
  <si>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</si>
  <si>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</si>
  <si>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</si>
  <si>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</si>
  <si>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</si>
  <si>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</si>
  <si>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</si>
  <si>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</si>
  <si>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</si>
  <si>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</si>
  <si>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</si>
  <si>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</si>
  <si>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</si>
  <si>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</si>
  <si>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</si>
  <si>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</si>
  <si>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</si>
  <si>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</si>
  <si>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</si>
  <si>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</si>
  <si>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</si>
  <si>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</si>
  <si>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</si>
  <si>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</si>
  <si>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</si>
  <si>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</si>
  <si>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</si>
  <si>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</si>
  <si>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</si>
  <si>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</si>
  <si>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</si>
  <si>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</si>
  <si>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</si>
  <si>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</si>
  <si>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</si>
  <si>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</si>
  <si>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</si>
  <si>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</si>
  <si>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</si>
  <si>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</si>
  <si>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</si>
  <si>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</si>
  <si>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</si>
  <si>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</si>
  <si>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</si>
  <si>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</si>
  <si>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</si>
  <si>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</si>
  <si>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</si>
  <si>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</si>
  <si>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</si>
  <si>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</si>
  <si>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</si>
  <si>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</si>
  <si>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</si>
  <si>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</si>
  <si>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</si>
  <si>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</si>
  <si>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</si>
  <si>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</si>
  <si>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</si>
  <si>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</si>
  <si>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</si>
  <si>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</si>
  <si>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</si>
  <si>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</si>
  <si>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</si>
  <si>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</si>
  <si>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</si>
  <si>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</si>
  <si>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</si>
  <si>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</si>
  <si>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</si>
  <si>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</si>
  <si>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</si>
  <si>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</si>
  <si>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</si>
  <si>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</si>
  <si>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</si>
  <si>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</si>
  <si>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</si>
  <si>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</si>
  <si>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</si>
  <si>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</si>
  <si>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</si>
  <si>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</si>
  <si>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</si>
  <si>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</si>
  <si>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</si>
  <si>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</si>
  <si>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</si>
  <si>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</si>
  <si>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</si>
  <si>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</si>
  <si>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</si>
  <si>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</si>
  <si>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</si>
  <si>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</si>
  <si>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</si>
  <si>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</si>
  <si>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</si>
  <si>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</si>
  <si>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</si>
  <si>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</si>
  <si>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</si>
  <si>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</si>
  <si>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</si>
  <si>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</si>
  <si>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</si>
  <si>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</si>
  <si>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</si>
  <si>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</si>
  <si>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</si>
  <si>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</si>
  <si>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</si>
  <si>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</si>
  <si>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</si>
  <si>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</si>
  <si>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</si>
  <si>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</si>
  <si>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</si>
  <si>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</si>
  <si>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</si>
  <si>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</si>
  <si>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</si>
  <si>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</si>
  <si>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</si>
  <si>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</si>
  <si>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</si>
  <si>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</si>
  <si>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</si>
  <si>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Date</t>
  </si>
  <si>
    <t>Mortgage approvals (LHS)</t>
  </si>
  <si>
    <t>Net mortgage lending (RHS)</t>
  </si>
  <si>
    <t>UNPD@UK</t>
  </si>
  <si>
    <t>UNPD234@UK</t>
  </si>
  <si>
    <t>Feb-01-2024 12:05</t>
  </si>
  <si>
    <t>Q1-2027</t>
  </si>
  <si>
    <t>Q1-2024</t>
  </si>
  <si>
    <t>UK: BoE CPI Projections Based on Expected Interest Rate: Mode (Y/Y % Chg)</t>
  </si>
  <si>
    <t>Nov-02-2023 12:51</t>
  </si>
  <si>
    <t>Discontinued</t>
  </si>
  <si>
    <t>Q4-2026</t>
  </si>
  <si>
    <t>Q4-2023</t>
  </si>
  <si>
    <t>UK: BoE CPI Projections Based on Expected Interest Rate: Mode [Q4-23](Y/Y % Chg)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</si>
  <si>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</si>
  <si>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</si>
  <si>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</si>
  <si>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</si>
  <si>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</si>
  <si>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</si>
  <si>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</si>
  <si>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</si>
  <si>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</si>
  <si>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</si>
  <si>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</si>
  <si>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</si>
  <si>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</si>
  <si>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</si>
  <si>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</si>
  <si>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20191 !Q</t>
  </si>
  <si>
    <t>Oxford Economics</t>
  </si>
  <si>
    <t>BoE (Feb-2024)</t>
  </si>
  <si>
    <t>BoE (Nov-2023)</t>
  </si>
  <si>
    <t>2%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</si>
</sst>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;\-###0.0;0.0;@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5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2" fillId="2" borderId="1" xfId="1" applyFill="1" applyBorder="1"/>
    <xf numFmtId="0" fontId="3" fillId="3" borderId="1" xfId="1" applyFont="1" applyFill="1" applyBorder="1" applyAlignment="1">
      <alignment horizontal="left" wrapText="1"/>
    </xf>
    <xf numFmtId="0" fontId="2" fillId="2" borderId="1" xfId="1" quotePrefix="1" applyFill="1" applyBorder="1"/>
    <xf numFmtId="164" fontId="2" fillId="2" borderId="1" xfId="1" applyNumberFormat="1" applyFill="1" applyBorder="1"/>
    <xf numFmtId="164" fontId="4" fillId="2" borderId="1" xfId="1" applyNumberFormat="1" applyFont="1" applyFill="1" applyBorder="1"/>
    <xf numFmtId="0" fontId="1" fillId="0" borderId="0" xfId="2"/>
    <xf numFmtId="0" fontId="0" fillId="0" borderId="0" xfId="2" applyFont="1"/>
    <xf numFmtId="0" fontId="1" fillId="0" borderId="0" xfId="2" applyAlignment="1">
      <alignment horizontal="right"/>
    </xf>
    <xf numFmtId="0" fontId="0" fillId="0" borderId="0" xfId="0" quotePrefix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6" fillId="0" borderId="0" xfId="4"/>
    <xf numFmtId="17" fontId="0" fillId="0" borderId="0" xfId="0" applyNumberFormat="1"/>
    <xf numFmtId="2" fontId="0" fillId="0" borderId="0" xfId="0" applyNumberFormat="1"/>
  </cellXfs>
  <cellStyles count="5">
    <cellStyle name="Hyperlink" xfId="4" builtinId="8"/>
    <cellStyle name="Normal" xfId="0" builtinId="0"/>
    <cellStyle name="Normal 2" xfId="1" xr:uid="{B69FC705-DBC4-413D-BC22-046C54755BDD}"/>
    <cellStyle name="Normal 2 5" xfId="2" xr:uid="{08E6DD24-40D6-4613-B695-8EE5F6E06C3E}"/>
    <cellStyle name="Normal 3" xfId="3" xr:uid="{D1177337-E069-4D22-9EC3-6418FF470486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379831582677714E-2"/>
          <c:y val="0.15691695225648969"/>
          <c:w val="0.90029504978104036"/>
          <c:h val="0.7047195809238010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Data'!$G$4</c:f>
              <c:strCache>
                <c:ptCount val="1"/>
                <c:pt idx="0">
                  <c:v>BoE (Feb-2024)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Data'!$F$5:$F$37</c:f>
              <c:strCache>
                <c:ptCount val="33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</c:strCache>
            </c:strRef>
          </c:cat>
          <c:val>
            <c:numRef>
              <c:f>'Chart Data'!$G$5:$G$37</c:f>
              <c:numCache>
                <c:formatCode>0.00</c:formatCode>
                <c:ptCount val="3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6.7136184931289922</c:v>
                </c:pt>
                <c:pt idx="19">
                  <c:v>4.1568271507498089</c:v>
                </c:pt>
                <c:pt idx="20">
                  <c:v>3.6</c:v>
                </c:pt>
                <c:pt idx="21">
                  <c:v>2</c:v>
                </c:pt>
                <c:pt idx="22">
                  <c:v>2.2000000000000002</c:v>
                </c:pt>
                <c:pt idx="23">
                  <c:v>2.7</c:v>
                </c:pt>
                <c:pt idx="24">
                  <c:v>2.8</c:v>
                </c:pt>
                <c:pt idx="25">
                  <c:v>2.7</c:v>
                </c:pt>
                <c:pt idx="26">
                  <c:v>2.7</c:v>
                </c:pt>
                <c:pt idx="27">
                  <c:v>2.5</c:v>
                </c:pt>
                <c:pt idx="28">
                  <c:v>2.2999999999999998</c:v>
                </c:pt>
                <c:pt idx="29">
                  <c:v>2.2000000000000002</c:v>
                </c:pt>
                <c:pt idx="30">
                  <c:v>2.1</c:v>
                </c:pt>
                <c:pt idx="31">
                  <c:v>2</c:v>
                </c:pt>
                <c:pt idx="32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Data'!$H$4</c:f>
              <c:strCache>
                <c:ptCount val="1"/>
                <c:pt idx="0">
                  <c:v>BoE (Nov-2023)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Data'!$F$5:$F$37</c:f>
              <c:strCache>
                <c:ptCount val="33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</c:strCache>
            </c:strRef>
          </c:cat>
          <c:val>
            <c:numRef>
              <c:f>'Chart Data'!$H$5:$H$37</c:f>
              <c:numCache>
                <c:formatCode>0.00</c:formatCode>
                <c:ptCount val="33"/>
                <c:pt idx="0">
                  <c:v>1.8453382611077762</c:v>
                </c:pt>
                <c:pt idx="1">
                  <c:v>2.0188952621781331</c:v>
                </c:pt>
                <c:pt idx="2">
                  <c:v>1.8501411100658505</c:v>
                </c:pt>
                <c:pt idx="3">
                  <c:v>1.4027435794088383</c:v>
                </c:pt>
                <c:pt idx="4">
                  <c:v>1.6557638238050565</c:v>
                </c:pt>
                <c:pt idx="5">
                  <c:v>0.68024118738403416</c:v>
                </c:pt>
                <c:pt idx="6">
                  <c:v>0.61570178087999583</c:v>
                </c:pt>
                <c:pt idx="7">
                  <c:v>0.58413789859756982</c:v>
                </c:pt>
                <c:pt idx="8">
                  <c:v>0.64535935913971887</c:v>
                </c:pt>
                <c:pt idx="9">
                  <c:v>2.0270276495785167</c:v>
                </c:pt>
                <c:pt idx="10">
                  <c:v>2.7539788108870367</c:v>
                </c:pt>
                <c:pt idx="11">
                  <c:v>4.8899434932935693</c:v>
                </c:pt>
                <c:pt idx="12">
                  <c:v>6.1984103210960928</c:v>
                </c:pt>
                <c:pt idx="13">
                  <c:v>9.1511767462904015</c:v>
                </c:pt>
                <c:pt idx="14">
                  <c:v>10.005958905884139</c:v>
                </c:pt>
                <c:pt idx="15">
                  <c:v>10.75174825174825</c:v>
                </c:pt>
                <c:pt idx="16">
                  <c:v>10.178266296223782</c:v>
                </c:pt>
                <c:pt idx="17">
                  <c:v>8.4390489688226822</c:v>
                </c:pt>
                <c:pt idx="18">
                  <c:v>6.7136184931289922</c:v>
                </c:pt>
                <c:pt idx="19">
                  <c:v>4.5999999999999996</c:v>
                </c:pt>
                <c:pt idx="20">
                  <c:v>4.4000000000000004</c:v>
                </c:pt>
                <c:pt idx="21">
                  <c:v>3.6</c:v>
                </c:pt>
                <c:pt idx="22">
                  <c:v>3.3</c:v>
                </c:pt>
                <c:pt idx="23">
                  <c:v>3.1</c:v>
                </c:pt>
                <c:pt idx="24">
                  <c:v>2.5</c:v>
                </c:pt>
                <c:pt idx="25">
                  <c:v>2.1</c:v>
                </c:pt>
                <c:pt idx="26">
                  <c:v>2.1</c:v>
                </c:pt>
                <c:pt idx="27">
                  <c:v>1.9</c:v>
                </c:pt>
                <c:pt idx="28">
                  <c:v>1.9</c:v>
                </c:pt>
                <c:pt idx="29">
                  <c:v>1.7</c:v>
                </c:pt>
                <c:pt idx="30">
                  <c:v>1.6</c:v>
                </c:pt>
                <c:pt idx="31">
                  <c:v>1.5</c:v>
                </c:pt>
                <c:pt idx="3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Data'!$I$4</c:f>
              <c:strCache>
                <c:ptCount val="1"/>
                <c:pt idx="0">
                  <c:v>Oxford Economics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Data'!$F$5:$F$37</c:f>
              <c:strCache>
                <c:ptCount val="33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</c:strCache>
            </c:strRef>
          </c:cat>
          <c:val>
            <c:numRef>
              <c:f>'Chart Data'!$I$5:$I$37</c:f>
              <c:numCache>
                <c:formatCode>0.00</c:formatCode>
                <c:ptCount val="3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4.1568271507498089</c:v>
                </c:pt>
                <c:pt idx="20">
                  <c:v>3.7341084901117982</c:v>
                </c:pt>
                <c:pt idx="21">
                  <c:v>1.6059761938005623</c:v>
                </c:pt>
                <c:pt idx="22">
                  <c:v>1.6700152207001606</c:v>
                </c:pt>
                <c:pt idx="23">
                  <c:v>1.5187164640776851</c:v>
                </c:pt>
                <c:pt idx="24">
                  <c:v>1.29793287699147</c:v>
                </c:pt>
                <c:pt idx="25">
                  <c:v>1.4951386031255787</c:v>
                </c:pt>
                <c:pt idx="26">
                  <c:v>1.6013395771080186</c:v>
                </c:pt>
                <c:pt idx="27">
                  <c:v>1.7387358000879205</c:v>
                </c:pt>
                <c:pt idx="28">
                  <c:v>1.8601906680534297</c:v>
                </c:pt>
                <c:pt idx="29">
                  <c:v>1.8865411833294266</c:v>
                </c:pt>
                <c:pt idx="30">
                  <c:v>1.8920135530085647</c:v>
                </c:pt>
                <c:pt idx="31">
                  <c:v>1.8879635628094915</c:v>
                </c:pt>
                <c:pt idx="32">
                  <c:v>1.8842214283833369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Data'!$J$4</c:f>
              <c:strCache>
                <c:ptCount val="1"/>
                <c:pt idx="0">
                  <c:v>2% line</c:v>
                </c:pt>
              </c:strCache>
            </c:strRef>
          </c:tx>
          <c:spPr>
            <a:ln w="28575">
              <a:solidFill>
                <a:srgbClr val="7B7C77"/>
              </a:solidFill>
              <a:prstDash val="dash"/>
            </a:ln>
          </c:spPr>
          <c:marker>
            <c:symbol val="none"/>
          </c:marker>
          <c:cat>
            <c:strRef>
              <c:f>'Chart Data'!$F$5:$F$37</c:f>
              <c:strCache>
                <c:ptCount val="33"/>
                <c:pt idx="0">
                  <c:v>2019</c:v>
                </c:pt>
                <c:pt idx="1">
                  <c:v>2019</c:v>
                </c:pt>
                <c:pt idx="2">
                  <c:v>2019</c:v>
                </c:pt>
                <c:pt idx="3">
                  <c:v>2019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2021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2022</c:v>
                </c:pt>
                <c:pt idx="13">
                  <c:v>2022</c:v>
                </c:pt>
                <c:pt idx="14">
                  <c:v>2022</c:v>
                </c:pt>
                <c:pt idx="15">
                  <c:v>2022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2027</c:v>
                </c:pt>
              </c:strCache>
            </c:strRef>
          </c:cat>
          <c:val>
            <c:numRef>
              <c:f>'Chart Data'!$J$5:$J$37</c:f>
              <c:numCache>
                <c:formatCode>General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8.9931515292732758E-2"/>
          <c:y val="0.1584083133815076"/>
          <c:w val="0.27557844317180175"/>
          <c:h val="0.3020337609015296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999373417064571E-2"/>
          <c:y val="0.14935218489244478"/>
          <c:w val="0.8666390191103045"/>
          <c:h val="0.7217403074929020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Data'!$B$4</c:f>
              <c:strCache>
                <c:ptCount val="1"/>
                <c:pt idx="0">
                  <c:v>Mortgage approvals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Data'!$A$5:$A$64</c:f>
              <c:numCache>
                <c:formatCode>mmm\-yy</c:formatCode>
                <c:ptCount val="60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</c:numCache>
            </c:numRef>
          </c:cat>
          <c:val>
            <c:numRef>
              <c:f>'Chart Data'!$B$5:$B$64</c:f>
              <c:numCache>
                <c:formatCode>0.0</c:formatCode>
                <c:ptCount val="60"/>
                <c:pt idx="0">
                  <c:v>65.099000000000004</c:v>
                </c:pt>
                <c:pt idx="1">
                  <c:v>64.338999999999999</c:v>
                </c:pt>
                <c:pt idx="2">
                  <c:v>62.232999999999997</c:v>
                </c:pt>
                <c:pt idx="3">
                  <c:v>65.775999999999996</c:v>
                </c:pt>
                <c:pt idx="4">
                  <c:v>65.418999999999997</c:v>
                </c:pt>
                <c:pt idx="5">
                  <c:v>66.554000000000002</c:v>
                </c:pt>
                <c:pt idx="6">
                  <c:v>67.433000000000007</c:v>
                </c:pt>
                <c:pt idx="7">
                  <c:v>66.299000000000007</c:v>
                </c:pt>
                <c:pt idx="8">
                  <c:v>66.349000000000004</c:v>
                </c:pt>
                <c:pt idx="9">
                  <c:v>66.391999999999996</c:v>
                </c:pt>
                <c:pt idx="10">
                  <c:v>66.231999999999999</c:v>
                </c:pt>
                <c:pt idx="11">
                  <c:v>66.912000000000006</c:v>
                </c:pt>
                <c:pt idx="12">
                  <c:v>69.31</c:v>
                </c:pt>
                <c:pt idx="13">
                  <c:v>72.061999999999998</c:v>
                </c:pt>
                <c:pt idx="14">
                  <c:v>56.441000000000003</c:v>
                </c:pt>
                <c:pt idx="15">
                  <c:v>15.938000000000001</c:v>
                </c:pt>
                <c:pt idx="16">
                  <c:v>9.3369999999999997</c:v>
                </c:pt>
                <c:pt idx="17">
                  <c:v>40.246000000000002</c:v>
                </c:pt>
                <c:pt idx="18">
                  <c:v>66.888000000000005</c:v>
                </c:pt>
                <c:pt idx="19">
                  <c:v>85.647999999999996</c:v>
                </c:pt>
                <c:pt idx="20">
                  <c:v>92.647000000000006</c:v>
                </c:pt>
                <c:pt idx="21">
                  <c:v>100.85599999999999</c:v>
                </c:pt>
                <c:pt idx="22">
                  <c:v>107.05800000000001</c:v>
                </c:pt>
                <c:pt idx="23">
                  <c:v>101.69499999999999</c:v>
                </c:pt>
                <c:pt idx="24">
                  <c:v>96.683999999999997</c:v>
                </c:pt>
                <c:pt idx="25">
                  <c:v>85.474999999999994</c:v>
                </c:pt>
                <c:pt idx="26">
                  <c:v>81.486000000000004</c:v>
                </c:pt>
                <c:pt idx="27">
                  <c:v>85.403999999999996</c:v>
                </c:pt>
                <c:pt idx="28">
                  <c:v>85.921000000000006</c:v>
                </c:pt>
                <c:pt idx="29">
                  <c:v>78.747</c:v>
                </c:pt>
                <c:pt idx="30">
                  <c:v>72.879000000000005</c:v>
                </c:pt>
                <c:pt idx="31">
                  <c:v>71.501000000000005</c:v>
                </c:pt>
                <c:pt idx="32">
                  <c:v>70.822000000000003</c:v>
                </c:pt>
                <c:pt idx="33">
                  <c:v>68.183999999999997</c:v>
                </c:pt>
                <c:pt idx="34">
                  <c:v>68.552000000000007</c:v>
                </c:pt>
                <c:pt idx="35">
                  <c:v>70.989999999999995</c:v>
                </c:pt>
                <c:pt idx="36">
                  <c:v>73.709999999999994</c:v>
                </c:pt>
                <c:pt idx="37">
                  <c:v>69.48</c:v>
                </c:pt>
                <c:pt idx="38">
                  <c:v>69.638999999999996</c:v>
                </c:pt>
                <c:pt idx="39">
                  <c:v>65.995999999999995</c:v>
                </c:pt>
                <c:pt idx="40">
                  <c:v>66.054000000000002</c:v>
                </c:pt>
                <c:pt idx="41">
                  <c:v>62.476999999999997</c:v>
                </c:pt>
                <c:pt idx="42">
                  <c:v>62.972000000000001</c:v>
                </c:pt>
                <c:pt idx="43">
                  <c:v>72.66</c:v>
                </c:pt>
                <c:pt idx="44">
                  <c:v>65.093999999999994</c:v>
                </c:pt>
                <c:pt idx="45">
                  <c:v>57.848999999999997</c:v>
                </c:pt>
                <c:pt idx="46">
                  <c:v>45.853000000000002</c:v>
                </c:pt>
                <c:pt idx="47">
                  <c:v>40.186</c:v>
                </c:pt>
                <c:pt idx="48">
                  <c:v>39.600999999999999</c:v>
                </c:pt>
                <c:pt idx="49">
                  <c:v>43.945</c:v>
                </c:pt>
                <c:pt idx="50">
                  <c:v>51.853000000000002</c:v>
                </c:pt>
                <c:pt idx="51">
                  <c:v>49.088999999999999</c:v>
                </c:pt>
                <c:pt idx="52">
                  <c:v>50.570999999999998</c:v>
                </c:pt>
                <c:pt idx="53">
                  <c:v>53.953000000000003</c:v>
                </c:pt>
                <c:pt idx="54">
                  <c:v>49.524999999999999</c:v>
                </c:pt>
                <c:pt idx="55">
                  <c:v>45.741</c:v>
                </c:pt>
                <c:pt idx="56">
                  <c:v>44.1</c:v>
                </c:pt>
                <c:pt idx="57">
                  <c:v>48.128</c:v>
                </c:pt>
                <c:pt idx="58">
                  <c:v>49.313000000000002</c:v>
                </c:pt>
                <c:pt idx="59">
                  <c:v>50.459000000000003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Data'!$C$4</c:f>
              <c:strCache>
                <c:ptCount val="1"/>
                <c:pt idx="0">
                  <c:v>Net mortgage lending (RHS)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Data'!$A$5:$A$64</c:f>
              <c:numCache>
                <c:formatCode>mmm\-yy</c:formatCode>
                <c:ptCount val="60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</c:numCache>
            </c:numRef>
          </c:cat>
          <c:val>
            <c:numRef>
              <c:f>'Chart Data'!$C$5:$C$64</c:f>
              <c:numCache>
                <c:formatCode>0.0</c:formatCode>
                <c:ptCount val="60"/>
                <c:pt idx="0">
                  <c:v>3.661</c:v>
                </c:pt>
                <c:pt idx="1">
                  <c:v>3.4420000000000002</c:v>
                </c:pt>
                <c:pt idx="2">
                  <c:v>4.0759999999999996</c:v>
                </c:pt>
                <c:pt idx="3">
                  <c:v>4.0720000000000001</c:v>
                </c:pt>
                <c:pt idx="4">
                  <c:v>3.1309999999999998</c:v>
                </c:pt>
                <c:pt idx="5">
                  <c:v>4.0179999999999998</c:v>
                </c:pt>
                <c:pt idx="6">
                  <c:v>5.0919999999999996</c:v>
                </c:pt>
                <c:pt idx="7">
                  <c:v>4.1130000000000004</c:v>
                </c:pt>
                <c:pt idx="8">
                  <c:v>4.0810000000000004</c:v>
                </c:pt>
                <c:pt idx="9">
                  <c:v>4.7859999999999996</c:v>
                </c:pt>
                <c:pt idx="10">
                  <c:v>4.2830000000000004</c:v>
                </c:pt>
                <c:pt idx="11">
                  <c:v>4.6849999999999996</c:v>
                </c:pt>
                <c:pt idx="12">
                  <c:v>4.38</c:v>
                </c:pt>
                <c:pt idx="13">
                  <c:v>4.5739999999999998</c:v>
                </c:pt>
                <c:pt idx="14">
                  <c:v>4.8849999999999998</c:v>
                </c:pt>
                <c:pt idx="15">
                  <c:v>3.5999999999999997E-2</c:v>
                </c:pt>
                <c:pt idx="16">
                  <c:v>0.248</c:v>
                </c:pt>
                <c:pt idx="17">
                  <c:v>1.964</c:v>
                </c:pt>
                <c:pt idx="18">
                  <c:v>2.8439999999999999</c:v>
                </c:pt>
                <c:pt idx="19">
                  <c:v>3.161</c:v>
                </c:pt>
                <c:pt idx="20">
                  <c:v>5.37</c:v>
                </c:pt>
                <c:pt idx="21">
                  <c:v>5.1790000000000003</c:v>
                </c:pt>
                <c:pt idx="22">
                  <c:v>6.91</c:v>
                </c:pt>
                <c:pt idx="23">
                  <c:v>6.6020000000000003</c:v>
                </c:pt>
                <c:pt idx="24">
                  <c:v>6.149</c:v>
                </c:pt>
                <c:pt idx="25">
                  <c:v>7.859</c:v>
                </c:pt>
                <c:pt idx="26">
                  <c:v>11.44</c:v>
                </c:pt>
                <c:pt idx="27">
                  <c:v>3.0230000000000001</c:v>
                </c:pt>
                <c:pt idx="28">
                  <c:v>4.4980000000000002</c:v>
                </c:pt>
                <c:pt idx="29">
                  <c:v>17.129000000000001</c:v>
                </c:pt>
                <c:pt idx="30">
                  <c:v>-1.7270000000000001</c:v>
                </c:pt>
                <c:pt idx="31">
                  <c:v>4.2919999999999998</c:v>
                </c:pt>
                <c:pt idx="32">
                  <c:v>9.8800000000000008</c:v>
                </c:pt>
                <c:pt idx="33">
                  <c:v>1.552</c:v>
                </c:pt>
                <c:pt idx="34">
                  <c:v>3.601</c:v>
                </c:pt>
                <c:pt idx="35">
                  <c:v>4.1909999999999998</c:v>
                </c:pt>
                <c:pt idx="36">
                  <c:v>6.1379999999999999</c:v>
                </c:pt>
                <c:pt idx="37">
                  <c:v>5.109</c:v>
                </c:pt>
                <c:pt idx="38">
                  <c:v>7.2309999999999999</c:v>
                </c:pt>
                <c:pt idx="39">
                  <c:v>4.0609999999999999</c:v>
                </c:pt>
                <c:pt idx="40">
                  <c:v>6.3710000000000004</c:v>
                </c:pt>
                <c:pt idx="41">
                  <c:v>5.0709999999999997</c:v>
                </c:pt>
                <c:pt idx="42">
                  <c:v>4.4160000000000004</c:v>
                </c:pt>
                <c:pt idx="43">
                  <c:v>5.36</c:v>
                </c:pt>
                <c:pt idx="44">
                  <c:v>5.7130000000000001</c:v>
                </c:pt>
                <c:pt idx="45">
                  <c:v>2.93</c:v>
                </c:pt>
                <c:pt idx="46">
                  <c:v>3.3410000000000002</c:v>
                </c:pt>
                <c:pt idx="47">
                  <c:v>2.077</c:v>
                </c:pt>
                <c:pt idx="48">
                  <c:v>1.901</c:v>
                </c:pt>
                <c:pt idx="49">
                  <c:v>0.55400000000000005</c:v>
                </c:pt>
                <c:pt idx="50">
                  <c:v>-8.6999999999999994E-2</c:v>
                </c:pt>
                <c:pt idx="51">
                  <c:v>-1.375</c:v>
                </c:pt>
                <c:pt idx="52">
                  <c:v>-0.30299999999999999</c:v>
                </c:pt>
                <c:pt idx="53">
                  <c:v>-0.14799999999999999</c:v>
                </c:pt>
                <c:pt idx="54">
                  <c:v>0.14000000000000001</c:v>
                </c:pt>
                <c:pt idx="55">
                  <c:v>1.073</c:v>
                </c:pt>
                <c:pt idx="56">
                  <c:v>-0.91800000000000004</c:v>
                </c:pt>
                <c:pt idx="57">
                  <c:v>2.3E-2</c:v>
                </c:pt>
                <c:pt idx="58">
                  <c:v>6.0000000000000001E-3</c:v>
                </c:pt>
                <c:pt idx="59">
                  <c:v>-0.83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727040"/>
        <c:axId val="445314607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14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valAx>
        <c:axId val="445314607"/>
        <c:scaling>
          <c:orientation val="minMax"/>
          <c:min val="-10"/>
        </c:scaling>
        <c:delete val="0"/>
        <c:axPos val="r"/>
        <c:numFmt formatCode="0" sourceLinked="0"/>
        <c:majorTickMark val="out"/>
        <c:minorTickMark val="none"/>
        <c:tickLblPos val="nextTo"/>
        <c:spPr>
          <a:ln w="12700"/>
        </c:spPr>
        <c:txPr>
          <a:bodyPr/>
          <a:lstStyle/>
          <a:p>
            <a:pPr algn="ctr">
              <a:defRPr lang="en-US"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043727040"/>
        <c:crosses val="max"/>
        <c:crossBetween val="between"/>
      </c:valAx>
      <c:dateAx>
        <c:axId val="104372704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45314607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9.8530522878471652E-2"/>
          <c:y val="7.8978256059036162E-2"/>
          <c:w val="0.80707943708245133"/>
          <c:h val="0.1166969604824296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1CB4FF-1A4F-4918-B834-D74BE548D921}">
  <sheetPr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BF11B4-25FC-4252-8F17-3375B47AC917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0274" cy="67153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54BB2-EA42-46B3-AAE0-C61AB07B32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AD6FB02-7B8D-98AE-4D7A-C23593F6D3E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 forecasts</a:t>
          </a:r>
        </a:p>
      </cdr:txBody>
    </cdr:sp>
  </cdr:relSizeAnchor>
  <cdr:relSizeAnchor xmlns:cdr="http://schemas.openxmlformats.org/drawingml/2006/chartDrawing">
    <cdr:from>
      <cdr:x>0.00546</cdr:x>
      <cdr:y>0.93713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39C81D9-1C11-F9FA-3C3C-EBEC11F716BB}"/>
            </a:ext>
          </a:extLst>
        </cdr:cNvPr>
        <cdr:cNvSpPr/>
      </cdr:nvSpPr>
      <cdr:spPr>
        <a:xfrm xmlns:a="http://schemas.openxmlformats.org/drawingml/2006/main">
          <a:off x="50800" y="5697855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0.84851</cdr:x>
      <cdr:y>0.18236</cdr:y>
    </cdr:from>
    <cdr:to>
      <cdr:x>0.85001</cdr:x>
      <cdr:y>0.8613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E1E557F-7E62-3601-3CD4-A03A2F2D6359}"/>
            </a:ext>
          </a:extLst>
        </cdr:cNvPr>
        <cdr:cNvCxnSpPr/>
      </cdr:nvCxnSpPr>
      <cdr:spPr>
        <a:xfrm xmlns:a="http://schemas.openxmlformats.org/drawingml/2006/main" flipH="1">
          <a:off x="7144656" y="1224642"/>
          <a:ext cx="12701" cy="4559301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0.75736</cdr:x>
      <cdr:y>0.11536</cdr:y>
    </cdr:from>
    <cdr:to>
      <cdr:x>0.96055</cdr:x>
      <cdr:y>0.19479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8520487-8282-1388-1E72-36EF503D6B7C}"/>
            </a:ext>
          </a:extLst>
        </cdr:cNvPr>
        <cdr:cNvSpPr txBox="1"/>
      </cdr:nvSpPr>
      <cdr:spPr>
        <a:xfrm xmlns:a="http://schemas.openxmlformats.org/drawingml/2006/main">
          <a:off x="6377215" y="774700"/>
          <a:ext cx="1710871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2-year horizon</a:t>
          </a:r>
        </a:p>
      </cdr:txBody>
    </cdr:sp>
  </cdr:relSizeAnchor>
  <cdr:relSizeAnchor xmlns:cdr="http://schemas.openxmlformats.org/drawingml/2006/chartDrawing">
    <cdr:from>
      <cdr:x>0</cdr:x>
      <cdr:y>0.07295</cdr:y>
    </cdr:from>
    <cdr:to>
      <cdr:x>1</cdr:x>
      <cdr:y>0.12401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7FF0D05-8400-B707-191F-D271E8DE1077}"/>
            </a:ext>
          </a:extLst>
        </cdr:cNvPr>
        <cdr:cNvSpPr txBox="1"/>
      </cdr:nvSpPr>
      <cdr:spPr>
        <a:xfrm xmlns:a="http://schemas.openxmlformats.org/drawingml/2006/main">
          <a:off x="0" y="489857"/>
          <a:ext cx="8420274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0.16979</cdr:x>
      <cdr:y>0.67353</cdr:y>
    </cdr:from>
    <cdr:to>
      <cdr:x>0.32061</cdr:x>
      <cdr:y>0.75296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9E4C065-1F47-97A4-99C1-430778B87295}"/>
            </a:ext>
          </a:extLst>
        </cdr:cNvPr>
        <cdr:cNvSpPr txBox="1"/>
      </cdr:nvSpPr>
      <cdr:spPr>
        <a:xfrm xmlns:a="http://schemas.openxmlformats.org/drawingml/2006/main">
          <a:off x="1429658" y="4523013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2% target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0274" cy="67153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1630F-A421-0D1D-FF1B-BD0BEAD618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0.96109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C29FC3-24D3-CEA0-A319-6B223CBFA42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Mortgage approvals and secured lending</a:t>
          </a:r>
        </a:p>
      </cdr:txBody>
    </cdr:sp>
  </cdr:relSizeAnchor>
  <cdr:relSizeAnchor xmlns:cdr="http://schemas.openxmlformats.org/drawingml/2006/chartDrawing">
    <cdr:from>
      <cdr:x>0.00546</cdr:x>
      <cdr:y>0.94732</cdr:y>
    </cdr:from>
    <cdr:to>
      <cdr:x>0.96109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BB5EA93-AE88-3025-A441-92DAFEA71CE5}"/>
            </a:ext>
          </a:extLst>
        </cdr:cNvPr>
        <cdr:cNvSpPr/>
      </cdr:nvSpPr>
      <cdr:spPr>
        <a:xfrm xmlns:a="http://schemas.openxmlformats.org/drawingml/2006/main">
          <a:off x="45981" y="6361545"/>
          <a:ext cx="8046678" cy="3537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Economics, Haver Analytics</a:t>
          </a:r>
        </a:p>
      </cdr:txBody>
    </cdr:sp>
  </cdr:relSizeAnchor>
  <cdr:relSizeAnchor xmlns:cdr="http://schemas.openxmlformats.org/drawingml/2006/chartDrawing">
    <cdr:from>
      <cdr:x>0</cdr:x>
      <cdr:y>0.07049</cdr:y>
    </cdr:from>
    <cdr:to>
      <cdr:x>1</cdr:x>
      <cdr:y>0.12155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E0D7FF0-9419-1438-362B-3EEFF4933A69}"/>
            </a:ext>
          </a:extLst>
        </cdr:cNvPr>
        <cdr:cNvSpPr txBox="1"/>
      </cdr:nvSpPr>
      <cdr:spPr>
        <a:xfrm xmlns:a="http://schemas.openxmlformats.org/drawingml/2006/main">
          <a:off x="0" y="473363"/>
          <a:ext cx="8420274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  <cdr:relSizeAnchor xmlns:cdr="http://schemas.openxmlformats.org/drawingml/2006/chartDrawing">
    <cdr:from>
      <cdr:x>0.92964</cdr:x>
      <cdr:y>0.0729</cdr:y>
    </cdr:from>
    <cdr:to>
      <cdr:x>1</cdr:x>
      <cdr:y>0.16677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80CEDEF-C809-739A-807E-B89503A5D1E6}"/>
            </a:ext>
          </a:extLst>
        </cdr:cNvPr>
        <cdr:cNvSpPr txBox="1"/>
      </cdr:nvSpPr>
      <cdr:spPr>
        <a:xfrm xmlns:a="http://schemas.openxmlformats.org/drawingml/2006/main">
          <a:off x="7827818" y="489527"/>
          <a:ext cx="592456" cy="6303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NPD234@UK" TargetMode="External"/><Relationship Id="rId2" Type="http://schemas.openxmlformats.org/officeDocument/2006/relationships/hyperlink" Target="mailto:UNPD@UK" TargetMode="External"/><Relationship Id="rId1" Type="http://schemas.openxmlformats.org/officeDocument/2006/relationships/hyperlink" Target="mailto:USVTVJ@UK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Relationship Id="rId4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B45E-3CE4-4E09-AF2E-CF65E3219D13}">
  <dimension ref="A4:J131"/>
  <sheetViews>
    <sheetView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F4" sqref="F4:J36"/>
    </sheetView>
  </sheetViews>
  <sheetFormatPr defaultRowHeight="14.5" x14ac:dyDescent="0.35"/>
  <cols>
    <col min="2" max="3" width="23.453125" customWidth="1"/>
    <col min="4" max="4" width="3.36328125" customWidth="1"/>
    <col min="5" max="5" width="3.6328125" customWidth="1"/>
    <col min="7" max="7" width="16" bestFit="1" customWidth="1"/>
  </cols>
  <sheetData>
    <row r="4" spans="1:10" x14ac:dyDescent="0.35">
      <c r="A4" t="s">
        <v>548</v>
      </c>
      <c r="B4" t="s">
        <v>549</v>
      </c>
      <c r="C4" t="s">
        <v>550</v>
      </c>
      <c r="F4" t="s">
        <v>548</v>
      </c>
      <c r="G4" t="s">
        <v>579</v>
      </c>
      <c r="H4" t="s">
        <v>580</v>
      </c>
      <c r="I4" t="s">
        <v>578</v>
      </c>
      <c r="J4" t="s">
        <v>581</v>
      </c>
    </row>
    <row r="5" spans="1:10" x14ac:dyDescent="0.35">
      <c r="A5" s="15">
        <v>43466</v>
      </c>
      <c r="B5" s="12">
        <f>HAVER!B117/1000</f>
        <v>65.099000000000004</v>
      </c>
      <c r="C5" s="12">
        <f>HAVER!C117/1000</f>
        <v>3.661</v>
      </c>
      <c r="F5" t="str">
        <f>LEFT(HAVER!G9,4)</f>
        <v>2019</v>
      </c>
      <c r="G5" s="16" t="e">
        <f>HAVER!H9</f>
        <v>#N/A</v>
      </c>
      <c r="H5" s="16">
        <v>1.8453382611077762</v>
      </c>
      <c r="I5" s="16" t="e">
        <f>NA()</f>
        <v>#N/A</v>
      </c>
      <c r="J5">
        <v>2</v>
      </c>
    </row>
    <row r="6" spans="1:10" x14ac:dyDescent="0.35">
      <c r="A6" s="15">
        <v>43497</v>
      </c>
      <c r="B6" s="12">
        <f>HAVER!B118/1000</f>
        <v>64.338999999999999</v>
      </c>
      <c r="C6" s="12">
        <f>HAVER!C118/1000</f>
        <v>3.4420000000000002</v>
      </c>
      <c r="F6" t="str">
        <f>LEFT(HAVER!G10,4)</f>
        <v>2019</v>
      </c>
      <c r="G6" s="16" t="e">
        <f>HAVER!H10</f>
        <v>#N/A</v>
      </c>
      <c r="H6" s="16">
        <v>2.0188952621781331</v>
      </c>
      <c r="I6" s="16" t="e">
        <f>NA()</f>
        <v>#N/A</v>
      </c>
      <c r="J6">
        <v>2</v>
      </c>
    </row>
    <row r="7" spans="1:10" x14ac:dyDescent="0.35">
      <c r="A7" s="15">
        <v>43525</v>
      </c>
      <c r="B7" s="12">
        <f>HAVER!B119/1000</f>
        <v>62.232999999999997</v>
      </c>
      <c r="C7" s="12">
        <f>HAVER!C119/1000</f>
        <v>4.0759999999999996</v>
      </c>
      <c r="F7" t="str">
        <f>LEFT(HAVER!G11,4)</f>
        <v>2019</v>
      </c>
      <c r="G7" s="16" t="e">
        <f>HAVER!H11</f>
        <v>#N/A</v>
      </c>
      <c r="H7" s="16">
        <v>1.8501411100658505</v>
      </c>
      <c r="I7" s="16" t="e">
        <f>NA()</f>
        <v>#N/A</v>
      </c>
      <c r="J7">
        <v>2</v>
      </c>
    </row>
    <row r="8" spans="1:10" x14ac:dyDescent="0.35">
      <c r="A8" s="15">
        <v>43556</v>
      </c>
      <c r="B8" s="12">
        <f>HAVER!B120/1000</f>
        <v>65.775999999999996</v>
      </c>
      <c r="C8" s="12">
        <f>HAVER!C120/1000</f>
        <v>4.0720000000000001</v>
      </c>
      <c r="F8" t="str">
        <f>LEFT(HAVER!G12,4)</f>
        <v>2019</v>
      </c>
      <c r="G8" s="16" t="e">
        <f>HAVER!H12</f>
        <v>#N/A</v>
      </c>
      <c r="H8" s="16">
        <v>1.4027435794088383</v>
      </c>
      <c r="I8" s="16" t="e">
        <f>NA()</f>
        <v>#N/A</v>
      </c>
      <c r="J8">
        <v>2</v>
      </c>
    </row>
    <row r="9" spans="1:10" x14ac:dyDescent="0.35">
      <c r="A9" s="15">
        <v>43586</v>
      </c>
      <c r="B9" s="12">
        <f>HAVER!B121/1000</f>
        <v>65.418999999999997</v>
      </c>
      <c r="C9" s="12">
        <f>HAVER!C121/1000</f>
        <v>3.1309999999999998</v>
      </c>
      <c r="F9" t="str">
        <f>LEFT(HAVER!G13,4)</f>
        <v>2020</v>
      </c>
      <c r="G9" s="16" t="e">
        <f>HAVER!H13</f>
        <v>#N/A</v>
      </c>
      <c r="H9" s="16">
        <v>1.6557638238050565</v>
      </c>
      <c r="I9" s="16" t="e">
        <f>NA()</f>
        <v>#N/A</v>
      </c>
      <c r="J9">
        <v>2</v>
      </c>
    </row>
    <row r="10" spans="1:10" x14ac:dyDescent="0.35">
      <c r="A10" s="15">
        <v>43617</v>
      </c>
      <c r="B10" s="12">
        <f>HAVER!B122/1000</f>
        <v>66.554000000000002</v>
      </c>
      <c r="C10" s="12">
        <f>HAVER!C122/1000</f>
        <v>4.0179999999999998</v>
      </c>
      <c r="F10" t="str">
        <f>LEFT(HAVER!G14,4)</f>
        <v>2020</v>
      </c>
      <c r="G10" s="16" t="e">
        <f>HAVER!H14</f>
        <v>#N/A</v>
      </c>
      <c r="H10" s="16">
        <v>0.68024118738403416</v>
      </c>
      <c r="I10" s="16" t="e">
        <f>NA()</f>
        <v>#N/A</v>
      </c>
      <c r="J10">
        <v>2</v>
      </c>
    </row>
    <row r="11" spans="1:10" x14ac:dyDescent="0.35">
      <c r="A11" s="15">
        <v>43647</v>
      </c>
      <c r="B11" s="12">
        <f>HAVER!B123/1000</f>
        <v>67.433000000000007</v>
      </c>
      <c r="C11" s="12">
        <f>HAVER!C123/1000</f>
        <v>5.0919999999999996</v>
      </c>
      <c r="F11" t="str">
        <f>LEFT(HAVER!G15,4)</f>
        <v>2020</v>
      </c>
      <c r="G11" s="16" t="e">
        <f>NA()</f>
        <v>#N/A</v>
      </c>
      <c r="H11" s="16">
        <v>0.61570178087999583</v>
      </c>
      <c r="I11" s="16" t="e">
        <f>NA()</f>
        <v>#N/A</v>
      </c>
      <c r="J11">
        <v>2</v>
      </c>
    </row>
    <row r="12" spans="1:10" x14ac:dyDescent="0.35">
      <c r="A12" s="15">
        <v>43678</v>
      </c>
      <c r="B12" s="12">
        <f>HAVER!B124/1000</f>
        <v>66.299000000000007</v>
      </c>
      <c r="C12" s="12">
        <f>HAVER!C124/1000</f>
        <v>4.1130000000000004</v>
      </c>
      <c r="F12" t="str">
        <f>LEFT(HAVER!G16,4)</f>
        <v>2020</v>
      </c>
      <c r="G12" s="16" t="e">
        <f>NA()</f>
        <v>#N/A</v>
      </c>
      <c r="H12" s="16">
        <v>0.58413789859756982</v>
      </c>
      <c r="I12" s="16" t="e">
        <f>NA()</f>
        <v>#N/A</v>
      </c>
      <c r="J12">
        <v>2</v>
      </c>
    </row>
    <row r="13" spans="1:10" x14ac:dyDescent="0.35">
      <c r="A13" s="15">
        <v>43709</v>
      </c>
      <c r="B13" s="12">
        <f>HAVER!B125/1000</f>
        <v>66.349000000000004</v>
      </c>
      <c r="C13" s="12">
        <f>HAVER!C125/1000</f>
        <v>4.0810000000000004</v>
      </c>
      <c r="F13" t="str">
        <f>LEFT(HAVER!G17,4)</f>
        <v>2021</v>
      </c>
      <c r="G13" s="16" t="e">
        <f>NA()</f>
        <v>#N/A</v>
      </c>
      <c r="H13" s="16">
        <v>0.64535935913971887</v>
      </c>
      <c r="I13" s="16" t="e">
        <f>NA()</f>
        <v>#N/A</v>
      </c>
      <c r="J13">
        <v>2</v>
      </c>
    </row>
    <row r="14" spans="1:10" x14ac:dyDescent="0.35">
      <c r="A14" s="15">
        <v>43739</v>
      </c>
      <c r="B14" s="12">
        <f>HAVER!B126/1000</f>
        <v>66.391999999999996</v>
      </c>
      <c r="C14" s="12">
        <f>HAVER!C126/1000</f>
        <v>4.7859999999999996</v>
      </c>
      <c r="F14" t="str">
        <f>LEFT(HAVER!G18,4)</f>
        <v>2021</v>
      </c>
      <c r="G14" s="16" t="e">
        <f>NA()</f>
        <v>#N/A</v>
      </c>
      <c r="H14" s="16">
        <v>2.0270276495785167</v>
      </c>
      <c r="I14" s="16" t="e">
        <f>NA()</f>
        <v>#N/A</v>
      </c>
      <c r="J14">
        <v>2</v>
      </c>
    </row>
    <row r="15" spans="1:10" x14ac:dyDescent="0.35">
      <c r="A15" s="15">
        <v>43770</v>
      </c>
      <c r="B15" s="12">
        <f>HAVER!B127/1000</f>
        <v>66.231999999999999</v>
      </c>
      <c r="C15" s="12">
        <f>HAVER!C127/1000</f>
        <v>4.2830000000000004</v>
      </c>
      <c r="F15" t="str">
        <f>LEFT(HAVER!G19,4)</f>
        <v>2021</v>
      </c>
      <c r="G15" s="16" t="e">
        <f>NA()</f>
        <v>#N/A</v>
      </c>
      <c r="H15" s="16">
        <v>2.7539788108870367</v>
      </c>
      <c r="I15" s="16" t="e">
        <f>NA()</f>
        <v>#N/A</v>
      </c>
      <c r="J15">
        <v>2</v>
      </c>
    </row>
    <row r="16" spans="1:10" x14ac:dyDescent="0.35">
      <c r="A16" s="15">
        <v>43800</v>
      </c>
      <c r="B16" s="12">
        <f>HAVER!B128/1000</f>
        <v>66.912000000000006</v>
      </c>
      <c r="C16" s="12">
        <f>HAVER!C128/1000</f>
        <v>4.6849999999999996</v>
      </c>
      <c r="F16" t="str">
        <f>LEFT(HAVER!G20,4)</f>
        <v>2021</v>
      </c>
      <c r="G16" s="16" t="e">
        <f>NA()</f>
        <v>#N/A</v>
      </c>
      <c r="H16" s="16">
        <v>4.8899434932935693</v>
      </c>
      <c r="I16" s="16" t="e">
        <f>NA()</f>
        <v>#N/A</v>
      </c>
      <c r="J16">
        <v>2</v>
      </c>
    </row>
    <row r="17" spans="1:10" x14ac:dyDescent="0.35">
      <c r="A17" s="15">
        <v>43831</v>
      </c>
      <c r="B17" s="12">
        <f>HAVER!B129/1000</f>
        <v>69.31</v>
      </c>
      <c r="C17" s="12">
        <f>HAVER!C129/1000</f>
        <v>4.38</v>
      </c>
      <c r="F17" t="str">
        <f>LEFT(HAVER!G21,4)</f>
        <v>2022</v>
      </c>
      <c r="G17" s="16" t="e">
        <f>NA()</f>
        <v>#N/A</v>
      </c>
      <c r="H17" s="16">
        <v>6.1984103210960928</v>
      </c>
      <c r="I17" s="16" t="e">
        <f>NA()</f>
        <v>#N/A</v>
      </c>
      <c r="J17">
        <v>2</v>
      </c>
    </row>
    <row r="18" spans="1:10" x14ac:dyDescent="0.35">
      <c r="A18" s="15">
        <v>43862</v>
      </c>
      <c r="B18" s="12">
        <f>HAVER!B130/1000</f>
        <v>72.061999999999998</v>
      </c>
      <c r="C18" s="12">
        <f>HAVER!C130/1000</f>
        <v>4.5739999999999998</v>
      </c>
      <c r="F18" t="str">
        <f>LEFT(HAVER!G22,4)</f>
        <v>2022</v>
      </c>
      <c r="G18" s="16" t="e">
        <f>NA()</f>
        <v>#N/A</v>
      </c>
      <c r="H18" s="16">
        <v>9.1511767462904015</v>
      </c>
      <c r="I18" s="16" t="e">
        <f>NA()</f>
        <v>#N/A</v>
      </c>
      <c r="J18">
        <v>2</v>
      </c>
    </row>
    <row r="19" spans="1:10" x14ac:dyDescent="0.35">
      <c r="A19" s="15">
        <v>43891</v>
      </c>
      <c r="B19" s="12">
        <f>HAVER!B131/1000</f>
        <v>56.441000000000003</v>
      </c>
      <c r="C19" s="12">
        <f>HAVER!C131/1000</f>
        <v>4.8849999999999998</v>
      </c>
      <c r="F19" t="str">
        <f>LEFT(HAVER!G23,4)</f>
        <v>2022</v>
      </c>
      <c r="G19" s="16" t="e">
        <f>NA()</f>
        <v>#N/A</v>
      </c>
      <c r="H19" s="16">
        <v>10.005958905884139</v>
      </c>
      <c r="I19" s="16" t="e">
        <f>NA()</f>
        <v>#N/A</v>
      </c>
      <c r="J19">
        <v>2</v>
      </c>
    </row>
    <row r="20" spans="1:10" x14ac:dyDescent="0.35">
      <c r="A20" s="15">
        <v>43922</v>
      </c>
      <c r="B20" s="12">
        <f>HAVER!B132/1000</f>
        <v>15.938000000000001</v>
      </c>
      <c r="C20" s="12">
        <f>HAVER!C132/1000</f>
        <v>3.5999999999999997E-2</v>
      </c>
      <c r="F20" t="str">
        <f>LEFT(HAVER!G24,4)</f>
        <v>2022</v>
      </c>
      <c r="G20" s="16" t="e">
        <f>NA()</f>
        <v>#N/A</v>
      </c>
      <c r="H20" s="16">
        <v>10.75174825174825</v>
      </c>
      <c r="I20" s="16" t="e">
        <f>NA()</f>
        <v>#N/A</v>
      </c>
      <c r="J20">
        <v>2</v>
      </c>
    </row>
    <row r="21" spans="1:10" x14ac:dyDescent="0.35">
      <c r="A21" s="15">
        <v>43952</v>
      </c>
      <c r="B21" s="12">
        <f>HAVER!B133/1000</f>
        <v>9.3369999999999997</v>
      </c>
      <c r="C21" s="12">
        <f>HAVER!C133/1000</f>
        <v>0.248</v>
      </c>
      <c r="F21" t="str">
        <f>LEFT(HAVER!G25,4)</f>
        <v>2023</v>
      </c>
      <c r="G21" s="16" t="e">
        <f>NA()</f>
        <v>#N/A</v>
      </c>
      <c r="H21" s="16">
        <v>10.178266296223782</v>
      </c>
      <c r="I21" s="16" t="e">
        <f>NA()</f>
        <v>#N/A</v>
      </c>
      <c r="J21">
        <v>2</v>
      </c>
    </row>
    <row r="22" spans="1:10" x14ac:dyDescent="0.35">
      <c r="A22" s="15">
        <v>43983</v>
      </c>
      <c r="B22" s="12">
        <f>HAVER!B134/1000</f>
        <v>40.246000000000002</v>
      </c>
      <c r="C22" s="12">
        <f>HAVER!C134/1000</f>
        <v>1.964</v>
      </c>
      <c r="F22" t="str">
        <f>LEFT(HAVER!G26,4)</f>
        <v>2023</v>
      </c>
      <c r="G22" s="16" t="e">
        <f>NA()</f>
        <v>#N/A</v>
      </c>
      <c r="H22" s="16">
        <v>8.4390489688226822</v>
      </c>
      <c r="I22" s="16" t="e">
        <f>NA()</f>
        <v>#N/A</v>
      </c>
      <c r="J22">
        <v>2</v>
      </c>
    </row>
    <row r="23" spans="1:10" x14ac:dyDescent="0.35">
      <c r="A23" s="15">
        <v>44013</v>
      </c>
      <c r="B23" s="12">
        <f>HAVER!B135/1000</f>
        <v>66.888000000000005</v>
      </c>
      <c r="C23" s="12">
        <f>HAVER!C135/1000</f>
        <v>2.8439999999999999</v>
      </c>
      <c r="F23" t="str">
        <f>LEFT(HAVER!G27,4)</f>
        <v>2023</v>
      </c>
      <c r="G23" s="16">
        <v>6.7136184931289922</v>
      </c>
      <c r="H23" s="16">
        <v>6.7136184931289922</v>
      </c>
      <c r="I23" s="16" t="e">
        <f>NA()</f>
        <v>#N/A</v>
      </c>
      <c r="J23">
        <v>2</v>
      </c>
    </row>
    <row r="24" spans="1:10" x14ac:dyDescent="0.35">
      <c r="A24" s="15">
        <v>44044</v>
      </c>
      <c r="B24" s="12">
        <f>HAVER!B136/1000</f>
        <v>85.647999999999996</v>
      </c>
      <c r="C24" s="12">
        <f>HAVER!C136/1000</f>
        <v>3.161</v>
      </c>
      <c r="F24" t="str">
        <f>LEFT(HAVER!G28,4)</f>
        <v>2023</v>
      </c>
      <c r="G24" s="16">
        <v>4.1568271507498089</v>
      </c>
      <c r="H24" s="16">
        <f>HAVER!I28</f>
        <v>4.5999999999999996</v>
      </c>
      <c r="I24" s="16">
        <f>(('Model data'!C210/'Model data'!C206)-1)*100</f>
        <v>4.1568271507498089</v>
      </c>
      <c r="J24">
        <v>2</v>
      </c>
    </row>
    <row r="25" spans="1:10" x14ac:dyDescent="0.35">
      <c r="A25" s="15">
        <v>44075</v>
      </c>
      <c r="B25" s="12">
        <f>HAVER!B137/1000</f>
        <v>92.647000000000006</v>
      </c>
      <c r="C25" s="12">
        <f>HAVER!C137/1000</f>
        <v>5.37</v>
      </c>
      <c r="F25" t="str">
        <f>LEFT(HAVER!G29,4)</f>
        <v>2024</v>
      </c>
      <c r="G25" s="16">
        <f>HAVER!H29</f>
        <v>3.6</v>
      </c>
      <c r="H25" s="16">
        <f>HAVER!I29</f>
        <v>4.4000000000000004</v>
      </c>
      <c r="I25" s="16">
        <f>(('Model data'!C211/'Model data'!C207)-1)*100</f>
        <v>3.7341084901117982</v>
      </c>
      <c r="J25">
        <v>2</v>
      </c>
    </row>
    <row r="26" spans="1:10" x14ac:dyDescent="0.35">
      <c r="A26" s="15">
        <v>44105</v>
      </c>
      <c r="B26" s="12">
        <f>HAVER!B138/1000</f>
        <v>100.85599999999999</v>
      </c>
      <c r="C26" s="12">
        <f>HAVER!C138/1000</f>
        <v>5.1790000000000003</v>
      </c>
      <c r="F26" t="str">
        <f>LEFT(HAVER!G30,4)</f>
        <v>2024</v>
      </c>
      <c r="G26" s="16">
        <f>HAVER!H30</f>
        <v>2</v>
      </c>
      <c r="H26" s="16">
        <f>HAVER!I30</f>
        <v>3.6</v>
      </c>
      <c r="I26" s="16">
        <f>(('Model data'!C212/'Model data'!C208)-1)*100</f>
        <v>1.6059761938005623</v>
      </c>
      <c r="J26">
        <v>2</v>
      </c>
    </row>
    <row r="27" spans="1:10" x14ac:dyDescent="0.35">
      <c r="A27" s="15">
        <v>44136</v>
      </c>
      <c r="B27" s="12">
        <f>HAVER!B139/1000</f>
        <v>107.05800000000001</v>
      </c>
      <c r="C27" s="12">
        <f>HAVER!C139/1000</f>
        <v>6.91</v>
      </c>
      <c r="F27" t="str">
        <f>LEFT(HAVER!G31,4)</f>
        <v>2024</v>
      </c>
      <c r="G27" s="16">
        <f>HAVER!H31</f>
        <v>2.2000000000000002</v>
      </c>
      <c r="H27" s="16">
        <f>HAVER!I31</f>
        <v>3.3</v>
      </c>
      <c r="I27" s="16">
        <f>(('Model data'!C213/'Model data'!C209)-1)*100</f>
        <v>1.6700152207001606</v>
      </c>
      <c r="J27">
        <v>2</v>
      </c>
    </row>
    <row r="28" spans="1:10" x14ac:dyDescent="0.35">
      <c r="A28" s="15">
        <v>44166</v>
      </c>
      <c r="B28" s="12">
        <f>HAVER!B140/1000</f>
        <v>101.69499999999999</v>
      </c>
      <c r="C28" s="12">
        <f>HAVER!C140/1000</f>
        <v>6.6020000000000003</v>
      </c>
      <c r="F28" t="str">
        <f>LEFT(HAVER!G32,4)</f>
        <v>2024</v>
      </c>
      <c r="G28" s="16">
        <f>HAVER!H32</f>
        <v>2.7</v>
      </c>
      <c r="H28" s="16">
        <f>HAVER!I32</f>
        <v>3.1</v>
      </c>
      <c r="I28" s="16">
        <f>(('Model data'!C214/'Model data'!C210)-1)*100</f>
        <v>1.5187164640776851</v>
      </c>
      <c r="J28">
        <v>2</v>
      </c>
    </row>
    <row r="29" spans="1:10" x14ac:dyDescent="0.35">
      <c r="A29" s="15">
        <v>44197</v>
      </c>
      <c r="B29" s="12">
        <f>HAVER!B141/1000</f>
        <v>96.683999999999997</v>
      </c>
      <c r="C29" s="12">
        <f>HAVER!C141/1000</f>
        <v>6.149</v>
      </c>
      <c r="F29" t="str">
        <f>LEFT(HAVER!G33,4)</f>
        <v>2025</v>
      </c>
      <c r="G29" s="16">
        <f>HAVER!H33</f>
        <v>2.8</v>
      </c>
      <c r="H29" s="16">
        <f>HAVER!I33</f>
        <v>2.5</v>
      </c>
      <c r="I29" s="16">
        <f>(('Model data'!C215/'Model data'!C211)-1)*100</f>
        <v>1.29793287699147</v>
      </c>
      <c r="J29">
        <v>2</v>
      </c>
    </row>
    <row r="30" spans="1:10" x14ac:dyDescent="0.35">
      <c r="A30" s="15">
        <v>44228</v>
      </c>
      <c r="B30" s="12">
        <f>HAVER!B142/1000</f>
        <v>85.474999999999994</v>
      </c>
      <c r="C30" s="12">
        <f>HAVER!C142/1000</f>
        <v>7.859</v>
      </c>
      <c r="F30" t="str">
        <f>LEFT(HAVER!G34,4)</f>
        <v>2025</v>
      </c>
      <c r="G30" s="16">
        <f>HAVER!H34</f>
        <v>2.7</v>
      </c>
      <c r="H30" s="16">
        <f>HAVER!I34</f>
        <v>2.1</v>
      </c>
      <c r="I30" s="16">
        <f>(('Model data'!C216/'Model data'!C212)-1)*100</f>
        <v>1.4951386031255787</v>
      </c>
      <c r="J30">
        <v>2</v>
      </c>
    </row>
    <row r="31" spans="1:10" x14ac:dyDescent="0.35">
      <c r="A31" s="15">
        <v>44256</v>
      </c>
      <c r="B31" s="12">
        <f>HAVER!B143/1000</f>
        <v>81.486000000000004</v>
      </c>
      <c r="C31" s="12">
        <f>HAVER!C143/1000</f>
        <v>11.44</v>
      </c>
      <c r="F31" t="str">
        <f>LEFT(HAVER!G35,4)</f>
        <v>2025</v>
      </c>
      <c r="G31" s="16">
        <f>HAVER!H35</f>
        <v>2.7</v>
      </c>
      <c r="H31" s="16">
        <f>HAVER!I35</f>
        <v>2.1</v>
      </c>
      <c r="I31" s="16">
        <f>(('Model data'!C217/'Model data'!C213)-1)*100</f>
        <v>1.6013395771080186</v>
      </c>
      <c r="J31">
        <v>2</v>
      </c>
    </row>
    <row r="32" spans="1:10" x14ac:dyDescent="0.35">
      <c r="A32" s="15">
        <v>44287</v>
      </c>
      <c r="B32" s="12">
        <f>HAVER!B144/1000</f>
        <v>85.403999999999996</v>
      </c>
      <c r="C32" s="12">
        <f>HAVER!C144/1000</f>
        <v>3.0230000000000001</v>
      </c>
      <c r="F32" t="str">
        <f>LEFT(HAVER!G36,4)</f>
        <v>2025</v>
      </c>
      <c r="G32" s="16">
        <f>HAVER!H36</f>
        <v>2.5</v>
      </c>
      <c r="H32" s="16">
        <f>HAVER!I36</f>
        <v>1.9</v>
      </c>
      <c r="I32" s="16">
        <f>(('Model data'!C218/'Model data'!C214)-1)*100</f>
        <v>1.7387358000879205</v>
      </c>
      <c r="J32">
        <v>2</v>
      </c>
    </row>
    <row r="33" spans="1:10" x14ac:dyDescent="0.35">
      <c r="A33" s="15">
        <v>44317</v>
      </c>
      <c r="B33" s="12">
        <f>HAVER!B145/1000</f>
        <v>85.921000000000006</v>
      </c>
      <c r="C33" s="12">
        <f>HAVER!C145/1000</f>
        <v>4.4980000000000002</v>
      </c>
      <c r="F33" t="str">
        <f>LEFT(HAVER!G37,4)</f>
        <v>2026</v>
      </c>
      <c r="G33" s="16">
        <f>HAVER!H37</f>
        <v>2.2999999999999998</v>
      </c>
      <c r="H33" s="16">
        <f>HAVER!I37</f>
        <v>1.9</v>
      </c>
      <c r="I33" s="16">
        <f>(('Model data'!C219/'Model data'!C215)-1)*100</f>
        <v>1.8601906680534297</v>
      </c>
      <c r="J33">
        <v>2</v>
      </c>
    </row>
    <row r="34" spans="1:10" x14ac:dyDescent="0.35">
      <c r="A34" s="15">
        <v>44348</v>
      </c>
      <c r="B34" s="12">
        <f>HAVER!B146/1000</f>
        <v>78.747</v>
      </c>
      <c r="C34" s="12">
        <f>HAVER!C146/1000</f>
        <v>17.129000000000001</v>
      </c>
      <c r="F34" t="str">
        <f>LEFT(HAVER!G38,4)</f>
        <v>2026</v>
      </c>
      <c r="G34" s="16">
        <f>HAVER!H38</f>
        <v>2.2000000000000002</v>
      </c>
      <c r="H34" s="16">
        <f>HAVER!I38</f>
        <v>1.7</v>
      </c>
      <c r="I34" s="16">
        <f>(('Model data'!C220/'Model data'!C216)-1)*100</f>
        <v>1.8865411833294266</v>
      </c>
      <c r="J34">
        <v>2</v>
      </c>
    </row>
    <row r="35" spans="1:10" x14ac:dyDescent="0.35">
      <c r="A35" s="15">
        <v>44378</v>
      </c>
      <c r="B35" s="12">
        <f>HAVER!B147/1000</f>
        <v>72.879000000000005</v>
      </c>
      <c r="C35" s="12">
        <f>HAVER!C147/1000</f>
        <v>-1.7270000000000001</v>
      </c>
      <c r="F35" t="str">
        <f>LEFT(HAVER!G39,4)</f>
        <v>2026</v>
      </c>
      <c r="G35" s="16">
        <f>HAVER!H39</f>
        <v>2.1</v>
      </c>
      <c r="H35" s="16">
        <f>HAVER!I39</f>
        <v>1.6</v>
      </c>
      <c r="I35" s="16">
        <f>(('Model data'!C221/'Model data'!C217)-1)*100</f>
        <v>1.8920135530085647</v>
      </c>
      <c r="J35">
        <v>2</v>
      </c>
    </row>
    <row r="36" spans="1:10" x14ac:dyDescent="0.35">
      <c r="A36" s="15">
        <v>44409</v>
      </c>
      <c r="B36" s="12">
        <f>HAVER!B148/1000</f>
        <v>71.501000000000005</v>
      </c>
      <c r="C36" s="12">
        <f>HAVER!C148/1000</f>
        <v>4.2919999999999998</v>
      </c>
      <c r="F36" t="str">
        <f>LEFT(HAVER!G40,4)</f>
        <v>2026</v>
      </c>
      <c r="G36" s="16">
        <f>HAVER!H40</f>
        <v>2</v>
      </c>
      <c r="H36" s="16">
        <f>HAVER!I40</f>
        <v>1.5</v>
      </c>
      <c r="I36" s="16">
        <f>(('Model data'!C222/'Model data'!C218)-1)*100</f>
        <v>1.8879635628094915</v>
      </c>
      <c r="J36">
        <v>2</v>
      </c>
    </row>
    <row r="37" spans="1:10" x14ac:dyDescent="0.35">
      <c r="A37" s="15">
        <v>44440</v>
      </c>
      <c r="B37" s="12">
        <f>HAVER!B149/1000</f>
        <v>70.822000000000003</v>
      </c>
      <c r="C37" s="12">
        <f>HAVER!C149/1000</f>
        <v>9.8800000000000008</v>
      </c>
      <c r="F37" t="str">
        <f>LEFT(HAVER!G41,4)</f>
        <v>2027</v>
      </c>
      <c r="G37" s="16">
        <f>HAVER!H41</f>
        <v>1.9</v>
      </c>
      <c r="H37" s="16" t="e">
        <f>NA()</f>
        <v>#N/A</v>
      </c>
      <c r="I37" s="16">
        <f>(('Model data'!C223/'Model data'!C219)-1)*100</f>
        <v>1.8842214283833369</v>
      </c>
      <c r="J37">
        <v>2</v>
      </c>
    </row>
    <row r="38" spans="1:10" x14ac:dyDescent="0.35">
      <c r="A38" s="15">
        <v>44470</v>
      </c>
      <c r="B38" s="12">
        <f>HAVER!B150/1000</f>
        <v>68.183999999999997</v>
      </c>
      <c r="C38" s="12">
        <f>HAVER!C150/1000</f>
        <v>1.552</v>
      </c>
      <c r="F38" t="str">
        <f>LEFT(HAVER!G42,4)</f>
        <v/>
      </c>
      <c r="G38" s="16"/>
    </row>
    <row r="39" spans="1:10" x14ac:dyDescent="0.35">
      <c r="A39" s="15">
        <v>44501</v>
      </c>
      <c r="B39" s="12">
        <f>HAVER!B151/1000</f>
        <v>68.552000000000007</v>
      </c>
      <c r="C39" s="12">
        <f>HAVER!C151/1000</f>
        <v>3.601</v>
      </c>
      <c r="F39" t="str">
        <f>LEFT(HAVER!G43,4)</f>
        <v/>
      </c>
      <c r="G39" s="16"/>
    </row>
    <row r="40" spans="1:10" x14ac:dyDescent="0.35">
      <c r="A40" s="15">
        <v>44531</v>
      </c>
      <c r="B40" s="12">
        <f>HAVER!B152/1000</f>
        <v>70.989999999999995</v>
      </c>
      <c r="C40" s="12">
        <f>HAVER!C152/1000</f>
        <v>4.1909999999999998</v>
      </c>
      <c r="F40" t="str">
        <f>LEFT(HAVER!G44,4)</f>
        <v/>
      </c>
      <c r="G40" s="16"/>
    </row>
    <row r="41" spans="1:10" x14ac:dyDescent="0.35">
      <c r="A41" s="15">
        <v>44562</v>
      </c>
      <c r="B41" s="12">
        <f>HAVER!B153/1000</f>
        <v>73.709999999999994</v>
      </c>
      <c r="C41" s="12">
        <f>HAVER!C153/1000</f>
        <v>6.1379999999999999</v>
      </c>
      <c r="F41" t="str">
        <f>LEFT(HAVER!G45,4)</f>
        <v/>
      </c>
      <c r="G41" s="16"/>
    </row>
    <row r="42" spans="1:10" x14ac:dyDescent="0.35">
      <c r="A42" s="15">
        <v>44593</v>
      </c>
      <c r="B42" s="12">
        <f>HAVER!B154/1000</f>
        <v>69.48</v>
      </c>
      <c r="C42" s="12">
        <f>HAVER!C154/1000</f>
        <v>5.109</v>
      </c>
      <c r="F42" t="str">
        <f>LEFT(HAVER!G46,4)</f>
        <v/>
      </c>
      <c r="G42" s="16"/>
    </row>
    <row r="43" spans="1:10" x14ac:dyDescent="0.35">
      <c r="A43" s="15">
        <v>44621</v>
      </c>
      <c r="B43" s="12">
        <f>HAVER!B155/1000</f>
        <v>69.638999999999996</v>
      </c>
      <c r="C43" s="12">
        <f>HAVER!C155/1000</f>
        <v>7.2309999999999999</v>
      </c>
      <c r="F43" t="str">
        <f>LEFT(HAVER!G47,4)</f>
        <v/>
      </c>
      <c r="G43" s="16"/>
    </row>
    <row r="44" spans="1:10" x14ac:dyDescent="0.35">
      <c r="A44" s="15">
        <v>44652</v>
      </c>
      <c r="B44" s="12">
        <f>HAVER!B156/1000</f>
        <v>65.995999999999995</v>
      </c>
      <c r="C44" s="12">
        <f>HAVER!C156/1000</f>
        <v>4.0609999999999999</v>
      </c>
      <c r="F44" t="str">
        <f>LEFT(HAVER!G48,4)</f>
        <v/>
      </c>
      <c r="G44" s="16"/>
    </row>
    <row r="45" spans="1:10" x14ac:dyDescent="0.35">
      <c r="A45" s="15">
        <v>44682</v>
      </c>
      <c r="B45" s="12">
        <f>HAVER!B157/1000</f>
        <v>66.054000000000002</v>
      </c>
      <c r="C45" s="12">
        <f>HAVER!C157/1000</f>
        <v>6.3710000000000004</v>
      </c>
      <c r="F45" t="str">
        <f>LEFT(HAVER!G49,4)</f>
        <v/>
      </c>
      <c r="G45" s="16"/>
    </row>
    <row r="46" spans="1:10" x14ac:dyDescent="0.35">
      <c r="A46" s="15">
        <v>44713</v>
      </c>
      <c r="B46" s="12">
        <f>HAVER!B158/1000</f>
        <v>62.476999999999997</v>
      </c>
      <c r="C46" s="12">
        <f>HAVER!C158/1000</f>
        <v>5.0709999999999997</v>
      </c>
      <c r="F46" t="str">
        <f>LEFT(HAVER!G50,4)</f>
        <v/>
      </c>
      <c r="G46" s="16"/>
    </row>
    <row r="47" spans="1:10" x14ac:dyDescent="0.35">
      <c r="A47" s="15">
        <v>44743</v>
      </c>
      <c r="B47" s="12">
        <f>HAVER!B159/1000</f>
        <v>62.972000000000001</v>
      </c>
      <c r="C47" s="12">
        <f>HAVER!C159/1000</f>
        <v>4.4160000000000004</v>
      </c>
      <c r="F47" t="str">
        <f>LEFT(HAVER!G51,4)</f>
        <v/>
      </c>
      <c r="G47" s="16"/>
    </row>
    <row r="48" spans="1:10" x14ac:dyDescent="0.35">
      <c r="A48" s="15">
        <v>44774</v>
      </c>
      <c r="B48" s="12">
        <f>HAVER!B160/1000</f>
        <v>72.66</v>
      </c>
      <c r="C48" s="12">
        <f>HAVER!C160/1000</f>
        <v>5.36</v>
      </c>
      <c r="F48" t="str">
        <f>LEFT(HAVER!G52,4)</f>
        <v/>
      </c>
      <c r="G48" s="16"/>
    </row>
    <row r="49" spans="1:7" x14ac:dyDescent="0.35">
      <c r="A49" s="15">
        <v>44805</v>
      </c>
      <c r="B49" s="12">
        <f>HAVER!B161/1000</f>
        <v>65.093999999999994</v>
      </c>
      <c r="C49" s="12">
        <f>HAVER!C161/1000</f>
        <v>5.7130000000000001</v>
      </c>
      <c r="F49" t="str">
        <f>LEFT(HAVER!G53,4)</f>
        <v/>
      </c>
      <c r="G49" s="16"/>
    </row>
    <row r="50" spans="1:7" x14ac:dyDescent="0.35">
      <c r="A50" s="15">
        <v>44835</v>
      </c>
      <c r="B50" s="12">
        <f>HAVER!B162/1000</f>
        <v>57.848999999999997</v>
      </c>
      <c r="C50" s="12">
        <f>HAVER!C162/1000</f>
        <v>2.93</v>
      </c>
      <c r="F50" t="str">
        <f>LEFT(HAVER!G54,4)</f>
        <v/>
      </c>
      <c r="G50" s="16"/>
    </row>
    <row r="51" spans="1:7" x14ac:dyDescent="0.35">
      <c r="A51" s="15">
        <v>44866</v>
      </c>
      <c r="B51" s="12">
        <f>HAVER!B163/1000</f>
        <v>45.853000000000002</v>
      </c>
      <c r="C51" s="12">
        <f>HAVER!C163/1000</f>
        <v>3.3410000000000002</v>
      </c>
      <c r="F51" t="str">
        <f>LEFT(HAVER!G55,4)</f>
        <v/>
      </c>
      <c r="G51" s="16"/>
    </row>
    <row r="52" spans="1:7" x14ac:dyDescent="0.35">
      <c r="A52" s="15">
        <v>44896</v>
      </c>
      <c r="B52" s="12">
        <f>HAVER!B164/1000</f>
        <v>40.186</v>
      </c>
      <c r="C52" s="12">
        <f>HAVER!C164/1000</f>
        <v>2.077</v>
      </c>
      <c r="F52" t="str">
        <f>LEFT(HAVER!G56,4)</f>
        <v/>
      </c>
      <c r="G52" s="16"/>
    </row>
    <row r="53" spans="1:7" x14ac:dyDescent="0.35">
      <c r="A53" s="15">
        <v>44927</v>
      </c>
      <c r="B53" s="12">
        <f>HAVER!B165/1000</f>
        <v>39.600999999999999</v>
      </c>
      <c r="C53" s="12">
        <f>HAVER!C165/1000</f>
        <v>1.901</v>
      </c>
      <c r="F53" t="str">
        <f>LEFT(HAVER!G57,4)</f>
        <v/>
      </c>
      <c r="G53" s="16"/>
    </row>
    <row r="54" spans="1:7" x14ac:dyDescent="0.35">
      <c r="A54" s="15">
        <v>44958</v>
      </c>
      <c r="B54" s="12">
        <f>HAVER!B166/1000</f>
        <v>43.945</v>
      </c>
      <c r="C54" s="12">
        <f>HAVER!C166/1000</f>
        <v>0.55400000000000005</v>
      </c>
      <c r="F54" t="str">
        <f>LEFT(HAVER!G58,4)</f>
        <v/>
      </c>
      <c r="G54" s="16"/>
    </row>
    <row r="55" spans="1:7" x14ac:dyDescent="0.35">
      <c r="A55" s="15">
        <v>44986</v>
      </c>
      <c r="B55" s="12">
        <f>HAVER!B167/1000</f>
        <v>51.853000000000002</v>
      </c>
      <c r="C55" s="12">
        <f>HAVER!C167/1000</f>
        <v>-8.6999999999999994E-2</v>
      </c>
      <c r="F55" t="str">
        <f>LEFT(HAVER!G59,4)</f>
        <v/>
      </c>
      <c r="G55" s="16"/>
    </row>
    <row r="56" spans="1:7" x14ac:dyDescent="0.35">
      <c r="A56" s="15">
        <v>45017</v>
      </c>
      <c r="B56" s="12">
        <f>HAVER!B168/1000</f>
        <v>49.088999999999999</v>
      </c>
      <c r="C56" s="12">
        <f>HAVER!C168/1000</f>
        <v>-1.375</v>
      </c>
      <c r="F56" t="str">
        <f>LEFT(HAVER!G60,4)</f>
        <v/>
      </c>
      <c r="G56" s="16"/>
    </row>
    <row r="57" spans="1:7" x14ac:dyDescent="0.35">
      <c r="A57" s="15">
        <v>45047</v>
      </c>
      <c r="B57" s="12">
        <f>HAVER!B169/1000</f>
        <v>50.570999999999998</v>
      </c>
      <c r="C57" s="12">
        <f>HAVER!C169/1000</f>
        <v>-0.30299999999999999</v>
      </c>
    </row>
    <row r="58" spans="1:7" x14ac:dyDescent="0.35">
      <c r="A58" s="15">
        <v>45078</v>
      </c>
      <c r="B58" s="12">
        <f>HAVER!B170/1000</f>
        <v>53.953000000000003</v>
      </c>
      <c r="C58" s="12">
        <f>HAVER!C170/1000</f>
        <v>-0.14799999999999999</v>
      </c>
    </row>
    <row r="59" spans="1:7" x14ac:dyDescent="0.35">
      <c r="A59" s="15">
        <v>45108</v>
      </c>
      <c r="B59" s="12">
        <f>HAVER!B171/1000</f>
        <v>49.524999999999999</v>
      </c>
      <c r="C59" s="12">
        <f>HAVER!C171/1000</f>
        <v>0.14000000000000001</v>
      </c>
    </row>
    <row r="60" spans="1:7" x14ac:dyDescent="0.35">
      <c r="A60" s="15">
        <v>45139</v>
      </c>
      <c r="B60" s="12">
        <f>HAVER!B172/1000</f>
        <v>45.741</v>
      </c>
      <c r="C60" s="12">
        <f>HAVER!C172/1000</f>
        <v>1.073</v>
      </c>
    </row>
    <row r="61" spans="1:7" x14ac:dyDescent="0.35">
      <c r="A61" s="15">
        <v>45170</v>
      </c>
      <c r="B61" s="12">
        <f>HAVER!B173/1000</f>
        <v>44.1</v>
      </c>
      <c r="C61" s="12">
        <f>HAVER!C173/1000</f>
        <v>-0.91800000000000004</v>
      </c>
    </row>
    <row r="62" spans="1:7" x14ac:dyDescent="0.35">
      <c r="A62" s="15">
        <v>45200</v>
      </c>
      <c r="B62" s="12">
        <f>HAVER!B174/1000</f>
        <v>48.128</v>
      </c>
      <c r="C62" s="12">
        <f>HAVER!C174/1000</f>
        <v>2.3E-2</v>
      </c>
    </row>
    <row r="63" spans="1:7" x14ac:dyDescent="0.35">
      <c r="A63" s="15">
        <v>45231</v>
      </c>
      <c r="B63" s="12">
        <f>HAVER!B175/1000</f>
        <v>49.313000000000002</v>
      </c>
      <c r="C63" s="12">
        <f>HAVER!C175/1000</f>
        <v>6.0000000000000001E-3</v>
      </c>
    </row>
    <row r="64" spans="1:7" x14ac:dyDescent="0.35">
      <c r="A64" s="15">
        <v>45261</v>
      </c>
      <c r="B64" s="12">
        <f>HAVER!B176/1000</f>
        <v>50.459000000000003</v>
      </c>
      <c r="C64" s="12">
        <f>HAVER!C176/1000</f>
        <v>-0.83</v>
      </c>
    </row>
    <row r="65" spans="1:1" x14ac:dyDescent="0.35">
      <c r="A65" s="15"/>
    </row>
    <row r="66" spans="1:1" x14ac:dyDescent="0.35">
      <c r="A66" s="15"/>
    </row>
    <row r="67" spans="1:1" x14ac:dyDescent="0.35">
      <c r="A67" s="15"/>
    </row>
    <row r="68" spans="1:1" x14ac:dyDescent="0.35">
      <c r="A68" s="15"/>
    </row>
    <row r="69" spans="1:1" x14ac:dyDescent="0.35">
      <c r="A69" s="15"/>
    </row>
    <row r="70" spans="1:1" x14ac:dyDescent="0.35">
      <c r="A70" s="15"/>
    </row>
    <row r="71" spans="1:1" x14ac:dyDescent="0.35">
      <c r="A71" s="15"/>
    </row>
    <row r="72" spans="1:1" x14ac:dyDescent="0.35">
      <c r="A72" s="15"/>
    </row>
    <row r="73" spans="1:1" x14ac:dyDescent="0.35">
      <c r="A73" s="15"/>
    </row>
    <row r="74" spans="1:1" x14ac:dyDescent="0.35">
      <c r="A74" s="15"/>
    </row>
    <row r="75" spans="1:1" x14ac:dyDescent="0.35">
      <c r="A75" s="15"/>
    </row>
    <row r="76" spans="1:1" x14ac:dyDescent="0.35">
      <c r="A76" s="15"/>
    </row>
    <row r="77" spans="1:1" x14ac:dyDescent="0.35">
      <c r="A77" s="15"/>
    </row>
    <row r="78" spans="1:1" x14ac:dyDescent="0.35">
      <c r="A78" s="15"/>
    </row>
    <row r="79" spans="1:1" x14ac:dyDescent="0.35">
      <c r="A79" s="15"/>
    </row>
    <row r="80" spans="1:1" x14ac:dyDescent="0.35">
      <c r="A80" s="15"/>
    </row>
    <row r="81" spans="1:1" x14ac:dyDescent="0.35">
      <c r="A81" s="15"/>
    </row>
    <row r="82" spans="1:1" x14ac:dyDescent="0.35">
      <c r="A82" s="15"/>
    </row>
    <row r="83" spans="1:1" x14ac:dyDescent="0.35">
      <c r="A83" s="15"/>
    </row>
    <row r="84" spans="1:1" x14ac:dyDescent="0.35">
      <c r="A84" s="15"/>
    </row>
    <row r="85" spans="1:1" x14ac:dyDescent="0.35">
      <c r="A85" s="15"/>
    </row>
    <row r="86" spans="1:1" x14ac:dyDescent="0.35">
      <c r="A86" s="15"/>
    </row>
    <row r="87" spans="1:1" x14ac:dyDescent="0.35">
      <c r="A87" s="15"/>
    </row>
    <row r="88" spans="1:1" x14ac:dyDescent="0.35">
      <c r="A88" s="15"/>
    </row>
    <row r="89" spans="1:1" x14ac:dyDescent="0.35">
      <c r="A89" s="15"/>
    </row>
    <row r="90" spans="1:1" x14ac:dyDescent="0.35">
      <c r="A90" s="15"/>
    </row>
    <row r="91" spans="1:1" x14ac:dyDescent="0.35">
      <c r="A91" s="15"/>
    </row>
    <row r="92" spans="1:1" x14ac:dyDescent="0.35">
      <c r="A92" s="15"/>
    </row>
    <row r="93" spans="1:1" x14ac:dyDescent="0.35">
      <c r="A93" s="15"/>
    </row>
    <row r="94" spans="1:1" x14ac:dyDescent="0.35">
      <c r="A94" s="15"/>
    </row>
    <row r="95" spans="1:1" x14ac:dyDescent="0.35">
      <c r="A95" s="15"/>
    </row>
    <row r="96" spans="1:1" x14ac:dyDescent="0.35">
      <c r="A96" s="15"/>
    </row>
    <row r="97" spans="1:1" x14ac:dyDescent="0.35">
      <c r="A97" s="15"/>
    </row>
    <row r="98" spans="1:1" x14ac:dyDescent="0.35">
      <c r="A98" s="15"/>
    </row>
    <row r="99" spans="1:1" x14ac:dyDescent="0.35">
      <c r="A99" s="15"/>
    </row>
    <row r="100" spans="1:1" x14ac:dyDescent="0.35">
      <c r="A100" s="15"/>
    </row>
    <row r="101" spans="1:1" x14ac:dyDescent="0.35">
      <c r="A101" s="15"/>
    </row>
    <row r="102" spans="1:1" x14ac:dyDescent="0.35">
      <c r="A102" s="15"/>
    </row>
    <row r="103" spans="1:1" x14ac:dyDescent="0.35">
      <c r="A103" s="15"/>
    </row>
    <row r="104" spans="1:1" x14ac:dyDescent="0.35">
      <c r="A104" s="15"/>
    </row>
    <row r="105" spans="1:1" x14ac:dyDescent="0.35">
      <c r="A105" s="15"/>
    </row>
    <row r="106" spans="1:1" x14ac:dyDescent="0.35">
      <c r="A106" s="15"/>
    </row>
    <row r="107" spans="1:1" x14ac:dyDescent="0.35">
      <c r="A107" s="15"/>
    </row>
    <row r="108" spans="1:1" x14ac:dyDescent="0.35">
      <c r="A108" s="15"/>
    </row>
    <row r="109" spans="1:1" x14ac:dyDescent="0.35">
      <c r="A109" s="15"/>
    </row>
    <row r="110" spans="1:1" x14ac:dyDescent="0.35">
      <c r="A110" s="15"/>
    </row>
    <row r="111" spans="1:1" x14ac:dyDescent="0.35">
      <c r="A111" s="15"/>
    </row>
    <row r="112" spans="1:1" x14ac:dyDescent="0.35">
      <c r="A112" s="15"/>
    </row>
    <row r="113" spans="1:1" x14ac:dyDescent="0.35">
      <c r="A113" s="15"/>
    </row>
    <row r="114" spans="1:1" x14ac:dyDescent="0.35">
      <c r="A114" s="15"/>
    </row>
    <row r="115" spans="1:1" x14ac:dyDescent="0.35">
      <c r="A115" s="15"/>
    </row>
    <row r="116" spans="1:1" x14ac:dyDescent="0.35">
      <c r="A116" s="15"/>
    </row>
    <row r="117" spans="1:1" x14ac:dyDescent="0.35">
      <c r="A117" s="15"/>
    </row>
    <row r="118" spans="1:1" x14ac:dyDescent="0.35">
      <c r="A118" s="15"/>
    </row>
    <row r="119" spans="1:1" x14ac:dyDescent="0.35">
      <c r="A119" s="15"/>
    </row>
    <row r="120" spans="1:1" x14ac:dyDescent="0.35">
      <c r="A120" s="15"/>
    </row>
    <row r="121" spans="1:1" x14ac:dyDescent="0.35">
      <c r="A121" s="15"/>
    </row>
    <row r="122" spans="1:1" x14ac:dyDescent="0.35">
      <c r="A122" s="15"/>
    </row>
    <row r="123" spans="1:1" x14ac:dyDescent="0.35">
      <c r="A123" s="15"/>
    </row>
    <row r="124" spans="1:1" x14ac:dyDescent="0.35">
      <c r="A124" s="15"/>
    </row>
    <row r="125" spans="1:1" x14ac:dyDescent="0.35">
      <c r="A125" s="15"/>
    </row>
    <row r="126" spans="1:1" x14ac:dyDescent="0.35">
      <c r="A126" s="15"/>
    </row>
    <row r="127" spans="1:1" x14ac:dyDescent="0.35">
      <c r="A127" s="15"/>
    </row>
    <row r="128" spans="1:1" x14ac:dyDescent="0.35">
      <c r="A128" s="15"/>
    </row>
    <row r="129" spans="1:1" x14ac:dyDescent="0.35">
      <c r="A129" s="15"/>
    </row>
    <row r="130" spans="1:1" x14ac:dyDescent="0.35">
      <c r="A130" s="15"/>
    </row>
    <row r="131" spans="1:1" x14ac:dyDescent="0.35">
      <c r="A1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3F95-79EC-4742-98B5-131E407D44AD}">
  <dimension ref="A3:I176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4" sqref="G4"/>
    </sheetView>
  </sheetViews>
  <sheetFormatPr defaultRowHeight="14.5" x14ac:dyDescent="0.35"/>
  <cols>
    <col min="2" max="3" width="17.26953125" customWidth="1"/>
    <col min="8" max="9" width="17.6328125" customWidth="1"/>
  </cols>
  <sheetData>
    <row r="3" spans="1:9" x14ac:dyDescent="0.35">
      <c r="A3" s="10" t="s">
        <v>373</v>
      </c>
      <c r="B3" t="s">
        <v>371</v>
      </c>
      <c r="C3" s="14" t="s">
        <v>372</v>
      </c>
      <c r="G3" s="10" t="s">
        <v>577</v>
      </c>
      <c r="H3" s="14" t="s">
        <v>551</v>
      </c>
      <c r="I3" s="14" t="s">
        <v>552</v>
      </c>
    </row>
    <row r="4" spans="1:9" s="13" customFormat="1" ht="82" customHeight="1" x14ac:dyDescent="0.35">
      <c r="A4" s="13" t="s">
        <v>343</v>
      </c>
      <c r="B4" s="13" t="s">
        <v>379</v>
      </c>
      <c r="C4" s="13" t="s">
        <v>380</v>
      </c>
      <c r="G4" s="13" t="s">
        <v>343</v>
      </c>
      <c r="H4" s="13" t="s">
        <v>556</v>
      </c>
      <c r="I4" s="13" t="s">
        <v>561</v>
      </c>
    </row>
    <row r="5" spans="1:9" ht="1" customHeight="1" x14ac:dyDescent="0.35">
      <c r="A5" t="s">
        <v>342</v>
      </c>
      <c r="B5" t="s">
        <v>378</v>
      </c>
      <c r="C5" t="s">
        <v>378</v>
      </c>
      <c r="G5" t="s">
        <v>342</v>
      </c>
      <c r="H5" t="s">
        <v>555</v>
      </c>
      <c r="I5" t="s">
        <v>560</v>
      </c>
    </row>
    <row r="6" spans="1:9" ht="2.5" customHeight="1" x14ac:dyDescent="0.35">
      <c r="A6" t="s">
        <v>341</v>
      </c>
      <c r="B6" t="s">
        <v>377</v>
      </c>
      <c r="C6" t="s">
        <v>377</v>
      </c>
      <c r="G6" t="s">
        <v>341</v>
      </c>
      <c r="H6" t="s">
        <v>554</v>
      </c>
      <c r="I6" t="s">
        <v>559</v>
      </c>
    </row>
    <row r="7" spans="1:9" hidden="1" x14ac:dyDescent="0.35">
      <c r="A7" t="s">
        <v>340</v>
      </c>
      <c r="B7" t="s">
        <v>376</v>
      </c>
      <c r="C7" t="s">
        <v>376</v>
      </c>
      <c r="G7" t="s">
        <v>340</v>
      </c>
      <c r="H7" t="s">
        <v>376</v>
      </c>
      <c r="I7" t="s">
        <v>558</v>
      </c>
    </row>
    <row r="8" spans="1:9" ht="0.5" customHeight="1" x14ac:dyDescent="0.35">
      <c r="A8" t="s">
        <v>339</v>
      </c>
      <c r="B8" t="s">
        <v>375</v>
      </c>
      <c r="C8" t="s">
        <v>375</v>
      </c>
      <c r="G8" t="s">
        <v>339</v>
      </c>
      <c r="H8" t="s">
        <v>553</v>
      </c>
      <c r="I8" t="s">
        <v>557</v>
      </c>
    </row>
    <row r="9" spans="1:9" x14ac:dyDescent="0.35">
      <c r="A9" t="s">
        <v>374</v>
      </c>
      <c r="B9" s="11">
        <v>46458</v>
      </c>
      <c r="C9" s="11">
        <v>1066</v>
      </c>
      <c r="G9" t="s">
        <v>344</v>
      </c>
      <c r="H9" s="16" t="e">
        <v>#N/A</v>
      </c>
      <c r="I9" s="16" t="e">
        <v>#N/A</v>
      </c>
    </row>
    <row r="10" spans="1:9" x14ac:dyDescent="0.35">
      <c r="A10" t="s">
        <v>381</v>
      </c>
      <c r="B10" s="11">
        <v>47825</v>
      </c>
      <c r="C10" s="11">
        <v>944</v>
      </c>
      <c r="G10" t="s">
        <v>345</v>
      </c>
      <c r="H10" s="16" t="e">
        <v>#N/A</v>
      </c>
      <c r="I10" s="16" t="e">
        <v>#N/A</v>
      </c>
    </row>
    <row r="11" spans="1:9" x14ac:dyDescent="0.35">
      <c r="A11" t="s">
        <v>382</v>
      </c>
      <c r="B11" s="11">
        <v>49165</v>
      </c>
      <c r="C11" s="11">
        <v>407</v>
      </c>
      <c r="G11" t="s">
        <v>346</v>
      </c>
      <c r="H11" s="16" t="e">
        <v>#N/A</v>
      </c>
      <c r="I11" s="16" t="e">
        <v>#N/A</v>
      </c>
    </row>
    <row r="12" spans="1:9" x14ac:dyDescent="0.35">
      <c r="A12" t="s">
        <v>383</v>
      </c>
      <c r="B12" s="11">
        <v>50216</v>
      </c>
      <c r="C12" s="11">
        <v>79</v>
      </c>
      <c r="G12" t="s">
        <v>347</v>
      </c>
      <c r="H12" s="16" t="e">
        <v>#N/A</v>
      </c>
      <c r="I12" s="16" t="e">
        <v>#N/A</v>
      </c>
    </row>
    <row r="13" spans="1:9" x14ac:dyDescent="0.35">
      <c r="A13" t="s">
        <v>384</v>
      </c>
      <c r="B13" s="11">
        <v>50022</v>
      </c>
      <c r="C13" s="11">
        <v>735</v>
      </c>
      <c r="G13" t="s">
        <v>348</v>
      </c>
      <c r="H13" s="16" t="e">
        <v>#N/A</v>
      </c>
      <c r="I13" s="16" t="e">
        <v>#N/A</v>
      </c>
    </row>
    <row r="14" spans="1:9" x14ac:dyDescent="0.35">
      <c r="A14" t="s">
        <v>385</v>
      </c>
      <c r="B14" s="11">
        <v>49446</v>
      </c>
      <c r="C14" s="11">
        <v>594</v>
      </c>
      <c r="G14" t="s">
        <v>349</v>
      </c>
      <c r="H14" s="16" t="e">
        <v>#N/A</v>
      </c>
      <c r="I14" s="16" t="e">
        <v>#N/A</v>
      </c>
    </row>
    <row r="15" spans="1:9" x14ac:dyDescent="0.35">
      <c r="A15" t="s">
        <v>386</v>
      </c>
      <c r="B15" s="11">
        <v>48717</v>
      </c>
      <c r="C15" s="11">
        <v>-251</v>
      </c>
      <c r="G15" t="s">
        <v>350</v>
      </c>
      <c r="H15" s="16" t="e">
        <v>#N/A</v>
      </c>
      <c r="I15" s="16" t="e">
        <v>#N/A</v>
      </c>
    </row>
    <row r="16" spans="1:9" x14ac:dyDescent="0.35">
      <c r="A16" t="s">
        <v>387</v>
      </c>
      <c r="B16" s="11">
        <v>47372</v>
      </c>
      <c r="C16" s="11">
        <v>1345</v>
      </c>
      <c r="G16" t="s">
        <v>351</v>
      </c>
      <c r="H16" s="16" t="e">
        <v>#N/A</v>
      </c>
      <c r="I16" s="16" t="e">
        <v>#N/A</v>
      </c>
    </row>
    <row r="17" spans="1:9" x14ac:dyDescent="0.35">
      <c r="A17" t="s">
        <v>388</v>
      </c>
      <c r="B17" s="11">
        <v>46813</v>
      </c>
      <c r="C17" s="11">
        <v>229</v>
      </c>
      <c r="G17" t="s">
        <v>352</v>
      </c>
      <c r="H17" s="16" t="e">
        <v>#N/A</v>
      </c>
      <c r="I17" s="16" t="e">
        <v>#N/A</v>
      </c>
    </row>
    <row r="18" spans="1:9" x14ac:dyDescent="0.35">
      <c r="A18" t="s">
        <v>389</v>
      </c>
      <c r="B18" s="11">
        <v>46869</v>
      </c>
      <c r="C18" s="11">
        <v>588</v>
      </c>
      <c r="G18" t="s">
        <v>353</v>
      </c>
      <c r="H18" s="16" t="e">
        <v>#N/A</v>
      </c>
      <c r="I18" s="16" t="e">
        <v>#N/A</v>
      </c>
    </row>
    <row r="19" spans="1:9" x14ac:dyDescent="0.35">
      <c r="A19" t="s">
        <v>390</v>
      </c>
      <c r="B19" s="11">
        <v>46150</v>
      </c>
      <c r="C19" s="11">
        <v>467</v>
      </c>
      <c r="G19" t="s">
        <v>354</v>
      </c>
      <c r="H19" s="16" t="e">
        <v>#N/A</v>
      </c>
      <c r="I19" s="16" t="e">
        <v>#N/A</v>
      </c>
    </row>
    <row r="20" spans="1:9" x14ac:dyDescent="0.35">
      <c r="A20" t="s">
        <v>391</v>
      </c>
      <c r="B20" s="11">
        <v>41711</v>
      </c>
      <c r="C20" s="11">
        <v>-340</v>
      </c>
      <c r="G20" t="s">
        <v>355</v>
      </c>
      <c r="H20" s="16" t="e">
        <v>#N/A</v>
      </c>
      <c r="I20" s="16" t="e">
        <v>#N/A</v>
      </c>
    </row>
    <row r="21" spans="1:9" x14ac:dyDescent="0.35">
      <c r="A21" t="s">
        <v>392</v>
      </c>
      <c r="B21" s="11">
        <v>42913</v>
      </c>
      <c r="C21" s="11">
        <v>1346</v>
      </c>
      <c r="G21" t="s">
        <v>356</v>
      </c>
      <c r="H21" s="16" t="e">
        <v>#N/A</v>
      </c>
      <c r="I21" s="16" t="e">
        <v>#N/A</v>
      </c>
    </row>
    <row r="22" spans="1:9" x14ac:dyDescent="0.35">
      <c r="A22" t="s">
        <v>393</v>
      </c>
      <c r="B22" s="11">
        <v>47499</v>
      </c>
      <c r="C22" s="11">
        <v>397</v>
      </c>
      <c r="G22" t="s">
        <v>357</v>
      </c>
      <c r="H22" s="16" t="e">
        <v>#N/A</v>
      </c>
      <c r="I22" s="16" t="e">
        <v>#N/A</v>
      </c>
    </row>
    <row r="23" spans="1:9" x14ac:dyDescent="0.35">
      <c r="A23" t="s">
        <v>394</v>
      </c>
      <c r="B23" s="11">
        <v>48393</v>
      </c>
      <c r="C23" s="11">
        <v>336</v>
      </c>
      <c r="G23" t="s">
        <v>358</v>
      </c>
      <c r="H23" s="16" t="e">
        <v>#N/A</v>
      </c>
      <c r="I23" s="16" t="e">
        <v>#N/A</v>
      </c>
    </row>
    <row r="24" spans="1:9" x14ac:dyDescent="0.35">
      <c r="A24" t="s">
        <v>395</v>
      </c>
      <c r="B24" s="11">
        <v>46050</v>
      </c>
      <c r="C24" s="11">
        <v>539</v>
      </c>
      <c r="G24" t="s">
        <v>359</v>
      </c>
      <c r="H24" s="16" t="e">
        <v>#N/A</v>
      </c>
      <c r="I24" s="16" t="e">
        <v>#N/A</v>
      </c>
    </row>
    <row r="25" spans="1:9" x14ac:dyDescent="0.35">
      <c r="A25" t="s">
        <v>396</v>
      </c>
      <c r="B25" s="11">
        <v>47010</v>
      </c>
      <c r="C25" s="11">
        <v>1123</v>
      </c>
      <c r="G25" t="s">
        <v>360</v>
      </c>
      <c r="H25" s="16" t="e">
        <v>#N/A</v>
      </c>
      <c r="I25" s="16" t="e">
        <v>#N/A</v>
      </c>
    </row>
    <row r="26" spans="1:9" x14ac:dyDescent="0.35">
      <c r="A26" t="s">
        <v>397</v>
      </c>
      <c r="B26" s="11">
        <v>49377</v>
      </c>
      <c r="C26" s="11">
        <v>-251</v>
      </c>
      <c r="G26" t="s">
        <v>361</v>
      </c>
      <c r="H26" s="16" t="e">
        <v>#N/A</v>
      </c>
      <c r="I26" s="16" t="e">
        <v>#N/A</v>
      </c>
    </row>
    <row r="27" spans="1:9" x14ac:dyDescent="0.35">
      <c r="A27" t="s">
        <v>398</v>
      </c>
      <c r="B27" s="11">
        <v>50870</v>
      </c>
      <c r="C27" s="11">
        <v>506</v>
      </c>
      <c r="G27" t="s">
        <v>562</v>
      </c>
      <c r="H27" s="16" t="e">
        <v>#N/A</v>
      </c>
      <c r="I27" s="16" t="e">
        <v>#N/A</v>
      </c>
    </row>
    <row r="28" spans="1:9" x14ac:dyDescent="0.35">
      <c r="A28" t="s">
        <v>399</v>
      </c>
      <c r="B28" s="11">
        <v>52915</v>
      </c>
      <c r="C28" s="11">
        <v>766</v>
      </c>
      <c r="G28" t="s">
        <v>563</v>
      </c>
      <c r="H28" s="16" t="e">
        <v>#N/A</v>
      </c>
      <c r="I28" s="16">
        <v>4.5999999999999996</v>
      </c>
    </row>
    <row r="29" spans="1:9" x14ac:dyDescent="0.35">
      <c r="A29" t="s">
        <v>400</v>
      </c>
      <c r="B29" s="11">
        <v>50867</v>
      </c>
      <c r="C29" s="11">
        <v>461</v>
      </c>
      <c r="G29" t="s">
        <v>564</v>
      </c>
      <c r="H29" s="16">
        <v>3.6</v>
      </c>
      <c r="I29" s="16">
        <v>4.4000000000000004</v>
      </c>
    </row>
    <row r="30" spans="1:9" x14ac:dyDescent="0.35">
      <c r="A30" t="s">
        <v>401</v>
      </c>
      <c r="B30" s="11">
        <v>51767</v>
      </c>
      <c r="C30" s="11">
        <v>1041</v>
      </c>
      <c r="G30" t="s">
        <v>565</v>
      </c>
      <c r="H30" s="16">
        <v>2</v>
      </c>
      <c r="I30" s="16">
        <v>3.6</v>
      </c>
    </row>
    <row r="31" spans="1:9" x14ac:dyDescent="0.35">
      <c r="A31" t="s">
        <v>402</v>
      </c>
      <c r="B31" s="11">
        <v>52094</v>
      </c>
      <c r="C31" s="11">
        <v>632</v>
      </c>
      <c r="G31" t="s">
        <v>566</v>
      </c>
      <c r="H31" s="16">
        <v>2.2000000000000002</v>
      </c>
      <c r="I31" s="16">
        <v>3.3</v>
      </c>
    </row>
    <row r="32" spans="1:9" x14ac:dyDescent="0.35">
      <c r="A32" t="s">
        <v>403</v>
      </c>
      <c r="B32" s="11">
        <v>51714</v>
      </c>
      <c r="C32" s="11">
        <v>109</v>
      </c>
      <c r="G32" t="s">
        <v>567</v>
      </c>
      <c r="H32" s="16">
        <v>2.7</v>
      </c>
      <c r="I32" s="16">
        <v>3.1</v>
      </c>
    </row>
    <row r="33" spans="1:9" x14ac:dyDescent="0.35">
      <c r="A33" t="s">
        <v>404</v>
      </c>
      <c r="B33" s="11">
        <v>55586</v>
      </c>
      <c r="C33" s="11">
        <v>1754</v>
      </c>
      <c r="G33" t="s">
        <v>568</v>
      </c>
      <c r="H33" s="16">
        <v>2.8</v>
      </c>
      <c r="I33" s="16">
        <v>2.5</v>
      </c>
    </row>
    <row r="34" spans="1:9" x14ac:dyDescent="0.35">
      <c r="A34" t="s">
        <v>405</v>
      </c>
      <c r="B34" s="11">
        <v>50358</v>
      </c>
      <c r="C34" s="11">
        <v>934</v>
      </c>
      <c r="G34" t="s">
        <v>569</v>
      </c>
      <c r="H34" s="16">
        <v>2.7</v>
      </c>
      <c r="I34" s="16">
        <v>2.1</v>
      </c>
    </row>
    <row r="35" spans="1:9" x14ac:dyDescent="0.35">
      <c r="A35" t="s">
        <v>406</v>
      </c>
      <c r="B35" s="11">
        <v>51317</v>
      </c>
      <c r="C35" s="11">
        <v>1298</v>
      </c>
      <c r="G35" t="s">
        <v>570</v>
      </c>
      <c r="H35" s="16">
        <v>2.7</v>
      </c>
      <c r="I35" s="16">
        <v>2.1</v>
      </c>
    </row>
    <row r="36" spans="1:9" x14ac:dyDescent="0.35">
      <c r="A36" t="s">
        <v>407</v>
      </c>
      <c r="B36" s="11">
        <v>51924</v>
      </c>
      <c r="C36" s="11">
        <v>1213</v>
      </c>
      <c r="G36" t="s">
        <v>571</v>
      </c>
      <c r="H36" s="16">
        <v>2.5</v>
      </c>
      <c r="I36" s="16">
        <v>1.9</v>
      </c>
    </row>
    <row r="37" spans="1:9" x14ac:dyDescent="0.35">
      <c r="A37" t="s">
        <v>408</v>
      </c>
      <c r="B37" s="11">
        <v>49210</v>
      </c>
      <c r="C37" s="11">
        <v>557</v>
      </c>
      <c r="G37" t="s">
        <v>572</v>
      </c>
      <c r="H37" s="16">
        <v>2.2999999999999998</v>
      </c>
      <c r="I37" s="16">
        <v>1.9</v>
      </c>
    </row>
    <row r="38" spans="1:9" x14ac:dyDescent="0.35">
      <c r="A38" t="s">
        <v>409</v>
      </c>
      <c r="B38" s="11">
        <v>47825</v>
      </c>
      <c r="C38" s="11">
        <v>656</v>
      </c>
      <c r="G38" t="s">
        <v>573</v>
      </c>
      <c r="H38" s="16">
        <v>2.2000000000000002</v>
      </c>
      <c r="I38" s="16">
        <v>1.7</v>
      </c>
    </row>
    <row r="39" spans="1:9" x14ac:dyDescent="0.35">
      <c r="A39" t="s">
        <v>410</v>
      </c>
      <c r="B39" s="11">
        <v>47266</v>
      </c>
      <c r="C39" s="11">
        <v>1003</v>
      </c>
      <c r="G39" t="s">
        <v>574</v>
      </c>
      <c r="H39" s="16">
        <v>2.1</v>
      </c>
      <c r="I39" s="16">
        <v>1.6</v>
      </c>
    </row>
    <row r="40" spans="1:9" x14ac:dyDescent="0.35">
      <c r="A40" t="s">
        <v>411</v>
      </c>
      <c r="B40" s="11">
        <v>48107</v>
      </c>
      <c r="C40" s="11">
        <v>339</v>
      </c>
      <c r="G40" t="s">
        <v>575</v>
      </c>
      <c r="H40" s="16">
        <v>2</v>
      </c>
      <c r="I40" s="16">
        <v>1.5</v>
      </c>
    </row>
    <row r="41" spans="1:9" x14ac:dyDescent="0.35">
      <c r="A41" t="s">
        <v>412</v>
      </c>
      <c r="B41" s="11">
        <v>50348</v>
      </c>
      <c r="C41" s="11">
        <v>817</v>
      </c>
      <c r="G41" t="s">
        <v>576</v>
      </c>
      <c r="H41" s="16">
        <v>1.9</v>
      </c>
    </row>
    <row r="42" spans="1:9" x14ac:dyDescent="0.35">
      <c r="A42" t="s">
        <v>413</v>
      </c>
      <c r="B42" s="11">
        <v>52280</v>
      </c>
      <c r="C42" s="11">
        <v>691</v>
      </c>
    </row>
    <row r="43" spans="1:9" x14ac:dyDescent="0.35">
      <c r="A43" t="s">
        <v>414</v>
      </c>
      <c r="B43" s="11">
        <v>53122</v>
      </c>
      <c r="C43" s="11">
        <v>585</v>
      </c>
    </row>
    <row r="44" spans="1:9" x14ac:dyDescent="0.35">
      <c r="A44" t="s">
        <v>415</v>
      </c>
      <c r="B44" s="11">
        <v>54653</v>
      </c>
      <c r="C44" s="11">
        <v>987</v>
      </c>
    </row>
    <row r="45" spans="1:9" x14ac:dyDescent="0.35">
      <c r="A45" t="s">
        <v>416</v>
      </c>
      <c r="B45" s="11">
        <v>52284</v>
      </c>
      <c r="C45" s="11">
        <v>548</v>
      </c>
    </row>
    <row r="46" spans="1:9" x14ac:dyDescent="0.35">
      <c r="A46" t="s">
        <v>417</v>
      </c>
      <c r="B46" s="11">
        <v>52550</v>
      </c>
      <c r="C46" s="11">
        <v>906</v>
      </c>
    </row>
    <row r="47" spans="1:9" x14ac:dyDescent="0.35">
      <c r="A47" t="s">
        <v>418</v>
      </c>
      <c r="B47" s="11">
        <v>54445</v>
      </c>
      <c r="C47" s="11">
        <v>597</v>
      </c>
    </row>
    <row r="48" spans="1:9" x14ac:dyDescent="0.35">
      <c r="A48" t="s">
        <v>419</v>
      </c>
      <c r="B48" s="11">
        <v>56101</v>
      </c>
      <c r="C48" s="11">
        <v>966</v>
      </c>
    </row>
    <row r="49" spans="1:3" x14ac:dyDescent="0.35">
      <c r="A49" t="s">
        <v>420</v>
      </c>
      <c r="B49" s="11">
        <v>58837</v>
      </c>
      <c r="C49" s="11">
        <v>838</v>
      </c>
    </row>
    <row r="50" spans="1:3" x14ac:dyDescent="0.35">
      <c r="A50" t="s">
        <v>421</v>
      </c>
      <c r="B50" s="11">
        <v>58919</v>
      </c>
      <c r="C50" s="11">
        <v>1165</v>
      </c>
    </row>
    <row r="51" spans="1:3" x14ac:dyDescent="0.35">
      <c r="A51" t="s">
        <v>422</v>
      </c>
      <c r="B51" s="11">
        <v>60738</v>
      </c>
      <c r="C51" s="11">
        <v>1254</v>
      </c>
    </row>
    <row r="52" spans="1:3" x14ac:dyDescent="0.35">
      <c r="A52" t="s">
        <v>423</v>
      </c>
      <c r="B52" s="11">
        <v>62879</v>
      </c>
      <c r="C52" s="11">
        <v>1353</v>
      </c>
    </row>
    <row r="53" spans="1:3" x14ac:dyDescent="0.35">
      <c r="A53" t="s">
        <v>424</v>
      </c>
      <c r="B53" s="11">
        <v>67329</v>
      </c>
      <c r="C53" s="11">
        <v>1438</v>
      </c>
    </row>
    <row r="54" spans="1:3" x14ac:dyDescent="0.35">
      <c r="A54" t="s">
        <v>425</v>
      </c>
      <c r="B54" s="11">
        <v>68602</v>
      </c>
      <c r="C54" s="11">
        <v>1462</v>
      </c>
    </row>
    <row r="55" spans="1:3" x14ac:dyDescent="0.35">
      <c r="A55" t="s">
        <v>426</v>
      </c>
      <c r="B55" s="11">
        <v>70450</v>
      </c>
      <c r="C55" s="11">
        <v>1336</v>
      </c>
    </row>
    <row r="56" spans="1:3" x14ac:dyDescent="0.35">
      <c r="A56" t="s">
        <v>427</v>
      </c>
      <c r="B56" s="11">
        <v>71945</v>
      </c>
      <c r="C56" s="11">
        <v>1848</v>
      </c>
    </row>
    <row r="57" spans="1:3" x14ac:dyDescent="0.35">
      <c r="A57" t="s">
        <v>428</v>
      </c>
      <c r="B57" s="11">
        <v>74028</v>
      </c>
      <c r="C57" s="11">
        <v>1824</v>
      </c>
    </row>
    <row r="58" spans="1:3" x14ac:dyDescent="0.35">
      <c r="A58" t="s">
        <v>429</v>
      </c>
      <c r="B58" s="11">
        <v>70083</v>
      </c>
      <c r="C58" s="11">
        <v>1952</v>
      </c>
    </row>
    <row r="59" spans="1:3" x14ac:dyDescent="0.35">
      <c r="A59" t="s">
        <v>430</v>
      </c>
      <c r="B59" s="11">
        <v>68383</v>
      </c>
      <c r="C59" s="11">
        <v>1985</v>
      </c>
    </row>
    <row r="60" spans="1:3" x14ac:dyDescent="0.35">
      <c r="A60" t="s">
        <v>431</v>
      </c>
      <c r="B60" s="11">
        <v>65064</v>
      </c>
      <c r="C60" s="11">
        <v>2345</v>
      </c>
    </row>
    <row r="61" spans="1:3" x14ac:dyDescent="0.35">
      <c r="A61" t="s">
        <v>432</v>
      </c>
      <c r="B61" s="11">
        <v>61851</v>
      </c>
      <c r="C61" s="11">
        <v>2248</v>
      </c>
    </row>
    <row r="62" spans="1:3" x14ac:dyDescent="0.35">
      <c r="A62" t="s">
        <v>433</v>
      </c>
      <c r="B62" s="11">
        <v>67861</v>
      </c>
      <c r="C62" s="11">
        <v>2147</v>
      </c>
    </row>
    <row r="63" spans="1:3" x14ac:dyDescent="0.35">
      <c r="A63" t="s">
        <v>434</v>
      </c>
      <c r="B63" s="11">
        <v>66959</v>
      </c>
      <c r="C63" s="11">
        <v>2046</v>
      </c>
    </row>
    <row r="64" spans="1:3" x14ac:dyDescent="0.35">
      <c r="A64" t="s">
        <v>435</v>
      </c>
      <c r="B64" s="11">
        <v>65411</v>
      </c>
      <c r="C64" s="11">
        <v>1858</v>
      </c>
    </row>
    <row r="65" spans="1:3" x14ac:dyDescent="0.35">
      <c r="A65" t="s">
        <v>436</v>
      </c>
      <c r="B65" s="11">
        <v>62135</v>
      </c>
      <c r="C65" s="11">
        <v>1464</v>
      </c>
    </row>
    <row r="66" spans="1:3" x14ac:dyDescent="0.35">
      <c r="A66" t="s">
        <v>437</v>
      </c>
      <c r="B66" s="11">
        <v>60394</v>
      </c>
      <c r="C66" s="11">
        <v>1656</v>
      </c>
    </row>
    <row r="67" spans="1:3" x14ac:dyDescent="0.35">
      <c r="A67" t="s">
        <v>438</v>
      </c>
      <c r="B67" s="11">
        <v>59640</v>
      </c>
      <c r="C67" s="11">
        <v>2017</v>
      </c>
    </row>
    <row r="68" spans="1:3" x14ac:dyDescent="0.35">
      <c r="A68" t="s">
        <v>439</v>
      </c>
      <c r="B68" s="11">
        <v>60137</v>
      </c>
      <c r="C68" s="11">
        <v>1577</v>
      </c>
    </row>
    <row r="69" spans="1:3" x14ac:dyDescent="0.35">
      <c r="A69" t="s">
        <v>440</v>
      </c>
      <c r="B69" s="11">
        <v>59026</v>
      </c>
      <c r="C69" s="11">
        <v>1781</v>
      </c>
    </row>
    <row r="70" spans="1:3" x14ac:dyDescent="0.35">
      <c r="A70" t="s">
        <v>441</v>
      </c>
      <c r="B70" s="11">
        <v>61480</v>
      </c>
      <c r="C70" s="11">
        <v>1812</v>
      </c>
    </row>
    <row r="71" spans="1:3" x14ac:dyDescent="0.35">
      <c r="A71" t="s">
        <v>442</v>
      </c>
      <c r="B71" s="11">
        <v>62873</v>
      </c>
      <c r="C71" s="11">
        <v>2145</v>
      </c>
    </row>
    <row r="72" spans="1:3" x14ac:dyDescent="0.35">
      <c r="A72" t="s">
        <v>443</v>
      </c>
      <c r="B72" s="11">
        <v>69067</v>
      </c>
      <c r="C72" s="11">
        <v>2157</v>
      </c>
    </row>
    <row r="73" spans="1:3" x14ac:dyDescent="0.35">
      <c r="A73" t="s">
        <v>444</v>
      </c>
      <c r="B73" s="11">
        <v>64904</v>
      </c>
      <c r="C73" s="11">
        <v>2768</v>
      </c>
    </row>
    <row r="74" spans="1:3" x14ac:dyDescent="0.35">
      <c r="A74" t="s">
        <v>445</v>
      </c>
      <c r="B74" s="11">
        <v>68123</v>
      </c>
      <c r="C74" s="11">
        <v>2752</v>
      </c>
    </row>
    <row r="75" spans="1:3" x14ac:dyDescent="0.35">
      <c r="A75" t="s">
        <v>446</v>
      </c>
      <c r="B75" s="11">
        <v>70860</v>
      </c>
      <c r="C75" s="11">
        <v>3224</v>
      </c>
    </row>
    <row r="76" spans="1:3" x14ac:dyDescent="0.35">
      <c r="A76" t="s">
        <v>447</v>
      </c>
      <c r="B76" s="11">
        <v>72398</v>
      </c>
      <c r="C76" s="11">
        <v>3596</v>
      </c>
    </row>
    <row r="77" spans="1:3" x14ac:dyDescent="0.35">
      <c r="A77" t="s">
        <v>448</v>
      </c>
      <c r="B77" s="11">
        <v>71156</v>
      </c>
      <c r="C77" s="11">
        <v>3695</v>
      </c>
    </row>
    <row r="78" spans="1:3" x14ac:dyDescent="0.35">
      <c r="A78" t="s">
        <v>449</v>
      </c>
      <c r="B78" s="11">
        <v>70143</v>
      </c>
      <c r="C78" s="11">
        <v>3772</v>
      </c>
    </row>
    <row r="79" spans="1:3" x14ac:dyDescent="0.35">
      <c r="A79" t="s">
        <v>450</v>
      </c>
      <c r="B79" s="11">
        <v>70562</v>
      </c>
      <c r="C79" s="11">
        <v>3904</v>
      </c>
    </row>
    <row r="80" spans="1:3" x14ac:dyDescent="0.35">
      <c r="A80" t="s">
        <v>451</v>
      </c>
      <c r="B80" s="11">
        <v>71347</v>
      </c>
      <c r="C80" s="11">
        <v>3366</v>
      </c>
    </row>
    <row r="81" spans="1:3" x14ac:dyDescent="0.35">
      <c r="A81" t="s">
        <v>452</v>
      </c>
      <c r="B81" s="11">
        <v>72382</v>
      </c>
      <c r="C81" s="11">
        <v>3801</v>
      </c>
    </row>
    <row r="82" spans="1:3" x14ac:dyDescent="0.35">
      <c r="A82" t="s">
        <v>453</v>
      </c>
      <c r="B82" s="11">
        <v>71914</v>
      </c>
      <c r="C82" s="11">
        <v>3600</v>
      </c>
    </row>
    <row r="83" spans="1:3" x14ac:dyDescent="0.35">
      <c r="A83" t="s">
        <v>454</v>
      </c>
      <c r="B83" s="11">
        <v>70760</v>
      </c>
      <c r="C83" s="11">
        <v>7143</v>
      </c>
    </row>
    <row r="84" spans="1:3" x14ac:dyDescent="0.35">
      <c r="A84" t="s">
        <v>455</v>
      </c>
      <c r="B84" s="11">
        <v>68661</v>
      </c>
      <c r="C84" s="11">
        <v>652</v>
      </c>
    </row>
    <row r="85" spans="1:3" x14ac:dyDescent="0.35">
      <c r="A85" t="s">
        <v>456</v>
      </c>
      <c r="B85" s="11">
        <v>67489</v>
      </c>
      <c r="C85" s="11">
        <v>2934</v>
      </c>
    </row>
    <row r="86" spans="1:3" x14ac:dyDescent="0.35">
      <c r="A86" t="s">
        <v>457</v>
      </c>
      <c r="B86" s="11">
        <v>65713</v>
      </c>
      <c r="C86" s="11">
        <v>3149</v>
      </c>
    </row>
    <row r="87" spans="1:3" x14ac:dyDescent="0.35">
      <c r="A87" t="s">
        <v>458</v>
      </c>
      <c r="B87" s="11">
        <v>62683</v>
      </c>
      <c r="C87" s="11">
        <v>2986</v>
      </c>
    </row>
    <row r="88" spans="1:3" x14ac:dyDescent="0.35">
      <c r="A88" t="s">
        <v>459</v>
      </c>
      <c r="B88" s="11">
        <v>61448</v>
      </c>
      <c r="C88" s="11">
        <v>3030</v>
      </c>
    </row>
    <row r="89" spans="1:3" x14ac:dyDescent="0.35">
      <c r="A89" t="s">
        <v>460</v>
      </c>
      <c r="B89" s="11">
        <v>64357</v>
      </c>
      <c r="C89" s="11">
        <v>3072</v>
      </c>
    </row>
    <row r="90" spans="1:3" x14ac:dyDescent="0.35">
      <c r="A90" t="s">
        <v>461</v>
      </c>
      <c r="B90" s="11">
        <v>67962</v>
      </c>
      <c r="C90" s="11">
        <v>3239</v>
      </c>
    </row>
    <row r="91" spans="1:3" x14ac:dyDescent="0.35">
      <c r="A91" t="s">
        <v>462</v>
      </c>
      <c r="B91" s="11">
        <v>68325</v>
      </c>
      <c r="C91" s="11">
        <v>2886</v>
      </c>
    </row>
    <row r="92" spans="1:3" x14ac:dyDescent="0.35">
      <c r="A92" t="s">
        <v>463</v>
      </c>
      <c r="B92" s="11">
        <v>68344</v>
      </c>
      <c r="C92" s="11">
        <v>3877</v>
      </c>
    </row>
    <row r="93" spans="1:3" x14ac:dyDescent="0.35">
      <c r="A93" t="s">
        <v>464</v>
      </c>
      <c r="B93" s="11">
        <v>68013</v>
      </c>
      <c r="C93" s="11">
        <v>3743</v>
      </c>
    </row>
    <row r="94" spans="1:3" x14ac:dyDescent="0.35">
      <c r="A94" t="s">
        <v>465</v>
      </c>
      <c r="B94" s="11">
        <v>68157</v>
      </c>
      <c r="C94" s="11">
        <v>3838</v>
      </c>
    </row>
    <row r="95" spans="1:3" x14ac:dyDescent="0.35">
      <c r="A95" t="s">
        <v>466</v>
      </c>
      <c r="B95" s="11">
        <v>68079</v>
      </c>
      <c r="C95" s="11">
        <v>3718</v>
      </c>
    </row>
    <row r="96" spans="1:3" x14ac:dyDescent="0.35">
      <c r="A96" t="s">
        <v>467</v>
      </c>
      <c r="B96" s="11">
        <v>67036</v>
      </c>
      <c r="C96" s="11">
        <v>3086</v>
      </c>
    </row>
    <row r="97" spans="1:3" x14ac:dyDescent="0.35">
      <c r="A97" t="s">
        <v>468</v>
      </c>
      <c r="B97" s="11">
        <v>65669</v>
      </c>
      <c r="C97" s="11">
        <v>4198</v>
      </c>
    </row>
    <row r="98" spans="1:3" x14ac:dyDescent="0.35">
      <c r="A98" t="s">
        <v>469</v>
      </c>
      <c r="B98" s="11">
        <v>65433</v>
      </c>
      <c r="C98" s="11">
        <v>4075</v>
      </c>
    </row>
    <row r="99" spans="1:3" x14ac:dyDescent="0.35">
      <c r="A99" t="s">
        <v>470</v>
      </c>
      <c r="B99" s="11">
        <v>68770</v>
      </c>
      <c r="C99" s="11">
        <v>3830</v>
      </c>
    </row>
    <row r="100" spans="1:3" x14ac:dyDescent="0.35">
      <c r="A100" t="s">
        <v>471</v>
      </c>
      <c r="B100" s="11">
        <v>67082</v>
      </c>
      <c r="C100" s="11">
        <v>4155</v>
      </c>
    </row>
    <row r="101" spans="1:3" x14ac:dyDescent="0.35">
      <c r="A101" t="s">
        <v>472</v>
      </c>
      <c r="B101" s="11">
        <v>66305</v>
      </c>
      <c r="C101" s="11">
        <v>3824</v>
      </c>
    </row>
    <row r="102" spans="1:3" x14ac:dyDescent="0.35">
      <c r="A102" t="s">
        <v>473</v>
      </c>
      <c r="B102" s="11">
        <v>65219</v>
      </c>
      <c r="C102" s="11">
        <v>3644</v>
      </c>
    </row>
    <row r="103" spans="1:3" x14ac:dyDescent="0.35">
      <c r="A103" t="s">
        <v>474</v>
      </c>
      <c r="B103" s="11">
        <v>65717</v>
      </c>
      <c r="C103" s="11">
        <v>3914</v>
      </c>
    </row>
    <row r="104" spans="1:3" x14ac:dyDescent="0.35">
      <c r="A104" t="s">
        <v>475</v>
      </c>
      <c r="B104" s="11">
        <v>62062</v>
      </c>
      <c r="C104" s="11">
        <v>3760</v>
      </c>
    </row>
    <row r="105" spans="1:3" x14ac:dyDescent="0.35">
      <c r="A105" t="s">
        <v>476</v>
      </c>
      <c r="B105" s="11">
        <v>65740</v>
      </c>
      <c r="C105" s="11">
        <v>3618</v>
      </c>
    </row>
    <row r="106" spans="1:3" x14ac:dyDescent="0.35">
      <c r="A106" t="s">
        <v>477</v>
      </c>
      <c r="B106" s="11">
        <v>63051</v>
      </c>
      <c r="C106" s="11">
        <v>3814</v>
      </c>
    </row>
    <row r="107" spans="1:3" x14ac:dyDescent="0.35">
      <c r="A107" t="s">
        <v>478</v>
      </c>
      <c r="B107" s="11">
        <v>63119</v>
      </c>
      <c r="C107" s="11">
        <v>3380</v>
      </c>
    </row>
    <row r="108" spans="1:3" x14ac:dyDescent="0.35">
      <c r="A108" t="s">
        <v>479</v>
      </c>
      <c r="B108" s="11">
        <v>63344</v>
      </c>
      <c r="C108" s="11">
        <v>3588</v>
      </c>
    </row>
    <row r="109" spans="1:3" x14ac:dyDescent="0.35">
      <c r="A109" t="s">
        <v>480</v>
      </c>
      <c r="B109" s="11">
        <v>64983</v>
      </c>
      <c r="C109" s="11">
        <v>4071</v>
      </c>
    </row>
    <row r="110" spans="1:3" x14ac:dyDescent="0.35">
      <c r="A110" t="s">
        <v>481</v>
      </c>
      <c r="B110" s="11">
        <v>65799</v>
      </c>
      <c r="C110" s="11">
        <v>3971</v>
      </c>
    </row>
    <row r="111" spans="1:3" x14ac:dyDescent="0.35">
      <c r="A111" t="s">
        <v>482</v>
      </c>
      <c r="B111" s="11">
        <v>64992</v>
      </c>
      <c r="C111" s="11">
        <v>3753</v>
      </c>
    </row>
    <row r="112" spans="1:3" x14ac:dyDescent="0.35">
      <c r="A112" t="s">
        <v>483</v>
      </c>
      <c r="B112" s="11">
        <v>66894</v>
      </c>
      <c r="C112" s="11">
        <v>3538</v>
      </c>
    </row>
    <row r="113" spans="1:3" x14ac:dyDescent="0.35">
      <c r="A113" t="s">
        <v>484</v>
      </c>
      <c r="B113" s="11">
        <v>66112</v>
      </c>
      <c r="C113" s="11">
        <v>4030</v>
      </c>
    </row>
    <row r="114" spans="1:3" x14ac:dyDescent="0.35">
      <c r="A114" t="s">
        <v>485</v>
      </c>
      <c r="B114" s="11">
        <v>68176</v>
      </c>
      <c r="C114" s="11">
        <v>3946</v>
      </c>
    </row>
    <row r="115" spans="1:3" x14ac:dyDescent="0.35">
      <c r="A115" t="s">
        <v>486</v>
      </c>
      <c r="B115" s="11">
        <v>64857</v>
      </c>
      <c r="C115" s="11">
        <v>3357</v>
      </c>
    </row>
    <row r="116" spans="1:3" x14ac:dyDescent="0.35">
      <c r="A116" t="s">
        <v>487</v>
      </c>
      <c r="B116" s="11">
        <v>64088</v>
      </c>
      <c r="C116" s="11">
        <v>3680</v>
      </c>
    </row>
    <row r="117" spans="1:3" x14ac:dyDescent="0.35">
      <c r="A117" t="s">
        <v>488</v>
      </c>
      <c r="B117" s="11">
        <v>65099</v>
      </c>
      <c r="C117" s="11">
        <v>3661</v>
      </c>
    </row>
    <row r="118" spans="1:3" x14ac:dyDescent="0.35">
      <c r="A118" t="s">
        <v>489</v>
      </c>
      <c r="B118" s="11">
        <v>64339</v>
      </c>
      <c r="C118" s="11">
        <v>3442</v>
      </c>
    </row>
    <row r="119" spans="1:3" x14ac:dyDescent="0.35">
      <c r="A119" t="s">
        <v>490</v>
      </c>
      <c r="B119" s="11">
        <v>62233</v>
      </c>
      <c r="C119" s="11">
        <v>4076</v>
      </c>
    </row>
    <row r="120" spans="1:3" x14ac:dyDescent="0.35">
      <c r="A120" t="s">
        <v>491</v>
      </c>
      <c r="B120" s="11">
        <v>65776</v>
      </c>
      <c r="C120" s="11">
        <v>4072</v>
      </c>
    </row>
    <row r="121" spans="1:3" x14ac:dyDescent="0.35">
      <c r="A121" t="s">
        <v>492</v>
      </c>
      <c r="B121" s="11">
        <v>65419</v>
      </c>
      <c r="C121" s="11">
        <v>3131</v>
      </c>
    </row>
    <row r="122" spans="1:3" x14ac:dyDescent="0.35">
      <c r="A122" t="s">
        <v>493</v>
      </c>
      <c r="B122" s="11">
        <v>66554</v>
      </c>
      <c r="C122" s="11">
        <v>4018</v>
      </c>
    </row>
    <row r="123" spans="1:3" x14ac:dyDescent="0.35">
      <c r="A123" t="s">
        <v>494</v>
      </c>
      <c r="B123" s="11">
        <v>67433</v>
      </c>
      <c r="C123" s="11">
        <v>5092</v>
      </c>
    </row>
    <row r="124" spans="1:3" x14ac:dyDescent="0.35">
      <c r="A124" t="s">
        <v>495</v>
      </c>
      <c r="B124" s="11">
        <v>66299</v>
      </c>
      <c r="C124" s="11">
        <v>4113</v>
      </c>
    </row>
    <row r="125" spans="1:3" x14ac:dyDescent="0.35">
      <c r="A125" t="s">
        <v>496</v>
      </c>
      <c r="B125" s="11">
        <v>66349</v>
      </c>
      <c r="C125" s="11">
        <v>4081</v>
      </c>
    </row>
    <row r="126" spans="1:3" x14ac:dyDescent="0.35">
      <c r="A126" t="s">
        <v>497</v>
      </c>
      <c r="B126" s="11">
        <v>66392</v>
      </c>
      <c r="C126" s="11">
        <v>4786</v>
      </c>
    </row>
    <row r="127" spans="1:3" x14ac:dyDescent="0.35">
      <c r="A127" t="s">
        <v>498</v>
      </c>
      <c r="B127" s="11">
        <v>66232</v>
      </c>
      <c r="C127" s="11">
        <v>4283</v>
      </c>
    </row>
    <row r="128" spans="1:3" x14ac:dyDescent="0.35">
      <c r="A128" t="s">
        <v>499</v>
      </c>
      <c r="B128" s="11">
        <v>66912</v>
      </c>
      <c r="C128" s="11">
        <v>4685</v>
      </c>
    </row>
    <row r="129" spans="1:3" x14ac:dyDescent="0.35">
      <c r="A129" t="s">
        <v>500</v>
      </c>
      <c r="B129" s="11">
        <v>69310</v>
      </c>
      <c r="C129" s="11">
        <v>4380</v>
      </c>
    </row>
    <row r="130" spans="1:3" x14ac:dyDescent="0.35">
      <c r="A130" t="s">
        <v>501</v>
      </c>
      <c r="B130" s="11">
        <v>72062</v>
      </c>
      <c r="C130" s="11">
        <v>4574</v>
      </c>
    </row>
    <row r="131" spans="1:3" x14ac:dyDescent="0.35">
      <c r="A131" t="s">
        <v>502</v>
      </c>
      <c r="B131" s="11">
        <v>56441</v>
      </c>
      <c r="C131" s="11">
        <v>4885</v>
      </c>
    </row>
    <row r="132" spans="1:3" x14ac:dyDescent="0.35">
      <c r="A132" t="s">
        <v>503</v>
      </c>
      <c r="B132" s="11">
        <v>15938</v>
      </c>
      <c r="C132" s="11">
        <v>36</v>
      </c>
    </row>
    <row r="133" spans="1:3" x14ac:dyDescent="0.35">
      <c r="A133" t="s">
        <v>504</v>
      </c>
      <c r="B133" s="11">
        <v>9337</v>
      </c>
      <c r="C133" s="11">
        <v>248</v>
      </c>
    </row>
    <row r="134" spans="1:3" x14ac:dyDescent="0.35">
      <c r="A134" t="s">
        <v>505</v>
      </c>
      <c r="B134" s="11">
        <v>40246</v>
      </c>
      <c r="C134" s="11">
        <v>1964</v>
      </c>
    </row>
    <row r="135" spans="1:3" x14ac:dyDescent="0.35">
      <c r="A135" t="s">
        <v>506</v>
      </c>
      <c r="B135" s="11">
        <v>66888</v>
      </c>
      <c r="C135" s="11">
        <v>2844</v>
      </c>
    </row>
    <row r="136" spans="1:3" x14ac:dyDescent="0.35">
      <c r="A136" t="s">
        <v>507</v>
      </c>
      <c r="B136" s="11">
        <v>85648</v>
      </c>
      <c r="C136" s="11">
        <v>3161</v>
      </c>
    </row>
    <row r="137" spans="1:3" x14ac:dyDescent="0.35">
      <c r="A137" t="s">
        <v>508</v>
      </c>
      <c r="B137" s="11">
        <v>92647</v>
      </c>
      <c r="C137" s="11">
        <v>5370</v>
      </c>
    </row>
    <row r="138" spans="1:3" x14ac:dyDescent="0.35">
      <c r="A138" t="s">
        <v>509</v>
      </c>
      <c r="B138" s="11">
        <v>100856</v>
      </c>
      <c r="C138" s="11">
        <v>5179</v>
      </c>
    </row>
    <row r="139" spans="1:3" x14ac:dyDescent="0.35">
      <c r="A139" t="s">
        <v>510</v>
      </c>
      <c r="B139" s="11">
        <v>107058</v>
      </c>
      <c r="C139" s="11">
        <v>6910</v>
      </c>
    </row>
    <row r="140" spans="1:3" x14ac:dyDescent="0.35">
      <c r="A140" t="s">
        <v>511</v>
      </c>
      <c r="B140" s="11">
        <v>101695</v>
      </c>
      <c r="C140" s="11">
        <v>6602</v>
      </c>
    </row>
    <row r="141" spans="1:3" x14ac:dyDescent="0.35">
      <c r="A141" t="s">
        <v>512</v>
      </c>
      <c r="B141" s="11">
        <v>96684</v>
      </c>
      <c r="C141" s="11">
        <v>6149</v>
      </c>
    </row>
    <row r="142" spans="1:3" x14ac:dyDescent="0.35">
      <c r="A142" t="s">
        <v>513</v>
      </c>
      <c r="B142" s="11">
        <v>85475</v>
      </c>
      <c r="C142" s="11">
        <v>7859</v>
      </c>
    </row>
    <row r="143" spans="1:3" x14ac:dyDescent="0.35">
      <c r="A143" t="s">
        <v>514</v>
      </c>
      <c r="B143" s="11">
        <v>81486</v>
      </c>
      <c r="C143" s="11">
        <v>11440</v>
      </c>
    </row>
    <row r="144" spans="1:3" x14ac:dyDescent="0.35">
      <c r="A144" t="s">
        <v>515</v>
      </c>
      <c r="B144" s="11">
        <v>85404</v>
      </c>
      <c r="C144" s="11">
        <v>3023</v>
      </c>
    </row>
    <row r="145" spans="1:3" x14ac:dyDescent="0.35">
      <c r="A145" t="s">
        <v>516</v>
      </c>
      <c r="B145" s="11">
        <v>85921</v>
      </c>
      <c r="C145" s="11">
        <v>4498</v>
      </c>
    </row>
    <row r="146" spans="1:3" x14ac:dyDescent="0.35">
      <c r="A146" t="s">
        <v>517</v>
      </c>
      <c r="B146" s="11">
        <v>78747</v>
      </c>
      <c r="C146" s="11">
        <v>17129</v>
      </c>
    </row>
    <row r="147" spans="1:3" x14ac:dyDescent="0.35">
      <c r="A147" t="s">
        <v>518</v>
      </c>
      <c r="B147" s="11">
        <v>72879</v>
      </c>
      <c r="C147" s="11">
        <v>-1727</v>
      </c>
    </row>
    <row r="148" spans="1:3" x14ac:dyDescent="0.35">
      <c r="A148" t="s">
        <v>519</v>
      </c>
      <c r="B148" s="11">
        <v>71501</v>
      </c>
      <c r="C148" s="11">
        <v>4292</v>
      </c>
    </row>
    <row r="149" spans="1:3" x14ac:dyDescent="0.35">
      <c r="A149" t="s">
        <v>520</v>
      </c>
      <c r="B149" s="11">
        <v>70822</v>
      </c>
      <c r="C149" s="11">
        <v>9880</v>
      </c>
    </row>
    <row r="150" spans="1:3" x14ac:dyDescent="0.35">
      <c r="A150" t="s">
        <v>521</v>
      </c>
      <c r="B150" s="11">
        <v>68184</v>
      </c>
      <c r="C150" s="11">
        <v>1552</v>
      </c>
    </row>
    <row r="151" spans="1:3" x14ac:dyDescent="0.35">
      <c r="A151" t="s">
        <v>522</v>
      </c>
      <c r="B151" s="11">
        <v>68552</v>
      </c>
      <c r="C151" s="11">
        <v>3601</v>
      </c>
    </row>
    <row r="152" spans="1:3" x14ac:dyDescent="0.35">
      <c r="A152" t="s">
        <v>523</v>
      </c>
      <c r="B152" s="11">
        <v>70990</v>
      </c>
      <c r="C152" s="11">
        <v>4191</v>
      </c>
    </row>
    <row r="153" spans="1:3" x14ac:dyDescent="0.35">
      <c r="A153" t="s">
        <v>524</v>
      </c>
      <c r="B153" s="11">
        <v>73710</v>
      </c>
      <c r="C153" s="11">
        <v>6138</v>
      </c>
    </row>
    <row r="154" spans="1:3" x14ac:dyDescent="0.35">
      <c r="A154" t="s">
        <v>525</v>
      </c>
      <c r="B154" s="11">
        <v>69480</v>
      </c>
      <c r="C154" s="11">
        <v>5109</v>
      </c>
    </row>
    <row r="155" spans="1:3" x14ac:dyDescent="0.35">
      <c r="A155" t="s">
        <v>526</v>
      </c>
      <c r="B155" s="11">
        <v>69639</v>
      </c>
      <c r="C155" s="11">
        <v>7231</v>
      </c>
    </row>
    <row r="156" spans="1:3" x14ac:dyDescent="0.35">
      <c r="A156" t="s">
        <v>527</v>
      </c>
      <c r="B156" s="11">
        <v>65996</v>
      </c>
      <c r="C156" s="11">
        <v>4061</v>
      </c>
    </row>
    <row r="157" spans="1:3" x14ac:dyDescent="0.35">
      <c r="A157" t="s">
        <v>528</v>
      </c>
      <c r="B157" s="11">
        <v>66054</v>
      </c>
      <c r="C157" s="11">
        <v>6371</v>
      </c>
    </row>
    <row r="158" spans="1:3" x14ac:dyDescent="0.35">
      <c r="A158" t="s">
        <v>529</v>
      </c>
      <c r="B158" s="11">
        <v>62477</v>
      </c>
      <c r="C158" s="11">
        <v>5071</v>
      </c>
    </row>
    <row r="159" spans="1:3" x14ac:dyDescent="0.35">
      <c r="A159" t="s">
        <v>530</v>
      </c>
      <c r="B159" s="11">
        <v>62972</v>
      </c>
      <c r="C159" s="11">
        <v>4416</v>
      </c>
    </row>
    <row r="160" spans="1:3" x14ac:dyDescent="0.35">
      <c r="A160" t="s">
        <v>531</v>
      </c>
      <c r="B160" s="11">
        <v>72660</v>
      </c>
      <c r="C160" s="11">
        <v>5360</v>
      </c>
    </row>
    <row r="161" spans="1:3" x14ac:dyDescent="0.35">
      <c r="A161" t="s">
        <v>532</v>
      </c>
      <c r="B161" s="11">
        <v>65094</v>
      </c>
      <c r="C161" s="11">
        <v>5713</v>
      </c>
    </row>
    <row r="162" spans="1:3" x14ac:dyDescent="0.35">
      <c r="A162" t="s">
        <v>533</v>
      </c>
      <c r="B162" s="11">
        <v>57849</v>
      </c>
      <c r="C162" s="11">
        <v>2930</v>
      </c>
    </row>
    <row r="163" spans="1:3" x14ac:dyDescent="0.35">
      <c r="A163" t="s">
        <v>534</v>
      </c>
      <c r="B163" s="11">
        <v>45853</v>
      </c>
      <c r="C163" s="11">
        <v>3341</v>
      </c>
    </row>
    <row r="164" spans="1:3" x14ac:dyDescent="0.35">
      <c r="A164" t="s">
        <v>535</v>
      </c>
      <c r="B164" s="11">
        <v>40186</v>
      </c>
      <c r="C164" s="11">
        <v>2077</v>
      </c>
    </row>
    <row r="165" spans="1:3" x14ac:dyDescent="0.35">
      <c r="A165" t="s">
        <v>536</v>
      </c>
      <c r="B165" s="11">
        <v>39601</v>
      </c>
      <c r="C165" s="11">
        <v>1901</v>
      </c>
    </row>
    <row r="166" spans="1:3" x14ac:dyDescent="0.35">
      <c r="A166" t="s">
        <v>537</v>
      </c>
      <c r="B166" s="11">
        <v>43945</v>
      </c>
      <c r="C166" s="11">
        <v>554</v>
      </c>
    </row>
    <row r="167" spans="1:3" x14ac:dyDescent="0.35">
      <c r="A167" t="s">
        <v>538</v>
      </c>
      <c r="B167" s="11">
        <v>51853</v>
      </c>
      <c r="C167" s="11">
        <v>-87</v>
      </c>
    </row>
    <row r="168" spans="1:3" x14ac:dyDescent="0.35">
      <c r="A168" t="s">
        <v>539</v>
      </c>
      <c r="B168" s="11">
        <v>49089</v>
      </c>
      <c r="C168" s="11">
        <v>-1375</v>
      </c>
    </row>
    <row r="169" spans="1:3" x14ac:dyDescent="0.35">
      <c r="A169" t="s">
        <v>540</v>
      </c>
      <c r="B169" s="11">
        <v>50571</v>
      </c>
      <c r="C169" s="11">
        <v>-303</v>
      </c>
    </row>
    <row r="170" spans="1:3" x14ac:dyDescent="0.35">
      <c r="A170" t="s">
        <v>541</v>
      </c>
      <c r="B170" s="11">
        <v>53953</v>
      </c>
      <c r="C170" s="11">
        <v>-148</v>
      </c>
    </row>
    <row r="171" spans="1:3" x14ac:dyDescent="0.35">
      <c r="A171" t="s">
        <v>542</v>
      </c>
      <c r="B171" s="11">
        <v>49525</v>
      </c>
      <c r="C171" s="11">
        <v>140</v>
      </c>
    </row>
    <row r="172" spans="1:3" x14ac:dyDescent="0.35">
      <c r="A172" t="s">
        <v>543</v>
      </c>
      <c r="B172" s="11">
        <v>45741</v>
      </c>
      <c r="C172" s="11">
        <v>1073</v>
      </c>
    </row>
    <row r="173" spans="1:3" x14ac:dyDescent="0.35">
      <c r="A173" t="s">
        <v>544</v>
      </c>
      <c r="B173" s="11">
        <v>44100</v>
      </c>
      <c r="C173" s="11">
        <v>-918</v>
      </c>
    </row>
    <row r="174" spans="1:3" x14ac:dyDescent="0.35">
      <c r="A174" t="s">
        <v>545</v>
      </c>
      <c r="B174" s="11">
        <v>48128</v>
      </c>
      <c r="C174" s="11">
        <v>23</v>
      </c>
    </row>
    <row r="175" spans="1:3" x14ac:dyDescent="0.35">
      <c r="A175" t="s">
        <v>546</v>
      </c>
      <c r="B175" s="11">
        <v>49313</v>
      </c>
      <c r="C175" s="11">
        <v>6</v>
      </c>
    </row>
    <row r="176" spans="1:3" x14ac:dyDescent="0.35">
      <c r="A176" t="s">
        <v>547</v>
      </c>
      <c r="B176" s="11">
        <v>50459</v>
      </c>
      <c r="C176" s="11">
        <v>-830</v>
      </c>
    </row>
  </sheetData>
  <hyperlinks>
    <hyperlink ref="C3" r:id="rId1" xr:uid="{404B903B-6DDE-4DC9-8069-9A9F2E8F33BA}"/>
    <hyperlink ref="H3" r:id="rId2" xr:uid="{497276C7-8290-456B-8B9B-08A8A0082D01}"/>
    <hyperlink ref="I3" r:id="rId3" xr:uid="{47BEFB43-FDA8-4B15-8563-2E62B701003F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7CF7-EBF8-4EDF-AE2F-A4034F95B698}">
  <dimension ref="A1:M318"/>
  <sheetViews>
    <sheetView workbookViewId="0">
      <pane xSplit="2" ySplit="6" topLeftCell="C184" activePane="bottomRight" state="frozen"/>
      <selection pane="topRight" activeCell="C1" sqref="C1"/>
      <selection pane="bottomLeft" activeCell="A7" sqref="A7"/>
      <selection pane="bottomRight" activeCell="D192" sqref="D192"/>
    </sheetView>
  </sheetViews>
  <sheetFormatPr defaultColWidth="9.1796875" defaultRowHeight="14.5" x14ac:dyDescent="0.35"/>
  <cols>
    <col min="1" max="1" width="5" style="7" bestFit="1" customWidth="1"/>
    <col min="2" max="2" width="9.1796875" style="7"/>
    <col min="3" max="13" width="17.54296875" style="7" bestFit="1" customWidth="1"/>
    <col min="14" max="16384" width="9.1796875" style="7"/>
  </cols>
  <sheetData>
    <row r="1" spans="1:13" x14ac:dyDescent="0.35">
      <c r="C1" s="8" t="s">
        <v>363</v>
      </c>
    </row>
    <row r="2" spans="1:13" x14ac:dyDescent="0.35">
      <c r="C2" s="7" t="s">
        <v>336</v>
      </c>
    </row>
    <row r="3" spans="1:13" x14ac:dyDescent="0.35">
      <c r="C3" s="7" t="s">
        <v>370</v>
      </c>
    </row>
    <row r="4" spans="1:13" x14ac:dyDescent="0.35">
      <c r="C4" s="7" t="s">
        <v>335</v>
      </c>
    </row>
    <row r="5" spans="1:13" x14ac:dyDescent="0.35">
      <c r="C5" s="7" t="s">
        <v>337</v>
      </c>
    </row>
    <row r="6" spans="1:13" x14ac:dyDescent="0.35">
      <c r="B6" s="7">
        <f>B318+5</f>
        <v>2289</v>
      </c>
      <c r="C6" s="9" t="str" cm="1">
        <f t="array" ref="C6">_xlfn.CONCAT(INDEX(GMW!$A$2:$LR$60,MATCH(1,(GMW!$LQ$2:$LQ$60=C$3)*(GMW!$LP$2:$LP$60=C$4),0),$B6-1966),"0",(INDEX(GMW!$A$2:$LR$60,MATCH(1,(GMW!$LQ$2:$LQ$60=C$3)*(GMW!$LP$2:$LP$60=C$4),0),$B6-1965)))</f>
        <v>202304</v>
      </c>
      <c r="D6" s="9"/>
      <c r="E6" s="9"/>
      <c r="F6" s="9"/>
      <c r="G6" s="9"/>
      <c r="H6" s="9"/>
      <c r="I6" s="9"/>
      <c r="J6" s="9"/>
      <c r="K6" s="9"/>
      <c r="L6" s="9"/>
      <c r="M6" s="9"/>
    </row>
    <row r="7" spans="1:13" x14ac:dyDescent="0.35">
      <c r="A7" s="7">
        <v>1973</v>
      </c>
      <c r="B7" s="7">
        <v>1973</v>
      </c>
      <c r="C7" s="7" cm="1">
        <f t="array" ref="C7">INDEX(GMW!$A$2:$LR$60,MATCH(1,(GMW!$LQ$2:$LQ$60=C$3)*(GMW!$LP$2:$LP$60=C$4),0),$B7-1966)</f>
        <v>11.88749</v>
      </c>
    </row>
    <row r="8" spans="1:13" x14ac:dyDescent="0.35">
      <c r="B8" s="7">
        <f>+B7+1</f>
        <v>1974</v>
      </c>
      <c r="C8" s="7" cm="1">
        <f t="array" ref="C8">INDEX(GMW!$A$2:$LR$60,MATCH(1,(GMW!$LQ$2:$LQ$60=C$3)*(GMW!$LP$2:$LP$60=C$4),0),$B8-1966)</f>
        <v>12.304600000000001</v>
      </c>
    </row>
    <row r="9" spans="1:13" x14ac:dyDescent="0.35">
      <c r="B9" s="7">
        <f t="shared" ref="B9:B47" si="0">+B8+1</f>
        <v>1975</v>
      </c>
      <c r="C9" s="7" cm="1">
        <f t="array" ref="C9">INDEX(GMW!$A$2:$LR$60,MATCH(1,(GMW!$LQ$2:$LQ$60=C$3)*(GMW!$LP$2:$LP$60=C$4),0),$B9-1966)</f>
        <v>12.51315</v>
      </c>
    </row>
    <row r="10" spans="1:13" x14ac:dyDescent="0.35">
      <c r="B10" s="7">
        <f t="shared" si="0"/>
        <v>1976</v>
      </c>
      <c r="C10" s="7" cm="1">
        <f t="array" ref="C10">INDEX(GMW!$A$2:$LR$60,MATCH(1,(GMW!$LQ$2:$LQ$60=C$3)*(GMW!$LP$2:$LP$60=C$4),0),$B10-1966)</f>
        <v>13.008459999999999</v>
      </c>
    </row>
    <row r="11" spans="1:13" x14ac:dyDescent="0.35">
      <c r="A11" s="7">
        <v>1974</v>
      </c>
      <c r="B11" s="7">
        <f t="shared" si="0"/>
        <v>1977</v>
      </c>
      <c r="C11" s="7" cm="1">
        <f t="array" ref="C11">INDEX(GMW!$A$2:$LR$60,MATCH(1,(GMW!$LQ$2:$LQ$60=C$3)*(GMW!$LP$2:$LP$60=C$4),0),$B11-1966)</f>
        <v>13.47771</v>
      </c>
    </row>
    <row r="12" spans="1:13" x14ac:dyDescent="0.35">
      <c r="B12" s="7">
        <f t="shared" si="0"/>
        <v>1978</v>
      </c>
      <c r="C12" s="7" cm="1">
        <f t="array" ref="C12">INDEX(GMW!$A$2:$LR$60,MATCH(1,(GMW!$LQ$2:$LQ$60=C$3)*(GMW!$LP$2:$LP$60=C$4),0),$B12-1966)</f>
        <v>14.23371</v>
      </c>
    </row>
    <row r="13" spans="1:13" x14ac:dyDescent="0.35">
      <c r="B13" s="7">
        <f t="shared" si="0"/>
        <v>1979</v>
      </c>
      <c r="C13" s="7" cm="1">
        <f t="array" ref="C13">INDEX(GMW!$A$2:$LR$60,MATCH(1,(GMW!$LQ$2:$LQ$60=C$3)*(GMW!$LP$2:$LP$60=C$4),0),$B13-1966)</f>
        <v>14.572609999999999</v>
      </c>
    </row>
    <row r="14" spans="1:13" x14ac:dyDescent="0.35">
      <c r="B14" s="7">
        <f t="shared" si="0"/>
        <v>1980</v>
      </c>
      <c r="C14" s="7" cm="1">
        <f t="array" ref="C14">INDEX(GMW!$A$2:$LR$60,MATCH(1,(GMW!$LQ$2:$LQ$60=C$3)*(GMW!$LP$2:$LP$60=C$4),0),$B14-1966)</f>
        <v>15.250400000000001</v>
      </c>
    </row>
    <row r="15" spans="1:13" x14ac:dyDescent="0.35">
      <c r="A15" s="7">
        <v>1975</v>
      </c>
      <c r="B15" s="7">
        <f t="shared" si="0"/>
        <v>1981</v>
      </c>
      <c r="C15" s="7" cm="1">
        <f t="array" ref="C15">INDEX(GMW!$A$2:$LR$60,MATCH(1,(GMW!$LQ$2:$LQ$60=C$3)*(GMW!$LP$2:$LP$60=C$4),0),$B15-1966)</f>
        <v>16.058540000000001</v>
      </c>
    </row>
    <row r="16" spans="1:13" x14ac:dyDescent="0.35">
      <c r="B16" s="7">
        <f t="shared" si="0"/>
        <v>1982</v>
      </c>
      <c r="C16" s="7" cm="1">
        <f t="array" ref="C16">INDEX(GMW!$A$2:$LR$60,MATCH(1,(GMW!$LQ$2:$LQ$60=C$3)*(GMW!$LP$2:$LP$60=C$4),0),$B16-1966)</f>
        <v>17.466270000000002</v>
      </c>
    </row>
    <row r="17" spans="1:3" x14ac:dyDescent="0.35">
      <c r="B17" s="7">
        <f t="shared" si="0"/>
        <v>1983</v>
      </c>
      <c r="C17" s="7" cm="1">
        <f t="array" ref="C17">INDEX(GMW!$A$2:$LR$60,MATCH(1,(GMW!$LQ$2:$LQ$60=C$3)*(GMW!$LP$2:$LP$60=C$4),0),$B17-1966)</f>
        <v>18.222280000000001</v>
      </c>
    </row>
    <row r="18" spans="1:3" x14ac:dyDescent="0.35">
      <c r="B18" s="7">
        <f t="shared" si="0"/>
        <v>1984</v>
      </c>
      <c r="C18" s="7" cm="1">
        <f t="array" ref="C18">INDEX(GMW!$A$2:$LR$60,MATCH(1,(GMW!$LQ$2:$LQ$60=C$3)*(GMW!$LP$2:$LP$60=C$4),0),$B18-1966)</f>
        <v>18.847930000000002</v>
      </c>
    </row>
    <row r="19" spans="1:3" x14ac:dyDescent="0.35">
      <c r="A19" s="7">
        <v>1976</v>
      </c>
      <c r="B19" s="7">
        <f t="shared" si="0"/>
        <v>1985</v>
      </c>
      <c r="C19" s="7" cm="1">
        <f t="array" ref="C19">INDEX(GMW!$A$2:$LR$60,MATCH(1,(GMW!$LQ$2:$LQ$60=C$3)*(GMW!$LP$2:$LP$60=C$4),0),$B19-1966)</f>
        <v>19.42145</v>
      </c>
    </row>
    <row r="20" spans="1:3" x14ac:dyDescent="0.35">
      <c r="B20" s="7">
        <f t="shared" si="0"/>
        <v>1986</v>
      </c>
      <c r="C20" s="7" cm="1">
        <f t="array" ref="C20">INDEX(GMW!$A$2:$LR$60,MATCH(1,(GMW!$LQ$2:$LQ$60=C$3)*(GMW!$LP$2:$LP$60=C$4),0),$B20-1966)</f>
        <v>20.125319999999999</v>
      </c>
    </row>
    <row r="21" spans="1:3" x14ac:dyDescent="0.35">
      <c r="B21" s="7">
        <f t="shared" si="0"/>
        <v>1987</v>
      </c>
      <c r="C21" s="7" cm="1">
        <f t="array" ref="C21">INDEX(GMW!$A$2:$LR$60,MATCH(1,(GMW!$LQ$2:$LQ$60=C$3)*(GMW!$LP$2:$LP$60=C$4),0),$B21-1966)</f>
        <v>20.594560000000001</v>
      </c>
    </row>
    <row r="22" spans="1:3" x14ac:dyDescent="0.35">
      <c r="B22" s="7">
        <f t="shared" si="0"/>
        <v>1988</v>
      </c>
      <c r="C22" s="7" cm="1">
        <f t="array" ref="C22">INDEX(GMW!$A$2:$LR$60,MATCH(1,(GMW!$LQ$2:$LQ$60=C$3)*(GMW!$LP$2:$LP$60=C$4),0),$B22-1966)</f>
        <v>21.506979999999999</v>
      </c>
    </row>
    <row r="23" spans="1:3" x14ac:dyDescent="0.35">
      <c r="A23" s="7">
        <v>1977</v>
      </c>
      <c r="B23" s="7">
        <f t="shared" si="0"/>
        <v>1989</v>
      </c>
      <c r="C23" s="7" cm="1">
        <f t="array" ref="C23">INDEX(GMW!$A$2:$LR$60,MATCH(1,(GMW!$LQ$2:$LQ$60=C$3)*(GMW!$LP$2:$LP$60=C$4),0),$B23-1966)</f>
        <v>22.471530000000001</v>
      </c>
    </row>
    <row r="24" spans="1:3" x14ac:dyDescent="0.35">
      <c r="B24" s="7">
        <f t="shared" si="0"/>
        <v>1990</v>
      </c>
      <c r="C24" s="7" cm="1">
        <f t="array" ref="C24">INDEX(GMW!$A$2:$LR$60,MATCH(1,(GMW!$LQ$2:$LQ$60=C$3)*(GMW!$LP$2:$LP$60=C$4),0),$B24-1966)</f>
        <v>23.410019999999999</v>
      </c>
    </row>
    <row r="25" spans="1:3" x14ac:dyDescent="0.35">
      <c r="B25" s="7">
        <f t="shared" si="0"/>
        <v>1991</v>
      </c>
      <c r="C25" s="7" cm="1">
        <f t="array" ref="C25">INDEX(GMW!$A$2:$LR$60,MATCH(1,(GMW!$LQ$2:$LQ$60=C$3)*(GMW!$LP$2:$LP$60=C$4),0),$B25-1966)</f>
        <v>23.82713</v>
      </c>
    </row>
    <row r="26" spans="1:3" x14ac:dyDescent="0.35">
      <c r="B26" s="7">
        <f t="shared" si="0"/>
        <v>1992</v>
      </c>
      <c r="C26" s="7" cm="1">
        <f t="array" ref="C26">INDEX(GMW!$A$2:$LR$60,MATCH(1,(GMW!$LQ$2:$LQ$60=C$3)*(GMW!$LP$2:$LP$60=C$4),0),$B26-1966)</f>
        <v>24.139949999999999</v>
      </c>
    </row>
    <row r="27" spans="1:3" x14ac:dyDescent="0.35">
      <c r="A27" s="7">
        <v>1978</v>
      </c>
      <c r="B27" s="7">
        <f t="shared" si="0"/>
        <v>1993</v>
      </c>
      <c r="C27" s="7" cm="1">
        <f t="array" ref="C27">INDEX(GMW!$A$2:$LR$60,MATCH(1,(GMW!$LQ$2:$LQ$60=C$3)*(GMW!$LP$2:$LP$60=C$4),0),$B27-1966)</f>
        <v>24.452780000000001</v>
      </c>
    </row>
    <row r="28" spans="1:3" x14ac:dyDescent="0.35">
      <c r="B28" s="7">
        <f t="shared" si="0"/>
        <v>1994</v>
      </c>
      <c r="C28" s="7" cm="1">
        <f t="array" ref="C28">INDEX(GMW!$A$2:$LR$60,MATCH(1,(GMW!$LQ$2:$LQ$60=C$3)*(GMW!$LP$2:$LP$60=C$4),0),$B28-1966)</f>
        <v>25.078440000000001</v>
      </c>
    </row>
    <row r="29" spans="1:3" x14ac:dyDescent="0.35">
      <c r="B29" s="7">
        <f t="shared" si="0"/>
        <v>1995</v>
      </c>
      <c r="C29" s="7" cm="1">
        <f t="array" ref="C29">INDEX(GMW!$A$2:$LR$60,MATCH(1,(GMW!$LQ$2:$LQ$60=C$3)*(GMW!$LP$2:$LP$60=C$4),0),$B29-1966)</f>
        <v>25.469480000000001</v>
      </c>
    </row>
    <row r="30" spans="1:3" x14ac:dyDescent="0.35">
      <c r="B30" s="7">
        <f t="shared" si="0"/>
        <v>1996</v>
      </c>
      <c r="C30" s="7" cm="1">
        <f t="array" ref="C30">INDEX(GMW!$A$2:$LR$60,MATCH(1,(GMW!$LQ$2:$LQ$60=C$3)*(GMW!$LP$2:$LP$60=C$4),0),$B30-1966)</f>
        <v>25.860510000000001</v>
      </c>
    </row>
    <row r="31" spans="1:3" x14ac:dyDescent="0.35">
      <c r="A31" s="7">
        <v>1979</v>
      </c>
      <c r="B31" s="7">
        <f t="shared" si="0"/>
        <v>1997</v>
      </c>
      <c r="C31" s="7" cm="1">
        <f t="array" ref="C31">INDEX(GMW!$A$2:$LR$60,MATCH(1,(GMW!$LQ$2:$LQ$60=C$3)*(GMW!$LP$2:$LP$60=C$4),0),$B31-1966)</f>
        <v>26.43403</v>
      </c>
    </row>
    <row r="32" spans="1:3" x14ac:dyDescent="0.35">
      <c r="B32" s="7">
        <f t="shared" si="0"/>
        <v>1998</v>
      </c>
      <c r="C32" s="7" cm="1">
        <f t="array" ref="C32">INDEX(GMW!$A$2:$LR$60,MATCH(1,(GMW!$LQ$2:$LQ$60=C$3)*(GMW!$LP$2:$LP$60=C$4),0),$B32-1966)</f>
        <v>27.268239999999999</v>
      </c>
    </row>
    <row r="33" spans="1:3" x14ac:dyDescent="0.35">
      <c r="B33" s="7">
        <f t="shared" si="0"/>
        <v>1999</v>
      </c>
      <c r="C33" s="7" cm="1">
        <f t="array" ref="C33">INDEX(GMW!$A$2:$LR$60,MATCH(1,(GMW!$LQ$2:$LQ$60=C$3)*(GMW!$LP$2:$LP$60=C$4),0),$B33-1966)</f>
        <v>28.910589999999999</v>
      </c>
    </row>
    <row r="34" spans="1:3" x14ac:dyDescent="0.35">
      <c r="B34" s="7">
        <f t="shared" si="0"/>
        <v>2000</v>
      </c>
      <c r="C34" s="7" cm="1">
        <f t="array" ref="C34">INDEX(GMW!$A$2:$LR$60,MATCH(1,(GMW!$LQ$2:$LQ$60=C$3)*(GMW!$LP$2:$LP$60=C$4),0),$B34-1966)</f>
        <v>29.718730000000001</v>
      </c>
    </row>
    <row r="35" spans="1:3" x14ac:dyDescent="0.35">
      <c r="A35" s="7">
        <v>1980</v>
      </c>
      <c r="B35" s="7">
        <f t="shared" si="0"/>
        <v>2001</v>
      </c>
      <c r="C35" s="7" cm="1">
        <f t="array" ref="C35">INDEX(GMW!$A$2:$LR$60,MATCH(1,(GMW!$LQ$2:$LQ$60=C$3)*(GMW!$LP$2:$LP$60=C$4),0),$B35-1966)</f>
        <v>30.605080000000001</v>
      </c>
    </row>
    <row r="36" spans="1:3" x14ac:dyDescent="0.35">
      <c r="B36" s="7">
        <f t="shared" si="0"/>
        <v>2002</v>
      </c>
      <c r="C36" s="7" cm="1">
        <f t="array" ref="C36">INDEX(GMW!$A$2:$LR$60,MATCH(1,(GMW!$LQ$2:$LQ$60=C$3)*(GMW!$LP$2:$LP$60=C$4),0),$B36-1966)</f>
        <v>32.247430000000001</v>
      </c>
    </row>
    <row r="37" spans="1:3" x14ac:dyDescent="0.35">
      <c r="B37" s="7">
        <f t="shared" si="0"/>
        <v>2003</v>
      </c>
      <c r="C37" s="7" cm="1">
        <f t="array" ref="C37">INDEX(GMW!$A$2:$LR$60,MATCH(1,(GMW!$LQ$2:$LQ$60=C$3)*(GMW!$LP$2:$LP$60=C$4),0),$B37-1966)</f>
        <v>32.951300000000003</v>
      </c>
    </row>
    <row r="38" spans="1:3" x14ac:dyDescent="0.35">
      <c r="B38" s="7">
        <f t="shared" si="0"/>
        <v>2004</v>
      </c>
      <c r="C38" s="7" cm="1">
        <f t="array" ref="C38">INDEX(GMW!$A$2:$LR$60,MATCH(1,(GMW!$LQ$2:$LQ$60=C$3)*(GMW!$LP$2:$LP$60=C$4),0),$B38-1966)</f>
        <v>33.550879999999999</v>
      </c>
    </row>
    <row r="39" spans="1:3" x14ac:dyDescent="0.35">
      <c r="A39" s="7">
        <v>1981</v>
      </c>
      <c r="B39" s="7">
        <f t="shared" si="0"/>
        <v>2005</v>
      </c>
      <c r="C39" s="7" cm="1">
        <f t="array" ref="C39">INDEX(GMW!$A$2:$LR$60,MATCH(1,(GMW!$LQ$2:$LQ$60=C$3)*(GMW!$LP$2:$LP$60=C$4),0),$B39-1966)</f>
        <v>34.385100000000001</v>
      </c>
    </row>
    <row r="40" spans="1:3" x14ac:dyDescent="0.35">
      <c r="B40" s="7">
        <f t="shared" si="0"/>
        <v>2006</v>
      </c>
      <c r="C40" s="7" cm="1">
        <f t="array" ref="C40">INDEX(GMW!$A$2:$LR$60,MATCH(1,(GMW!$LQ$2:$LQ$60=C$3)*(GMW!$LP$2:$LP$60=C$4),0),$B40-1966)</f>
        <v>36.079590000000003</v>
      </c>
    </row>
    <row r="41" spans="1:3" x14ac:dyDescent="0.35">
      <c r="B41" s="7">
        <f t="shared" si="0"/>
        <v>2007</v>
      </c>
      <c r="C41" s="7" cm="1">
        <f t="array" ref="C41">INDEX(GMW!$A$2:$LR$60,MATCH(1,(GMW!$LQ$2:$LQ$60=C$3)*(GMW!$LP$2:$LP$60=C$4),0),$B41-1966)</f>
        <v>36.731310000000001</v>
      </c>
    </row>
    <row r="42" spans="1:3" x14ac:dyDescent="0.35">
      <c r="B42" s="7">
        <f t="shared" si="0"/>
        <v>2008</v>
      </c>
      <c r="C42" s="7" cm="1">
        <f t="array" ref="C42">INDEX(GMW!$A$2:$LR$60,MATCH(1,(GMW!$LQ$2:$LQ$60=C$3)*(GMW!$LP$2:$LP$60=C$4),0),$B42-1966)</f>
        <v>37.435180000000003</v>
      </c>
    </row>
    <row r="43" spans="1:3" x14ac:dyDescent="0.35">
      <c r="A43" s="7">
        <v>1982</v>
      </c>
      <c r="B43" s="7">
        <f t="shared" si="0"/>
        <v>2009</v>
      </c>
      <c r="C43" s="7" cm="1">
        <f t="array" ref="C43">INDEX(GMW!$A$2:$LR$60,MATCH(1,(GMW!$LQ$2:$LQ$60=C$3)*(GMW!$LP$2:$LP$60=C$4),0),$B43-1966)</f>
        <v>37.878349999999998</v>
      </c>
    </row>
    <row r="44" spans="1:3" x14ac:dyDescent="0.35">
      <c r="B44" s="7">
        <f t="shared" si="0"/>
        <v>2010</v>
      </c>
      <c r="C44" s="7" cm="1">
        <f t="array" ref="C44">INDEX(GMW!$A$2:$LR$60,MATCH(1,(GMW!$LQ$2:$LQ$60=C$3)*(GMW!$LP$2:$LP$60=C$4),0),$B44-1966)</f>
        <v>39.181800000000003</v>
      </c>
    </row>
    <row r="45" spans="1:3" x14ac:dyDescent="0.35">
      <c r="B45" s="7">
        <f t="shared" si="0"/>
        <v>2011</v>
      </c>
      <c r="C45" s="7" cm="1">
        <f t="array" ref="C45">INDEX(GMW!$A$2:$LR$60,MATCH(1,(GMW!$LQ$2:$LQ$60=C$3)*(GMW!$LP$2:$LP$60=C$4),0),$B45-1966)</f>
        <v>39.416420000000002</v>
      </c>
    </row>
    <row r="46" spans="1:3" x14ac:dyDescent="0.35">
      <c r="B46" s="7">
        <f t="shared" si="0"/>
        <v>2012</v>
      </c>
      <c r="C46" s="7" cm="1">
        <f t="array" ref="C46">INDEX(GMW!$A$2:$LR$60,MATCH(1,(GMW!$LQ$2:$LQ$60=C$3)*(GMW!$LP$2:$LP$60=C$4),0),$B46-1966)</f>
        <v>39.885669999999998</v>
      </c>
    </row>
    <row r="47" spans="1:3" x14ac:dyDescent="0.35">
      <c r="A47" s="7">
        <v>1983</v>
      </c>
      <c r="B47" s="7">
        <f t="shared" si="0"/>
        <v>2013</v>
      </c>
      <c r="C47" s="7" cm="1">
        <f t="array" ref="C47">INDEX(GMW!$A$2:$LR$60,MATCH(1,(GMW!$LQ$2:$LQ$60=C$3)*(GMW!$LP$2:$LP$60=C$4),0),$B47-1966)</f>
        <v>40.172429999999999</v>
      </c>
    </row>
    <row r="48" spans="1:3" x14ac:dyDescent="0.35">
      <c r="B48" s="7">
        <f>+B47+1</f>
        <v>2014</v>
      </c>
      <c r="C48" s="7" cm="1">
        <f t="array" ref="C48">INDEX(GMW!$A$2:$LR$60,MATCH(1,(GMW!$LQ$2:$LQ$60=C$3)*(GMW!$LP$2:$LP$60=C$4),0),$B48-1966)</f>
        <v>40.85022</v>
      </c>
    </row>
    <row r="49" spans="1:3" x14ac:dyDescent="0.35">
      <c r="B49" s="7">
        <f t="shared" ref="B49:B112" si="1">+B48+1</f>
        <v>2015</v>
      </c>
      <c r="C49" s="7" cm="1">
        <f t="array" ref="C49">INDEX(GMW!$A$2:$LR$60,MATCH(1,(GMW!$LQ$2:$LQ$60=C$3)*(GMW!$LP$2:$LP$60=C$4),0),$B49-1966)</f>
        <v>41.293399999999998</v>
      </c>
    </row>
    <row r="50" spans="1:3" x14ac:dyDescent="0.35">
      <c r="B50" s="7">
        <f t="shared" si="1"/>
        <v>2016</v>
      </c>
      <c r="C50" s="7" cm="1">
        <f t="array" ref="C50">INDEX(GMW!$A$2:$LR$60,MATCH(1,(GMW!$LQ$2:$LQ$60=C$3)*(GMW!$LP$2:$LP$60=C$4),0),$B50-1966)</f>
        <v>41.762639999999998</v>
      </c>
    </row>
    <row r="51" spans="1:3" x14ac:dyDescent="0.35">
      <c r="A51" s="7">
        <v>1984</v>
      </c>
      <c r="B51" s="7">
        <f t="shared" si="1"/>
        <v>2017</v>
      </c>
      <c r="C51" s="7" cm="1">
        <f t="array" ref="C51">INDEX(GMW!$A$2:$LR$60,MATCH(1,(GMW!$LQ$2:$LQ$60=C$3)*(GMW!$LP$2:$LP$60=C$4),0),$B51-1966)</f>
        <v>41.86692</v>
      </c>
    </row>
    <row r="52" spans="1:3" x14ac:dyDescent="0.35">
      <c r="B52" s="7">
        <f t="shared" si="1"/>
        <v>2018</v>
      </c>
      <c r="C52" s="7" cm="1">
        <f t="array" ref="C52">INDEX(GMW!$A$2:$LR$60,MATCH(1,(GMW!$LQ$2:$LQ$60=C$3)*(GMW!$LP$2:$LP$60=C$4),0),$B52-1966)</f>
        <v>42.779339999999998</v>
      </c>
    </row>
    <row r="53" spans="1:3" x14ac:dyDescent="0.35">
      <c r="B53" s="7">
        <f t="shared" si="1"/>
        <v>2019</v>
      </c>
      <c r="C53" s="7" cm="1">
        <f t="array" ref="C53">INDEX(GMW!$A$2:$LR$60,MATCH(1,(GMW!$LQ$2:$LQ$60=C$3)*(GMW!$LP$2:$LP$60=C$4),0),$B53-1966)</f>
        <v>42.98789</v>
      </c>
    </row>
    <row r="54" spans="1:3" x14ac:dyDescent="0.35">
      <c r="B54" s="7">
        <f t="shared" si="1"/>
        <v>2020</v>
      </c>
      <c r="C54" s="7" cm="1">
        <f t="array" ref="C54">INDEX(GMW!$A$2:$LR$60,MATCH(1,(GMW!$LQ$2:$LQ$60=C$3)*(GMW!$LP$2:$LP$60=C$4),0),$B54-1966)</f>
        <v>43.431060000000002</v>
      </c>
    </row>
    <row r="55" spans="1:3" x14ac:dyDescent="0.35">
      <c r="A55" s="7">
        <v>1985</v>
      </c>
      <c r="B55" s="7">
        <f t="shared" si="1"/>
        <v>2021</v>
      </c>
      <c r="C55" s="7" cm="1">
        <f t="array" ref="C55">INDEX(GMW!$A$2:$LR$60,MATCH(1,(GMW!$LQ$2:$LQ$60=C$3)*(GMW!$LP$2:$LP$60=C$4),0),$B55-1966)</f>
        <v>43.874229999999997</v>
      </c>
    </row>
    <row r="56" spans="1:3" x14ac:dyDescent="0.35">
      <c r="B56" s="7">
        <f t="shared" si="1"/>
        <v>2022</v>
      </c>
      <c r="C56" s="7" cm="1">
        <f t="array" ref="C56">INDEX(GMW!$A$2:$LR$60,MATCH(1,(GMW!$LQ$2:$LQ$60=C$3)*(GMW!$LP$2:$LP$60=C$4),0),$B56-1966)</f>
        <v>44.995199999999997</v>
      </c>
    </row>
    <row r="57" spans="1:3" x14ac:dyDescent="0.35">
      <c r="B57" s="7">
        <f t="shared" si="1"/>
        <v>2023</v>
      </c>
      <c r="C57" s="7" cm="1">
        <f t="array" ref="C57">INDEX(GMW!$A$2:$LR$60,MATCH(1,(GMW!$LQ$2:$LQ$60=C$3)*(GMW!$LP$2:$LP$60=C$4),0),$B57-1966)</f>
        <v>45.125549999999997</v>
      </c>
    </row>
    <row r="58" spans="1:3" x14ac:dyDescent="0.35">
      <c r="B58" s="7">
        <f t="shared" si="1"/>
        <v>2024</v>
      </c>
      <c r="C58" s="7" cm="1">
        <f t="array" ref="C58">INDEX(GMW!$A$2:$LR$60,MATCH(1,(GMW!$LQ$2:$LQ$60=C$3)*(GMW!$LP$2:$LP$60=C$4),0),$B58-1966)</f>
        <v>45.490519999999997</v>
      </c>
    </row>
    <row r="59" spans="1:3" x14ac:dyDescent="0.35">
      <c r="A59" s="7">
        <v>1986</v>
      </c>
      <c r="B59" s="7">
        <f t="shared" si="1"/>
        <v>2025</v>
      </c>
      <c r="C59" s="7" cm="1">
        <f t="array" ref="C59">INDEX(GMW!$A$2:$LR$60,MATCH(1,(GMW!$LQ$2:$LQ$60=C$3)*(GMW!$LP$2:$LP$60=C$4),0),$B59-1966)</f>
        <v>45.646929999999998</v>
      </c>
    </row>
    <row r="60" spans="1:3" x14ac:dyDescent="0.35">
      <c r="B60" s="7">
        <f t="shared" si="1"/>
        <v>2026</v>
      </c>
      <c r="C60" s="7" cm="1">
        <f t="array" ref="C60">INDEX(GMW!$A$2:$LR$60,MATCH(1,(GMW!$LQ$2:$LQ$60=C$3)*(GMW!$LP$2:$LP$60=C$4),0),$B60-1966)</f>
        <v>46.3508</v>
      </c>
    </row>
    <row r="61" spans="1:3" x14ac:dyDescent="0.35">
      <c r="B61" s="7">
        <f t="shared" si="1"/>
        <v>2027</v>
      </c>
      <c r="C61" s="7" cm="1">
        <f t="array" ref="C61">INDEX(GMW!$A$2:$LR$60,MATCH(1,(GMW!$LQ$2:$LQ$60=C$3)*(GMW!$LP$2:$LP$60=C$4),0),$B61-1966)</f>
        <v>46.533279999999998</v>
      </c>
    </row>
    <row r="62" spans="1:3" x14ac:dyDescent="0.35">
      <c r="B62" s="7">
        <f t="shared" si="1"/>
        <v>2028</v>
      </c>
      <c r="C62" s="7" cm="1">
        <f t="array" ref="C62">INDEX(GMW!$A$2:$LR$60,MATCH(1,(GMW!$LQ$2:$LQ$60=C$3)*(GMW!$LP$2:$LP$60=C$4),0),$B62-1966)</f>
        <v>46.924320000000002</v>
      </c>
    </row>
    <row r="63" spans="1:3" x14ac:dyDescent="0.35">
      <c r="A63" s="7">
        <v>1987</v>
      </c>
      <c r="B63" s="7">
        <f t="shared" si="1"/>
        <v>2029</v>
      </c>
      <c r="C63" s="7" cm="1">
        <f t="array" ref="C63">INDEX(GMW!$A$2:$LR$60,MATCH(1,(GMW!$LQ$2:$LQ$60=C$3)*(GMW!$LP$2:$LP$60=C$4),0),$B63-1966)</f>
        <v>47.237139999999997</v>
      </c>
    </row>
    <row r="64" spans="1:3" x14ac:dyDescent="0.35">
      <c r="B64" s="7">
        <f t="shared" si="1"/>
        <v>2030</v>
      </c>
      <c r="C64" s="7" cm="1">
        <f t="array" ref="C64">INDEX(GMW!$A$2:$LR$60,MATCH(1,(GMW!$LQ$2:$LQ$60=C$3)*(GMW!$LP$2:$LP$60=C$4),0),$B64-1966)</f>
        <v>47.836730000000003</v>
      </c>
    </row>
    <row r="65" spans="1:3" x14ac:dyDescent="0.35">
      <c r="B65" s="7">
        <f t="shared" si="1"/>
        <v>2031</v>
      </c>
      <c r="C65" s="7" cm="1">
        <f t="array" ref="C65">INDEX(GMW!$A$2:$LR$60,MATCH(1,(GMW!$LQ$2:$LQ$60=C$3)*(GMW!$LP$2:$LP$60=C$4),0),$B65-1966)</f>
        <v>47.888869999999997</v>
      </c>
    </row>
    <row r="66" spans="1:3" x14ac:dyDescent="0.35">
      <c r="B66" s="7">
        <f t="shared" si="1"/>
        <v>2032</v>
      </c>
      <c r="C66" s="7" cm="1">
        <f t="array" ref="C66">INDEX(GMW!$A$2:$LR$60,MATCH(1,(GMW!$LQ$2:$LQ$60=C$3)*(GMW!$LP$2:$LP$60=C$4),0),$B66-1966)</f>
        <v>48.436320000000002</v>
      </c>
    </row>
    <row r="67" spans="1:3" x14ac:dyDescent="0.35">
      <c r="A67" s="7">
        <v>1988</v>
      </c>
      <c r="B67" s="7">
        <f t="shared" si="1"/>
        <v>2033</v>
      </c>
      <c r="C67" s="7" cm="1">
        <f t="array" ref="C67">INDEX(GMW!$A$2:$LR$60,MATCH(1,(GMW!$LQ$2:$LQ$60=C$3)*(GMW!$LP$2:$LP$60=C$4),0),$B67-1966)</f>
        <v>48.566670000000002</v>
      </c>
    </row>
    <row r="68" spans="1:3" x14ac:dyDescent="0.35">
      <c r="B68" s="7">
        <f t="shared" si="1"/>
        <v>2034</v>
      </c>
      <c r="C68" s="7" cm="1">
        <f t="array" ref="C68">INDEX(GMW!$A$2:$LR$60,MATCH(1,(GMW!$LQ$2:$LQ$60=C$3)*(GMW!$LP$2:$LP$60=C$4),0),$B68-1966)</f>
        <v>49.5</v>
      </c>
    </row>
    <row r="69" spans="1:3" x14ac:dyDescent="0.35">
      <c r="B69" s="7">
        <f t="shared" si="1"/>
        <v>2035</v>
      </c>
      <c r="C69" s="7" cm="1">
        <f t="array" ref="C69">INDEX(GMW!$A$2:$LR$60,MATCH(1,(GMW!$LQ$2:$LQ$60=C$3)*(GMW!$LP$2:$LP$60=C$4),0),$B69-1966)</f>
        <v>49.9</v>
      </c>
    </row>
    <row r="70" spans="1:3" x14ac:dyDescent="0.35">
      <c r="B70" s="7">
        <f t="shared" si="1"/>
        <v>2036</v>
      </c>
      <c r="C70" s="7" cm="1">
        <f t="array" ref="C70">INDEX(GMW!$A$2:$LR$60,MATCH(1,(GMW!$LQ$2:$LQ$60=C$3)*(GMW!$LP$2:$LP$60=C$4),0),$B70-1966)</f>
        <v>50.466670000000001</v>
      </c>
    </row>
    <row r="71" spans="1:3" x14ac:dyDescent="0.35">
      <c r="A71" s="7">
        <v>1989</v>
      </c>
      <c r="B71" s="7">
        <f t="shared" si="1"/>
        <v>2037</v>
      </c>
      <c r="C71" s="7" cm="1">
        <f t="array" ref="C71">INDEX(GMW!$A$2:$LR$60,MATCH(1,(GMW!$LQ$2:$LQ$60=C$3)*(GMW!$LP$2:$LP$60=C$4),0),$B71-1966)</f>
        <v>51</v>
      </c>
    </row>
    <row r="72" spans="1:3" x14ac:dyDescent="0.35">
      <c r="B72" s="7">
        <f t="shared" si="1"/>
        <v>2038</v>
      </c>
      <c r="C72" s="7" cm="1">
        <f t="array" ref="C72">INDEX(GMW!$A$2:$LR$60,MATCH(1,(GMW!$LQ$2:$LQ$60=C$3)*(GMW!$LP$2:$LP$60=C$4),0),$B72-1966)</f>
        <v>52.133339999999997</v>
      </c>
    </row>
    <row r="73" spans="1:3" x14ac:dyDescent="0.35">
      <c r="B73" s="7">
        <f t="shared" si="1"/>
        <v>2039</v>
      </c>
      <c r="C73" s="7" cm="1">
        <f t="array" ref="C73">INDEX(GMW!$A$2:$LR$60,MATCH(1,(GMW!$LQ$2:$LQ$60=C$3)*(GMW!$LP$2:$LP$60=C$4),0),$B73-1966)</f>
        <v>52.466670000000001</v>
      </c>
    </row>
    <row r="74" spans="1:3" x14ac:dyDescent="0.35">
      <c r="B74" s="7">
        <f t="shared" si="1"/>
        <v>2040</v>
      </c>
      <c r="C74" s="7" cm="1">
        <f t="array" ref="C74">INDEX(GMW!$A$2:$LR$60,MATCH(1,(GMW!$LQ$2:$LQ$60=C$3)*(GMW!$LP$2:$LP$60=C$4),0),$B74-1966)</f>
        <v>53.266669999999998</v>
      </c>
    </row>
    <row r="75" spans="1:3" x14ac:dyDescent="0.35">
      <c r="A75" s="7">
        <v>1990</v>
      </c>
      <c r="B75" s="7">
        <f t="shared" si="1"/>
        <v>2041</v>
      </c>
      <c r="C75" s="7" cm="1">
        <f t="array" ref="C75">INDEX(GMW!$A$2:$LR$60,MATCH(1,(GMW!$LQ$2:$LQ$60=C$3)*(GMW!$LP$2:$LP$60=C$4),0),$B75-1966)</f>
        <v>53.933329999999998</v>
      </c>
    </row>
    <row r="76" spans="1:3" x14ac:dyDescent="0.35">
      <c r="B76" s="7">
        <f t="shared" si="1"/>
        <v>2042</v>
      </c>
      <c r="C76" s="7" cm="1">
        <f t="array" ref="C76">INDEX(GMW!$A$2:$LR$60,MATCH(1,(GMW!$LQ$2:$LQ$60=C$3)*(GMW!$LP$2:$LP$60=C$4),0),$B76-1966)</f>
        <v>55.6</v>
      </c>
    </row>
    <row r="77" spans="1:3" x14ac:dyDescent="0.35">
      <c r="B77" s="7">
        <f t="shared" si="1"/>
        <v>2043</v>
      </c>
      <c r="C77" s="7" cm="1">
        <f t="array" ref="C77">INDEX(GMW!$A$2:$LR$60,MATCH(1,(GMW!$LQ$2:$LQ$60=C$3)*(GMW!$LP$2:$LP$60=C$4),0),$B77-1966)</f>
        <v>56.4</v>
      </c>
    </row>
    <row r="78" spans="1:3" x14ac:dyDescent="0.35">
      <c r="B78" s="7">
        <f t="shared" si="1"/>
        <v>2044</v>
      </c>
      <c r="C78" s="7" cm="1">
        <f t="array" ref="C78">INDEX(GMW!$A$2:$LR$60,MATCH(1,(GMW!$LQ$2:$LQ$60=C$3)*(GMW!$LP$2:$LP$60=C$4),0),$B78-1966)</f>
        <v>57.466670000000001</v>
      </c>
    </row>
    <row r="79" spans="1:3" x14ac:dyDescent="0.35">
      <c r="A79" s="7">
        <v>1991</v>
      </c>
      <c r="B79" s="7">
        <f t="shared" si="1"/>
        <v>2045</v>
      </c>
      <c r="C79" s="7" cm="1">
        <f t="array" ref="C79">INDEX(GMW!$A$2:$LR$60,MATCH(1,(GMW!$LQ$2:$LQ$60=C$3)*(GMW!$LP$2:$LP$60=C$4),0),$B79-1966)</f>
        <v>57.666670000000003</v>
      </c>
    </row>
    <row r="80" spans="1:3" x14ac:dyDescent="0.35">
      <c r="B80" s="7">
        <f t="shared" si="1"/>
        <v>2046</v>
      </c>
      <c r="C80" s="7" cm="1">
        <f t="array" ref="C80">INDEX(GMW!$A$2:$LR$60,MATCH(1,(GMW!$LQ$2:$LQ$60=C$3)*(GMW!$LP$2:$LP$60=C$4),0),$B80-1966)</f>
        <v>60.266669999999998</v>
      </c>
    </row>
    <row r="81" spans="1:3" x14ac:dyDescent="0.35">
      <c r="B81" s="7">
        <f t="shared" si="1"/>
        <v>2047</v>
      </c>
      <c r="C81" s="7" cm="1">
        <f t="array" ref="C81">INDEX(GMW!$A$2:$LR$60,MATCH(1,(GMW!$LQ$2:$LQ$60=C$3)*(GMW!$LP$2:$LP$60=C$4),0),$B81-1966)</f>
        <v>60.833329999999997</v>
      </c>
    </row>
    <row r="82" spans="1:3" x14ac:dyDescent="0.35">
      <c r="B82" s="7">
        <f t="shared" si="1"/>
        <v>2048</v>
      </c>
      <c r="C82" s="7" cm="1">
        <f t="array" ref="C82">INDEX(GMW!$A$2:$LR$60,MATCH(1,(GMW!$LQ$2:$LQ$60=C$3)*(GMW!$LP$2:$LP$60=C$4),0),$B82-1966)</f>
        <v>61.466670000000001</v>
      </c>
    </row>
    <row r="83" spans="1:3" x14ac:dyDescent="0.35">
      <c r="A83" s="7">
        <v>1992</v>
      </c>
      <c r="B83" s="7">
        <f t="shared" si="1"/>
        <v>2049</v>
      </c>
      <c r="C83" s="7" cm="1">
        <f t="array" ref="C83">INDEX(GMW!$A$2:$LR$60,MATCH(1,(GMW!$LQ$2:$LQ$60=C$3)*(GMW!$LP$2:$LP$60=C$4),0),$B83-1966)</f>
        <v>61.7</v>
      </c>
    </row>
    <row r="84" spans="1:3" x14ac:dyDescent="0.35">
      <c r="B84" s="7">
        <f t="shared" si="1"/>
        <v>2050</v>
      </c>
      <c r="C84" s="7" cm="1">
        <f t="array" ref="C84">INDEX(GMW!$A$2:$LR$60,MATCH(1,(GMW!$LQ$2:$LQ$60=C$3)*(GMW!$LP$2:$LP$60=C$4),0),$B84-1966)</f>
        <v>62.833329999999997</v>
      </c>
    </row>
    <row r="85" spans="1:3" x14ac:dyDescent="0.35">
      <c r="B85" s="7">
        <f t="shared" si="1"/>
        <v>2051</v>
      </c>
      <c r="C85" s="7" cm="1">
        <f t="array" ref="C85">INDEX(GMW!$A$2:$LR$60,MATCH(1,(GMW!$LQ$2:$LQ$60=C$3)*(GMW!$LP$2:$LP$60=C$4),0),$B85-1966)</f>
        <v>62.733330000000002</v>
      </c>
    </row>
    <row r="86" spans="1:3" x14ac:dyDescent="0.35">
      <c r="B86" s="7">
        <f t="shared" si="1"/>
        <v>2052</v>
      </c>
      <c r="C86" s="7" cm="1">
        <f t="array" ref="C86">INDEX(GMW!$A$2:$LR$60,MATCH(1,(GMW!$LQ$2:$LQ$60=C$3)*(GMW!$LP$2:$LP$60=C$4),0),$B86-1966)</f>
        <v>63.133339999999997</v>
      </c>
    </row>
    <row r="87" spans="1:3" x14ac:dyDescent="0.35">
      <c r="A87" s="7">
        <v>1993</v>
      </c>
      <c r="B87" s="7">
        <f t="shared" si="1"/>
        <v>2053</v>
      </c>
      <c r="C87" s="7" cm="1">
        <f t="array" ref="C87">INDEX(GMW!$A$2:$LR$60,MATCH(1,(GMW!$LQ$2:$LQ$60=C$3)*(GMW!$LP$2:$LP$60=C$4),0),$B87-1966)</f>
        <v>63.2</v>
      </c>
    </row>
    <row r="88" spans="1:3" x14ac:dyDescent="0.35">
      <c r="B88" s="7">
        <f t="shared" si="1"/>
        <v>2054</v>
      </c>
      <c r="C88" s="7" cm="1">
        <f t="array" ref="C88">INDEX(GMW!$A$2:$LR$60,MATCH(1,(GMW!$LQ$2:$LQ$60=C$3)*(GMW!$LP$2:$LP$60=C$4),0),$B88-1966)</f>
        <v>64.433329999999998</v>
      </c>
    </row>
    <row r="89" spans="1:3" x14ac:dyDescent="0.35">
      <c r="B89" s="7">
        <f t="shared" si="1"/>
        <v>2055</v>
      </c>
      <c r="C89" s="7" cm="1">
        <f t="array" ref="C89">INDEX(GMW!$A$2:$LR$60,MATCH(1,(GMW!$LQ$2:$LQ$60=C$3)*(GMW!$LP$2:$LP$60=C$4),0),$B89-1966)</f>
        <v>64.5</v>
      </c>
    </row>
    <row r="90" spans="1:3" x14ac:dyDescent="0.35">
      <c r="B90" s="7">
        <f t="shared" si="1"/>
        <v>2056</v>
      </c>
      <c r="C90" s="7" cm="1">
        <f t="array" ref="C90">INDEX(GMW!$A$2:$LR$60,MATCH(1,(GMW!$LQ$2:$LQ$60=C$3)*(GMW!$LP$2:$LP$60=C$4),0),$B90-1966)</f>
        <v>64.666659999999993</v>
      </c>
    </row>
    <row r="91" spans="1:3" x14ac:dyDescent="0.35">
      <c r="A91" s="7">
        <v>1994</v>
      </c>
      <c r="B91" s="7">
        <f t="shared" si="1"/>
        <v>2057</v>
      </c>
      <c r="C91" s="7" cm="1">
        <f t="array" ref="C91">INDEX(GMW!$A$2:$LR$60,MATCH(1,(GMW!$LQ$2:$LQ$60=C$3)*(GMW!$LP$2:$LP$60=C$4),0),$B91-1966)</f>
        <v>64.766670000000005</v>
      </c>
    </row>
    <row r="92" spans="1:3" x14ac:dyDescent="0.35">
      <c r="B92" s="7">
        <f t="shared" si="1"/>
        <v>2058</v>
      </c>
      <c r="C92" s="7" cm="1">
        <f t="array" ref="C92">INDEX(GMW!$A$2:$LR$60,MATCH(1,(GMW!$LQ$2:$LQ$60=C$3)*(GMW!$LP$2:$LP$60=C$4),0),$B92-1966)</f>
        <v>65.7</v>
      </c>
    </row>
    <row r="93" spans="1:3" x14ac:dyDescent="0.35">
      <c r="B93" s="7">
        <f t="shared" si="1"/>
        <v>2059</v>
      </c>
      <c r="C93" s="7" cm="1">
        <f t="array" ref="C93">INDEX(GMW!$A$2:$LR$60,MATCH(1,(GMW!$LQ$2:$LQ$60=C$3)*(GMW!$LP$2:$LP$60=C$4),0),$B93-1966)</f>
        <v>65.633330000000001</v>
      </c>
    </row>
    <row r="94" spans="1:3" x14ac:dyDescent="0.35">
      <c r="B94" s="7">
        <f t="shared" si="1"/>
        <v>2060</v>
      </c>
      <c r="C94" s="7" cm="1">
        <f t="array" ref="C94">INDEX(GMW!$A$2:$LR$60,MATCH(1,(GMW!$LQ$2:$LQ$60=C$3)*(GMW!$LP$2:$LP$60=C$4),0),$B94-1966)</f>
        <v>65.8</v>
      </c>
    </row>
    <row r="95" spans="1:3" x14ac:dyDescent="0.35">
      <c r="A95" s="7">
        <v>1995</v>
      </c>
      <c r="B95" s="7">
        <f t="shared" si="1"/>
        <v>2061</v>
      </c>
      <c r="C95" s="7" cm="1">
        <f t="array" ref="C95">INDEX(GMW!$A$2:$LR$60,MATCH(1,(GMW!$LQ$2:$LQ$60=C$3)*(GMW!$LP$2:$LP$60=C$4),0),$B95-1966)</f>
        <v>66.333340000000007</v>
      </c>
    </row>
    <row r="96" spans="1:3" x14ac:dyDescent="0.35">
      <c r="B96" s="7">
        <f t="shared" si="1"/>
        <v>2062</v>
      </c>
      <c r="C96" s="7" cm="1">
        <f t="array" ref="C96">INDEX(GMW!$A$2:$LR$60,MATCH(1,(GMW!$LQ$2:$LQ$60=C$3)*(GMW!$LP$2:$LP$60=C$4),0),$B96-1966)</f>
        <v>67.266670000000005</v>
      </c>
    </row>
    <row r="97" spans="1:3" x14ac:dyDescent="0.35">
      <c r="B97" s="7">
        <f t="shared" si="1"/>
        <v>2063</v>
      </c>
      <c r="C97" s="7" cm="1">
        <f t="array" ref="C97">INDEX(GMW!$A$2:$LR$60,MATCH(1,(GMW!$LQ$2:$LQ$60=C$3)*(GMW!$LP$2:$LP$60=C$4),0),$B97-1966)</f>
        <v>67.400000000000006</v>
      </c>
    </row>
    <row r="98" spans="1:3" x14ac:dyDescent="0.35">
      <c r="B98" s="7">
        <f t="shared" si="1"/>
        <v>2064</v>
      </c>
      <c r="C98" s="7" cm="1">
        <f t="array" ref="C98">INDEX(GMW!$A$2:$LR$60,MATCH(1,(GMW!$LQ$2:$LQ$60=C$3)*(GMW!$LP$2:$LP$60=C$4),0),$B98-1966)</f>
        <v>67.733329999999995</v>
      </c>
    </row>
    <row r="99" spans="1:3" x14ac:dyDescent="0.35">
      <c r="A99" s="7">
        <v>1996</v>
      </c>
      <c r="B99" s="7">
        <f t="shared" si="1"/>
        <v>2065</v>
      </c>
      <c r="C99" s="7" cm="1">
        <f t="array" ref="C99">INDEX(GMW!$A$2:$LR$60,MATCH(1,(GMW!$LQ$2:$LQ$60=C$3)*(GMW!$LP$2:$LP$60=C$4),0),$B99-1966)</f>
        <v>68.099999999999994</v>
      </c>
    </row>
    <row r="100" spans="1:3" x14ac:dyDescent="0.35">
      <c r="B100" s="7">
        <f t="shared" si="1"/>
        <v>2066</v>
      </c>
      <c r="C100" s="7" cm="1">
        <f t="array" ref="C100">INDEX(GMW!$A$2:$LR$60,MATCH(1,(GMW!$LQ$2:$LQ$60=C$3)*(GMW!$LP$2:$LP$60=C$4),0),$B100-1966)</f>
        <v>68.866669999999999</v>
      </c>
    </row>
    <row r="101" spans="1:3" x14ac:dyDescent="0.35">
      <c r="B101" s="7">
        <f t="shared" si="1"/>
        <v>2067</v>
      </c>
      <c r="C101" s="7" cm="1">
        <f t="array" ref="C101">INDEX(GMW!$A$2:$LR$60,MATCH(1,(GMW!$LQ$2:$LQ$60=C$3)*(GMW!$LP$2:$LP$60=C$4),0),$B101-1966)</f>
        <v>68.933329999999998</v>
      </c>
    </row>
    <row r="102" spans="1:3" x14ac:dyDescent="0.35">
      <c r="B102" s="7">
        <f t="shared" si="1"/>
        <v>2068</v>
      </c>
      <c r="C102" s="7" cm="1">
        <f t="array" ref="C102">INDEX(GMW!$A$2:$LR$60,MATCH(1,(GMW!$LQ$2:$LQ$60=C$3)*(GMW!$LP$2:$LP$60=C$4),0),$B102-1966)</f>
        <v>69.366669999999999</v>
      </c>
    </row>
    <row r="103" spans="1:3" x14ac:dyDescent="0.35">
      <c r="A103" s="7">
        <v>1997</v>
      </c>
      <c r="B103" s="7">
        <f t="shared" si="1"/>
        <v>2069</v>
      </c>
      <c r="C103" s="7" cm="1">
        <f t="array" ref="C103">INDEX(GMW!$A$2:$LR$60,MATCH(1,(GMW!$LQ$2:$LQ$60=C$3)*(GMW!$LP$2:$LP$60=C$4),0),$B103-1966)</f>
        <v>69.366669999999999</v>
      </c>
    </row>
    <row r="104" spans="1:3" x14ac:dyDescent="0.35">
      <c r="B104" s="7">
        <f t="shared" si="1"/>
        <v>2070</v>
      </c>
      <c r="C104" s="7" cm="1">
        <f t="array" ref="C104">INDEX(GMW!$A$2:$LR$60,MATCH(1,(GMW!$LQ$2:$LQ$60=C$3)*(GMW!$LP$2:$LP$60=C$4),0),$B104-1966)</f>
        <v>70</v>
      </c>
    </row>
    <row r="105" spans="1:3" x14ac:dyDescent="0.35">
      <c r="B105" s="7">
        <f t="shared" si="1"/>
        <v>2071</v>
      </c>
      <c r="C105" s="7" cm="1">
        <f t="array" ref="C105">INDEX(GMW!$A$2:$LR$60,MATCH(1,(GMW!$LQ$2:$LQ$60=C$3)*(GMW!$LP$2:$LP$60=C$4),0),$B105-1966)</f>
        <v>70.266670000000005</v>
      </c>
    </row>
    <row r="106" spans="1:3" x14ac:dyDescent="0.35">
      <c r="B106" s="7">
        <f t="shared" si="1"/>
        <v>2072</v>
      </c>
      <c r="C106" s="7" cm="1">
        <f t="array" ref="C106">INDEX(GMW!$A$2:$LR$60,MATCH(1,(GMW!$LQ$2:$LQ$60=C$3)*(GMW!$LP$2:$LP$60=C$4),0),$B106-1966)</f>
        <v>70.633330000000001</v>
      </c>
    </row>
    <row r="107" spans="1:3" x14ac:dyDescent="0.35">
      <c r="A107" s="7">
        <v>1998</v>
      </c>
      <c r="B107" s="7">
        <f t="shared" si="1"/>
        <v>2073</v>
      </c>
      <c r="C107" s="7" cm="1">
        <f t="array" ref="C107">INDEX(GMW!$A$2:$LR$60,MATCH(1,(GMW!$LQ$2:$LQ$60=C$3)*(GMW!$LP$2:$LP$60=C$4),0),$B107-1966)</f>
        <v>70.5</v>
      </c>
    </row>
    <row r="108" spans="1:3" x14ac:dyDescent="0.35">
      <c r="B108" s="7">
        <f t="shared" si="1"/>
        <v>2074</v>
      </c>
      <c r="C108" s="7" cm="1">
        <f t="array" ref="C108">INDEX(GMW!$A$2:$LR$60,MATCH(1,(GMW!$LQ$2:$LQ$60=C$3)*(GMW!$LP$2:$LP$60=C$4),0),$B108-1966)</f>
        <v>71.266670000000005</v>
      </c>
    </row>
    <row r="109" spans="1:3" x14ac:dyDescent="0.35">
      <c r="B109" s="7">
        <f t="shared" si="1"/>
        <v>2075</v>
      </c>
      <c r="C109" s="7" cm="1">
        <f t="array" ref="C109">INDEX(GMW!$A$2:$LR$60,MATCH(1,(GMW!$LQ$2:$LQ$60=C$3)*(GMW!$LP$2:$LP$60=C$4),0),$B109-1966)</f>
        <v>71.233329999999995</v>
      </c>
    </row>
    <row r="110" spans="1:3" x14ac:dyDescent="0.35">
      <c r="B110" s="7">
        <f t="shared" si="1"/>
        <v>2076</v>
      </c>
      <c r="C110" s="7" cm="1">
        <f t="array" ref="C110">INDEX(GMW!$A$2:$LR$60,MATCH(1,(GMW!$LQ$2:$LQ$60=C$3)*(GMW!$LP$2:$LP$60=C$4),0),$B110-1966)</f>
        <v>71.633330000000001</v>
      </c>
    </row>
    <row r="111" spans="1:3" x14ac:dyDescent="0.35">
      <c r="A111" s="7">
        <v>1999</v>
      </c>
      <c r="B111" s="7">
        <f t="shared" si="1"/>
        <v>2077</v>
      </c>
      <c r="C111" s="7" cm="1">
        <f t="array" ref="C111">INDEX(GMW!$A$2:$LR$60,MATCH(1,(GMW!$LQ$2:$LQ$60=C$3)*(GMW!$LP$2:$LP$60=C$4),0),$B111-1966)</f>
        <v>71.599999999999994</v>
      </c>
    </row>
    <row r="112" spans="1:3" x14ac:dyDescent="0.35">
      <c r="B112" s="7">
        <f t="shared" si="1"/>
        <v>2078</v>
      </c>
      <c r="C112" s="7" cm="1">
        <f t="array" ref="C112">INDEX(GMW!$A$2:$LR$60,MATCH(1,(GMW!$LQ$2:$LQ$60=C$3)*(GMW!$LP$2:$LP$60=C$4),0),$B112-1966)</f>
        <v>72.3</v>
      </c>
    </row>
    <row r="113" spans="1:3" x14ac:dyDescent="0.35">
      <c r="B113" s="7">
        <f t="shared" ref="B113:B176" si="2">+B112+1</f>
        <v>2079</v>
      </c>
      <c r="C113" s="7" cm="1">
        <f t="array" ref="C113">INDEX(GMW!$A$2:$LR$60,MATCH(1,(GMW!$LQ$2:$LQ$60=C$3)*(GMW!$LP$2:$LP$60=C$4),0),$B113-1966)</f>
        <v>72.133330000000001</v>
      </c>
    </row>
    <row r="114" spans="1:3" x14ac:dyDescent="0.35">
      <c r="B114" s="7">
        <f t="shared" si="2"/>
        <v>2080</v>
      </c>
      <c r="C114" s="7" cm="1">
        <f t="array" ref="C114">INDEX(GMW!$A$2:$LR$60,MATCH(1,(GMW!$LQ$2:$LQ$60=C$3)*(GMW!$LP$2:$LP$60=C$4),0),$B114-1966)</f>
        <v>72.433329999999998</v>
      </c>
    </row>
    <row r="115" spans="1:3" x14ac:dyDescent="0.35">
      <c r="A115" s="7">
        <v>2000</v>
      </c>
      <c r="B115" s="7">
        <f t="shared" si="2"/>
        <v>2081</v>
      </c>
      <c r="C115" s="7" cm="1">
        <f t="array" ref="C115">INDEX(GMW!$A$2:$LR$60,MATCH(1,(GMW!$LQ$2:$LQ$60=C$3)*(GMW!$LP$2:$LP$60=C$4),0),$B115-1966)</f>
        <v>72.133330000000001</v>
      </c>
    </row>
    <row r="116" spans="1:3" x14ac:dyDescent="0.35">
      <c r="B116" s="7">
        <f t="shared" si="2"/>
        <v>2082</v>
      </c>
      <c r="C116" s="7" cm="1">
        <f t="array" ref="C116">INDEX(GMW!$A$2:$LR$60,MATCH(1,(GMW!$LQ$2:$LQ$60=C$3)*(GMW!$LP$2:$LP$60=C$4),0),$B116-1966)</f>
        <v>72.766670000000005</v>
      </c>
    </row>
    <row r="117" spans="1:3" x14ac:dyDescent="0.35">
      <c r="B117" s="7">
        <f t="shared" si="2"/>
        <v>2083</v>
      </c>
      <c r="C117" s="7" cm="1">
        <f t="array" ref="C117">INDEX(GMW!$A$2:$LR$60,MATCH(1,(GMW!$LQ$2:$LQ$60=C$3)*(GMW!$LP$2:$LP$60=C$4),0),$B117-1966)</f>
        <v>72.7</v>
      </c>
    </row>
    <row r="118" spans="1:3" x14ac:dyDescent="0.35">
      <c r="B118" s="7">
        <f t="shared" si="2"/>
        <v>2084</v>
      </c>
      <c r="C118" s="7" cm="1">
        <f t="array" ref="C118">INDEX(GMW!$A$2:$LR$60,MATCH(1,(GMW!$LQ$2:$LQ$60=C$3)*(GMW!$LP$2:$LP$60=C$4),0),$B118-1966)</f>
        <v>73.166659999999993</v>
      </c>
    </row>
    <row r="119" spans="1:3" x14ac:dyDescent="0.35">
      <c r="A119" s="7">
        <v>2001</v>
      </c>
      <c r="B119" s="7">
        <f t="shared" si="2"/>
        <v>2085</v>
      </c>
      <c r="C119" s="7" cm="1">
        <f t="array" ref="C119">INDEX(GMW!$A$2:$LR$60,MATCH(1,(GMW!$LQ$2:$LQ$60=C$3)*(GMW!$LP$2:$LP$60=C$4),0),$B119-1966)</f>
        <v>72.766670000000005</v>
      </c>
    </row>
    <row r="120" spans="1:3" x14ac:dyDescent="0.35">
      <c r="B120" s="7">
        <f t="shared" si="2"/>
        <v>2086</v>
      </c>
      <c r="C120" s="7" cm="1">
        <f t="array" ref="C120">INDEX(GMW!$A$2:$LR$60,MATCH(1,(GMW!$LQ$2:$LQ$60=C$3)*(GMW!$LP$2:$LP$60=C$4),0),$B120-1966)</f>
        <v>73.833340000000007</v>
      </c>
    </row>
    <row r="121" spans="1:3" x14ac:dyDescent="0.35">
      <c r="B121" s="7">
        <f t="shared" si="2"/>
        <v>2087</v>
      </c>
      <c r="C121" s="7" cm="1">
        <f t="array" ref="C121">INDEX(GMW!$A$2:$LR$60,MATCH(1,(GMW!$LQ$2:$LQ$60=C$3)*(GMW!$LP$2:$LP$60=C$4),0),$B121-1966)</f>
        <v>73.866669999999999</v>
      </c>
    </row>
    <row r="122" spans="1:3" x14ac:dyDescent="0.35">
      <c r="B122" s="7">
        <f t="shared" si="2"/>
        <v>2088</v>
      </c>
      <c r="C122" s="7" cm="1">
        <f t="array" ref="C122">INDEX(GMW!$A$2:$LR$60,MATCH(1,(GMW!$LQ$2:$LQ$60=C$3)*(GMW!$LP$2:$LP$60=C$4),0),$B122-1966)</f>
        <v>73.900000000000006</v>
      </c>
    </row>
    <row r="123" spans="1:3" x14ac:dyDescent="0.35">
      <c r="A123" s="7">
        <v>2002</v>
      </c>
      <c r="B123" s="7">
        <f t="shared" si="2"/>
        <v>2089</v>
      </c>
      <c r="C123" s="7" cm="1">
        <f t="array" ref="C123">INDEX(GMW!$A$2:$LR$60,MATCH(1,(GMW!$LQ$2:$LQ$60=C$3)*(GMW!$LP$2:$LP$60=C$4),0),$B123-1966)</f>
        <v>73.866669999999999</v>
      </c>
    </row>
    <row r="124" spans="1:3" x14ac:dyDescent="0.35">
      <c r="B124" s="7">
        <f t="shared" si="2"/>
        <v>2090</v>
      </c>
      <c r="C124" s="7" cm="1">
        <f t="array" ref="C124">INDEX(GMW!$A$2:$LR$60,MATCH(1,(GMW!$LQ$2:$LQ$60=C$3)*(GMW!$LP$2:$LP$60=C$4),0),$B124-1966)</f>
        <v>74.533330000000007</v>
      </c>
    </row>
    <row r="125" spans="1:3" x14ac:dyDescent="0.35">
      <c r="B125" s="7">
        <f t="shared" si="2"/>
        <v>2091</v>
      </c>
      <c r="C125" s="7" cm="1">
        <f t="array" ref="C125">INDEX(GMW!$A$2:$LR$60,MATCH(1,(GMW!$LQ$2:$LQ$60=C$3)*(GMW!$LP$2:$LP$60=C$4),0),$B125-1966)</f>
        <v>74.599999999999994</v>
      </c>
    </row>
    <row r="126" spans="1:3" x14ac:dyDescent="0.35">
      <c r="B126" s="7">
        <f t="shared" si="2"/>
        <v>2092</v>
      </c>
      <c r="C126" s="7" cm="1">
        <f t="array" ref="C126">INDEX(GMW!$A$2:$LR$60,MATCH(1,(GMW!$LQ$2:$LQ$60=C$3)*(GMW!$LP$2:$LP$60=C$4),0),$B126-1966)</f>
        <v>75</v>
      </c>
    </row>
    <row r="127" spans="1:3" x14ac:dyDescent="0.35">
      <c r="A127" s="7">
        <v>2003</v>
      </c>
      <c r="B127" s="7">
        <f t="shared" si="2"/>
        <v>2093</v>
      </c>
      <c r="C127" s="7" cm="1">
        <f t="array" ref="C127">INDEX(GMW!$A$2:$LR$60,MATCH(1,(GMW!$LQ$2:$LQ$60=C$3)*(GMW!$LP$2:$LP$60=C$4),0),$B127-1966)</f>
        <v>75</v>
      </c>
    </row>
    <row r="128" spans="1:3" x14ac:dyDescent="0.35">
      <c r="B128" s="7">
        <f t="shared" si="2"/>
        <v>2094</v>
      </c>
      <c r="C128" s="7" cm="1">
        <f t="array" ref="C128">INDEX(GMW!$A$2:$LR$60,MATCH(1,(GMW!$LQ$2:$LQ$60=C$3)*(GMW!$LP$2:$LP$60=C$4),0),$B128-1966)</f>
        <v>75.466669999999993</v>
      </c>
    </row>
    <row r="129" spans="1:3" x14ac:dyDescent="0.35">
      <c r="B129" s="7">
        <f t="shared" si="2"/>
        <v>2095</v>
      </c>
      <c r="C129" s="7" cm="1">
        <f t="array" ref="C129">INDEX(GMW!$A$2:$LR$60,MATCH(1,(GMW!$LQ$2:$LQ$60=C$3)*(GMW!$LP$2:$LP$60=C$4),0),$B129-1966)</f>
        <v>75.599999999999994</v>
      </c>
    </row>
    <row r="130" spans="1:3" x14ac:dyDescent="0.35">
      <c r="B130" s="7">
        <f t="shared" si="2"/>
        <v>2096</v>
      </c>
      <c r="C130" s="7" cm="1">
        <f t="array" ref="C130">INDEX(GMW!$A$2:$LR$60,MATCH(1,(GMW!$LQ$2:$LQ$60=C$3)*(GMW!$LP$2:$LP$60=C$4),0),$B130-1966)</f>
        <v>76.033330000000007</v>
      </c>
    </row>
    <row r="131" spans="1:3" x14ac:dyDescent="0.35">
      <c r="A131" s="7">
        <v>2004</v>
      </c>
      <c r="B131" s="7">
        <f t="shared" si="2"/>
        <v>2097</v>
      </c>
      <c r="C131" s="7" cm="1">
        <f t="array" ref="C131">INDEX(GMW!$A$2:$LR$60,MATCH(1,(GMW!$LQ$2:$LQ$60=C$3)*(GMW!$LP$2:$LP$60=C$4),0),$B131-1966)</f>
        <v>75.966669999999993</v>
      </c>
    </row>
    <row r="132" spans="1:3" x14ac:dyDescent="0.35">
      <c r="B132" s="7">
        <f t="shared" si="2"/>
        <v>2098</v>
      </c>
      <c r="C132" s="7" cm="1">
        <f t="array" ref="C132">INDEX(GMW!$A$2:$LR$60,MATCH(1,(GMW!$LQ$2:$LQ$60=C$3)*(GMW!$LP$2:$LP$60=C$4),0),$B132-1966)</f>
        <v>76.533330000000007</v>
      </c>
    </row>
    <row r="133" spans="1:3" x14ac:dyDescent="0.35">
      <c r="B133" s="7">
        <f t="shared" si="2"/>
        <v>2099</v>
      </c>
      <c r="C133" s="7" cm="1">
        <f t="array" ref="C133">INDEX(GMW!$A$2:$LR$60,MATCH(1,(GMW!$LQ$2:$LQ$60=C$3)*(GMW!$LP$2:$LP$60=C$4),0),$B133-1966)</f>
        <v>76.566670000000002</v>
      </c>
    </row>
    <row r="134" spans="1:3" x14ac:dyDescent="0.35">
      <c r="B134" s="7">
        <f t="shared" si="2"/>
        <v>2100</v>
      </c>
      <c r="C134" s="7" cm="1">
        <f t="array" ref="C134">INDEX(GMW!$A$2:$LR$60,MATCH(1,(GMW!$LQ$2:$LQ$60=C$3)*(GMW!$LP$2:$LP$60=C$4),0),$B134-1966)</f>
        <v>77.099999999999994</v>
      </c>
    </row>
    <row r="135" spans="1:3" x14ac:dyDescent="0.35">
      <c r="A135" s="7">
        <v>2005</v>
      </c>
      <c r="B135" s="7">
        <f t="shared" si="2"/>
        <v>2101</v>
      </c>
      <c r="C135" s="7" cm="1">
        <f t="array" ref="C135">INDEX(GMW!$A$2:$LR$60,MATCH(1,(GMW!$LQ$2:$LQ$60=C$3)*(GMW!$LP$2:$LP$60=C$4),0),$B135-1966)</f>
        <v>77.233329999999995</v>
      </c>
    </row>
    <row r="136" spans="1:3" x14ac:dyDescent="0.35">
      <c r="B136" s="7">
        <f t="shared" si="2"/>
        <v>2102</v>
      </c>
      <c r="C136" s="7" cm="1">
        <f t="array" ref="C136">INDEX(GMW!$A$2:$LR$60,MATCH(1,(GMW!$LQ$2:$LQ$60=C$3)*(GMW!$LP$2:$LP$60=C$4),0),$B136-1966)</f>
        <v>78</v>
      </c>
    </row>
    <row r="137" spans="1:3" x14ac:dyDescent="0.35">
      <c r="B137" s="7">
        <f t="shared" si="2"/>
        <v>2103</v>
      </c>
      <c r="C137" s="7" cm="1">
        <f t="array" ref="C137">INDEX(GMW!$A$2:$LR$60,MATCH(1,(GMW!$LQ$2:$LQ$60=C$3)*(GMW!$LP$2:$LP$60=C$4),0),$B137-1966)</f>
        <v>78.400000000000006</v>
      </c>
    </row>
    <row r="138" spans="1:3" x14ac:dyDescent="0.35">
      <c r="B138" s="7">
        <f t="shared" si="2"/>
        <v>2104</v>
      </c>
      <c r="C138" s="7" cm="1">
        <f t="array" ref="C138">INDEX(GMW!$A$2:$LR$60,MATCH(1,(GMW!$LQ$2:$LQ$60=C$3)*(GMW!$LP$2:$LP$60=C$4),0),$B138-1966)</f>
        <v>78.766670000000005</v>
      </c>
    </row>
    <row r="139" spans="1:3" x14ac:dyDescent="0.35">
      <c r="A139" s="7">
        <v>2006</v>
      </c>
      <c r="B139" s="7">
        <f t="shared" si="2"/>
        <v>2105</v>
      </c>
      <c r="C139" s="7" cm="1">
        <f t="array" ref="C139">INDEX(GMW!$A$2:$LR$60,MATCH(1,(GMW!$LQ$2:$LQ$60=C$3)*(GMW!$LP$2:$LP$60=C$4),0),$B139-1966)</f>
        <v>78.733329999999995</v>
      </c>
    </row>
    <row r="140" spans="1:3" x14ac:dyDescent="0.35">
      <c r="B140" s="7">
        <f t="shared" si="2"/>
        <v>2106</v>
      </c>
      <c r="C140" s="7" cm="1">
        <f t="array" ref="C140">INDEX(GMW!$A$2:$LR$60,MATCH(1,(GMW!$LQ$2:$LQ$60=C$3)*(GMW!$LP$2:$LP$60=C$4),0),$B140-1966)</f>
        <v>79.8</v>
      </c>
    </row>
    <row r="141" spans="1:3" x14ac:dyDescent="0.35">
      <c r="B141" s="7">
        <f t="shared" si="2"/>
        <v>2107</v>
      </c>
      <c r="C141" s="7" cm="1">
        <f t="array" ref="C141">INDEX(GMW!$A$2:$LR$60,MATCH(1,(GMW!$LQ$2:$LQ$60=C$3)*(GMW!$LP$2:$LP$60=C$4),0),$B141-1966)</f>
        <v>80.3</v>
      </c>
    </row>
    <row r="142" spans="1:3" x14ac:dyDescent="0.35">
      <c r="B142" s="7">
        <f t="shared" si="2"/>
        <v>2108</v>
      </c>
      <c r="C142" s="7" cm="1">
        <f t="array" ref="C142">INDEX(GMW!$A$2:$LR$60,MATCH(1,(GMW!$LQ$2:$LQ$60=C$3)*(GMW!$LP$2:$LP$60=C$4),0),$B142-1966)</f>
        <v>80.900000000000006</v>
      </c>
    </row>
    <row r="143" spans="1:3" x14ac:dyDescent="0.35">
      <c r="A143" s="7">
        <v>2007</v>
      </c>
      <c r="B143" s="7">
        <f t="shared" si="2"/>
        <v>2109</v>
      </c>
      <c r="C143" s="7" cm="1">
        <f t="array" ref="C143">INDEX(GMW!$A$2:$LR$60,MATCH(1,(GMW!$LQ$2:$LQ$60=C$3)*(GMW!$LP$2:$LP$60=C$4),0),$B143-1966)</f>
        <v>81</v>
      </c>
    </row>
    <row r="144" spans="1:3" x14ac:dyDescent="0.35">
      <c r="B144" s="7">
        <f t="shared" si="2"/>
        <v>2110</v>
      </c>
      <c r="C144" s="7" cm="1">
        <f t="array" ref="C144">INDEX(GMW!$A$2:$LR$60,MATCH(1,(GMW!$LQ$2:$LQ$60=C$3)*(GMW!$LP$2:$LP$60=C$4),0),$B144-1966)</f>
        <v>81.8</v>
      </c>
    </row>
    <row r="145" spans="1:3" x14ac:dyDescent="0.35">
      <c r="B145" s="7">
        <f t="shared" si="2"/>
        <v>2111</v>
      </c>
      <c r="C145" s="7" cm="1">
        <f t="array" ref="C145">INDEX(GMW!$A$2:$LR$60,MATCH(1,(GMW!$LQ$2:$LQ$60=C$3)*(GMW!$LP$2:$LP$60=C$4),0),$B145-1966)</f>
        <v>81.733329999999995</v>
      </c>
    </row>
    <row r="146" spans="1:3" x14ac:dyDescent="0.35">
      <c r="B146" s="7">
        <f t="shared" si="2"/>
        <v>2112</v>
      </c>
      <c r="C146" s="7" cm="1">
        <f t="array" ref="C146">INDEX(GMW!$A$2:$LR$60,MATCH(1,(GMW!$LQ$2:$LQ$60=C$3)*(GMW!$LP$2:$LP$60=C$4),0),$B146-1966)</f>
        <v>82.6</v>
      </c>
    </row>
    <row r="147" spans="1:3" x14ac:dyDescent="0.35">
      <c r="A147" s="7">
        <v>2008</v>
      </c>
      <c r="B147" s="7">
        <f t="shared" si="2"/>
        <v>2113</v>
      </c>
      <c r="C147" s="7" cm="1">
        <f t="array" ref="C147">INDEX(GMW!$A$2:$LR$60,MATCH(1,(GMW!$LQ$2:$LQ$60=C$3)*(GMW!$LP$2:$LP$60=C$4),0),$B147-1966)</f>
        <v>82.933329999999998</v>
      </c>
    </row>
    <row r="148" spans="1:3" x14ac:dyDescent="0.35">
      <c r="B148" s="7">
        <f t="shared" si="2"/>
        <v>2114</v>
      </c>
      <c r="C148" s="7" cm="1">
        <f t="array" ref="C148">INDEX(GMW!$A$2:$LR$60,MATCH(1,(GMW!$LQ$2:$LQ$60=C$3)*(GMW!$LP$2:$LP$60=C$4),0),$B148-1966)</f>
        <v>84.6</v>
      </c>
    </row>
    <row r="149" spans="1:3" x14ac:dyDescent="0.35">
      <c r="B149" s="7">
        <f t="shared" si="2"/>
        <v>2115</v>
      </c>
      <c r="C149" s="7" cm="1">
        <f t="array" ref="C149">INDEX(GMW!$A$2:$LR$60,MATCH(1,(GMW!$LQ$2:$LQ$60=C$3)*(GMW!$LP$2:$LP$60=C$4),0),$B149-1966)</f>
        <v>85.633330000000001</v>
      </c>
    </row>
    <row r="150" spans="1:3" x14ac:dyDescent="0.35">
      <c r="B150" s="7">
        <f t="shared" si="2"/>
        <v>2116</v>
      </c>
      <c r="C150" s="7" cm="1">
        <f t="array" ref="C150">INDEX(GMW!$A$2:$LR$60,MATCH(1,(GMW!$LQ$2:$LQ$60=C$3)*(GMW!$LP$2:$LP$60=C$4),0),$B150-1966)</f>
        <v>85.733329999999995</v>
      </c>
    </row>
    <row r="151" spans="1:3" x14ac:dyDescent="0.35">
      <c r="A151" s="7">
        <v>2009</v>
      </c>
      <c r="B151" s="7">
        <f t="shared" si="2"/>
        <v>2117</v>
      </c>
      <c r="C151" s="7" cm="1">
        <f t="array" ref="C151">INDEX(GMW!$A$2:$LR$60,MATCH(1,(GMW!$LQ$2:$LQ$60=C$3)*(GMW!$LP$2:$LP$60=C$4),0),$B151-1966)</f>
        <v>85.433329999999998</v>
      </c>
    </row>
    <row r="152" spans="1:3" x14ac:dyDescent="0.35">
      <c r="B152" s="7">
        <f t="shared" si="2"/>
        <v>2118</v>
      </c>
      <c r="C152" s="7" cm="1">
        <f t="array" ref="C152">INDEX(GMW!$A$2:$LR$60,MATCH(1,(GMW!$LQ$2:$LQ$60=C$3)*(GMW!$LP$2:$LP$60=C$4),0),$B152-1966)</f>
        <v>86.366669999999999</v>
      </c>
    </row>
    <row r="153" spans="1:3" x14ac:dyDescent="0.35">
      <c r="B153" s="7">
        <f t="shared" si="2"/>
        <v>2119</v>
      </c>
      <c r="C153" s="7" cm="1">
        <f t="array" ref="C153">INDEX(GMW!$A$2:$LR$60,MATCH(1,(GMW!$LQ$2:$LQ$60=C$3)*(GMW!$LP$2:$LP$60=C$4),0),$B153-1966)</f>
        <v>86.933329999999998</v>
      </c>
    </row>
    <row r="154" spans="1:3" x14ac:dyDescent="0.35">
      <c r="B154" s="7">
        <f t="shared" si="2"/>
        <v>2120</v>
      </c>
      <c r="C154" s="7" cm="1">
        <f t="array" ref="C154">INDEX(GMW!$A$2:$LR$60,MATCH(1,(GMW!$LQ$2:$LQ$60=C$3)*(GMW!$LP$2:$LP$60=C$4),0),$B154-1966)</f>
        <v>87.566670000000002</v>
      </c>
    </row>
    <row r="155" spans="1:3" x14ac:dyDescent="0.35">
      <c r="A155" s="7">
        <v>2010</v>
      </c>
      <c r="B155" s="7">
        <f t="shared" si="2"/>
        <v>2121</v>
      </c>
      <c r="C155" s="7" cm="1">
        <f t="array" ref="C155">INDEX(GMW!$A$2:$LR$60,MATCH(1,(GMW!$LQ$2:$LQ$60=C$3)*(GMW!$LP$2:$LP$60=C$4),0),$B155-1966)</f>
        <v>88.233329999999995</v>
      </c>
    </row>
    <row r="156" spans="1:3" x14ac:dyDescent="0.35">
      <c r="B156" s="7">
        <f t="shared" si="2"/>
        <v>2122</v>
      </c>
      <c r="C156" s="7" cm="1">
        <f t="array" ref="C156">INDEX(GMW!$A$2:$LR$60,MATCH(1,(GMW!$LQ$2:$LQ$60=C$3)*(GMW!$LP$2:$LP$60=C$4),0),$B156-1966)</f>
        <v>89.366669999999999</v>
      </c>
    </row>
    <row r="157" spans="1:3" x14ac:dyDescent="0.35">
      <c r="B157" s="7">
        <f t="shared" si="2"/>
        <v>2123</v>
      </c>
      <c r="C157" s="7" cm="1">
        <f t="array" ref="C157">INDEX(GMW!$A$2:$LR$60,MATCH(1,(GMW!$LQ$2:$LQ$60=C$3)*(GMW!$LP$2:$LP$60=C$4),0),$B157-1966)</f>
        <v>89.633330000000001</v>
      </c>
    </row>
    <row r="158" spans="1:3" x14ac:dyDescent="0.35">
      <c r="B158" s="7">
        <f t="shared" si="2"/>
        <v>2124</v>
      </c>
      <c r="C158" s="7" cm="1">
        <f t="array" ref="C158">INDEX(GMW!$A$2:$LR$60,MATCH(1,(GMW!$LQ$2:$LQ$60=C$3)*(GMW!$LP$2:$LP$60=C$4),0),$B158-1966)</f>
        <v>90.5</v>
      </c>
    </row>
    <row r="159" spans="1:3" x14ac:dyDescent="0.35">
      <c r="A159" s="7">
        <v>2011</v>
      </c>
      <c r="B159" s="7">
        <f t="shared" si="2"/>
        <v>2125</v>
      </c>
      <c r="C159" s="7" cm="1">
        <f t="array" ref="C159">INDEX(GMW!$A$2:$LR$60,MATCH(1,(GMW!$LQ$2:$LQ$60=C$3)*(GMW!$LP$2:$LP$60=C$4),0),$B159-1966)</f>
        <v>91.833340000000007</v>
      </c>
    </row>
    <row r="160" spans="1:3" x14ac:dyDescent="0.35">
      <c r="B160" s="7">
        <f t="shared" si="2"/>
        <v>2126</v>
      </c>
      <c r="C160" s="7" cm="1">
        <f t="array" ref="C160">INDEX(GMW!$A$2:$LR$60,MATCH(1,(GMW!$LQ$2:$LQ$60=C$3)*(GMW!$LP$2:$LP$60=C$4),0),$B160-1966)</f>
        <v>93.3</v>
      </c>
    </row>
    <row r="161" spans="1:3" x14ac:dyDescent="0.35">
      <c r="B161" s="7">
        <f t="shared" si="2"/>
        <v>2127</v>
      </c>
      <c r="C161" s="7" cm="1">
        <f t="array" ref="C161">INDEX(GMW!$A$2:$LR$60,MATCH(1,(GMW!$LQ$2:$LQ$60=C$3)*(GMW!$LP$2:$LP$60=C$4),0),$B161-1966)</f>
        <v>93.833340000000007</v>
      </c>
    </row>
    <row r="162" spans="1:3" x14ac:dyDescent="0.35">
      <c r="B162" s="7">
        <f t="shared" si="2"/>
        <v>2128</v>
      </c>
      <c r="C162" s="7" cm="1">
        <f t="array" ref="C162">INDEX(GMW!$A$2:$LR$60,MATCH(1,(GMW!$LQ$2:$LQ$60=C$3)*(GMW!$LP$2:$LP$60=C$4),0),$B162-1966)</f>
        <v>94.733329999999995</v>
      </c>
    </row>
    <row r="163" spans="1:3" x14ac:dyDescent="0.35">
      <c r="A163" s="7">
        <v>2012</v>
      </c>
      <c r="B163" s="7">
        <f t="shared" si="2"/>
        <v>2129</v>
      </c>
      <c r="C163" s="7" cm="1">
        <f t="array" ref="C163">INDEX(GMW!$A$2:$LR$60,MATCH(1,(GMW!$LQ$2:$LQ$60=C$3)*(GMW!$LP$2:$LP$60=C$4),0),$B163-1966)</f>
        <v>95.033330000000007</v>
      </c>
    </row>
    <row r="164" spans="1:3" x14ac:dyDescent="0.35">
      <c r="B164" s="7">
        <f t="shared" si="2"/>
        <v>2130</v>
      </c>
      <c r="C164" s="7" cm="1">
        <f t="array" ref="C164">INDEX(GMW!$A$2:$LR$60,MATCH(1,(GMW!$LQ$2:$LQ$60=C$3)*(GMW!$LP$2:$LP$60=C$4),0),$B164-1966)</f>
        <v>95.8</v>
      </c>
    </row>
    <row r="165" spans="1:3" x14ac:dyDescent="0.35">
      <c r="B165" s="7">
        <f t="shared" si="2"/>
        <v>2131</v>
      </c>
      <c r="C165" s="7" cm="1">
        <f t="array" ref="C165">INDEX(GMW!$A$2:$LR$60,MATCH(1,(GMW!$LQ$2:$LQ$60=C$3)*(GMW!$LP$2:$LP$60=C$4),0),$B165-1966)</f>
        <v>96.066670000000002</v>
      </c>
    </row>
    <row r="166" spans="1:3" x14ac:dyDescent="0.35">
      <c r="B166" s="7">
        <f t="shared" si="2"/>
        <v>2132</v>
      </c>
      <c r="C166" s="7" cm="1">
        <f t="array" ref="C166">INDEX(GMW!$A$2:$LR$60,MATCH(1,(GMW!$LQ$2:$LQ$60=C$3)*(GMW!$LP$2:$LP$60=C$4),0),$B166-1966)</f>
        <v>97.266670000000005</v>
      </c>
    </row>
    <row r="167" spans="1:3" x14ac:dyDescent="0.35">
      <c r="A167" s="7">
        <v>2013</v>
      </c>
      <c r="B167" s="7">
        <f t="shared" si="2"/>
        <v>2133</v>
      </c>
      <c r="C167" s="7" cm="1">
        <f t="array" ref="C167">INDEX(GMW!$A$2:$LR$60,MATCH(1,(GMW!$LQ$2:$LQ$60=C$3)*(GMW!$LP$2:$LP$60=C$4),0),$B167-1966)</f>
        <v>97.666659999999993</v>
      </c>
    </row>
    <row r="168" spans="1:3" x14ac:dyDescent="0.35">
      <c r="B168" s="7">
        <f t="shared" si="2"/>
        <v>2134</v>
      </c>
      <c r="C168" s="7" cm="1">
        <f t="array" ref="C168">INDEX(GMW!$A$2:$LR$60,MATCH(1,(GMW!$LQ$2:$LQ$60=C$3)*(GMW!$LP$2:$LP$60=C$4),0),$B168-1966)</f>
        <v>98.366669999999999</v>
      </c>
    </row>
    <row r="169" spans="1:3" x14ac:dyDescent="0.35">
      <c r="B169" s="7">
        <f t="shared" si="2"/>
        <v>2135</v>
      </c>
      <c r="C169" s="7" cm="1">
        <f t="array" ref="C169">INDEX(GMW!$A$2:$LR$60,MATCH(1,(GMW!$LQ$2:$LQ$60=C$3)*(GMW!$LP$2:$LP$60=C$4),0),$B169-1966)</f>
        <v>98.7</v>
      </c>
    </row>
    <row r="170" spans="1:3" x14ac:dyDescent="0.35">
      <c r="B170" s="7">
        <f t="shared" si="2"/>
        <v>2136</v>
      </c>
      <c r="C170" s="7" cm="1">
        <f t="array" ref="C170">INDEX(GMW!$A$2:$LR$60,MATCH(1,(GMW!$LQ$2:$LQ$60=C$3)*(GMW!$LP$2:$LP$60=C$4),0),$B170-1966)</f>
        <v>99.3</v>
      </c>
    </row>
    <row r="171" spans="1:3" x14ac:dyDescent="0.35">
      <c r="A171" s="7">
        <v>2014</v>
      </c>
      <c r="B171" s="7">
        <f t="shared" si="2"/>
        <v>2137</v>
      </c>
      <c r="C171" s="7" cm="1">
        <f t="array" ref="C171">INDEX(GMW!$A$2:$LR$60,MATCH(1,(GMW!$LQ$2:$LQ$60=C$3)*(GMW!$LP$2:$LP$60=C$4),0),$B171-1966)</f>
        <v>99.4</v>
      </c>
    </row>
    <row r="172" spans="1:3" x14ac:dyDescent="0.35">
      <c r="B172" s="7">
        <f t="shared" si="2"/>
        <v>2138</v>
      </c>
      <c r="C172" s="7" cm="1">
        <f t="array" ref="C172">INDEX(GMW!$A$2:$LR$60,MATCH(1,(GMW!$LQ$2:$LQ$60=C$3)*(GMW!$LP$2:$LP$60=C$4),0),$B172-1966)</f>
        <v>100.1</v>
      </c>
    </row>
    <row r="173" spans="1:3" x14ac:dyDescent="0.35">
      <c r="B173" s="7">
        <f t="shared" si="2"/>
        <v>2139</v>
      </c>
      <c r="C173" s="7" cm="1">
        <f t="array" ref="C173">INDEX(GMW!$A$2:$LR$60,MATCH(1,(GMW!$LQ$2:$LQ$60=C$3)*(GMW!$LP$2:$LP$60=C$4),0),$B173-1966)</f>
        <v>100.13330000000001</v>
      </c>
    </row>
    <row r="174" spans="1:3" x14ac:dyDescent="0.35">
      <c r="B174" s="7">
        <f t="shared" si="2"/>
        <v>2140</v>
      </c>
      <c r="C174" s="7" cm="1">
        <f t="array" ref="C174">INDEX(GMW!$A$2:$LR$60,MATCH(1,(GMW!$LQ$2:$LQ$60=C$3)*(GMW!$LP$2:$LP$60=C$4),0),$B174-1966)</f>
        <v>100.2</v>
      </c>
    </row>
    <row r="175" spans="1:3" x14ac:dyDescent="0.35">
      <c r="A175" s="7">
        <v>2015</v>
      </c>
      <c r="B175" s="7">
        <f t="shared" si="2"/>
        <v>2141</v>
      </c>
      <c r="C175" s="7" cm="1">
        <f t="array" ref="C175">INDEX(GMW!$A$2:$LR$60,MATCH(1,(GMW!$LQ$2:$LQ$60=C$3)*(GMW!$LP$2:$LP$60=C$4),0),$B175-1966)</f>
        <v>99.5</v>
      </c>
    </row>
    <row r="176" spans="1:3" x14ac:dyDescent="0.35">
      <c r="B176" s="7">
        <f t="shared" si="2"/>
        <v>2142</v>
      </c>
      <c r="C176" s="7" cm="1">
        <f t="array" ref="C176">INDEX(GMW!$A$2:$LR$60,MATCH(1,(GMW!$LQ$2:$LQ$60=C$3)*(GMW!$LP$2:$LP$60=C$4),0),$B176-1966)</f>
        <v>100.0667</v>
      </c>
    </row>
    <row r="177" spans="1:3" x14ac:dyDescent="0.35">
      <c r="B177" s="7">
        <f t="shared" ref="B177:B240" si="3">+B176+1</f>
        <v>2143</v>
      </c>
      <c r="C177" s="7" cm="1">
        <f t="array" ref="C177">INDEX(GMW!$A$2:$LR$60,MATCH(1,(GMW!$LQ$2:$LQ$60=C$3)*(GMW!$LP$2:$LP$60=C$4),0),$B177-1966)</f>
        <v>100.16670000000001</v>
      </c>
    </row>
    <row r="178" spans="1:3" x14ac:dyDescent="0.35">
      <c r="B178" s="7">
        <f t="shared" si="3"/>
        <v>2144</v>
      </c>
      <c r="C178" s="7" cm="1">
        <f t="array" ref="C178">INDEX(GMW!$A$2:$LR$60,MATCH(1,(GMW!$LQ$2:$LQ$60=C$3)*(GMW!$LP$2:$LP$60=C$4),0),$B178-1966)</f>
        <v>100.3</v>
      </c>
    </row>
    <row r="179" spans="1:3" x14ac:dyDescent="0.35">
      <c r="A179" s="7">
        <v>2016</v>
      </c>
      <c r="B179" s="7">
        <f t="shared" si="3"/>
        <v>2145</v>
      </c>
      <c r="C179" s="7" cm="1">
        <f t="array" ref="C179">INDEX(GMW!$A$2:$LR$60,MATCH(1,(GMW!$LQ$2:$LQ$60=C$3)*(GMW!$LP$2:$LP$60=C$4),0),$B179-1966)</f>
        <v>99.833340000000007</v>
      </c>
    </row>
    <row r="180" spans="1:3" x14ac:dyDescent="0.35">
      <c r="B180" s="7">
        <f t="shared" si="3"/>
        <v>2146</v>
      </c>
      <c r="C180" s="7" cm="1">
        <f t="array" ref="C180">INDEX(GMW!$A$2:$LR$60,MATCH(1,(GMW!$LQ$2:$LQ$60=C$3)*(GMW!$LP$2:$LP$60=C$4),0),$B180-1966)</f>
        <v>100.4</v>
      </c>
    </row>
    <row r="181" spans="1:3" x14ac:dyDescent="0.35">
      <c r="B181" s="7">
        <f t="shared" si="3"/>
        <v>2147</v>
      </c>
      <c r="C181" s="7" cm="1">
        <f t="array" ref="C181">INDEX(GMW!$A$2:$LR$60,MATCH(1,(GMW!$LQ$2:$LQ$60=C$3)*(GMW!$LP$2:$LP$60=C$4),0),$B181-1966)</f>
        <v>100.86669999999999</v>
      </c>
    </row>
    <row r="182" spans="1:3" x14ac:dyDescent="0.35">
      <c r="B182" s="7">
        <f t="shared" si="3"/>
        <v>2148</v>
      </c>
      <c r="C182" s="7" cm="1">
        <f t="array" ref="C182">INDEX(GMW!$A$2:$LR$60,MATCH(1,(GMW!$LQ$2:$LQ$60=C$3)*(GMW!$LP$2:$LP$60=C$4),0),$B182-1966)</f>
        <v>101.5</v>
      </c>
    </row>
    <row r="183" spans="1:3" x14ac:dyDescent="0.35">
      <c r="A183" s="7">
        <v>2017</v>
      </c>
      <c r="B183" s="7">
        <f t="shared" si="3"/>
        <v>2149</v>
      </c>
      <c r="C183" s="7" cm="1">
        <f t="array" ref="C183">INDEX(GMW!$A$2:$LR$60,MATCH(1,(GMW!$LQ$2:$LQ$60=C$3)*(GMW!$LP$2:$LP$60=C$4),0),$B183-1966)</f>
        <v>102</v>
      </c>
    </row>
    <row r="184" spans="1:3" x14ac:dyDescent="0.35">
      <c r="B184" s="7">
        <f t="shared" si="3"/>
        <v>2150</v>
      </c>
      <c r="C184" s="7" cm="1">
        <f t="array" ref="C184">INDEX(GMW!$A$2:$LR$60,MATCH(1,(GMW!$LQ$2:$LQ$60=C$3)*(GMW!$LP$2:$LP$60=C$4),0),$B184-1966)</f>
        <v>103.16670000000001</v>
      </c>
    </row>
    <row r="185" spans="1:3" x14ac:dyDescent="0.35">
      <c r="B185" s="7">
        <f t="shared" si="3"/>
        <v>2151</v>
      </c>
      <c r="C185" s="7" cm="1">
        <f t="array" ref="C185">INDEX(GMW!$A$2:$LR$60,MATCH(1,(GMW!$LQ$2:$LQ$60=C$3)*(GMW!$LP$2:$LP$60=C$4),0),$B185-1966)</f>
        <v>103.7</v>
      </c>
    </row>
    <row r="186" spans="1:3" x14ac:dyDescent="0.35">
      <c r="B186" s="7">
        <f t="shared" si="3"/>
        <v>2152</v>
      </c>
      <c r="C186" s="7" cm="1">
        <f t="array" ref="C186">INDEX(GMW!$A$2:$LR$60,MATCH(1,(GMW!$LQ$2:$LQ$60=C$3)*(GMW!$LP$2:$LP$60=C$4),0),$B186-1966)</f>
        <v>104.5667</v>
      </c>
    </row>
    <row r="187" spans="1:3" x14ac:dyDescent="0.35">
      <c r="A187" s="7">
        <v>2018</v>
      </c>
      <c r="B187" s="7">
        <f t="shared" si="3"/>
        <v>2153</v>
      </c>
      <c r="C187" s="7" cm="1">
        <f t="array" ref="C187">INDEX(GMW!$A$2:$LR$60,MATCH(1,(GMW!$LQ$2:$LQ$60=C$3)*(GMW!$LP$2:$LP$60=C$4),0),$B187-1966)</f>
        <v>104.7667</v>
      </c>
    </row>
    <row r="188" spans="1:3" x14ac:dyDescent="0.35">
      <c r="B188" s="7">
        <f t="shared" si="3"/>
        <v>2154</v>
      </c>
      <c r="C188" s="7" cm="1">
        <f t="array" ref="C188">INDEX(GMW!$A$2:$LR$60,MATCH(1,(GMW!$LQ$2:$LQ$60=C$3)*(GMW!$LP$2:$LP$60=C$4),0),$B188-1966)</f>
        <v>105.66670000000001</v>
      </c>
    </row>
    <row r="189" spans="1:3" x14ac:dyDescent="0.35">
      <c r="B189" s="7">
        <f t="shared" si="3"/>
        <v>2155</v>
      </c>
      <c r="C189" s="7" cm="1">
        <f t="array" ref="C189">INDEX(GMW!$A$2:$LR$60,MATCH(1,(GMW!$LQ$2:$LQ$60=C$3)*(GMW!$LP$2:$LP$60=C$4),0),$B189-1966)</f>
        <v>106.3</v>
      </c>
    </row>
    <row r="190" spans="1:3" x14ac:dyDescent="0.35">
      <c r="B190" s="7">
        <f t="shared" si="3"/>
        <v>2156</v>
      </c>
      <c r="C190" s="7" cm="1">
        <f t="array" ref="C190">INDEX(GMW!$A$2:$LR$60,MATCH(1,(GMW!$LQ$2:$LQ$60=C$3)*(GMW!$LP$2:$LP$60=C$4),0),$B190-1966)</f>
        <v>106.9333</v>
      </c>
    </row>
    <row r="191" spans="1:3" x14ac:dyDescent="0.35">
      <c r="A191" s="7">
        <v>2019</v>
      </c>
      <c r="B191" s="7">
        <f t="shared" si="3"/>
        <v>2157</v>
      </c>
      <c r="C191" s="7" cm="1">
        <f t="array" ref="C191">INDEX(GMW!$A$2:$LR$60,MATCH(1,(GMW!$LQ$2:$LQ$60=C$3)*(GMW!$LP$2:$LP$60=C$4),0),$B191-1966)</f>
        <v>106.7</v>
      </c>
    </row>
    <row r="192" spans="1:3" x14ac:dyDescent="0.35">
      <c r="B192" s="7">
        <f t="shared" si="3"/>
        <v>2158</v>
      </c>
      <c r="C192" s="7" cm="1">
        <f t="array" ref="C192">INDEX(GMW!$A$2:$LR$60,MATCH(1,(GMW!$LQ$2:$LQ$60=C$3)*(GMW!$LP$2:$LP$60=C$4),0),$B192-1966)</f>
        <v>107.8</v>
      </c>
    </row>
    <row r="193" spans="1:3" x14ac:dyDescent="0.35">
      <c r="B193" s="7">
        <f t="shared" si="3"/>
        <v>2159</v>
      </c>
      <c r="C193" s="7" cm="1">
        <f t="array" ref="C193">INDEX(GMW!$A$2:$LR$60,MATCH(1,(GMW!$LQ$2:$LQ$60=C$3)*(GMW!$LP$2:$LP$60=C$4),0),$B193-1966)</f>
        <v>108.2667</v>
      </c>
    </row>
    <row r="194" spans="1:3" x14ac:dyDescent="0.35">
      <c r="B194" s="7">
        <f t="shared" si="3"/>
        <v>2160</v>
      </c>
      <c r="C194" s="7" cm="1">
        <f t="array" ref="C194">INDEX(GMW!$A$2:$LR$60,MATCH(1,(GMW!$LQ$2:$LQ$60=C$3)*(GMW!$LP$2:$LP$60=C$4),0),$B194-1966)</f>
        <v>108.4333</v>
      </c>
    </row>
    <row r="195" spans="1:3" x14ac:dyDescent="0.35">
      <c r="A195" s="7">
        <v>2020</v>
      </c>
      <c r="B195" s="7">
        <f t="shared" si="3"/>
        <v>2161</v>
      </c>
      <c r="C195" s="7" cm="1">
        <f t="array" ref="C195">INDEX(GMW!$A$2:$LR$60,MATCH(1,(GMW!$LQ$2:$LQ$60=C$3)*(GMW!$LP$2:$LP$60=C$4),0),$B195-1966)</f>
        <v>108.4667</v>
      </c>
    </row>
    <row r="196" spans="1:3" x14ac:dyDescent="0.35">
      <c r="B196" s="7">
        <f t="shared" si="3"/>
        <v>2162</v>
      </c>
      <c r="C196" s="7" cm="1">
        <f t="array" ref="C196">INDEX(GMW!$A$2:$LR$60,MATCH(1,(GMW!$LQ$2:$LQ$60=C$3)*(GMW!$LP$2:$LP$60=C$4),0),$B196-1966)</f>
        <v>108.5333</v>
      </c>
    </row>
    <row r="197" spans="1:3" x14ac:dyDescent="0.35">
      <c r="B197" s="7">
        <f t="shared" si="3"/>
        <v>2163</v>
      </c>
      <c r="C197" s="7" cm="1">
        <f t="array" ref="C197">INDEX(GMW!$A$2:$LR$60,MATCH(1,(GMW!$LQ$2:$LQ$60=C$3)*(GMW!$LP$2:$LP$60=C$4),0),$B197-1966)</f>
        <v>108.9333</v>
      </c>
    </row>
    <row r="198" spans="1:3" x14ac:dyDescent="0.35">
      <c r="B198" s="7">
        <f t="shared" si="3"/>
        <v>2164</v>
      </c>
      <c r="C198" s="7" cm="1">
        <f t="array" ref="C198">INDEX(GMW!$A$2:$LR$60,MATCH(1,(GMW!$LQ$2:$LQ$60=C$3)*(GMW!$LP$2:$LP$60=C$4),0),$B198-1966)</f>
        <v>109.0667</v>
      </c>
    </row>
    <row r="199" spans="1:3" x14ac:dyDescent="0.35">
      <c r="A199" s="7">
        <v>2021</v>
      </c>
      <c r="B199" s="7">
        <f t="shared" si="3"/>
        <v>2165</v>
      </c>
      <c r="C199" s="7" cm="1">
        <f t="array" ref="C199">INDEX(GMW!$A$2:$LR$60,MATCH(1,(GMW!$LQ$2:$LQ$60=C$3)*(GMW!$LP$2:$LP$60=C$4),0),$B199-1966)</f>
        <v>109.16670000000001</v>
      </c>
    </row>
    <row r="200" spans="1:3" x14ac:dyDescent="0.35">
      <c r="B200" s="7">
        <f t="shared" si="3"/>
        <v>2166</v>
      </c>
      <c r="C200" s="7" cm="1">
        <f t="array" ref="C200">INDEX(GMW!$A$2:$LR$60,MATCH(1,(GMW!$LQ$2:$LQ$60=C$3)*(GMW!$LP$2:$LP$60=C$4),0),$B200-1966)</f>
        <v>110.7333</v>
      </c>
    </row>
    <row r="201" spans="1:3" x14ac:dyDescent="0.35">
      <c r="B201" s="7">
        <f t="shared" si="3"/>
        <v>2167</v>
      </c>
      <c r="C201" s="7" cm="1">
        <f t="array" ref="C201">INDEX(GMW!$A$2:$LR$60,MATCH(1,(GMW!$LQ$2:$LQ$60=C$3)*(GMW!$LP$2:$LP$60=C$4),0),$B201-1966)</f>
        <v>111.9333</v>
      </c>
    </row>
    <row r="202" spans="1:3" x14ac:dyDescent="0.35">
      <c r="B202" s="7">
        <f t="shared" si="3"/>
        <v>2168</v>
      </c>
      <c r="C202" s="7" cm="1">
        <f t="array" ref="C202">INDEX(GMW!$A$2:$LR$60,MATCH(1,(GMW!$LQ$2:$LQ$60=C$3)*(GMW!$LP$2:$LP$60=C$4),0),$B202-1966)</f>
        <v>114.4</v>
      </c>
    </row>
    <row r="203" spans="1:3" x14ac:dyDescent="0.35">
      <c r="A203" s="7">
        <v>2022</v>
      </c>
      <c r="B203" s="7">
        <f t="shared" si="3"/>
        <v>2169</v>
      </c>
      <c r="C203" s="7" cm="1">
        <f t="array" ref="C203">INDEX(GMW!$A$2:$LR$60,MATCH(1,(GMW!$LQ$2:$LQ$60=C$3)*(GMW!$LP$2:$LP$60=C$4),0),$B203-1966)</f>
        <v>115.9333</v>
      </c>
    </row>
    <row r="204" spans="1:3" x14ac:dyDescent="0.35">
      <c r="B204" s="7">
        <f t="shared" si="3"/>
        <v>2170</v>
      </c>
      <c r="C204" s="7" cm="1">
        <f t="array" ref="C204">INDEX(GMW!$A$2:$LR$60,MATCH(1,(GMW!$LQ$2:$LQ$60=C$3)*(GMW!$LP$2:$LP$60=C$4),0),$B204-1966)</f>
        <v>120.86669999999999</v>
      </c>
    </row>
    <row r="205" spans="1:3" x14ac:dyDescent="0.35">
      <c r="B205" s="7">
        <f t="shared" si="3"/>
        <v>2171</v>
      </c>
      <c r="C205" s="7" cm="1">
        <f t="array" ref="C205">INDEX(GMW!$A$2:$LR$60,MATCH(1,(GMW!$LQ$2:$LQ$60=C$3)*(GMW!$LP$2:$LP$60=C$4),0),$B205-1966)</f>
        <v>123.13330000000001</v>
      </c>
    </row>
    <row r="206" spans="1:3" x14ac:dyDescent="0.35">
      <c r="B206" s="7">
        <f t="shared" si="3"/>
        <v>2172</v>
      </c>
      <c r="C206" s="7" cm="1">
        <f t="array" ref="C206">INDEX(GMW!$A$2:$LR$60,MATCH(1,(GMW!$LQ$2:$LQ$60=C$3)*(GMW!$LP$2:$LP$60=C$4),0),$B206-1966)</f>
        <v>126.7</v>
      </c>
    </row>
    <row r="207" spans="1:3" x14ac:dyDescent="0.35">
      <c r="A207" s="7">
        <v>2023</v>
      </c>
      <c r="B207" s="7">
        <f t="shared" si="3"/>
        <v>2173</v>
      </c>
      <c r="C207" s="7" cm="1">
        <f t="array" ref="C207">INDEX(GMW!$A$2:$LR$60,MATCH(1,(GMW!$LQ$2:$LQ$60=C$3)*(GMW!$LP$2:$LP$60=C$4),0),$B207-1966)</f>
        <v>127.7333</v>
      </c>
    </row>
    <row r="208" spans="1:3" x14ac:dyDescent="0.35">
      <c r="B208" s="7">
        <f t="shared" si="3"/>
        <v>2174</v>
      </c>
      <c r="C208" s="7" cm="1">
        <f t="array" ref="C208">INDEX(GMW!$A$2:$LR$60,MATCH(1,(GMW!$LQ$2:$LQ$60=C$3)*(GMW!$LP$2:$LP$60=C$4),0),$B208-1966)</f>
        <v>131.0667</v>
      </c>
    </row>
    <row r="209" spans="1:3" x14ac:dyDescent="0.35">
      <c r="B209" s="7">
        <f t="shared" si="3"/>
        <v>2175</v>
      </c>
      <c r="C209" s="7" cm="1">
        <f t="array" ref="C209">INDEX(GMW!$A$2:$LR$60,MATCH(1,(GMW!$LQ$2:$LQ$60=C$3)*(GMW!$LP$2:$LP$60=C$4),0),$B209-1966)</f>
        <v>131.4</v>
      </c>
    </row>
    <row r="210" spans="1:3" x14ac:dyDescent="0.35">
      <c r="B210" s="7">
        <f t="shared" si="3"/>
        <v>2176</v>
      </c>
      <c r="C210" s="7" cm="1">
        <f t="array" ref="C210">INDEX(GMW!$A$2:$LR$60,MATCH(1,(GMW!$LQ$2:$LQ$60=C$3)*(GMW!$LP$2:$LP$60=C$4),0),$B210-1966)</f>
        <v>131.9667</v>
      </c>
    </row>
    <row r="211" spans="1:3" x14ac:dyDescent="0.35">
      <c r="A211" s="7">
        <v>2024</v>
      </c>
      <c r="B211" s="7">
        <f t="shared" si="3"/>
        <v>2177</v>
      </c>
      <c r="C211" s="7" cm="1">
        <f t="array" ref="C211">INDEX(GMW!$A$2:$LR$60,MATCH(1,(GMW!$LQ$2:$LQ$60=C$3)*(GMW!$LP$2:$LP$60=C$4),0),$B211-1966)</f>
        <v>132.50299999999999</v>
      </c>
    </row>
    <row r="212" spans="1:3" x14ac:dyDescent="0.35">
      <c r="B212" s="7">
        <f t="shared" si="3"/>
        <v>2178</v>
      </c>
      <c r="C212" s="7" cm="1">
        <f t="array" ref="C212">INDEX(GMW!$A$2:$LR$60,MATCH(1,(GMW!$LQ$2:$LQ$60=C$3)*(GMW!$LP$2:$LP$60=C$4),0),$B212-1966)</f>
        <v>133.17160000000001</v>
      </c>
    </row>
    <row r="213" spans="1:3" x14ac:dyDescent="0.35">
      <c r="B213" s="7">
        <f t="shared" si="3"/>
        <v>2179</v>
      </c>
      <c r="C213" s="7" cm="1">
        <f t="array" ref="C213">INDEX(GMW!$A$2:$LR$60,MATCH(1,(GMW!$LQ$2:$LQ$60=C$3)*(GMW!$LP$2:$LP$60=C$4),0),$B213-1966)</f>
        <v>133.59440000000001</v>
      </c>
    </row>
    <row r="214" spans="1:3" x14ac:dyDescent="0.35">
      <c r="B214" s="7">
        <f t="shared" si="3"/>
        <v>2180</v>
      </c>
      <c r="C214" s="7" cm="1">
        <f t="array" ref="C214">INDEX(GMW!$A$2:$LR$60,MATCH(1,(GMW!$LQ$2:$LQ$60=C$3)*(GMW!$LP$2:$LP$60=C$4),0),$B214-1966)</f>
        <v>133.9709</v>
      </c>
    </row>
    <row r="215" spans="1:3" x14ac:dyDescent="0.35">
      <c r="A215" s="7">
        <v>2025</v>
      </c>
      <c r="B215" s="7">
        <f t="shared" si="3"/>
        <v>2181</v>
      </c>
      <c r="C215" s="7" cm="1">
        <f t="array" ref="C215">INDEX(GMW!$A$2:$LR$60,MATCH(1,(GMW!$LQ$2:$LQ$60=C$3)*(GMW!$LP$2:$LP$60=C$4),0),$B215-1966)</f>
        <v>134.22280000000001</v>
      </c>
    </row>
    <row r="216" spans="1:3" x14ac:dyDescent="0.35">
      <c r="B216" s="7">
        <f t="shared" si="3"/>
        <v>2182</v>
      </c>
      <c r="C216" s="7" cm="1">
        <f t="array" ref="C216">INDEX(GMW!$A$2:$LR$60,MATCH(1,(GMW!$LQ$2:$LQ$60=C$3)*(GMW!$LP$2:$LP$60=C$4),0),$B216-1966)</f>
        <v>135.1627</v>
      </c>
    </row>
    <row r="217" spans="1:3" x14ac:dyDescent="0.35">
      <c r="B217" s="7">
        <f t="shared" si="3"/>
        <v>2183</v>
      </c>
      <c r="C217" s="7" cm="1">
        <f t="array" ref="C217">INDEX(GMW!$A$2:$LR$60,MATCH(1,(GMW!$LQ$2:$LQ$60=C$3)*(GMW!$LP$2:$LP$60=C$4),0),$B217-1966)</f>
        <v>135.7337</v>
      </c>
    </row>
    <row r="218" spans="1:3" x14ac:dyDescent="0.35">
      <c r="B218" s="7">
        <f t="shared" si="3"/>
        <v>2184</v>
      </c>
      <c r="C218" s="7" cm="1">
        <f t="array" ref="C218">INDEX(GMW!$A$2:$LR$60,MATCH(1,(GMW!$LQ$2:$LQ$60=C$3)*(GMW!$LP$2:$LP$60=C$4),0),$B218-1966)</f>
        <v>136.30029999999999</v>
      </c>
    </row>
    <row r="219" spans="1:3" x14ac:dyDescent="0.35">
      <c r="A219" s="7">
        <v>2026</v>
      </c>
      <c r="B219" s="7">
        <f t="shared" si="3"/>
        <v>2185</v>
      </c>
      <c r="C219" s="7" cm="1">
        <f t="array" ref="C219">INDEX(GMW!$A$2:$LR$60,MATCH(1,(GMW!$LQ$2:$LQ$60=C$3)*(GMW!$LP$2:$LP$60=C$4),0),$B219-1966)</f>
        <v>136.71960000000001</v>
      </c>
    </row>
    <row r="220" spans="1:3" x14ac:dyDescent="0.35">
      <c r="B220" s="7">
        <f t="shared" si="3"/>
        <v>2186</v>
      </c>
      <c r="C220" s="7" cm="1">
        <f t="array" ref="C220">INDEX(GMW!$A$2:$LR$60,MATCH(1,(GMW!$LQ$2:$LQ$60=C$3)*(GMW!$LP$2:$LP$60=C$4),0),$B220-1966)</f>
        <v>137.71260000000001</v>
      </c>
    </row>
    <row r="221" spans="1:3" x14ac:dyDescent="0.35">
      <c r="B221" s="7">
        <f t="shared" si="3"/>
        <v>2187</v>
      </c>
      <c r="C221" s="7" cm="1">
        <f t="array" ref="C221">INDEX(GMW!$A$2:$LR$60,MATCH(1,(GMW!$LQ$2:$LQ$60=C$3)*(GMW!$LP$2:$LP$60=C$4),0),$B221-1966)</f>
        <v>138.30179999999999</v>
      </c>
    </row>
    <row r="222" spans="1:3" x14ac:dyDescent="0.35">
      <c r="B222" s="7">
        <f t="shared" si="3"/>
        <v>2188</v>
      </c>
      <c r="C222" s="7" cm="1">
        <f t="array" ref="C222">INDEX(GMW!$A$2:$LR$60,MATCH(1,(GMW!$LQ$2:$LQ$60=C$3)*(GMW!$LP$2:$LP$60=C$4),0),$B222-1966)</f>
        <v>138.87360000000001</v>
      </c>
    </row>
    <row r="223" spans="1:3" x14ac:dyDescent="0.35">
      <c r="A223" s="7">
        <v>2027</v>
      </c>
      <c r="B223" s="7">
        <f t="shared" si="3"/>
        <v>2189</v>
      </c>
      <c r="C223" s="7" cm="1">
        <f t="array" ref="C223">INDEX(GMW!$A$2:$LR$60,MATCH(1,(GMW!$LQ$2:$LQ$60=C$3)*(GMW!$LP$2:$LP$60=C$4),0),$B223-1966)</f>
        <v>139.29570000000001</v>
      </c>
    </row>
    <row r="224" spans="1:3" x14ac:dyDescent="0.35">
      <c r="B224" s="7">
        <f t="shared" si="3"/>
        <v>2190</v>
      </c>
      <c r="C224" s="7" cm="1">
        <f t="array" ref="C224">INDEX(GMW!$A$2:$LR$60,MATCH(1,(GMW!$LQ$2:$LQ$60=C$3)*(GMW!$LP$2:$LP$60=C$4),0),$B224-1966)</f>
        <v>140.3477</v>
      </c>
    </row>
    <row r="225" spans="1:3" x14ac:dyDescent="0.35">
      <c r="B225" s="7">
        <f t="shared" si="3"/>
        <v>2191</v>
      </c>
      <c r="C225" s="7" cm="1">
        <f t="array" ref="C225">INDEX(GMW!$A$2:$LR$60,MATCH(1,(GMW!$LQ$2:$LQ$60=C$3)*(GMW!$LP$2:$LP$60=C$4),0),$B225-1966)</f>
        <v>140.98859999999999</v>
      </c>
    </row>
    <row r="226" spans="1:3" x14ac:dyDescent="0.35">
      <c r="B226" s="7">
        <f t="shared" si="3"/>
        <v>2192</v>
      </c>
      <c r="C226" s="7" cm="1">
        <f t="array" ref="C226">INDEX(GMW!$A$2:$LR$60,MATCH(1,(GMW!$LQ$2:$LQ$60=C$3)*(GMW!$LP$2:$LP$60=C$4),0),$B226-1966)</f>
        <v>141.61250000000001</v>
      </c>
    </row>
    <row r="227" spans="1:3" x14ac:dyDescent="0.35">
      <c r="A227" s="7">
        <v>2028</v>
      </c>
      <c r="B227" s="7">
        <f t="shared" si="3"/>
        <v>2193</v>
      </c>
      <c r="C227" s="7" cm="1">
        <f t="array" ref="C227">INDEX(GMW!$A$2:$LR$60,MATCH(1,(GMW!$LQ$2:$LQ$60=C$3)*(GMW!$LP$2:$LP$60=C$4),0),$B227-1966)</f>
        <v>142.071</v>
      </c>
    </row>
    <row r="228" spans="1:3" x14ac:dyDescent="0.35">
      <c r="B228" s="7">
        <f t="shared" si="3"/>
        <v>2194</v>
      </c>
      <c r="C228" s="7" cm="1">
        <f t="array" ref="C228">INDEX(GMW!$A$2:$LR$60,MATCH(1,(GMW!$LQ$2:$LQ$60=C$3)*(GMW!$LP$2:$LP$60=C$4),0),$B228-1966)</f>
        <v>143.16409999999999</v>
      </c>
    </row>
    <row r="229" spans="1:3" x14ac:dyDescent="0.35">
      <c r="B229" s="7">
        <f t="shared" si="3"/>
        <v>2195</v>
      </c>
      <c r="C229" s="7" cm="1">
        <f t="array" ref="C229">INDEX(GMW!$A$2:$LR$60,MATCH(1,(GMW!$LQ$2:$LQ$60=C$3)*(GMW!$LP$2:$LP$60=C$4),0),$B229-1966)</f>
        <v>143.81829999999999</v>
      </c>
    </row>
    <row r="230" spans="1:3" x14ac:dyDescent="0.35">
      <c r="B230" s="7">
        <f t="shared" si="3"/>
        <v>2196</v>
      </c>
      <c r="C230" s="7" cm="1">
        <f t="array" ref="C230">INDEX(GMW!$A$2:$LR$60,MATCH(1,(GMW!$LQ$2:$LQ$60=C$3)*(GMW!$LP$2:$LP$60=C$4),0),$B230-1966)</f>
        <v>144.44399999999999</v>
      </c>
    </row>
    <row r="231" spans="1:3" x14ac:dyDescent="0.35">
      <c r="A231" s="7">
        <v>2029</v>
      </c>
      <c r="B231" s="7">
        <f t="shared" si="3"/>
        <v>2197</v>
      </c>
      <c r="C231" s="7" cm="1">
        <f t="array" ref="C231">INDEX(GMW!$A$2:$LR$60,MATCH(1,(GMW!$LQ$2:$LQ$60=C$3)*(GMW!$LP$2:$LP$60=C$4),0),$B231-1966)</f>
        <v>144.9134</v>
      </c>
    </row>
    <row r="232" spans="1:3" x14ac:dyDescent="0.35">
      <c r="B232" s="7">
        <f t="shared" si="3"/>
        <v>2198</v>
      </c>
      <c r="C232" s="7" cm="1">
        <f t="array" ref="C232">INDEX(GMW!$A$2:$LR$60,MATCH(1,(GMW!$LQ$2:$LQ$60=C$3)*(GMW!$LP$2:$LP$60=C$4),0),$B232-1966)</f>
        <v>145.99709999999999</v>
      </c>
    </row>
    <row r="233" spans="1:3" x14ac:dyDescent="0.35">
      <c r="B233" s="7">
        <f t="shared" si="3"/>
        <v>2199</v>
      </c>
      <c r="C233" s="7" cm="1">
        <f t="array" ref="C233">INDEX(GMW!$A$2:$LR$60,MATCH(1,(GMW!$LQ$2:$LQ$60=C$3)*(GMW!$LP$2:$LP$60=C$4),0),$B233-1966)</f>
        <v>146.66200000000001</v>
      </c>
    </row>
    <row r="234" spans="1:3" x14ac:dyDescent="0.35">
      <c r="B234" s="7">
        <f t="shared" si="3"/>
        <v>2200</v>
      </c>
      <c r="C234" s="7" cm="1">
        <f t="array" ref="C234">INDEX(GMW!$A$2:$LR$60,MATCH(1,(GMW!$LQ$2:$LQ$60=C$3)*(GMW!$LP$2:$LP$60=C$4),0),$B234-1966)</f>
        <v>147.30930000000001</v>
      </c>
    </row>
    <row r="235" spans="1:3" x14ac:dyDescent="0.35">
      <c r="A235" s="7">
        <v>2030</v>
      </c>
      <c r="B235" s="7">
        <f t="shared" si="3"/>
        <v>2201</v>
      </c>
      <c r="C235" s="7" cm="1">
        <f t="array" ref="C235">INDEX(GMW!$A$2:$LR$60,MATCH(1,(GMW!$LQ$2:$LQ$60=C$3)*(GMW!$LP$2:$LP$60=C$4),0),$B235-1966)</f>
        <v>147.798</v>
      </c>
    </row>
    <row r="236" spans="1:3" x14ac:dyDescent="0.35">
      <c r="B236" s="7">
        <f t="shared" si="3"/>
        <v>2202</v>
      </c>
      <c r="C236" s="7" cm="1">
        <f t="array" ref="C236">INDEX(GMW!$A$2:$LR$60,MATCH(1,(GMW!$LQ$2:$LQ$60=C$3)*(GMW!$LP$2:$LP$60=C$4),0),$B236-1966)</f>
        <v>148.91210000000001</v>
      </c>
    </row>
    <row r="237" spans="1:3" x14ac:dyDescent="0.35">
      <c r="B237" s="7">
        <f t="shared" si="3"/>
        <v>2203</v>
      </c>
      <c r="C237" s="7" cm="1">
        <f t="array" ref="C237">INDEX(GMW!$A$2:$LR$60,MATCH(1,(GMW!$LQ$2:$LQ$60=C$3)*(GMW!$LP$2:$LP$60=C$4),0),$B237-1966)</f>
        <v>149.59270000000001</v>
      </c>
    </row>
    <row r="238" spans="1:3" x14ac:dyDescent="0.35">
      <c r="B238" s="7">
        <f t="shared" si="3"/>
        <v>2204</v>
      </c>
      <c r="C238" s="7" cm="1">
        <f t="array" ref="C238">INDEX(GMW!$A$2:$LR$60,MATCH(1,(GMW!$LQ$2:$LQ$60=C$3)*(GMW!$LP$2:$LP$60=C$4),0),$B238-1966)</f>
        <v>150.2559</v>
      </c>
    </row>
    <row r="239" spans="1:3" x14ac:dyDescent="0.35">
      <c r="A239" s="7">
        <v>2031</v>
      </c>
      <c r="B239" s="7">
        <f t="shared" si="3"/>
        <v>2205</v>
      </c>
      <c r="C239" s="7" cm="1">
        <f t="array" ref="C239">INDEX(GMW!$A$2:$LR$60,MATCH(1,(GMW!$LQ$2:$LQ$60=C$3)*(GMW!$LP$2:$LP$60=C$4),0),$B239-1966)</f>
        <v>150.75909999999999</v>
      </c>
    </row>
    <row r="240" spans="1:3" x14ac:dyDescent="0.35">
      <c r="B240" s="7">
        <f t="shared" si="3"/>
        <v>2206</v>
      </c>
      <c r="C240" s="7" cm="1">
        <f t="array" ref="C240">INDEX(GMW!$A$2:$LR$60,MATCH(1,(GMW!$LQ$2:$LQ$60=C$3)*(GMW!$LP$2:$LP$60=C$4),0),$B240-1966)</f>
        <v>151.89869999999999</v>
      </c>
    </row>
    <row r="241" spans="1:3" x14ac:dyDescent="0.35">
      <c r="B241" s="7">
        <f t="shared" ref="B241:B304" si="4">+B240+1</f>
        <v>2207</v>
      </c>
      <c r="C241" s="7" cm="1">
        <f t="array" ref="C241">INDEX(GMW!$A$2:$LR$60,MATCH(1,(GMW!$LQ$2:$LQ$60=C$3)*(GMW!$LP$2:$LP$60=C$4),0),$B241-1966)</f>
        <v>152.58840000000001</v>
      </c>
    </row>
    <row r="242" spans="1:3" x14ac:dyDescent="0.35">
      <c r="B242" s="7">
        <f t="shared" si="4"/>
        <v>2208</v>
      </c>
      <c r="C242" s="7" cm="1">
        <f t="array" ref="C242">INDEX(GMW!$A$2:$LR$60,MATCH(1,(GMW!$LQ$2:$LQ$60=C$3)*(GMW!$LP$2:$LP$60=C$4),0),$B242-1966)</f>
        <v>153.2595</v>
      </c>
    </row>
    <row r="243" spans="1:3" x14ac:dyDescent="0.35">
      <c r="A243" s="7">
        <v>2032</v>
      </c>
      <c r="B243" s="7">
        <f t="shared" si="4"/>
        <v>2209</v>
      </c>
      <c r="C243" s="7" cm="1">
        <f t="array" ref="C243">INDEX(GMW!$A$2:$LR$60,MATCH(1,(GMW!$LQ$2:$LQ$60=C$3)*(GMW!$LP$2:$LP$60=C$4),0),$B243-1966)</f>
        <v>153.7663</v>
      </c>
    </row>
    <row r="244" spans="1:3" x14ac:dyDescent="0.35">
      <c r="B244" s="7">
        <f t="shared" si="4"/>
        <v>2210</v>
      </c>
      <c r="C244" s="7" cm="1">
        <f t="array" ref="C244">INDEX(GMW!$A$2:$LR$60,MATCH(1,(GMW!$LQ$2:$LQ$60=C$3)*(GMW!$LP$2:$LP$60=C$4),0),$B244-1966)</f>
        <v>154.92320000000001</v>
      </c>
    </row>
    <row r="245" spans="1:3" x14ac:dyDescent="0.35">
      <c r="B245" s="7">
        <f t="shared" si="4"/>
        <v>2211</v>
      </c>
      <c r="C245" s="7" cm="1">
        <f t="array" ref="C245">INDEX(GMW!$A$2:$LR$60,MATCH(1,(GMW!$LQ$2:$LQ$60=C$3)*(GMW!$LP$2:$LP$60=C$4),0),$B245-1966)</f>
        <v>155.62819999999999</v>
      </c>
    </row>
    <row r="246" spans="1:3" x14ac:dyDescent="0.35">
      <c r="B246" s="7">
        <f t="shared" si="4"/>
        <v>2212</v>
      </c>
      <c r="C246" s="7" cm="1">
        <f t="array" ref="C246">INDEX(GMW!$A$2:$LR$60,MATCH(1,(GMW!$LQ$2:$LQ$60=C$3)*(GMW!$LP$2:$LP$60=C$4),0),$B246-1966)</f>
        <v>156.31489999999999</v>
      </c>
    </row>
    <row r="247" spans="1:3" x14ac:dyDescent="0.35">
      <c r="A247" s="7">
        <v>2033</v>
      </c>
      <c r="B247" s="7">
        <f t="shared" si="4"/>
        <v>2213</v>
      </c>
      <c r="C247" s="7" cm="1">
        <f t="array" ref="C247">INDEX(GMW!$A$2:$LR$60,MATCH(1,(GMW!$LQ$2:$LQ$60=C$3)*(GMW!$LP$2:$LP$60=C$4),0),$B247-1966)</f>
        <v>156.83369999999999</v>
      </c>
    </row>
    <row r="248" spans="1:3" x14ac:dyDescent="0.35">
      <c r="B248" s="7">
        <f t="shared" si="4"/>
        <v>2214</v>
      </c>
      <c r="C248" s="7" cm="1">
        <f t="array" ref="C248">INDEX(GMW!$A$2:$LR$60,MATCH(1,(GMW!$LQ$2:$LQ$60=C$3)*(GMW!$LP$2:$LP$60=C$4),0),$B248-1966)</f>
        <v>158.01560000000001</v>
      </c>
    </row>
    <row r="249" spans="1:3" x14ac:dyDescent="0.35">
      <c r="B249" s="7">
        <f t="shared" si="4"/>
        <v>2215</v>
      </c>
      <c r="C249" s="7" cm="1">
        <f t="array" ref="C249">INDEX(GMW!$A$2:$LR$60,MATCH(1,(GMW!$LQ$2:$LQ$60=C$3)*(GMW!$LP$2:$LP$60=C$4),0),$B249-1966)</f>
        <v>158.7364</v>
      </c>
    </row>
    <row r="250" spans="1:3" x14ac:dyDescent="0.35">
      <c r="B250" s="7">
        <f t="shared" si="4"/>
        <v>2216</v>
      </c>
      <c r="C250" s="7" cm="1">
        <f t="array" ref="C250">INDEX(GMW!$A$2:$LR$60,MATCH(1,(GMW!$LQ$2:$LQ$60=C$3)*(GMW!$LP$2:$LP$60=C$4),0),$B250-1966)</f>
        <v>159.4384</v>
      </c>
    </row>
    <row r="251" spans="1:3" x14ac:dyDescent="0.35">
      <c r="A251" s="7">
        <v>2034</v>
      </c>
      <c r="B251" s="7">
        <f t="shared" si="4"/>
        <v>2217</v>
      </c>
      <c r="C251" s="7" cm="1">
        <f t="array" ref="C251">INDEX(GMW!$A$2:$LR$60,MATCH(1,(GMW!$LQ$2:$LQ$60=C$3)*(GMW!$LP$2:$LP$60=C$4),0),$B251-1966)</f>
        <v>159.9691</v>
      </c>
    </row>
    <row r="252" spans="1:3" x14ac:dyDescent="0.35">
      <c r="B252" s="7">
        <f t="shared" si="4"/>
        <v>2218</v>
      </c>
      <c r="C252" s="7" cm="1">
        <f t="array" ref="C252">INDEX(GMW!$A$2:$LR$60,MATCH(1,(GMW!$LQ$2:$LQ$60=C$3)*(GMW!$LP$2:$LP$60=C$4),0),$B252-1966)</f>
        <v>161.17599999999999</v>
      </c>
    </row>
    <row r="253" spans="1:3" x14ac:dyDescent="0.35">
      <c r="B253" s="7">
        <f t="shared" si="4"/>
        <v>2219</v>
      </c>
      <c r="C253" s="7" cm="1">
        <f t="array" ref="C253">INDEX(GMW!$A$2:$LR$60,MATCH(1,(GMW!$LQ$2:$LQ$60=C$3)*(GMW!$LP$2:$LP$60=C$4),0),$B253-1966)</f>
        <v>161.91239999999999</v>
      </c>
    </row>
    <row r="254" spans="1:3" x14ac:dyDescent="0.35">
      <c r="B254" s="7">
        <f t="shared" si="4"/>
        <v>2220</v>
      </c>
      <c r="C254" s="7" cm="1">
        <f t="array" ref="C254">INDEX(GMW!$A$2:$LR$60,MATCH(1,(GMW!$LQ$2:$LQ$60=C$3)*(GMW!$LP$2:$LP$60=C$4),0),$B254-1966)</f>
        <v>162.62950000000001</v>
      </c>
    </row>
    <row r="255" spans="1:3" x14ac:dyDescent="0.35">
      <c r="A255" s="7">
        <v>2035</v>
      </c>
      <c r="B255" s="7">
        <f t="shared" si="4"/>
        <v>2221</v>
      </c>
      <c r="C255" s="7" cm="1">
        <f t="array" ref="C255">INDEX(GMW!$A$2:$LR$60,MATCH(1,(GMW!$LQ$2:$LQ$60=C$3)*(GMW!$LP$2:$LP$60=C$4),0),$B255-1966)</f>
        <v>163.17169999999999</v>
      </c>
    </row>
    <row r="256" spans="1:3" x14ac:dyDescent="0.35">
      <c r="B256" s="7">
        <f t="shared" si="4"/>
        <v>2222</v>
      </c>
      <c r="C256" s="7" cm="1">
        <f t="array" ref="C256">INDEX(GMW!$A$2:$LR$60,MATCH(1,(GMW!$LQ$2:$LQ$60=C$3)*(GMW!$LP$2:$LP$60=C$4),0),$B256-1966)</f>
        <v>164.40369999999999</v>
      </c>
    </row>
    <row r="257" spans="1:3" x14ac:dyDescent="0.35">
      <c r="B257" s="7">
        <f t="shared" si="4"/>
        <v>2223</v>
      </c>
      <c r="C257" s="7" cm="1">
        <f t="array" ref="C257">INDEX(GMW!$A$2:$LR$60,MATCH(1,(GMW!$LQ$2:$LQ$60=C$3)*(GMW!$LP$2:$LP$60=C$4),0),$B257-1966)</f>
        <v>165.1557</v>
      </c>
    </row>
    <row r="258" spans="1:3" x14ac:dyDescent="0.35">
      <c r="B258" s="7">
        <f t="shared" si="4"/>
        <v>2224</v>
      </c>
      <c r="C258" s="7" cm="1">
        <f t="array" ref="C258">INDEX(GMW!$A$2:$LR$60,MATCH(1,(GMW!$LQ$2:$LQ$60=C$3)*(GMW!$LP$2:$LP$60=C$4),0),$B258-1966)</f>
        <v>165.88550000000001</v>
      </c>
    </row>
    <row r="259" spans="1:3" x14ac:dyDescent="0.35">
      <c r="A259" s="7">
        <v>2036</v>
      </c>
      <c r="B259" s="7">
        <f t="shared" si="4"/>
        <v>2225</v>
      </c>
      <c r="C259" s="7" cm="1">
        <f t="array" ref="C259">INDEX(GMW!$A$2:$LR$60,MATCH(1,(GMW!$LQ$2:$LQ$60=C$3)*(GMW!$LP$2:$LP$60=C$4),0),$B259-1966)</f>
        <v>166.43510000000001</v>
      </c>
    </row>
    <row r="260" spans="1:3" x14ac:dyDescent="0.35">
      <c r="B260" s="7">
        <f t="shared" si="4"/>
        <v>2226</v>
      </c>
      <c r="C260" s="7" cm="1">
        <f t="array" ref="C260">INDEX(GMW!$A$2:$LR$60,MATCH(1,(GMW!$LQ$2:$LQ$60=C$3)*(GMW!$LP$2:$LP$60=C$4),0),$B260-1966)</f>
        <v>167.6918</v>
      </c>
    </row>
    <row r="261" spans="1:3" x14ac:dyDescent="0.35">
      <c r="B261" s="7">
        <f t="shared" si="4"/>
        <v>2227</v>
      </c>
      <c r="C261" s="7" cm="1">
        <f t="array" ref="C261">INDEX(GMW!$A$2:$LR$60,MATCH(1,(GMW!$LQ$2:$LQ$60=C$3)*(GMW!$LP$2:$LP$60=C$4),0),$B261-1966)</f>
        <v>168.4588</v>
      </c>
    </row>
    <row r="262" spans="1:3" x14ac:dyDescent="0.35">
      <c r="B262" s="7">
        <f t="shared" si="4"/>
        <v>2228</v>
      </c>
      <c r="C262" s="7" cm="1">
        <f t="array" ref="C262">INDEX(GMW!$A$2:$LR$60,MATCH(1,(GMW!$LQ$2:$LQ$60=C$3)*(GMW!$LP$2:$LP$60=C$4),0),$B262-1966)</f>
        <v>169.20320000000001</v>
      </c>
    </row>
    <row r="263" spans="1:3" x14ac:dyDescent="0.35">
      <c r="A263" s="7">
        <v>2037</v>
      </c>
      <c r="B263" s="7">
        <f t="shared" si="4"/>
        <v>2229</v>
      </c>
      <c r="C263" s="7" cm="1">
        <f t="array" ref="C263">INDEX(GMW!$A$2:$LR$60,MATCH(1,(GMW!$LQ$2:$LQ$60=C$3)*(GMW!$LP$2:$LP$60=C$4),0),$B263-1966)</f>
        <v>169.7638</v>
      </c>
    </row>
    <row r="264" spans="1:3" x14ac:dyDescent="0.35">
      <c r="B264" s="7">
        <f t="shared" si="4"/>
        <v>2230</v>
      </c>
      <c r="C264" s="7" cm="1">
        <f t="array" ref="C264">INDEX(GMW!$A$2:$LR$60,MATCH(1,(GMW!$LQ$2:$LQ$60=C$3)*(GMW!$LP$2:$LP$60=C$4),0),$B264-1966)</f>
        <v>171.04560000000001</v>
      </c>
    </row>
    <row r="265" spans="1:3" x14ac:dyDescent="0.35">
      <c r="B265" s="7">
        <f t="shared" si="4"/>
        <v>2231</v>
      </c>
      <c r="C265" s="7" cm="1">
        <f t="array" ref="C265">INDEX(GMW!$A$2:$LR$60,MATCH(1,(GMW!$LQ$2:$LQ$60=C$3)*(GMW!$LP$2:$LP$60=C$4),0),$B265-1966)</f>
        <v>171.828</v>
      </c>
    </row>
    <row r="266" spans="1:3" x14ac:dyDescent="0.35">
      <c r="B266" s="7">
        <f t="shared" si="4"/>
        <v>2232</v>
      </c>
      <c r="C266" s="7" cm="1">
        <f t="array" ref="C266">INDEX(GMW!$A$2:$LR$60,MATCH(1,(GMW!$LQ$2:$LQ$60=C$3)*(GMW!$LP$2:$LP$60=C$4),0),$B266-1966)</f>
        <v>172.5873</v>
      </c>
    </row>
    <row r="267" spans="1:3" x14ac:dyDescent="0.35">
      <c r="A267" s="7">
        <v>2038</v>
      </c>
      <c r="B267" s="7">
        <f t="shared" si="4"/>
        <v>2233</v>
      </c>
      <c r="C267" s="7" cm="1">
        <f t="array" ref="C267">INDEX(GMW!$A$2:$LR$60,MATCH(1,(GMW!$LQ$2:$LQ$60=C$3)*(GMW!$LP$2:$LP$60=C$4),0),$B267-1966)</f>
        <v>173.1591</v>
      </c>
    </row>
    <row r="268" spans="1:3" x14ac:dyDescent="0.35">
      <c r="B268" s="7">
        <f t="shared" si="4"/>
        <v>2234</v>
      </c>
      <c r="C268" s="7" cm="1">
        <f t="array" ref="C268">INDEX(GMW!$A$2:$LR$60,MATCH(1,(GMW!$LQ$2:$LQ$60=C$3)*(GMW!$LP$2:$LP$60=C$4),0),$B268-1966)</f>
        <v>174.4665</v>
      </c>
    </row>
    <row r="269" spans="1:3" x14ac:dyDescent="0.35">
      <c r="B269" s="7">
        <f t="shared" si="4"/>
        <v>2235</v>
      </c>
      <c r="C269" s="7" cm="1">
        <f t="array" ref="C269">INDEX(GMW!$A$2:$LR$60,MATCH(1,(GMW!$LQ$2:$LQ$60=C$3)*(GMW!$LP$2:$LP$60=C$4),0),$B269-1966)</f>
        <v>175.2645</v>
      </c>
    </row>
    <row r="270" spans="1:3" x14ac:dyDescent="0.35">
      <c r="B270" s="7">
        <f t="shared" si="4"/>
        <v>2236</v>
      </c>
      <c r="C270" s="7" cm="1">
        <f t="array" ref="C270">INDEX(GMW!$A$2:$LR$60,MATCH(1,(GMW!$LQ$2:$LQ$60=C$3)*(GMW!$LP$2:$LP$60=C$4),0),$B270-1966)</f>
        <v>176.03899999999999</v>
      </c>
    </row>
    <row r="271" spans="1:3" x14ac:dyDescent="0.35">
      <c r="A271" s="7">
        <v>2039</v>
      </c>
      <c r="B271" s="7">
        <f t="shared" si="4"/>
        <v>2237</v>
      </c>
      <c r="C271" s="7" cm="1">
        <f t="array" ref="C271">INDEX(GMW!$A$2:$LR$60,MATCH(1,(GMW!$LQ$2:$LQ$60=C$3)*(GMW!$LP$2:$LP$60=C$4),0),$B271-1966)</f>
        <v>176.6223</v>
      </c>
    </row>
    <row r="272" spans="1:3" x14ac:dyDescent="0.35">
      <c r="B272" s="7">
        <f t="shared" si="4"/>
        <v>2238</v>
      </c>
      <c r="C272" s="7" cm="1">
        <f t="array" ref="C272">INDEX(GMW!$A$2:$LR$60,MATCH(1,(GMW!$LQ$2:$LQ$60=C$3)*(GMW!$LP$2:$LP$60=C$4),0),$B272-1966)</f>
        <v>177.95590000000001</v>
      </c>
    </row>
    <row r="273" spans="1:3" x14ac:dyDescent="0.35">
      <c r="B273" s="7">
        <f t="shared" si="4"/>
        <v>2239</v>
      </c>
      <c r="C273" s="7" cm="1">
        <f t="array" ref="C273">INDEX(GMW!$A$2:$LR$60,MATCH(1,(GMW!$LQ$2:$LQ$60=C$3)*(GMW!$LP$2:$LP$60=C$4),0),$B273-1966)</f>
        <v>178.7698</v>
      </c>
    </row>
    <row r="274" spans="1:3" x14ac:dyDescent="0.35">
      <c r="B274" s="7">
        <f t="shared" si="4"/>
        <v>2240</v>
      </c>
      <c r="C274" s="7" cm="1">
        <f t="array" ref="C274">INDEX(GMW!$A$2:$LR$60,MATCH(1,(GMW!$LQ$2:$LQ$60=C$3)*(GMW!$LP$2:$LP$60=C$4),0),$B274-1966)</f>
        <v>179.5598</v>
      </c>
    </row>
    <row r="275" spans="1:3" x14ac:dyDescent="0.35">
      <c r="A275" s="7">
        <v>2040</v>
      </c>
      <c r="B275" s="7">
        <f t="shared" si="4"/>
        <v>2241</v>
      </c>
      <c r="C275" s="7" cm="1">
        <f t="array" ref="C275">INDEX(GMW!$A$2:$LR$60,MATCH(1,(GMW!$LQ$2:$LQ$60=C$3)*(GMW!$LP$2:$LP$60=C$4),0),$B275-1966)</f>
        <v>180.15469999999999</v>
      </c>
    </row>
    <row r="276" spans="1:3" x14ac:dyDescent="0.35">
      <c r="B276" s="7">
        <f t="shared" si="4"/>
        <v>2242</v>
      </c>
      <c r="C276" s="7" cm="1">
        <f t="array" ref="C276">INDEX(GMW!$A$2:$LR$60,MATCH(1,(GMW!$LQ$2:$LQ$60=C$3)*(GMW!$LP$2:$LP$60=C$4),0),$B276-1966)</f>
        <v>181.51499999999999</v>
      </c>
    </row>
    <row r="277" spans="1:3" x14ac:dyDescent="0.35">
      <c r="B277" s="7">
        <f t="shared" si="4"/>
        <v>2243</v>
      </c>
      <c r="C277" s="7" cm="1">
        <f t="array" ref="C277">INDEX(GMW!$A$2:$LR$60,MATCH(1,(GMW!$LQ$2:$LQ$60=C$3)*(GMW!$LP$2:$LP$60=C$4),0),$B277-1966)</f>
        <v>182.34520000000001</v>
      </c>
    </row>
    <row r="278" spans="1:3" x14ac:dyDescent="0.35">
      <c r="B278" s="7">
        <f t="shared" si="4"/>
        <v>2244</v>
      </c>
      <c r="C278" s="7" cm="1">
        <f t="array" ref="C278">INDEX(GMW!$A$2:$LR$60,MATCH(1,(GMW!$LQ$2:$LQ$60=C$3)*(GMW!$LP$2:$LP$60=C$4),0),$B278-1966)</f>
        <v>183.15100000000001</v>
      </c>
    </row>
    <row r="279" spans="1:3" x14ac:dyDescent="0.35">
      <c r="A279" s="7">
        <v>2041</v>
      </c>
      <c r="B279" s="7">
        <f t="shared" si="4"/>
        <v>2245</v>
      </c>
      <c r="C279" s="7" cm="1">
        <f t="array" ref="C279">INDEX(GMW!$A$2:$LR$60,MATCH(1,(GMW!$LQ$2:$LQ$60=C$3)*(GMW!$LP$2:$LP$60=C$4),0),$B279-1966)</f>
        <v>183.7578</v>
      </c>
    </row>
    <row r="280" spans="1:3" x14ac:dyDescent="0.35">
      <c r="B280" s="7">
        <f t="shared" si="4"/>
        <v>2246</v>
      </c>
      <c r="C280" s="7" cm="1">
        <f t="array" ref="C280">INDEX(GMW!$A$2:$LR$60,MATCH(1,(GMW!$LQ$2:$LQ$60=C$3)*(GMW!$LP$2:$LP$60=C$4),0),$B280-1966)</f>
        <v>185.14529999999999</v>
      </c>
    </row>
    <row r="281" spans="1:3" x14ac:dyDescent="0.35">
      <c r="B281" s="7">
        <f t="shared" si="4"/>
        <v>2247</v>
      </c>
      <c r="C281" s="7" cm="1">
        <f t="array" ref="C281">INDEX(GMW!$A$2:$LR$60,MATCH(1,(GMW!$LQ$2:$LQ$60=C$3)*(GMW!$LP$2:$LP$60=C$4),0),$B281-1966)</f>
        <v>185.99209999999999</v>
      </c>
    </row>
    <row r="282" spans="1:3" x14ac:dyDescent="0.35">
      <c r="B282" s="7">
        <f t="shared" si="4"/>
        <v>2248</v>
      </c>
      <c r="C282" s="7" cm="1">
        <f t="array" ref="C282">INDEX(GMW!$A$2:$LR$60,MATCH(1,(GMW!$LQ$2:$LQ$60=C$3)*(GMW!$LP$2:$LP$60=C$4),0),$B282-1966)</f>
        <v>186.81399999999999</v>
      </c>
    </row>
    <row r="283" spans="1:3" x14ac:dyDescent="0.35">
      <c r="A283" s="7">
        <v>2042</v>
      </c>
      <c r="B283" s="7">
        <f t="shared" si="4"/>
        <v>2249</v>
      </c>
      <c r="C283" s="7" cm="1">
        <f t="array" ref="C283">INDEX(GMW!$A$2:$LR$60,MATCH(1,(GMW!$LQ$2:$LQ$60=C$3)*(GMW!$LP$2:$LP$60=C$4),0),$B283-1966)</f>
        <v>187.43299999999999</v>
      </c>
    </row>
    <row r="284" spans="1:3" x14ac:dyDescent="0.35">
      <c r="B284" s="7">
        <f t="shared" si="4"/>
        <v>2250</v>
      </c>
      <c r="C284" s="7" cm="1">
        <f t="array" ref="C284">INDEX(GMW!$A$2:$LR$60,MATCH(1,(GMW!$LQ$2:$LQ$60=C$3)*(GMW!$LP$2:$LP$60=C$4),0),$B284-1966)</f>
        <v>188.84819999999999</v>
      </c>
    </row>
    <row r="285" spans="1:3" x14ac:dyDescent="0.35">
      <c r="B285" s="7">
        <f t="shared" si="4"/>
        <v>2251</v>
      </c>
      <c r="C285" s="7" cm="1">
        <f t="array" ref="C285">INDEX(GMW!$A$2:$LR$60,MATCH(1,(GMW!$LQ$2:$LQ$60=C$3)*(GMW!$LP$2:$LP$60=C$4),0),$B285-1966)</f>
        <v>189.71199999999999</v>
      </c>
    </row>
    <row r="286" spans="1:3" x14ac:dyDescent="0.35">
      <c r="B286" s="7">
        <f t="shared" si="4"/>
        <v>2252</v>
      </c>
      <c r="C286" s="7" cm="1">
        <f t="array" ref="C286">INDEX(GMW!$A$2:$LR$60,MATCH(1,(GMW!$LQ$2:$LQ$60=C$3)*(GMW!$LP$2:$LP$60=C$4),0),$B286-1966)</f>
        <v>190.55029999999999</v>
      </c>
    </row>
    <row r="287" spans="1:3" x14ac:dyDescent="0.35">
      <c r="A287" s="7">
        <v>2043</v>
      </c>
      <c r="B287" s="7">
        <f t="shared" si="4"/>
        <v>2253</v>
      </c>
      <c r="C287" s="7" cm="1">
        <f t="array" ref="C287">INDEX(GMW!$A$2:$LR$60,MATCH(1,(GMW!$LQ$2:$LQ$60=C$3)*(GMW!$LP$2:$LP$60=C$4),0),$B287-1966)</f>
        <v>191.18170000000001</v>
      </c>
    </row>
    <row r="288" spans="1:3" x14ac:dyDescent="0.35">
      <c r="B288" s="7">
        <f t="shared" si="4"/>
        <v>2254</v>
      </c>
      <c r="C288" s="7" cm="1">
        <f t="array" ref="C288">INDEX(GMW!$A$2:$LR$60,MATCH(1,(GMW!$LQ$2:$LQ$60=C$3)*(GMW!$LP$2:$LP$60=C$4),0),$B288-1966)</f>
        <v>192.6251</v>
      </c>
    </row>
    <row r="289" spans="1:3" x14ac:dyDescent="0.35">
      <c r="B289" s="7">
        <f t="shared" si="4"/>
        <v>2255</v>
      </c>
      <c r="C289" s="7" cm="1">
        <f t="array" ref="C289">INDEX(GMW!$A$2:$LR$60,MATCH(1,(GMW!$LQ$2:$LQ$60=C$3)*(GMW!$LP$2:$LP$60=C$4),0),$B289-1966)</f>
        <v>193.50620000000001</v>
      </c>
    </row>
    <row r="290" spans="1:3" x14ac:dyDescent="0.35">
      <c r="B290" s="7">
        <f t="shared" si="4"/>
        <v>2256</v>
      </c>
      <c r="C290" s="7" cm="1">
        <f t="array" ref="C290">INDEX(GMW!$A$2:$LR$60,MATCH(1,(GMW!$LQ$2:$LQ$60=C$3)*(GMW!$LP$2:$LP$60=C$4),0),$B290-1966)</f>
        <v>194.3613</v>
      </c>
    </row>
    <row r="291" spans="1:3" x14ac:dyDescent="0.35">
      <c r="A291" s="7">
        <v>2044</v>
      </c>
      <c r="B291" s="7">
        <f t="shared" si="4"/>
        <v>2257</v>
      </c>
      <c r="C291" s="7" cm="1">
        <f t="array" ref="C291">INDEX(GMW!$A$2:$LR$60,MATCH(1,(GMW!$LQ$2:$LQ$60=C$3)*(GMW!$LP$2:$LP$60=C$4),0),$B291-1966)</f>
        <v>195.00530000000001</v>
      </c>
    </row>
    <row r="292" spans="1:3" x14ac:dyDescent="0.35">
      <c r="B292" s="7">
        <f t="shared" si="4"/>
        <v>2258</v>
      </c>
      <c r="C292" s="7" cm="1">
        <f t="array" ref="C292">INDEX(GMW!$A$2:$LR$60,MATCH(1,(GMW!$LQ$2:$LQ$60=C$3)*(GMW!$LP$2:$LP$60=C$4),0),$B292-1966)</f>
        <v>196.4776</v>
      </c>
    </row>
    <row r="293" spans="1:3" x14ac:dyDescent="0.35">
      <c r="B293" s="7">
        <f t="shared" si="4"/>
        <v>2259</v>
      </c>
      <c r="C293" s="7" cm="1">
        <f t="array" ref="C293">INDEX(GMW!$A$2:$LR$60,MATCH(1,(GMW!$LQ$2:$LQ$60=C$3)*(GMW!$LP$2:$LP$60=C$4),0),$B293-1966)</f>
        <v>197.37629999999999</v>
      </c>
    </row>
    <row r="294" spans="1:3" x14ac:dyDescent="0.35">
      <c r="B294" s="7">
        <f t="shared" si="4"/>
        <v>2260</v>
      </c>
      <c r="C294" s="7" cm="1">
        <f t="array" ref="C294">INDEX(GMW!$A$2:$LR$60,MATCH(1,(GMW!$LQ$2:$LQ$60=C$3)*(GMW!$LP$2:$LP$60=C$4),0),$B294-1966)</f>
        <v>198.24850000000001</v>
      </c>
    </row>
    <row r="295" spans="1:3" x14ac:dyDescent="0.35">
      <c r="A295" s="7">
        <v>2045</v>
      </c>
      <c r="B295" s="7">
        <f t="shared" si="4"/>
        <v>2261</v>
      </c>
      <c r="C295" s="7" cm="1">
        <f t="array" ref="C295">INDEX(GMW!$A$2:$LR$60,MATCH(1,(GMW!$LQ$2:$LQ$60=C$3)*(GMW!$LP$2:$LP$60=C$4),0),$B295-1966)</f>
        <v>198.90539999999999</v>
      </c>
    </row>
    <row r="296" spans="1:3" x14ac:dyDescent="0.35">
      <c r="B296" s="7">
        <f t="shared" si="4"/>
        <v>2262</v>
      </c>
      <c r="C296" s="7" cm="1">
        <f t="array" ref="C296">INDEX(GMW!$A$2:$LR$60,MATCH(1,(GMW!$LQ$2:$LQ$60=C$3)*(GMW!$LP$2:$LP$60=C$4),0),$B296-1966)</f>
        <v>200.40719999999999</v>
      </c>
    </row>
    <row r="297" spans="1:3" x14ac:dyDescent="0.35">
      <c r="B297" s="7">
        <f t="shared" si="4"/>
        <v>2263</v>
      </c>
      <c r="C297" s="7" cm="1">
        <f t="array" ref="C297">INDEX(GMW!$A$2:$LR$60,MATCH(1,(GMW!$LQ$2:$LQ$60=C$3)*(GMW!$LP$2:$LP$60=C$4),0),$B297-1966)</f>
        <v>201.32390000000001</v>
      </c>
    </row>
    <row r="298" spans="1:3" x14ac:dyDescent="0.35">
      <c r="B298" s="7">
        <f t="shared" si="4"/>
        <v>2264</v>
      </c>
      <c r="C298" s="7" cm="1">
        <f t="array" ref="C298">INDEX(GMW!$A$2:$LR$60,MATCH(1,(GMW!$LQ$2:$LQ$60=C$3)*(GMW!$LP$2:$LP$60=C$4),0),$B298-1966)</f>
        <v>202.21350000000001</v>
      </c>
    </row>
    <row r="299" spans="1:3" x14ac:dyDescent="0.35">
      <c r="A299" s="7">
        <v>2046</v>
      </c>
      <c r="B299" s="7">
        <f t="shared" si="4"/>
        <v>2265</v>
      </c>
      <c r="C299" s="7" cm="1">
        <f t="array" ref="C299">INDEX(GMW!$A$2:$LR$60,MATCH(1,(GMW!$LQ$2:$LQ$60=C$3)*(GMW!$LP$2:$LP$60=C$4),0),$B299-1966)</f>
        <v>202.8835</v>
      </c>
    </row>
    <row r="300" spans="1:3" x14ac:dyDescent="0.35">
      <c r="B300" s="7">
        <f t="shared" si="4"/>
        <v>2266</v>
      </c>
      <c r="C300" s="7" cm="1">
        <f t="array" ref="C300">INDEX(GMW!$A$2:$LR$60,MATCH(1,(GMW!$LQ$2:$LQ$60=C$3)*(GMW!$LP$2:$LP$60=C$4),0),$B300-1966)</f>
        <v>204.4153</v>
      </c>
    </row>
    <row r="301" spans="1:3" x14ac:dyDescent="0.35">
      <c r="B301" s="7">
        <f t="shared" si="4"/>
        <v>2267</v>
      </c>
      <c r="C301" s="7" cm="1">
        <f t="array" ref="C301">INDEX(GMW!$A$2:$LR$60,MATCH(1,(GMW!$LQ$2:$LQ$60=C$3)*(GMW!$LP$2:$LP$60=C$4),0),$B301-1966)</f>
        <v>205.3503</v>
      </c>
    </row>
    <row r="302" spans="1:3" x14ac:dyDescent="0.35">
      <c r="B302" s="7">
        <f t="shared" si="4"/>
        <v>2268</v>
      </c>
      <c r="C302" s="7" cm="1">
        <f t="array" ref="C302">INDEX(GMW!$A$2:$LR$60,MATCH(1,(GMW!$LQ$2:$LQ$60=C$3)*(GMW!$LP$2:$LP$60=C$4),0),$B302-1966)</f>
        <v>206.2578</v>
      </c>
    </row>
    <row r="303" spans="1:3" x14ac:dyDescent="0.35">
      <c r="A303" s="7">
        <v>2047</v>
      </c>
      <c r="B303" s="7">
        <f t="shared" si="4"/>
        <v>2269</v>
      </c>
      <c r="C303" s="7" cm="1">
        <f t="array" ref="C303">INDEX(GMW!$A$2:$LR$60,MATCH(1,(GMW!$LQ$2:$LQ$60=C$3)*(GMW!$LP$2:$LP$60=C$4),0),$B303-1966)</f>
        <v>206.94120000000001</v>
      </c>
    </row>
    <row r="304" spans="1:3" x14ac:dyDescent="0.35">
      <c r="B304" s="7">
        <f t="shared" si="4"/>
        <v>2270</v>
      </c>
      <c r="C304" s="7" cm="1">
        <f t="array" ref="C304">INDEX(GMW!$A$2:$LR$60,MATCH(1,(GMW!$LQ$2:$LQ$60=C$3)*(GMW!$LP$2:$LP$60=C$4),0),$B304-1966)</f>
        <v>208.50360000000001</v>
      </c>
    </row>
    <row r="305" spans="1:3" x14ac:dyDescent="0.35">
      <c r="B305" s="7">
        <f t="shared" ref="B305:B318" si="5">+B304+1</f>
        <v>2271</v>
      </c>
      <c r="C305" s="7" cm="1">
        <f t="array" ref="C305">INDEX(GMW!$A$2:$LR$60,MATCH(1,(GMW!$LQ$2:$LQ$60=C$3)*(GMW!$LP$2:$LP$60=C$4),0),$B305-1966)</f>
        <v>209.4573</v>
      </c>
    </row>
    <row r="306" spans="1:3" x14ac:dyDescent="0.35">
      <c r="B306" s="7">
        <f t="shared" si="5"/>
        <v>2272</v>
      </c>
      <c r="C306" s="7" cm="1">
        <f t="array" ref="C306">INDEX(GMW!$A$2:$LR$60,MATCH(1,(GMW!$LQ$2:$LQ$60=C$3)*(GMW!$LP$2:$LP$60=C$4),0),$B306-1966)</f>
        <v>210.38290000000001</v>
      </c>
    </row>
    <row r="307" spans="1:3" x14ac:dyDescent="0.35">
      <c r="A307" s="7">
        <v>2048</v>
      </c>
      <c r="B307" s="7">
        <f t="shared" si="5"/>
        <v>2273</v>
      </c>
      <c r="C307" s="7" cm="1">
        <f t="array" ref="C307">INDEX(GMW!$A$2:$LR$60,MATCH(1,(GMW!$LQ$2:$LQ$60=C$3)*(GMW!$LP$2:$LP$60=C$4),0),$B307-1966)</f>
        <v>211.08</v>
      </c>
    </row>
    <row r="308" spans="1:3" x14ac:dyDescent="0.35">
      <c r="B308" s="7">
        <f t="shared" si="5"/>
        <v>2274</v>
      </c>
      <c r="C308" s="7" cm="1">
        <f t="array" ref="C308">INDEX(GMW!$A$2:$LR$60,MATCH(1,(GMW!$LQ$2:$LQ$60=C$3)*(GMW!$LP$2:$LP$60=C$4),0),$B308-1966)</f>
        <v>212.6737</v>
      </c>
    </row>
    <row r="309" spans="1:3" x14ac:dyDescent="0.35">
      <c r="B309" s="7">
        <f t="shared" si="5"/>
        <v>2275</v>
      </c>
      <c r="C309" s="7" cm="1">
        <f t="array" ref="C309">INDEX(GMW!$A$2:$LR$60,MATCH(1,(GMW!$LQ$2:$LQ$60=C$3)*(GMW!$LP$2:$LP$60=C$4),0),$B309-1966)</f>
        <v>213.6465</v>
      </c>
    </row>
    <row r="310" spans="1:3" x14ac:dyDescent="0.35">
      <c r="B310" s="7">
        <f t="shared" si="5"/>
        <v>2276</v>
      </c>
      <c r="C310" s="7" cm="1">
        <f t="array" ref="C310">INDEX(GMW!$A$2:$LR$60,MATCH(1,(GMW!$LQ$2:$LQ$60=C$3)*(GMW!$LP$2:$LP$60=C$4),0),$B310-1966)</f>
        <v>214.59059999999999</v>
      </c>
    </row>
    <row r="311" spans="1:3" x14ac:dyDescent="0.35">
      <c r="A311" s="7">
        <v>2049</v>
      </c>
      <c r="B311" s="7">
        <f t="shared" si="5"/>
        <v>2277</v>
      </c>
      <c r="C311" s="7" cm="1">
        <f t="array" ref="C311">INDEX(GMW!$A$2:$LR$60,MATCH(1,(GMW!$LQ$2:$LQ$60=C$3)*(GMW!$LP$2:$LP$60=C$4),0),$B311-1966)</f>
        <v>215.30160000000001</v>
      </c>
    </row>
    <row r="312" spans="1:3" x14ac:dyDescent="0.35">
      <c r="B312" s="7">
        <f t="shared" si="5"/>
        <v>2278</v>
      </c>
      <c r="C312" s="7" cm="1">
        <f t="array" ref="C312">INDEX(GMW!$A$2:$LR$60,MATCH(1,(GMW!$LQ$2:$LQ$60=C$3)*(GMW!$LP$2:$LP$60=C$4),0),$B312-1966)</f>
        <v>216.9272</v>
      </c>
    </row>
    <row r="313" spans="1:3" x14ac:dyDescent="0.35">
      <c r="B313" s="7">
        <f t="shared" si="5"/>
        <v>2279</v>
      </c>
      <c r="C313" s="7" cm="1">
        <f t="array" ref="C313">INDEX(GMW!$A$2:$LR$60,MATCH(1,(GMW!$LQ$2:$LQ$60=C$3)*(GMW!$LP$2:$LP$60=C$4),0),$B313-1966)</f>
        <v>217.9194</v>
      </c>
    </row>
    <row r="314" spans="1:3" x14ac:dyDescent="0.35">
      <c r="B314" s="7">
        <f t="shared" si="5"/>
        <v>2280</v>
      </c>
      <c r="C314" s="7" cm="1">
        <f t="array" ref="C314">INDEX(GMW!$A$2:$LR$60,MATCH(1,(GMW!$LQ$2:$LQ$60=C$3)*(GMW!$LP$2:$LP$60=C$4),0),$B314-1966)</f>
        <v>218.88239999999999</v>
      </c>
    </row>
    <row r="315" spans="1:3" x14ac:dyDescent="0.35">
      <c r="A315" s="7">
        <v>2050</v>
      </c>
      <c r="B315" s="7">
        <f t="shared" si="5"/>
        <v>2281</v>
      </c>
      <c r="C315" s="7" cm="1">
        <f t="array" ref="C315">INDEX(GMW!$A$2:$LR$60,MATCH(1,(GMW!$LQ$2:$LQ$60=C$3)*(GMW!$LP$2:$LP$60=C$4),0),$B315-1966)</f>
        <v>219.60759999999999</v>
      </c>
    </row>
    <row r="316" spans="1:3" x14ac:dyDescent="0.35">
      <c r="B316" s="7">
        <f t="shared" si="5"/>
        <v>2282</v>
      </c>
      <c r="C316" s="7" cm="1">
        <f t="array" ref="C316">INDEX(GMW!$A$2:$LR$60,MATCH(1,(GMW!$LQ$2:$LQ$60=C$3)*(GMW!$LP$2:$LP$60=C$4),0),$B316-1966)</f>
        <v>221.26570000000001</v>
      </c>
    </row>
    <row r="317" spans="1:3" x14ac:dyDescent="0.35">
      <c r="B317" s="7">
        <f t="shared" si="5"/>
        <v>2283</v>
      </c>
      <c r="C317" s="7" cm="1">
        <f t="array" ref="C317">INDEX(GMW!$A$2:$LR$60,MATCH(1,(GMW!$LQ$2:$LQ$60=C$3)*(GMW!$LP$2:$LP$60=C$4),0),$B317-1966)</f>
        <v>222.27780000000001</v>
      </c>
    </row>
    <row r="318" spans="1:3" x14ac:dyDescent="0.35">
      <c r="B318" s="7">
        <f t="shared" si="5"/>
        <v>2284</v>
      </c>
      <c r="C318" s="7" cm="1">
        <f t="array" ref="C318">INDEX(GMW!$A$2:$LR$60,MATCH(1,(GMW!$LQ$2:$LQ$60=C$3)*(GMW!$LP$2:$LP$60=C$4),0),$B318-1966)</f>
        <v>223.26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8AB2-CA6D-4317-8D01-B5AE3E63776E}">
  <dimension ref="A1:LR30"/>
  <sheetViews>
    <sheetView workbookViewId="0">
      <selection activeCell="A32" sqref="A32"/>
    </sheetView>
  </sheetViews>
  <sheetFormatPr defaultColWidth="9.1796875" defaultRowHeight="14.5" x14ac:dyDescent="0.35"/>
  <cols>
    <col min="1" max="1" width="15.7265625" style="1" customWidth="1"/>
    <col min="2" max="3" width="20.7265625" style="1" customWidth="1"/>
    <col min="4" max="5" width="10.7265625" style="1" customWidth="1"/>
    <col min="6" max="6" width="15.7265625" style="1" customWidth="1"/>
    <col min="7" max="319" width="10.7265625" style="1" customWidth="1"/>
    <col min="320" max="320" width="20.7265625" style="1" customWidth="1"/>
    <col min="321" max="322" width="15.7265625" style="1" customWidth="1"/>
    <col min="323" max="324" width="20.7265625" style="1" customWidth="1"/>
    <col min="325" max="325" width="18.7265625" style="1" customWidth="1"/>
    <col min="326" max="327" width="22.7265625" style="1" customWidth="1"/>
    <col min="328" max="328" width="13.7265625" style="1" customWidth="1"/>
    <col min="329" max="329" width="14.7265625" style="1" customWidth="1"/>
    <col min="330" max="330" width="10.7265625" style="1" customWidth="1"/>
    <col min="331" max="16384" width="9.1796875" style="1"/>
  </cols>
  <sheetData>
    <row r="1" spans="1:330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</row>
    <row r="2" spans="1:330" x14ac:dyDescent="0.35">
      <c r="A2" s="2" t="s">
        <v>330</v>
      </c>
      <c r="B2" s="2" t="s">
        <v>365</v>
      </c>
      <c r="C2" s="4" t="s">
        <v>362</v>
      </c>
      <c r="D2" s="2" t="s">
        <v>364</v>
      </c>
      <c r="E2" s="2" t="s">
        <v>333</v>
      </c>
      <c r="F2" s="2" t="s">
        <v>331</v>
      </c>
      <c r="G2" s="5">
        <v>11.88749</v>
      </c>
      <c r="H2" s="5">
        <v>12.304600000000001</v>
      </c>
      <c r="I2" s="5">
        <v>12.51315</v>
      </c>
      <c r="J2" s="5">
        <v>13.008459999999999</v>
      </c>
      <c r="K2" s="5">
        <v>13.47771</v>
      </c>
      <c r="L2" s="5">
        <v>14.23371</v>
      </c>
      <c r="M2" s="5">
        <v>14.572609999999999</v>
      </c>
      <c r="N2" s="5">
        <v>15.250400000000001</v>
      </c>
      <c r="O2" s="5">
        <v>16.058540000000001</v>
      </c>
      <c r="P2" s="5">
        <v>17.466270000000002</v>
      </c>
      <c r="Q2" s="5">
        <v>18.222280000000001</v>
      </c>
      <c r="R2" s="5">
        <v>18.847930000000002</v>
      </c>
      <c r="S2" s="5">
        <v>19.42145</v>
      </c>
      <c r="T2" s="5">
        <v>20.125319999999999</v>
      </c>
      <c r="U2" s="5">
        <v>20.594560000000001</v>
      </c>
      <c r="V2" s="5">
        <v>21.506979999999999</v>
      </c>
      <c r="W2" s="5">
        <v>22.471530000000001</v>
      </c>
      <c r="X2" s="5">
        <v>23.410019999999999</v>
      </c>
      <c r="Y2" s="5">
        <v>23.82713</v>
      </c>
      <c r="Z2" s="5">
        <v>24.139949999999999</v>
      </c>
      <c r="AA2" s="5">
        <v>24.452780000000001</v>
      </c>
      <c r="AB2" s="5">
        <v>25.078440000000001</v>
      </c>
      <c r="AC2" s="5">
        <v>25.469480000000001</v>
      </c>
      <c r="AD2" s="5">
        <v>25.860510000000001</v>
      </c>
      <c r="AE2" s="5">
        <v>26.43403</v>
      </c>
      <c r="AF2" s="5">
        <v>27.268239999999999</v>
      </c>
      <c r="AG2" s="5">
        <v>28.910589999999999</v>
      </c>
      <c r="AH2" s="5">
        <v>29.718730000000001</v>
      </c>
      <c r="AI2" s="5">
        <v>30.605080000000001</v>
      </c>
      <c r="AJ2" s="5">
        <v>32.247430000000001</v>
      </c>
      <c r="AK2" s="5">
        <v>32.951300000000003</v>
      </c>
      <c r="AL2" s="5">
        <v>33.550879999999999</v>
      </c>
      <c r="AM2" s="5">
        <v>34.385100000000001</v>
      </c>
      <c r="AN2" s="5">
        <v>36.079590000000003</v>
      </c>
      <c r="AO2" s="5">
        <v>36.731310000000001</v>
      </c>
      <c r="AP2" s="5">
        <v>37.435180000000003</v>
      </c>
      <c r="AQ2" s="5">
        <v>37.878349999999998</v>
      </c>
      <c r="AR2" s="5">
        <v>39.181800000000003</v>
      </c>
      <c r="AS2" s="5">
        <v>39.416420000000002</v>
      </c>
      <c r="AT2" s="5">
        <v>39.885669999999998</v>
      </c>
      <c r="AU2" s="5">
        <v>40.172429999999999</v>
      </c>
      <c r="AV2" s="5">
        <v>40.85022</v>
      </c>
      <c r="AW2" s="5">
        <v>41.293399999999998</v>
      </c>
      <c r="AX2" s="5">
        <v>41.762639999999998</v>
      </c>
      <c r="AY2" s="5">
        <v>41.86692</v>
      </c>
      <c r="AZ2" s="5">
        <v>42.779339999999998</v>
      </c>
      <c r="BA2" s="5">
        <v>42.98789</v>
      </c>
      <c r="BB2" s="5">
        <v>43.431060000000002</v>
      </c>
      <c r="BC2" s="5">
        <v>43.874229999999997</v>
      </c>
      <c r="BD2" s="5">
        <v>44.995199999999997</v>
      </c>
      <c r="BE2" s="5">
        <v>45.125549999999997</v>
      </c>
      <c r="BF2" s="5">
        <v>45.490519999999997</v>
      </c>
      <c r="BG2" s="5">
        <v>45.646929999999998</v>
      </c>
      <c r="BH2" s="5">
        <v>46.3508</v>
      </c>
      <c r="BI2" s="5">
        <v>46.533279999999998</v>
      </c>
      <c r="BJ2" s="5">
        <v>46.924320000000002</v>
      </c>
      <c r="BK2" s="5">
        <v>47.237139999999997</v>
      </c>
      <c r="BL2" s="5">
        <v>47.836730000000003</v>
      </c>
      <c r="BM2" s="5">
        <v>47.888869999999997</v>
      </c>
      <c r="BN2" s="5">
        <v>48.436320000000002</v>
      </c>
      <c r="BO2" s="5">
        <v>48.566670000000002</v>
      </c>
      <c r="BP2" s="5">
        <v>49.5</v>
      </c>
      <c r="BQ2" s="5">
        <v>49.9</v>
      </c>
      <c r="BR2" s="5">
        <v>50.466670000000001</v>
      </c>
      <c r="BS2" s="5">
        <v>51</v>
      </c>
      <c r="BT2" s="5">
        <v>52.133339999999997</v>
      </c>
      <c r="BU2" s="5">
        <v>52.466670000000001</v>
      </c>
      <c r="BV2" s="5">
        <v>53.266669999999998</v>
      </c>
      <c r="BW2" s="5">
        <v>53.933329999999998</v>
      </c>
      <c r="BX2" s="5">
        <v>55.6</v>
      </c>
      <c r="BY2" s="5">
        <v>56.4</v>
      </c>
      <c r="BZ2" s="5">
        <v>57.466670000000001</v>
      </c>
      <c r="CA2" s="5">
        <v>57.666670000000003</v>
      </c>
      <c r="CB2" s="5">
        <v>60.266669999999998</v>
      </c>
      <c r="CC2" s="5">
        <v>60.833329999999997</v>
      </c>
      <c r="CD2" s="5">
        <v>61.466670000000001</v>
      </c>
      <c r="CE2" s="5">
        <v>61.7</v>
      </c>
      <c r="CF2" s="5">
        <v>62.833329999999997</v>
      </c>
      <c r="CG2" s="5">
        <v>62.733330000000002</v>
      </c>
      <c r="CH2" s="5">
        <v>63.133339999999997</v>
      </c>
      <c r="CI2" s="5">
        <v>63.2</v>
      </c>
      <c r="CJ2" s="5">
        <v>64.433329999999998</v>
      </c>
      <c r="CK2" s="5">
        <v>64.5</v>
      </c>
      <c r="CL2" s="5">
        <v>64.666659999999993</v>
      </c>
      <c r="CM2" s="5">
        <v>64.766670000000005</v>
      </c>
      <c r="CN2" s="5">
        <v>65.7</v>
      </c>
      <c r="CO2" s="5">
        <v>65.633330000000001</v>
      </c>
      <c r="CP2" s="5">
        <v>65.8</v>
      </c>
      <c r="CQ2" s="5">
        <v>66.333340000000007</v>
      </c>
      <c r="CR2" s="5">
        <v>67.266670000000005</v>
      </c>
      <c r="CS2" s="5">
        <v>67.400000000000006</v>
      </c>
      <c r="CT2" s="5">
        <v>67.733329999999995</v>
      </c>
      <c r="CU2" s="5">
        <v>68.099999999999994</v>
      </c>
      <c r="CV2" s="5">
        <v>68.866669999999999</v>
      </c>
      <c r="CW2" s="5">
        <v>68.933329999999998</v>
      </c>
      <c r="CX2" s="5">
        <v>69.366669999999999</v>
      </c>
      <c r="CY2" s="5">
        <v>69.366669999999999</v>
      </c>
      <c r="CZ2" s="5">
        <v>70</v>
      </c>
      <c r="DA2" s="5">
        <v>70.266670000000005</v>
      </c>
      <c r="DB2" s="5">
        <v>70.633330000000001</v>
      </c>
      <c r="DC2" s="5">
        <v>70.5</v>
      </c>
      <c r="DD2" s="5">
        <v>71.266670000000005</v>
      </c>
      <c r="DE2" s="5">
        <v>71.233329999999995</v>
      </c>
      <c r="DF2" s="5">
        <v>71.633330000000001</v>
      </c>
      <c r="DG2" s="5">
        <v>71.599999999999994</v>
      </c>
      <c r="DH2" s="5">
        <v>72.3</v>
      </c>
      <c r="DI2" s="5">
        <v>72.133330000000001</v>
      </c>
      <c r="DJ2" s="5">
        <v>72.433329999999998</v>
      </c>
      <c r="DK2" s="5">
        <v>72.133330000000001</v>
      </c>
      <c r="DL2" s="5">
        <v>72.766670000000005</v>
      </c>
      <c r="DM2" s="5">
        <v>72.7</v>
      </c>
      <c r="DN2" s="5">
        <v>73.166659999999993</v>
      </c>
      <c r="DO2" s="5">
        <v>72.766670000000005</v>
      </c>
      <c r="DP2" s="5">
        <v>73.833340000000007</v>
      </c>
      <c r="DQ2" s="5">
        <v>73.866669999999999</v>
      </c>
      <c r="DR2" s="5">
        <v>73.900000000000006</v>
      </c>
      <c r="DS2" s="5">
        <v>73.866669999999999</v>
      </c>
      <c r="DT2" s="5">
        <v>74.533330000000007</v>
      </c>
      <c r="DU2" s="5">
        <v>74.599999999999994</v>
      </c>
      <c r="DV2" s="5">
        <v>75</v>
      </c>
      <c r="DW2" s="5">
        <v>75</v>
      </c>
      <c r="DX2" s="5">
        <v>75.466669999999993</v>
      </c>
      <c r="DY2" s="5">
        <v>75.599999999999994</v>
      </c>
      <c r="DZ2" s="5">
        <v>76.033330000000007</v>
      </c>
      <c r="EA2" s="5">
        <v>75.966669999999993</v>
      </c>
      <c r="EB2" s="5">
        <v>76.533330000000007</v>
      </c>
      <c r="EC2" s="5">
        <v>76.566670000000002</v>
      </c>
      <c r="ED2" s="5">
        <v>77.099999999999994</v>
      </c>
      <c r="EE2" s="5">
        <v>77.233329999999995</v>
      </c>
      <c r="EF2" s="5">
        <v>78</v>
      </c>
      <c r="EG2" s="5">
        <v>78.400000000000006</v>
      </c>
      <c r="EH2" s="5">
        <v>78.766670000000005</v>
      </c>
      <c r="EI2" s="5">
        <v>78.733329999999995</v>
      </c>
      <c r="EJ2" s="5">
        <v>79.8</v>
      </c>
      <c r="EK2" s="5">
        <v>80.3</v>
      </c>
      <c r="EL2" s="5">
        <v>80.900000000000006</v>
      </c>
      <c r="EM2" s="5">
        <v>81</v>
      </c>
      <c r="EN2" s="5">
        <v>81.8</v>
      </c>
      <c r="EO2" s="5">
        <v>81.733329999999995</v>
      </c>
      <c r="EP2" s="5">
        <v>82.6</v>
      </c>
      <c r="EQ2" s="5">
        <v>82.933329999999998</v>
      </c>
      <c r="ER2" s="5">
        <v>84.6</v>
      </c>
      <c r="ES2" s="5">
        <v>85.633330000000001</v>
      </c>
      <c r="ET2" s="5">
        <v>85.733329999999995</v>
      </c>
      <c r="EU2" s="5">
        <v>85.433329999999998</v>
      </c>
      <c r="EV2" s="5">
        <v>86.366669999999999</v>
      </c>
      <c r="EW2" s="5">
        <v>86.933329999999998</v>
      </c>
      <c r="EX2" s="5">
        <v>87.566670000000002</v>
      </c>
      <c r="EY2" s="5">
        <v>88.233329999999995</v>
      </c>
      <c r="EZ2" s="5">
        <v>89.366669999999999</v>
      </c>
      <c r="FA2" s="5">
        <v>89.633330000000001</v>
      </c>
      <c r="FB2" s="5">
        <v>90.5</v>
      </c>
      <c r="FC2" s="5">
        <v>91.833340000000007</v>
      </c>
      <c r="FD2" s="5">
        <v>93.3</v>
      </c>
      <c r="FE2" s="5">
        <v>93.833340000000007</v>
      </c>
      <c r="FF2" s="5">
        <v>94.733329999999995</v>
      </c>
      <c r="FG2" s="5">
        <v>95.033330000000007</v>
      </c>
      <c r="FH2" s="5">
        <v>95.8</v>
      </c>
      <c r="FI2" s="5">
        <v>96.066670000000002</v>
      </c>
      <c r="FJ2" s="5">
        <v>97.266670000000005</v>
      </c>
      <c r="FK2" s="5">
        <v>97.666659999999993</v>
      </c>
      <c r="FL2" s="5">
        <v>98.366669999999999</v>
      </c>
      <c r="FM2" s="5">
        <v>98.7</v>
      </c>
      <c r="FN2" s="5">
        <v>99.3</v>
      </c>
      <c r="FO2" s="5">
        <v>99.4</v>
      </c>
      <c r="FP2" s="5">
        <v>100.1</v>
      </c>
      <c r="FQ2" s="5">
        <v>100.13330000000001</v>
      </c>
      <c r="FR2" s="5">
        <v>100.2</v>
      </c>
      <c r="FS2" s="5">
        <v>99.5</v>
      </c>
      <c r="FT2" s="5">
        <v>100.0667</v>
      </c>
      <c r="FU2" s="5">
        <v>100.16670000000001</v>
      </c>
      <c r="FV2" s="5">
        <v>100.3</v>
      </c>
      <c r="FW2" s="5">
        <v>99.833340000000007</v>
      </c>
      <c r="FX2" s="5">
        <v>100.4</v>
      </c>
      <c r="FY2" s="5">
        <v>100.86669999999999</v>
      </c>
      <c r="FZ2" s="5">
        <v>101.5</v>
      </c>
      <c r="GA2" s="5">
        <v>102</v>
      </c>
      <c r="GB2" s="5">
        <v>103.16670000000001</v>
      </c>
      <c r="GC2" s="5">
        <v>103.7</v>
      </c>
      <c r="GD2" s="5">
        <v>104.5667</v>
      </c>
      <c r="GE2" s="5">
        <v>104.7667</v>
      </c>
      <c r="GF2" s="5">
        <v>105.66670000000001</v>
      </c>
      <c r="GG2" s="5">
        <v>106.3</v>
      </c>
      <c r="GH2" s="5">
        <v>106.9333</v>
      </c>
      <c r="GI2" s="5">
        <v>106.7</v>
      </c>
      <c r="GJ2" s="5">
        <v>107.8</v>
      </c>
      <c r="GK2" s="5">
        <v>108.2667</v>
      </c>
      <c r="GL2" s="5">
        <v>108.4333</v>
      </c>
      <c r="GM2" s="5">
        <v>108.4667</v>
      </c>
      <c r="GN2" s="5">
        <v>108.5333</v>
      </c>
      <c r="GO2" s="5">
        <v>108.9333</v>
      </c>
      <c r="GP2" s="5">
        <v>109.0667</v>
      </c>
      <c r="GQ2" s="5">
        <v>109.16670000000001</v>
      </c>
      <c r="GR2" s="5">
        <v>110.7333</v>
      </c>
      <c r="GS2" s="5">
        <v>111.9333</v>
      </c>
      <c r="GT2" s="5">
        <v>114.4</v>
      </c>
      <c r="GU2" s="5">
        <v>115.9333</v>
      </c>
      <c r="GV2" s="5">
        <v>120.86669999999999</v>
      </c>
      <c r="GW2" s="5">
        <v>123.13330000000001</v>
      </c>
      <c r="GX2" s="5">
        <v>126.7</v>
      </c>
      <c r="GY2" s="5">
        <v>127.7333</v>
      </c>
      <c r="GZ2" s="5">
        <v>131.0667</v>
      </c>
      <c r="HA2" s="5">
        <v>131.4</v>
      </c>
      <c r="HB2" s="5">
        <v>131.9667</v>
      </c>
      <c r="HC2" s="6">
        <v>132.50299999999999</v>
      </c>
      <c r="HD2" s="6">
        <v>133.17160000000001</v>
      </c>
      <c r="HE2" s="6">
        <v>133.59440000000001</v>
      </c>
      <c r="HF2" s="6">
        <v>133.9709</v>
      </c>
      <c r="HG2" s="6">
        <v>134.22280000000001</v>
      </c>
      <c r="HH2" s="6">
        <v>135.1627</v>
      </c>
      <c r="HI2" s="6">
        <v>135.7337</v>
      </c>
      <c r="HJ2" s="6">
        <v>136.30029999999999</v>
      </c>
      <c r="HK2" s="6">
        <v>136.71960000000001</v>
      </c>
      <c r="HL2" s="6">
        <v>137.71260000000001</v>
      </c>
      <c r="HM2" s="6">
        <v>138.30179999999999</v>
      </c>
      <c r="HN2" s="6">
        <v>138.87360000000001</v>
      </c>
      <c r="HO2" s="6">
        <v>139.29570000000001</v>
      </c>
      <c r="HP2" s="6">
        <v>140.3477</v>
      </c>
      <c r="HQ2" s="6">
        <v>140.98859999999999</v>
      </c>
      <c r="HR2" s="6">
        <v>141.61250000000001</v>
      </c>
      <c r="HS2" s="6">
        <v>142.071</v>
      </c>
      <c r="HT2" s="6">
        <v>143.16409999999999</v>
      </c>
      <c r="HU2" s="6">
        <v>143.81829999999999</v>
      </c>
      <c r="HV2" s="6">
        <v>144.44399999999999</v>
      </c>
      <c r="HW2" s="6">
        <v>144.9134</v>
      </c>
      <c r="HX2" s="6">
        <v>145.99709999999999</v>
      </c>
      <c r="HY2" s="6">
        <v>146.66200000000001</v>
      </c>
      <c r="HZ2" s="6">
        <v>147.30930000000001</v>
      </c>
      <c r="IA2" s="6">
        <v>147.798</v>
      </c>
      <c r="IB2" s="6">
        <v>148.91210000000001</v>
      </c>
      <c r="IC2" s="6">
        <v>149.59270000000001</v>
      </c>
      <c r="ID2" s="6">
        <v>150.2559</v>
      </c>
      <c r="IE2" s="6">
        <v>150.75909999999999</v>
      </c>
      <c r="IF2" s="6">
        <v>151.89869999999999</v>
      </c>
      <c r="IG2" s="6">
        <v>152.58840000000001</v>
      </c>
      <c r="IH2" s="6">
        <v>153.2595</v>
      </c>
      <c r="II2" s="6">
        <v>153.7663</v>
      </c>
      <c r="IJ2" s="6">
        <v>154.92320000000001</v>
      </c>
      <c r="IK2" s="6">
        <v>155.62819999999999</v>
      </c>
      <c r="IL2" s="6">
        <v>156.31489999999999</v>
      </c>
      <c r="IM2" s="6">
        <v>156.83369999999999</v>
      </c>
      <c r="IN2" s="6">
        <v>158.01560000000001</v>
      </c>
      <c r="IO2" s="6">
        <v>158.7364</v>
      </c>
      <c r="IP2" s="6">
        <v>159.4384</v>
      </c>
      <c r="IQ2" s="6">
        <v>159.9691</v>
      </c>
      <c r="IR2" s="6">
        <v>161.17599999999999</v>
      </c>
      <c r="IS2" s="6">
        <v>161.91239999999999</v>
      </c>
      <c r="IT2" s="6">
        <v>162.62950000000001</v>
      </c>
      <c r="IU2" s="6">
        <v>163.17169999999999</v>
      </c>
      <c r="IV2" s="6">
        <v>164.40369999999999</v>
      </c>
      <c r="IW2" s="6">
        <v>165.1557</v>
      </c>
      <c r="IX2" s="6">
        <v>165.88550000000001</v>
      </c>
      <c r="IY2" s="6">
        <v>166.43510000000001</v>
      </c>
      <c r="IZ2" s="6">
        <v>167.6918</v>
      </c>
      <c r="JA2" s="6">
        <v>168.4588</v>
      </c>
      <c r="JB2" s="6">
        <v>169.20320000000001</v>
      </c>
      <c r="JC2" s="6">
        <v>169.7638</v>
      </c>
      <c r="JD2" s="6">
        <v>171.04560000000001</v>
      </c>
      <c r="JE2" s="6">
        <v>171.828</v>
      </c>
      <c r="JF2" s="6">
        <v>172.5873</v>
      </c>
      <c r="JG2" s="6">
        <v>173.1591</v>
      </c>
      <c r="JH2" s="6">
        <v>174.4665</v>
      </c>
      <c r="JI2" s="6">
        <v>175.2645</v>
      </c>
      <c r="JJ2" s="6">
        <v>176.03899999999999</v>
      </c>
      <c r="JK2" s="6">
        <v>176.6223</v>
      </c>
      <c r="JL2" s="6">
        <v>177.95590000000001</v>
      </c>
      <c r="JM2" s="6">
        <v>178.7698</v>
      </c>
      <c r="JN2" s="6">
        <v>179.5598</v>
      </c>
      <c r="JO2" s="6">
        <v>180.15469999999999</v>
      </c>
      <c r="JP2" s="6">
        <v>181.51499999999999</v>
      </c>
      <c r="JQ2" s="6">
        <v>182.34520000000001</v>
      </c>
      <c r="JR2" s="6">
        <v>183.15100000000001</v>
      </c>
      <c r="JS2" s="6">
        <v>183.7578</v>
      </c>
      <c r="JT2" s="6">
        <v>185.14529999999999</v>
      </c>
      <c r="JU2" s="6">
        <v>185.99209999999999</v>
      </c>
      <c r="JV2" s="6">
        <v>186.81399999999999</v>
      </c>
      <c r="JW2" s="6">
        <v>187.43299999999999</v>
      </c>
      <c r="JX2" s="6">
        <v>188.84819999999999</v>
      </c>
      <c r="JY2" s="6">
        <v>189.71199999999999</v>
      </c>
      <c r="JZ2" s="6">
        <v>190.55029999999999</v>
      </c>
      <c r="KA2" s="6">
        <v>191.18170000000001</v>
      </c>
      <c r="KB2" s="6">
        <v>192.6251</v>
      </c>
      <c r="KC2" s="6">
        <v>193.50620000000001</v>
      </c>
      <c r="KD2" s="6">
        <v>194.3613</v>
      </c>
      <c r="KE2" s="6">
        <v>195.00530000000001</v>
      </c>
      <c r="KF2" s="6">
        <v>196.4776</v>
      </c>
      <c r="KG2" s="6">
        <v>197.37629999999999</v>
      </c>
      <c r="KH2" s="6">
        <v>198.24850000000001</v>
      </c>
      <c r="KI2" s="6">
        <v>198.90539999999999</v>
      </c>
      <c r="KJ2" s="6">
        <v>200.40719999999999</v>
      </c>
      <c r="KK2" s="6">
        <v>201.32390000000001</v>
      </c>
      <c r="KL2" s="6">
        <v>202.21350000000001</v>
      </c>
      <c r="KM2" s="6">
        <v>202.8835</v>
      </c>
      <c r="KN2" s="6">
        <v>204.4153</v>
      </c>
      <c r="KO2" s="6">
        <v>205.3503</v>
      </c>
      <c r="KP2" s="6">
        <v>206.2578</v>
      </c>
      <c r="KQ2" s="6">
        <v>206.94120000000001</v>
      </c>
      <c r="KR2" s="6">
        <v>208.50360000000001</v>
      </c>
      <c r="KS2" s="6">
        <v>209.4573</v>
      </c>
      <c r="KT2" s="6">
        <v>210.38290000000001</v>
      </c>
      <c r="KU2" s="6">
        <v>211.08</v>
      </c>
      <c r="KV2" s="6">
        <v>212.6737</v>
      </c>
      <c r="KW2" s="6">
        <v>213.6465</v>
      </c>
      <c r="KX2" s="6">
        <v>214.59059999999999</v>
      </c>
      <c r="KY2" s="6">
        <v>215.30160000000001</v>
      </c>
      <c r="KZ2" s="6">
        <v>216.9272</v>
      </c>
      <c r="LA2" s="6">
        <v>217.9194</v>
      </c>
      <c r="LB2" s="6">
        <v>218.88239999999999</v>
      </c>
      <c r="LC2" s="6">
        <v>219.60759999999999</v>
      </c>
      <c r="LD2" s="6">
        <v>221.26570000000001</v>
      </c>
      <c r="LE2" s="6">
        <v>222.27780000000001</v>
      </c>
      <c r="LF2" s="6">
        <v>223.26</v>
      </c>
      <c r="LG2" s="2" t="s">
        <v>332</v>
      </c>
      <c r="LH2" s="2" t="s">
        <v>366</v>
      </c>
      <c r="LI2" s="2" t="s">
        <v>333</v>
      </c>
      <c r="LJ2" s="2" t="s">
        <v>367</v>
      </c>
      <c r="LK2" s="2" t="s">
        <v>334</v>
      </c>
      <c r="LL2" s="2" t="s">
        <v>338</v>
      </c>
      <c r="LM2" s="2" t="s">
        <v>333</v>
      </c>
      <c r="LN2" s="4" t="s">
        <v>368</v>
      </c>
      <c r="LO2" s="4" t="s">
        <v>369</v>
      </c>
      <c r="LP2" s="2" t="s">
        <v>335</v>
      </c>
      <c r="LQ2" s="2" t="s">
        <v>370</v>
      </c>
      <c r="LR2" s="4" t="s">
        <v>363</v>
      </c>
    </row>
    <row r="3" spans="1:330" x14ac:dyDescent="0.3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</row>
    <row r="4" spans="1:330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</row>
    <row r="5" spans="1:330" x14ac:dyDescent="0.3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</row>
    <row r="6" spans="1:330" x14ac:dyDescent="0.3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</row>
    <row r="7" spans="1:330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</row>
    <row r="8" spans="1:330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</row>
    <row r="9" spans="1:330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</row>
    <row r="10" spans="1:330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</row>
    <row r="11" spans="1:330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</row>
    <row r="12" spans="1:330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</row>
    <row r="13" spans="1:330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</row>
    <row r="14" spans="1:330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</row>
    <row r="15" spans="1:330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</row>
    <row r="16" spans="1:330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</row>
    <row r="17" spans="1:330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</row>
    <row r="18" spans="1:330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</row>
    <row r="19" spans="1:330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</row>
    <row r="20" spans="1:330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</row>
    <row r="21" spans="1:330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</row>
    <row r="22" spans="1:330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</row>
    <row r="23" spans="1:330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</row>
    <row r="24" spans="1:330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</row>
    <row r="25" spans="1:330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</row>
    <row r="26" spans="1:330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</row>
    <row r="27" spans="1:330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</row>
    <row r="28" spans="1:330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</row>
    <row r="29" spans="1:330" x14ac:dyDescent="0.35">
      <c r="A29"/>
    </row>
    <row r="30" spans="1:330" x14ac:dyDescent="0.35">
      <c r="A30"/>
    </row>
  </sheetData>
  <pageMargins left="0.7" right="0.7" top="0.75" bottom="0.75" header="0.3" footer="0.3"/>
  <pageSetup paperSize="9" orientation="portrait" r:id="rId1"/>
  <customProperties>
    <customPr name="Commands" r:id="rId2"/>
    <customPr name="PostPullCommands" r:id="rId3"/>
    <customPr name="WorksheetId" r:id="rId4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Chart Data</vt:lpstr>
      <vt:lpstr>HAVER</vt:lpstr>
      <vt:lpstr>Model data</vt:lpstr>
      <vt:lpstr>GMW</vt:lpstr>
      <vt:lpstr>Chart 1</vt:lpstr>
      <vt:lpstr>Chart 2</vt:lpstr>
      <vt:lpstr>_DLX2.INC</vt:lpstr>
      <vt:lpstr>_DLX3.INC</vt:lpstr>
      <vt:lpstr>GMW!Annual_Data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Edward Allenby</cp:lastModifiedBy>
  <dcterms:created xsi:type="dcterms:W3CDTF">2023-09-28T14:30:40Z</dcterms:created>
  <dcterms:modified xsi:type="dcterms:W3CDTF">2024-02-01T16:14:44Z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2023-09-28T14:32:24Z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20774b7f-784c-4829-a0a0-c932d806588f</vt:lpwstr>
  </property>
  <property fmtid="{D5CDD505-2E9C-101B-9397-08002B2CF9AE}" pid="8" name="MSIP_Label_231f5784-19ed-4d1e-9a93-4ea41014d730_ContentBits">
    <vt:lpwstr>0</vt:lpwstr>
  </property>
</Properties>
</file>