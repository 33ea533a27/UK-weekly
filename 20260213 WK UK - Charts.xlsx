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9EBC5054-1A29-40A3-8F08-0BF765465DED}" xr6:coauthVersionLast="47" xr6:coauthVersionMax="47" xr10:uidLastSave="{00000000-0000-0000-0000-000000000000}"/>
  <bookViews>
    <workbookView xWindow="-28920" yWindow="-120" windowWidth="19440" windowHeight="10320" xr2:uid="{19FD9D6D-B312-4C37-9198-4B2045BDF73F}"/>
  </bookViews>
  <sheets>
    <sheet name="Chart - Yields &amp; spreads" sheetId="2" r:id="rId1"/>
    <sheet name="Chart - Yields &amp; RXD" sheetId="4" r:id="rId2"/>
    <sheet name="HAVER" sheetId="1" r:id="rId3"/>
  </sheets>
  <externalReferences>
    <externalReference r:id="rId4"/>
  </externalReferences>
  <definedNames>
    <definedName name="_DLX1.INC">HAVER!$B$3:$L$8</definedName>
    <definedName name="Data">[1]sheet0!$C$2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54" i="1" l="1"/>
  <c r="N554" i="1"/>
  <c r="M555" i="1"/>
  <c r="N555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J403" i="1"/>
  <c r="K403" i="1"/>
  <c r="J404" i="1"/>
  <c r="K404" i="1"/>
  <c r="J405" i="1"/>
  <c r="K405" i="1"/>
  <c r="J406" i="1"/>
  <c r="K406" i="1"/>
  <c r="J407" i="1"/>
  <c r="K407" i="1"/>
  <c r="J408" i="1"/>
  <c r="K408" i="1"/>
  <c r="J409" i="1"/>
  <c r="K409" i="1"/>
  <c r="J410" i="1"/>
  <c r="K410" i="1"/>
  <c r="J411" i="1"/>
  <c r="K411" i="1"/>
  <c r="J412" i="1"/>
  <c r="K412" i="1"/>
  <c r="J413" i="1"/>
  <c r="K413" i="1"/>
  <c r="J414" i="1"/>
  <c r="K414" i="1"/>
  <c r="J415" i="1"/>
  <c r="K415" i="1"/>
  <c r="J416" i="1"/>
  <c r="K416" i="1"/>
  <c r="J417" i="1"/>
  <c r="K417" i="1"/>
  <c r="J418" i="1"/>
  <c r="K418" i="1"/>
  <c r="J419" i="1"/>
  <c r="K419" i="1"/>
  <c r="J420" i="1"/>
  <c r="K420" i="1"/>
  <c r="J421" i="1"/>
  <c r="K421" i="1"/>
  <c r="J422" i="1"/>
  <c r="K422" i="1"/>
  <c r="J423" i="1"/>
  <c r="K423" i="1"/>
  <c r="J424" i="1"/>
  <c r="K424" i="1"/>
  <c r="J425" i="1"/>
  <c r="K425" i="1"/>
  <c r="J426" i="1"/>
  <c r="K426" i="1"/>
  <c r="J427" i="1"/>
  <c r="K427" i="1"/>
  <c r="J428" i="1"/>
  <c r="K428" i="1"/>
  <c r="J429" i="1"/>
  <c r="K429" i="1"/>
  <c r="J430" i="1"/>
  <c r="K430" i="1"/>
  <c r="J431" i="1"/>
  <c r="K431" i="1"/>
  <c r="J432" i="1"/>
  <c r="K432" i="1"/>
  <c r="J433" i="1"/>
  <c r="K433" i="1"/>
  <c r="J434" i="1"/>
  <c r="K434" i="1"/>
  <c r="J435" i="1"/>
  <c r="K435" i="1"/>
  <c r="J436" i="1"/>
  <c r="K436" i="1"/>
  <c r="J437" i="1"/>
  <c r="K437" i="1"/>
  <c r="J438" i="1"/>
  <c r="K438" i="1"/>
  <c r="J439" i="1"/>
  <c r="K439" i="1"/>
  <c r="J440" i="1"/>
  <c r="K440" i="1"/>
  <c r="J441" i="1"/>
  <c r="K441" i="1"/>
  <c r="J442" i="1"/>
  <c r="K442" i="1"/>
  <c r="J443" i="1"/>
  <c r="K443" i="1"/>
  <c r="J444" i="1"/>
  <c r="K444" i="1"/>
  <c r="J445" i="1"/>
  <c r="K445" i="1"/>
  <c r="J446" i="1"/>
  <c r="K446" i="1"/>
  <c r="J447" i="1"/>
  <c r="K447" i="1"/>
  <c r="J448" i="1"/>
  <c r="K448" i="1"/>
  <c r="J449" i="1"/>
  <c r="K449" i="1"/>
  <c r="J450" i="1"/>
  <c r="K450" i="1"/>
  <c r="J451" i="1"/>
  <c r="K451" i="1"/>
  <c r="J452" i="1"/>
  <c r="K452" i="1"/>
  <c r="J453" i="1"/>
  <c r="K453" i="1"/>
  <c r="J454" i="1"/>
  <c r="K454" i="1"/>
  <c r="J455" i="1"/>
  <c r="K455" i="1"/>
  <c r="J456" i="1"/>
  <c r="K456" i="1"/>
  <c r="J457" i="1"/>
  <c r="K457" i="1"/>
  <c r="J458" i="1"/>
  <c r="K458" i="1"/>
  <c r="J459" i="1"/>
  <c r="K459" i="1"/>
  <c r="J460" i="1"/>
  <c r="K460" i="1"/>
  <c r="J461" i="1"/>
  <c r="K461" i="1"/>
  <c r="J462" i="1"/>
  <c r="K462" i="1"/>
  <c r="J463" i="1"/>
  <c r="K463" i="1"/>
  <c r="J464" i="1"/>
  <c r="K464" i="1"/>
  <c r="J465" i="1"/>
  <c r="K465" i="1"/>
  <c r="J466" i="1"/>
  <c r="K466" i="1"/>
  <c r="J467" i="1"/>
  <c r="K467" i="1"/>
  <c r="J468" i="1"/>
  <c r="K468" i="1"/>
  <c r="J469" i="1"/>
  <c r="K469" i="1"/>
  <c r="J470" i="1"/>
  <c r="K470" i="1"/>
  <c r="J471" i="1"/>
  <c r="K471" i="1"/>
  <c r="J472" i="1"/>
  <c r="K472" i="1"/>
  <c r="J473" i="1"/>
  <c r="K473" i="1"/>
  <c r="J474" i="1"/>
  <c r="K474" i="1"/>
  <c r="J475" i="1"/>
  <c r="K475" i="1"/>
  <c r="J476" i="1"/>
  <c r="K476" i="1"/>
  <c r="J477" i="1"/>
  <c r="K477" i="1"/>
  <c r="J478" i="1"/>
  <c r="K478" i="1"/>
  <c r="J479" i="1"/>
  <c r="K479" i="1"/>
  <c r="J480" i="1"/>
  <c r="K480" i="1"/>
  <c r="J481" i="1"/>
  <c r="K481" i="1"/>
  <c r="J482" i="1"/>
  <c r="K482" i="1"/>
  <c r="J483" i="1"/>
  <c r="K483" i="1"/>
  <c r="J484" i="1"/>
  <c r="K484" i="1"/>
  <c r="J485" i="1"/>
  <c r="K485" i="1"/>
  <c r="J486" i="1"/>
  <c r="K486" i="1"/>
  <c r="J487" i="1"/>
  <c r="K487" i="1"/>
  <c r="J488" i="1"/>
  <c r="K488" i="1"/>
  <c r="J489" i="1"/>
  <c r="K489" i="1"/>
  <c r="J490" i="1"/>
  <c r="K490" i="1"/>
  <c r="J491" i="1"/>
  <c r="K491" i="1"/>
  <c r="J492" i="1"/>
  <c r="K492" i="1"/>
  <c r="J493" i="1"/>
  <c r="K493" i="1"/>
  <c r="J494" i="1"/>
  <c r="K494" i="1"/>
  <c r="J495" i="1"/>
  <c r="K495" i="1"/>
  <c r="J496" i="1"/>
  <c r="K496" i="1"/>
  <c r="J497" i="1"/>
  <c r="K497" i="1"/>
  <c r="J498" i="1"/>
  <c r="K498" i="1"/>
  <c r="J499" i="1"/>
  <c r="K499" i="1"/>
  <c r="J500" i="1"/>
  <c r="K500" i="1"/>
  <c r="J501" i="1"/>
  <c r="K501" i="1"/>
  <c r="J502" i="1"/>
  <c r="K502" i="1"/>
  <c r="J503" i="1"/>
  <c r="K503" i="1"/>
  <c r="J504" i="1"/>
  <c r="K504" i="1"/>
  <c r="J505" i="1"/>
  <c r="K505" i="1"/>
  <c r="J506" i="1"/>
  <c r="K506" i="1"/>
  <c r="J507" i="1"/>
  <c r="K507" i="1"/>
  <c r="J508" i="1"/>
  <c r="K508" i="1"/>
  <c r="J509" i="1"/>
  <c r="K509" i="1"/>
  <c r="J510" i="1"/>
  <c r="K510" i="1"/>
  <c r="J511" i="1"/>
  <c r="K511" i="1"/>
  <c r="J512" i="1"/>
  <c r="K512" i="1"/>
  <c r="J513" i="1"/>
  <c r="K513" i="1"/>
  <c r="J514" i="1"/>
  <c r="K514" i="1"/>
  <c r="J515" i="1"/>
  <c r="K515" i="1"/>
  <c r="J516" i="1"/>
  <c r="K516" i="1"/>
  <c r="J517" i="1"/>
  <c r="K517" i="1"/>
  <c r="J518" i="1"/>
  <c r="K518" i="1"/>
  <c r="J519" i="1"/>
  <c r="K519" i="1"/>
  <c r="J520" i="1"/>
  <c r="K520" i="1"/>
  <c r="J521" i="1"/>
  <c r="K521" i="1"/>
  <c r="J522" i="1"/>
  <c r="K522" i="1"/>
  <c r="J523" i="1"/>
  <c r="K523" i="1"/>
  <c r="J524" i="1"/>
  <c r="K524" i="1"/>
  <c r="J525" i="1"/>
  <c r="K525" i="1"/>
  <c r="J526" i="1"/>
  <c r="K526" i="1"/>
  <c r="J527" i="1"/>
  <c r="K527" i="1"/>
  <c r="J528" i="1"/>
  <c r="K528" i="1"/>
  <c r="J529" i="1"/>
  <c r="K529" i="1"/>
  <c r="J530" i="1"/>
  <c r="K530" i="1"/>
  <c r="J531" i="1"/>
  <c r="K531" i="1"/>
  <c r="J532" i="1"/>
  <c r="K532" i="1"/>
  <c r="J533" i="1"/>
  <c r="K533" i="1"/>
  <c r="J534" i="1"/>
  <c r="K534" i="1"/>
  <c r="J535" i="1"/>
  <c r="K535" i="1"/>
  <c r="J536" i="1"/>
  <c r="K536" i="1"/>
  <c r="J537" i="1"/>
  <c r="K537" i="1"/>
  <c r="J538" i="1"/>
  <c r="K538" i="1"/>
  <c r="J539" i="1"/>
  <c r="K539" i="1"/>
  <c r="J540" i="1"/>
  <c r="K540" i="1"/>
  <c r="J541" i="1"/>
  <c r="K541" i="1"/>
  <c r="J542" i="1"/>
  <c r="K542" i="1"/>
  <c r="J543" i="1"/>
  <c r="K543" i="1"/>
  <c r="J544" i="1"/>
  <c r="K544" i="1"/>
  <c r="J545" i="1"/>
  <c r="K545" i="1"/>
  <c r="J546" i="1"/>
  <c r="K546" i="1"/>
  <c r="J547" i="1"/>
  <c r="K547" i="1"/>
  <c r="J548" i="1"/>
  <c r="K548" i="1"/>
  <c r="J549" i="1"/>
  <c r="K549" i="1"/>
  <c r="J550" i="1"/>
  <c r="K550" i="1"/>
  <c r="J551" i="1"/>
  <c r="K551" i="1"/>
  <c r="J552" i="1"/>
  <c r="K552" i="1"/>
  <c r="J553" i="1"/>
  <c r="K553" i="1"/>
  <c r="J554" i="1"/>
  <c r="K554" i="1"/>
  <c r="J555" i="1"/>
  <c r="K555" i="1"/>
  <c r="J556" i="1"/>
  <c r="K556" i="1"/>
  <c r="J557" i="1"/>
  <c r="K557" i="1"/>
  <c r="J558" i="1"/>
  <c r="K558" i="1"/>
  <c r="J559" i="1"/>
  <c r="K559" i="1"/>
  <c r="J560" i="1"/>
  <c r="K560" i="1"/>
  <c r="J561" i="1"/>
  <c r="K561" i="1"/>
  <c r="A403" i="1"/>
  <c r="A408" i="1" s="1"/>
  <c r="A413" i="1" s="1"/>
  <c r="A418" i="1" s="1"/>
  <c r="A423" i="1" s="1"/>
  <c r="A428" i="1" s="1"/>
  <c r="A433" i="1" s="1"/>
  <c r="A438" i="1" s="1"/>
  <c r="A443" i="1" s="1"/>
  <c r="A448" i="1" s="1"/>
  <c r="A453" i="1" s="1"/>
  <c r="A458" i="1" s="1"/>
  <c r="A463" i="1" s="1"/>
  <c r="A468" i="1" s="1"/>
  <c r="A473" i="1" s="1"/>
  <c r="A478" i="1" s="1"/>
  <c r="A483" i="1" s="1"/>
  <c r="A488" i="1" s="1"/>
  <c r="A493" i="1" s="1"/>
  <c r="A498" i="1" s="1"/>
  <c r="A503" i="1" s="1"/>
  <c r="A508" i="1" s="1"/>
  <c r="A513" i="1" s="1"/>
  <c r="A518" i="1" s="1"/>
  <c r="A523" i="1" s="1"/>
  <c r="A528" i="1" s="1"/>
  <c r="A533" i="1" s="1"/>
  <c r="A538" i="1" s="1"/>
  <c r="A543" i="1" s="1"/>
  <c r="A548" i="1" s="1"/>
  <c r="A553" i="1" s="1"/>
  <c r="A558" i="1" s="1"/>
  <c r="A404" i="1"/>
  <c r="A405" i="1"/>
  <c r="A410" i="1" s="1"/>
  <c r="A415" i="1" s="1"/>
  <c r="A420" i="1" s="1"/>
  <c r="A425" i="1" s="1"/>
  <c r="A430" i="1" s="1"/>
  <c r="A435" i="1" s="1"/>
  <c r="A440" i="1" s="1"/>
  <c r="A445" i="1" s="1"/>
  <c r="A450" i="1" s="1"/>
  <c r="A455" i="1" s="1"/>
  <c r="A460" i="1" s="1"/>
  <c r="A465" i="1" s="1"/>
  <c r="A470" i="1" s="1"/>
  <c r="A475" i="1" s="1"/>
  <c r="A480" i="1" s="1"/>
  <c r="A485" i="1" s="1"/>
  <c r="A490" i="1" s="1"/>
  <c r="A495" i="1" s="1"/>
  <c r="A500" i="1" s="1"/>
  <c r="A505" i="1" s="1"/>
  <c r="A510" i="1" s="1"/>
  <c r="A515" i="1" s="1"/>
  <c r="A520" i="1" s="1"/>
  <c r="A525" i="1" s="1"/>
  <c r="A530" i="1" s="1"/>
  <c r="A535" i="1" s="1"/>
  <c r="A540" i="1" s="1"/>
  <c r="A545" i="1" s="1"/>
  <c r="A550" i="1" s="1"/>
  <c r="A555" i="1" s="1"/>
  <c r="A560" i="1" s="1"/>
  <c r="A406" i="1"/>
  <c r="A411" i="1" s="1"/>
  <c r="A416" i="1" s="1"/>
  <c r="A421" i="1" s="1"/>
  <c r="A426" i="1" s="1"/>
  <c r="A431" i="1" s="1"/>
  <c r="A436" i="1" s="1"/>
  <c r="A441" i="1" s="1"/>
  <c r="A446" i="1" s="1"/>
  <c r="A451" i="1" s="1"/>
  <c r="A456" i="1" s="1"/>
  <c r="A461" i="1" s="1"/>
  <c r="A466" i="1" s="1"/>
  <c r="A471" i="1" s="1"/>
  <c r="A476" i="1" s="1"/>
  <c r="A481" i="1" s="1"/>
  <c r="A486" i="1" s="1"/>
  <c r="A491" i="1" s="1"/>
  <c r="A496" i="1" s="1"/>
  <c r="A501" i="1" s="1"/>
  <c r="A506" i="1" s="1"/>
  <c r="A511" i="1" s="1"/>
  <c r="A516" i="1" s="1"/>
  <c r="A521" i="1" s="1"/>
  <c r="A526" i="1" s="1"/>
  <c r="A531" i="1" s="1"/>
  <c r="A536" i="1" s="1"/>
  <c r="A541" i="1" s="1"/>
  <c r="A546" i="1" s="1"/>
  <c r="A551" i="1" s="1"/>
  <c r="A556" i="1" s="1"/>
  <c r="A561" i="1" s="1"/>
  <c r="A407" i="1"/>
  <c r="A412" i="1" s="1"/>
  <c r="A417" i="1" s="1"/>
  <c r="A422" i="1" s="1"/>
  <c r="A427" i="1" s="1"/>
  <c r="A432" i="1" s="1"/>
  <c r="A437" i="1" s="1"/>
  <c r="A442" i="1" s="1"/>
  <c r="A447" i="1" s="1"/>
  <c r="A452" i="1" s="1"/>
  <c r="A457" i="1" s="1"/>
  <c r="A462" i="1" s="1"/>
  <c r="A467" i="1" s="1"/>
  <c r="A472" i="1" s="1"/>
  <c r="A477" i="1" s="1"/>
  <c r="A482" i="1" s="1"/>
  <c r="A487" i="1" s="1"/>
  <c r="A492" i="1" s="1"/>
  <c r="A497" i="1" s="1"/>
  <c r="A502" i="1" s="1"/>
  <c r="A507" i="1" s="1"/>
  <c r="A512" i="1" s="1"/>
  <c r="A517" i="1" s="1"/>
  <c r="A522" i="1" s="1"/>
  <c r="A527" i="1" s="1"/>
  <c r="A532" i="1" s="1"/>
  <c r="A537" i="1" s="1"/>
  <c r="A542" i="1" s="1"/>
  <c r="A547" i="1" s="1"/>
  <c r="A552" i="1" s="1"/>
  <c r="A557" i="1" s="1"/>
  <c r="A409" i="1"/>
  <c r="A414" i="1" s="1"/>
  <c r="A419" i="1" s="1"/>
  <c r="A424" i="1" s="1"/>
  <c r="A429" i="1" s="1"/>
  <c r="A434" i="1" s="1"/>
  <c r="A439" i="1" s="1"/>
  <c r="A444" i="1" s="1"/>
  <c r="A449" i="1" s="1"/>
  <c r="A454" i="1" s="1"/>
  <c r="A459" i="1" s="1"/>
  <c r="A464" i="1" s="1"/>
  <c r="A469" i="1" s="1"/>
  <c r="A474" i="1" s="1"/>
  <c r="A479" i="1" s="1"/>
  <c r="A484" i="1" s="1"/>
  <c r="A489" i="1" s="1"/>
  <c r="A494" i="1" s="1"/>
  <c r="A499" i="1" s="1"/>
  <c r="A504" i="1" s="1"/>
  <c r="A509" i="1" s="1"/>
  <c r="A514" i="1" s="1"/>
  <c r="A519" i="1" s="1"/>
  <c r="A524" i="1" s="1"/>
  <c r="A529" i="1" s="1"/>
  <c r="A534" i="1" s="1"/>
  <c r="A539" i="1" s="1"/>
  <c r="A544" i="1" s="1"/>
  <c r="A549" i="1" s="1"/>
  <c r="A554" i="1" s="1"/>
  <c r="A559" i="1" s="1"/>
  <c r="J402" i="1" l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J345" i="1"/>
  <c r="K345" i="1"/>
  <c r="J346" i="1"/>
  <c r="K346" i="1"/>
  <c r="J347" i="1"/>
  <c r="K347" i="1"/>
  <c r="J348" i="1"/>
  <c r="K348" i="1"/>
  <c r="J349" i="1"/>
  <c r="K349" i="1"/>
  <c r="J350" i="1"/>
  <c r="K350" i="1"/>
  <c r="J351" i="1"/>
  <c r="K351" i="1"/>
  <c r="J352" i="1"/>
  <c r="K352" i="1"/>
  <c r="J353" i="1"/>
  <c r="K353" i="1"/>
  <c r="J354" i="1"/>
  <c r="K354" i="1"/>
  <c r="J355" i="1"/>
  <c r="K355" i="1"/>
  <c r="J356" i="1"/>
  <c r="K356" i="1"/>
  <c r="J357" i="1"/>
  <c r="K357" i="1"/>
  <c r="J358" i="1"/>
  <c r="K358" i="1"/>
  <c r="J359" i="1"/>
  <c r="K359" i="1"/>
  <c r="J360" i="1"/>
  <c r="K360" i="1"/>
  <c r="J361" i="1"/>
  <c r="K361" i="1"/>
  <c r="J362" i="1"/>
  <c r="K362" i="1"/>
  <c r="J363" i="1"/>
  <c r="K363" i="1"/>
  <c r="J364" i="1"/>
  <c r="K364" i="1"/>
  <c r="J365" i="1"/>
  <c r="K365" i="1"/>
  <c r="J366" i="1"/>
  <c r="K366" i="1"/>
  <c r="J367" i="1"/>
  <c r="K367" i="1"/>
  <c r="J368" i="1"/>
  <c r="K368" i="1"/>
  <c r="J369" i="1"/>
  <c r="K369" i="1"/>
  <c r="J370" i="1"/>
  <c r="K370" i="1"/>
  <c r="J371" i="1"/>
  <c r="K371" i="1"/>
  <c r="J372" i="1"/>
  <c r="K372" i="1"/>
  <c r="J373" i="1"/>
  <c r="K373" i="1"/>
  <c r="J374" i="1"/>
  <c r="K374" i="1"/>
  <c r="J375" i="1"/>
  <c r="K375" i="1"/>
  <c r="J376" i="1"/>
  <c r="K376" i="1"/>
  <c r="J377" i="1"/>
  <c r="K377" i="1"/>
  <c r="J378" i="1"/>
  <c r="K378" i="1"/>
  <c r="J379" i="1"/>
  <c r="K379" i="1"/>
  <c r="J380" i="1"/>
  <c r="K380" i="1"/>
  <c r="J381" i="1"/>
  <c r="K381" i="1"/>
  <c r="J382" i="1"/>
  <c r="K382" i="1"/>
  <c r="J383" i="1"/>
  <c r="K383" i="1"/>
  <c r="J384" i="1"/>
  <c r="K384" i="1"/>
  <c r="J385" i="1"/>
  <c r="K385" i="1"/>
  <c r="J386" i="1"/>
  <c r="K386" i="1"/>
  <c r="J387" i="1"/>
  <c r="K387" i="1"/>
  <c r="J388" i="1"/>
  <c r="K388" i="1"/>
  <c r="J389" i="1"/>
  <c r="K389" i="1"/>
  <c r="J390" i="1"/>
  <c r="K390" i="1"/>
  <c r="J391" i="1"/>
  <c r="K391" i="1"/>
  <c r="J392" i="1"/>
  <c r="K392" i="1"/>
  <c r="J393" i="1"/>
  <c r="K393" i="1"/>
  <c r="J394" i="1"/>
  <c r="K394" i="1"/>
  <c r="J395" i="1"/>
  <c r="K395" i="1"/>
  <c r="J396" i="1"/>
  <c r="K396" i="1"/>
  <c r="J397" i="1"/>
  <c r="K397" i="1"/>
  <c r="J398" i="1"/>
  <c r="K398" i="1"/>
  <c r="J399" i="1"/>
  <c r="K399" i="1"/>
  <c r="J400" i="1"/>
  <c r="K400" i="1"/>
  <c r="K401" i="1"/>
  <c r="J401" i="1"/>
  <c r="A15" i="1"/>
  <c r="A20" i="1" s="1"/>
  <c r="A25" i="1" s="1"/>
  <c r="A30" i="1" s="1"/>
  <c r="A35" i="1" s="1"/>
  <c r="A40" i="1" s="1"/>
  <c r="A45" i="1" s="1"/>
  <c r="A50" i="1" s="1"/>
  <c r="A55" i="1" s="1"/>
  <c r="A60" i="1" s="1"/>
  <c r="A65" i="1" s="1"/>
  <c r="A70" i="1" s="1"/>
  <c r="A75" i="1" s="1"/>
  <c r="A80" i="1" s="1"/>
  <c r="A85" i="1" s="1"/>
  <c r="A90" i="1" s="1"/>
  <c r="A95" i="1" s="1"/>
  <c r="A100" i="1" s="1"/>
  <c r="A105" i="1" s="1"/>
  <c r="A110" i="1" s="1"/>
  <c r="A115" i="1" s="1"/>
  <c r="A120" i="1" s="1"/>
  <c r="A125" i="1" s="1"/>
  <c r="A130" i="1" s="1"/>
  <c r="A135" i="1" s="1"/>
  <c r="A140" i="1" s="1"/>
  <c r="A145" i="1" s="1"/>
  <c r="A150" i="1" s="1"/>
  <c r="A155" i="1" s="1"/>
  <c r="A160" i="1" s="1"/>
  <c r="A165" i="1" s="1"/>
  <c r="A170" i="1" s="1"/>
  <c r="A175" i="1" s="1"/>
  <c r="A180" i="1" s="1"/>
  <c r="A185" i="1" s="1"/>
  <c r="A190" i="1" s="1"/>
  <c r="A195" i="1" s="1"/>
  <c r="A200" i="1" s="1"/>
  <c r="A205" i="1" s="1"/>
  <c r="A210" i="1" s="1"/>
  <c r="A215" i="1" s="1"/>
  <c r="A220" i="1" s="1"/>
  <c r="A225" i="1" s="1"/>
  <c r="A230" i="1" s="1"/>
  <c r="A235" i="1" s="1"/>
  <c r="A240" i="1" s="1"/>
  <c r="A245" i="1" s="1"/>
  <c r="A250" i="1" s="1"/>
  <c r="A255" i="1" s="1"/>
  <c r="A260" i="1" s="1"/>
  <c r="A265" i="1" s="1"/>
  <c r="A270" i="1" s="1"/>
  <c r="A275" i="1" s="1"/>
  <c r="A280" i="1" s="1"/>
  <c r="A285" i="1" s="1"/>
  <c r="A290" i="1" s="1"/>
  <c r="A295" i="1" s="1"/>
  <c r="A300" i="1" s="1"/>
  <c r="A305" i="1" s="1"/>
  <c r="A310" i="1" s="1"/>
  <c r="A315" i="1" s="1"/>
  <c r="A320" i="1" s="1"/>
  <c r="A325" i="1" s="1"/>
  <c r="A330" i="1" s="1"/>
  <c r="A335" i="1" s="1"/>
  <c r="A340" i="1" s="1"/>
  <c r="A345" i="1" s="1"/>
  <c r="A350" i="1" s="1"/>
  <c r="A355" i="1" s="1"/>
  <c r="A360" i="1" s="1"/>
  <c r="A365" i="1" s="1"/>
  <c r="A370" i="1" s="1"/>
  <c r="A375" i="1" s="1"/>
  <c r="A380" i="1" s="1"/>
  <c r="A385" i="1" s="1"/>
  <c r="A390" i="1" s="1"/>
  <c r="A395" i="1" s="1"/>
  <c r="A400" i="1" s="1"/>
  <c r="A16" i="1"/>
  <c r="A21" i="1" s="1"/>
  <c r="A26" i="1" s="1"/>
  <c r="A31" i="1" s="1"/>
  <c r="A36" i="1" s="1"/>
  <c r="A41" i="1" s="1"/>
  <c r="A46" i="1" s="1"/>
  <c r="A51" i="1" s="1"/>
  <c r="A56" i="1" s="1"/>
  <c r="A61" i="1" s="1"/>
  <c r="A66" i="1" s="1"/>
  <c r="A71" i="1" s="1"/>
  <c r="A76" i="1" s="1"/>
  <c r="A81" i="1" s="1"/>
  <c r="A86" i="1" s="1"/>
  <c r="A91" i="1" s="1"/>
  <c r="A96" i="1" s="1"/>
  <c r="A101" i="1" s="1"/>
  <c r="A106" i="1" s="1"/>
  <c r="A111" i="1" s="1"/>
  <c r="A116" i="1" s="1"/>
  <c r="A121" i="1" s="1"/>
  <c r="A126" i="1" s="1"/>
  <c r="A131" i="1" s="1"/>
  <c r="A136" i="1" s="1"/>
  <c r="A141" i="1" s="1"/>
  <c r="A146" i="1" s="1"/>
  <c r="A151" i="1" s="1"/>
  <c r="A156" i="1" s="1"/>
  <c r="A161" i="1" s="1"/>
  <c r="A166" i="1" s="1"/>
  <c r="A171" i="1" s="1"/>
  <c r="A176" i="1" s="1"/>
  <c r="A181" i="1" s="1"/>
  <c r="A186" i="1" s="1"/>
  <c r="A191" i="1" s="1"/>
  <c r="A196" i="1" s="1"/>
  <c r="A201" i="1" s="1"/>
  <c r="A206" i="1" s="1"/>
  <c r="A211" i="1" s="1"/>
  <c r="A216" i="1" s="1"/>
  <c r="A221" i="1" s="1"/>
  <c r="A226" i="1" s="1"/>
  <c r="A231" i="1" s="1"/>
  <c r="A236" i="1" s="1"/>
  <c r="A241" i="1" s="1"/>
  <c r="A246" i="1" s="1"/>
  <c r="A251" i="1" s="1"/>
  <c r="A256" i="1" s="1"/>
  <c r="A261" i="1" s="1"/>
  <c r="A266" i="1" s="1"/>
  <c r="A271" i="1" s="1"/>
  <c r="A276" i="1" s="1"/>
  <c r="A281" i="1" s="1"/>
  <c r="A286" i="1" s="1"/>
  <c r="A291" i="1" s="1"/>
  <c r="A296" i="1" s="1"/>
  <c r="A301" i="1" s="1"/>
  <c r="A306" i="1" s="1"/>
  <c r="A311" i="1" s="1"/>
  <c r="A316" i="1" s="1"/>
  <c r="A321" i="1" s="1"/>
  <c r="A326" i="1" s="1"/>
  <c r="A331" i="1" s="1"/>
  <c r="A336" i="1" s="1"/>
  <c r="A341" i="1" s="1"/>
  <c r="A346" i="1" s="1"/>
  <c r="A351" i="1" s="1"/>
  <c r="A356" i="1" s="1"/>
  <c r="A361" i="1" s="1"/>
  <c r="A366" i="1" s="1"/>
  <c r="A371" i="1" s="1"/>
  <c r="A376" i="1" s="1"/>
  <c r="A381" i="1" s="1"/>
  <c r="A386" i="1" s="1"/>
  <c r="A391" i="1" s="1"/>
  <c r="A396" i="1" s="1"/>
  <c r="A401" i="1" s="1"/>
  <c r="A17" i="1"/>
  <c r="A22" i="1" s="1"/>
  <c r="A27" i="1" s="1"/>
  <c r="A32" i="1" s="1"/>
  <c r="A37" i="1" s="1"/>
  <c r="A42" i="1" s="1"/>
  <c r="A47" i="1" s="1"/>
  <c r="A52" i="1" s="1"/>
  <c r="A57" i="1" s="1"/>
  <c r="A62" i="1" s="1"/>
  <c r="A67" i="1" s="1"/>
  <c r="A72" i="1" s="1"/>
  <c r="A77" i="1" s="1"/>
  <c r="A82" i="1" s="1"/>
  <c r="A87" i="1" s="1"/>
  <c r="A92" i="1" s="1"/>
  <c r="A97" i="1" s="1"/>
  <c r="A102" i="1" s="1"/>
  <c r="A107" i="1" s="1"/>
  <c r="A112" i="1" s="1"/>
  <c r="A117" i="1" s="1"/>
  <c r="A122" i="1" s="1"/>
  <c r="A127" i="1" s="1"/>
  <c r="A132" i="1" s="1"/>
  <c r="A137" i="1" s="1"/>
  <c r="A142" i="1" s="1"/>
  <c r="A147" i="1" s="1"/>
  <c r="A152" i="1" s="1"/>
  <c r="A157" i="1" s="1"/>
  <c r="A162" i="1" s="1"/>
  <c r="A167" i="1" s="1"/>
  <c r="A172" i="1" s="1"/>
  <c r="A177" i="1" s="1"/>
  <c r="A182" i="1" s="1"/>
  <c r="A187" i="1" s="1"/>
  <c r="A192" i="1" s="1"/>
  <c r="A197" i="1" s="1"/>
  <c r="A202" i="1" s="1"/>
  <c r="A207" i="1" s="1"/>
  <c r="A212" i="1" s="1"/>
  <c r="A217" i="1" s="1"/>
  <c r="A222" i="1" s="1"/>
  <c r="A227" i="1" s="1"/>
  <c r="A232" i="1" s="1"/>
  <c r="A237" i="1" s="1"/>
  <c r="A242" i="1" s="1"/>
  <c r="A247" i="1" s="1"/>
  <c r="A252" i="1" s="1"/>
  <c r="A257" i="1" s="1"/>
  <c r="A262" i="1" s="1"/>
  <c r="A267" i="1" s="1"/>
  <c r="A272" i="1" s="1"/>
  <c r="A277" i="1" s="1"/>
  <c r="A282" i="1" s="1"/>
  <c r="A287" i="1" s="1"/>
  <c r="A292" i="1" s="1"/>
  <c r="A297" i="1" s="1"/>
  <c r="A302" i="1" s="1"/>
  <c r="A307" i="1" s="1"/>
  <c r="A312" i="1" s="1"/>
  <c r="A317" i="1" s="1"/>
  <c r="A322" i="1" s="1"/>
  <c r="A327" i="1" s="1"/>
  <c r="A332" i="1" s="1"/>
  <c r="A337" i="1" s="1"/>
  <c r="A342" i="1" s="1"/>
  <c r="A347" i="1" s="1"/>
  <c r="A352" i="1" s="1"/>
  <c r="A357" i="1" s="1"/>
  <c r="A362" i="1" s="1"/>
  <c r="A367" i="1" s="1"/>
  <c r="A372" i="1" s="1"/>
  <c r="A377" i="1" s="1"/>
  <c r="A382" i="1" s="1"/>
  <c r="A387" i="1" s="1"/>
  <c r="A392" i="1" s="1"/>
  <c r="A397" i="1" s="1"/>
  <c r="A402" i="1" s="1"/>
  <c r="A18" i="1"/>
  <c r="A23" i="1" s="1"/>
  <c r="A28" i="1" s="1"/>
  <c r="A33" i="1" s="1"/>
  <c r="A38" i="1" s="1"/>
  <c r="A43" i="1" s="1"/>
  <c r="A48" i="1" s="1"/>
  <c r="A53" i="1" s="1"/>
  <c r="A58" i="1" s="1"/>
  <c r="A63" i="1" s="1"/>
  <c r="A68" i="1" s="1"/>
  <c r="A73" i="1" s="1"/>
  <c r="A78" i="1" s="1"/>
  <c r="A83" i="1" s="1"/>
  <c r="A88" i="1" s="1"/>
  <c r="A93" i="1" s="1"/>
  <c r="A98" i="1" s="1"/>
  <c r="A103" i="1" s="1"/>
  <c r="A108" i="1" s="1"/>
  <c r="A113" i="1" s="1"/>
  <c r="A118" i="1" s="1"/>
  <c r="A123" i="1" s="1"/>
  <c r="A128" i="1" s="1"/>
  <c r="A133" i="1" s="1"/>
  <c r="A138" i="1" s="1"/>
  <c r="A143" i="1" s="1"/>
  <c r="A148" i="1" s="1"/>
  <c r="A153" i="1" s="1"/>
  <c r="A158" i="1" s="1"/>
  <c r="A163" i="1" s="1"/>
  <c r="A168" i="1" s="1"/>
  <c r="A173" i="1" s="1"/>
  <c r="A178" i="1" s="1"/>
  <c r="A183" i="1" s="1"/>
  <c r="A188" i="1" s="1"/>
  <c r="A193" i="1" s="1"/>
  <c r="A198" i="1" s="1"/>
  <c r="A203" i="1" s="1"/>
  <c r="A208" i="1" s="1"/>
  <c r="A213" i="1" s="1"/>
  <c r="A218" i="1" s="1"/>
  <c r="A223" i="1" s="1"/>
  <c r="A228" i="1" s="1"/>
  <c r="A233" i="1" s="1"/>
  <c r="A238" i="1" s="1"/>
  <c r="A243" i="1" s="1"/>
  <c r="A248" i="1" s="1"/>
  <c r="A253" i="1" s="1"/>
  <c r="A258" i="1" s="1"/>
  <c r="A263" i="1" s="1"/>
  <c r="A268" i="1" s="1"/>
  <c r="A273" i="1" s="1"/>
  <c r="A278" i="1" s="1"/>
  <c r="A283" i="1" s="1"/>
  <c r="A288" i="1" s="1"/>
  <c r="A293" i="1" s="1"/>
  <c r="A298" i="1" s="1"/>
  <c r="A303" i="1" s="1"/>
  <c r="A308" i="1" s="1"/>
  <c r="A313" i="1" s="1"/>
  <c r="A318" i="1" s="1"/>
  <c r="A323" i="1" s="1"/>
  <c r="A328" i="1" s="1"/>
  <c r="A333" i="1" s="1"/>
  <c r="A338" i="1" s="1"/>
  <c r="A343" i="1" s="1"/>
  <c r="A348" i="1" s="1"/>
  <c r="A353" i="1" s="1"/>
  <c r="A358" i="1" s="1"/>
  <c r="A363" i="1" s="1"/>
  <c r="A368" i="1" s="1"/>
  <c r="A373" i="1" s="1"/>
  <c r="A378" i="1" s="1"/>
  <c r="A383" i="1" s="1"/>
  <c r="A388" i="1" s="1"/>
  <c r="A393" i="1" s="1"/>
  <c r="A398" i="1" s="1"/>
  <c r="A19" i="1"/>
  <c r="A24" i="1" s="1"/>
  <c r="A29" i="1" s="1"/>
  <c r="A34" i="1" s="1"/>
  <c r="A39" i="1" s="1"/>
  <c r="A44" i="1" s="1"/>
  <c r="A49" i="1" s="1"/>
  <c r="A54" i="1" s="1"/>
  <c r="A59" i="1" s="1"/>
  <c r="A64" i="1" s="1"/>
  <c r="A69" i="1" s="1"/>
  <c r="A74" i="1" s="1"/>
  <c r="A79" i="1" s="1"/>
  <c r="A84" i="1" s="1"/>
  <c r="A89" i="1" s="1"/>
  <c r="A94" i="1" s="1"/>
  <c r="A99" i="1" s="1"/>
  <c r="A104" i="1" s="1"/>
  <c r="A109" i="1" s="1"/>
  <c r="A114" i="1" s="1"/>
  <c r="A119" i="1" s="1"/>
  <c r="A124" i="1" s="1"/>
  <c r="A129" i="1" s="1"/>
  <c r="A134" i="1" s="1"/>
  <c r="A139" i="1" s="1"/>
  <c r="A144" i="1" s="1"/>
  <c r="A149" i="1" s="1"/>
  <c r="A154" i="1" s="1"/>
  <c r="A159" i="1" s="1"/>
  <c r="A164" i="1" s="1"/>
  <c r="A169" i="1" s="1"/>
  <c r="A174" i="1" s="1"/>
  <c r="A179" i="1" s="1"/>
  <c r="A184" i="1" s="1"/>
  <c r="A189" i="1" s="1"/>
  <c r="A194" i="1" s="1"/>
  <c r="A199" i="1" s="1"/>
  <c r="A204" i="1" s="1"/>
  <c r="A209" i="1" s="1"/>
  <c r="A214" i="1" s="1"/>
  <c r="A219" i="1" s="1"/>
  <c r="A224" i="1" s="1"/>
  <c r="A229" i="1" s="1"/>
  <c r="A234" i="1" s="1"/>
  <c r="A239" i="1" s="1"/>
  <c r="A244" i="1" s="1"/>
  <c r="A249" i="1" s="1"/>
  <c r="A254" i="1" s="1"/>
  <c r="A259" i="1" s="1"/>
  <c r="A264" i="1" s="1"/>
  <c r="A269" i="1" s="1"/>
  <c r="A274" i="1" s="1"/>
  <c r="A279" i="1" s="1"/>
  <c r="A284" i="1" s="1"/>
  <c r="A289" i="1" s="1"/>
  <c r="A294" i="1" s="1"/>
  <c r="A299" i="1" s="1"/>
  <c r="A304" i="1" s="1"/>
  <c r="A309" i="1" s="1"/>
  <c r="A314" i="1" s="1"/>
  <c r="A319" i="1" s="1"/>
  <c r="A324" i="1" s="1"/>
  <c r="A329" i="1" s="1"/>
  <c r="A334" i="1" s="1"/>
  <c r="A339" i="1" s="1"/>
  <c r="A344" i="1" s="1"/>
  <c r="A349" i="1" s="1"/>
  <c r="A354" i="1" s="1"/>
  <c r="A359" i="1" s="1"/>
  <c r="A364" i="1" s="1"/>
  <c r="A369" i="1" s="1"/>
  <c r="A374" i="1" s="1"/>
  <c r="A379" i="1" s="1"/>
  <c r="A384" i="1" s="1"/>
  <c r="A389" i="1" s="1"/>
  <c r="A394" i="1" s="1"/>
  <c r="A399" i="1" s="1"/>
  <c r="A14" i="1"/>
  <c r="N397" i="1" l="1"/>
  <c r="N398" i="1"/>
  <c r="N396" i="1"/>
  <c r="N402" i="1"/>
  <c r="N395" i="1"/>
  <c r="N401" i="1"/>
  <c r="N403" i="1"/>
  <c r="M396" i="1"/>
  <c r="M400" i="1"/>
  <c r="M402" i="1"/>
  <c r="M397" i="1"/>
  <c r="M398" i="1"/>
  <c r="M401" i="1"/>
  <c r="M394" i="1"/>
  <c r="M403" i="1"/>
  <c r="M399" i="1"/>
  <c r="M395" i="1"/>
  <c r="K402" i="1"/>
  <c r="N399" i="1" s="1"/>
  <c r="N400" i="1" l="1"/>
  <c r="N394" i="1"/>
</calcChain>
</file>

<file path=xl/sharedStrings.xml><?xml version="1.0" encoding="utf-8"?>
<sst xmlns="http://schemas.openxmlformats.org/spreadsheetml/2006/main" count="599" uniqueCount="590">
  <si>
    <t>T112GA@INTDAILY</t>
  </si>
  <si>
    <t>T134GA@INTDAILY</t>
  </si>
  <si>
    <t>R111GA@INTDAILY</t>
  </si>
  <si>
    <t>20240101 !D</t>
  </si>
  <si>
    <t>20240101</t>
  </si>
  <si>
    <t>.DTLM</t>
  </si>
  <si>
    <t>.LSOURCE</t>
  </si>
  <si>
    <t>.TN</t>
  </si>
  <si>
    <t>.T1</t>
  </si>
  <si>
    <t>.DESC</t>
  </si>
  <si>
    <t>London Stock Exchange Group</t>
  </si>
  <si>
    <t>26-Jan-1994</t>
  </si>
  <si>
    <t>UK: 10-Yr Government Bond Yield (%)</t>
  </si>
  <si>
    <t>10-Jan-1994</t>
  </si>
  <si>
    <t>Germany: 10-Yr Government Bond Yield (%)</t>
  </si>
  <si>
    <t>U.S. Treasury</t>
  </si>
  <si>
    <t>02-Jan-1962</t>
  </si>
  <si>
    <t>U.S.: 10-Year Treasury Note Yield at Constant Maturity ( % p.a.)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</si>
  <si>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</si>
  <si>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</si>
  <si>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</si>
  <si>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</si>
  <si>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</si>
  <si>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</si>
  <si>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</si>
  <si>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</si>
  <si>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</si>
  <si>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</si>
  <si>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</si>
  <si>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</si>
  <si>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</si>
  <si>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</si>
  <si>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</si>
  <si>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</si>
  <si>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</si>
  <si>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</si>
  <si>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</si>
  <si>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</si>
  <si>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</si>
  <si>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</si>
  <si>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</si>
  <si>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</si>
  <si>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</si>
  <si>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</si>
  <si>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</si>
  <si>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</si>
  <si>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</si>
  <si>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</si>
  <si>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</si>
  <si>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</si>
  <si>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</si>
  <si>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</si>
  <si>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</si>
  <si>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</si>
  <si>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</si>
  <si>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</si>
  <si>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</si>
  <si>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</si>
  <si>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</si>
  <si>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</si>
  <si>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</si>
  <si>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</si>
  <si>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</si>
  <si>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</si>
  <si>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</si>
  <si>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</si>
  <si>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</si>
  <si>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</si>
  <si>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</si>
  <si>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</si>
  <si>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</si>
  <si>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</si>
  <si>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</si>
  <si>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</si>
  <si>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</si>
  <si>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</si>
  <si>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</si>
  <si>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</si>
  <si>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</si>
  <si>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</si>
  <si>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</si>
  <si>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</si>
  <si>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</si>
  <si>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</si>
  <si>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</si>
  <si>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</si>
  <si>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</si>
  <si>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</si>
  <si>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</si>
  <si>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</si>
  <si>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</si>
  <si>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</si>
  <si>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</si>
  <si>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</si>
  <si>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</si>
  <si>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</si>
  <si>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</si>
  <si>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</si>
  <si>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</si>
  <si>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</si>
  <si>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</si>
  <si>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</si>
  <si>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</si>
  <si>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</si>
  <si>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20240501</t>
  </si>
  <si>
    <t>20240502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</si>
  <si>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</si>
  <si>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</si>
  <si>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</si>
  <si>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</si>
  <si>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</si>
  <si>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</si>
  <si>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</si>
  <si>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</si>
  <si>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</si>
  <si>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</si>
  <si>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</si>
  <si>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</si>
  <si>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</si>
  <si>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</si>
  <si>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</si>
  <si>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</si>
  <si>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</si>
  <si>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</si>
  <si>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</si>
  <si>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</si>
  <si>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</si>
  <si>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</si>
  <si>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</si>
  <si>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</si>
  <si>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</si>
  <si>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</si>
  <si>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</si>
  <si>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</si>
  <si>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</si>
  <si>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</si>
  <si>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</si>
  <si>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</si>
  <si>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</si>
  <si>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</si>
  <si>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</si>
  <si>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</si>
  <si>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</si>
  <si>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</si>
  <si>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</si>
  <si>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</si>
  <si>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</si>
  <si>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</si>
  <si>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</si>
  <si>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</si>
  <si>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</si>
  <si>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</si>
  <si>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</si>
  <si>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</si>
  <si>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</si>
  <si>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</si>
  <si>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</si>
  <si>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</si>
  <si>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</si>
  <si>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</si>
  <si>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</si>
  <si>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</si>
  <si>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</si>
  <si>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</si>
  <si>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</si>
  <si>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</si>
  <si>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</si>
  <si>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</si>
  <si>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</si>
  <si>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</si>
  <si>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</si>
  <si>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</si>
  <si>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</si>
  <si>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</si>
  <si>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</si>
  <si>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</si>
  <si>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</si>
  <si>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</si>
  <si>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</si>
  <si>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</si>
  <si>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</si>
  <si>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</si>
  <si>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</si>
  <si>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</si>
  <si>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</si>
  <si>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</si>
  <si>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</si>
  <si>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</si>
  <si>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</si>
  <si>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</si>
  <si>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</si>
  <si>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</si>
  <si>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</si>
  <si>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</si>
  <si>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</si>
  <si>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</si>
  <si>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</si>
  <si>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</si>
  <si>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</si>
  <si>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</si>
  <si>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</si>
  <si>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</si>
  <si>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</si>
  <si>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</si>
  <si>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</si>
  <si>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</si>
  <si>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</si>
  <si>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</si>
  <si>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</si>
  <si>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</si>
  <si>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</si>
  <si>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</si>
  <si>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</si>
  <si>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</si>
  <si>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</si>
  <si>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</si>
  <si>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</si>
  <si>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</si>
  <si>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</si>
  <si>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</si>
  <si>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</si>
  <si>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</si>
  <si>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</si>
  <si>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</si>
  <si>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</si>
  <si>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</si>
  <si>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</si>
  <si>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</si>
  <si>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</si>
  <si>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</si>
  <si>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</si>
  <si>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</si>
  <si>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</si>
  <si>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</si>
  <si>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</si>
  <si>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</si>
  <si>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</si>
  <si>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</si>
  <si>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</si>
  <si>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</si>
  <si>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</si>
  <si>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</si>
  <si>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</si>
  <si>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</si>
  <si>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</si>
  <si>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</si>
  <si>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</si>
  <si>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</si>
  <si>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</si>
  <si>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</si>
  <si>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</si>
  <si>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</si>
  <si>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</si>
  <si>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</si>
  <si>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</si>
  <si>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</si>
  <si>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</si>
  <si>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</si>
  <si>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</si>
  <si>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</si>
  <si>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</si>
  <si>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</si>
  <si>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</si>
  <si>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</si>
  <si>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</si>
  <si>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</si>
  <si>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</si>
  <si>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</si>
  <si>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</si>
  <si>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</si>
  <si>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</si>
  <si>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</si>
  <si>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</si>
  <si>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</si>
  <si>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</si>
  <si>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</si>
  <si>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</si>
  <si>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</si>
  <si>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</si>
  <si>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</si>
  <si>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</si>
  <si>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</si>
  <si>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</si>
  <si>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</si>
  <si>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</si>
  <si>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</si>
  <si>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</si>
  <si>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</si>
  <si>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</si>
  <si>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</si>
  <si>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</si>
  <si>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</si>
  <si>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</si>
  <si>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</si>
  <si>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</si>
  <si>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</si>
  <si>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</si>
  <si>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</si>
  <si>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20250128</t>
  </si>
  <si>
    <t>20250129</t>
  </si>
  <si>
    <t>20250130</t>
  </si>
  <si>
    <t>20250131</t>
  </si>
  <si>
    <t>20250203</t>
  </si>
  <si>
    <t>20250204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</si>
  <si>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</si>
  <si>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</si>
  <si>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</si>
  <si>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</si>
  <si>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</si>
  <si>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</si>
  <si>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</si>
  <si>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</si>
  <si>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</si>
  <si>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</si>
  <si>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</si>
  <si>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</si>
  <si>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</si>
  <si>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</si>
  <si>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</si>
  <si>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</si>
  <si>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</si>
  <si>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</si>
  <si>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</si>
  <si>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</si>
  <si>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</si>
  <si>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</si>
  <si>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</si>
  <si>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</si>
  <si>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</si>
  <si>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</si>
  <si>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</si>
  <si>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</si>
  <si>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</si>
  <si>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</si>
  <si>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</si>
  <si>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</si>
  <si>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</si>
  <si>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</si>
  <si>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</si>
  <si>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</si>
  <si>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</si>
  <si>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</si>
  <si>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</si>
  <si>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</si>
  <si>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</si>
  <si>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</si>
  <si>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20250404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</si>
  <si>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</si>
  <si>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</si>
  <si>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</si>
  <si>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</si>
  <si>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</si>
  <si>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</si>
  <si>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</si>
  <si>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</si>
  <si>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</si>
  <si>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</si>
  <si>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</si>
  <si>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</si>
  <si>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</si>
  <si>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</si>
  <si>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</si>
  <si>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</si>
  <si>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</si>
  <si>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</si>
  <si>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20250501</t>
  </si>
  <si>
    <t>20250502</t>
  </si>
  <si>
    <t>20250505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</si>
  <si>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</si>
  <si>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</si>
  <si>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</si>
  <si>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</si>
  <si>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</si>
  <si>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</si>
  <si>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</si>
  <si>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</si>
  <si>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</si>
  <si>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</si>
  <si>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</si>
  <si>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</si>
  <si>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</si>
  <si>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</si>
  <si>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</si>
  <si>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</si>
  <si>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</si>
  <si>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</si>
  <si>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</si>
  <si>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20250602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</si>
  <si>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</si>
  <si>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</si>
  <si>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</si>
  <si>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</si>
  <si>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</si>
  <si>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</si>
  <si>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</si>
  <si>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</si>
  <si>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</si>
  <si>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</si>
  <si>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</si>
  <si>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</si>
  <si>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</si>
  <si>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</si>
  <si>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</si>
  <si>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</si>
  <si>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</si>
  <si>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</si>
  <si>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</si>
  <si>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</si>
  <si>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</si>
  <si>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</si>
  <si>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UK</t>
  </si>
  <si>
    <t>US</t>
  </si>
  <si>
    <t>Germany</t>
  </si>
  <si>
    <t>Spread: UK-US</t>
  </si>
  <si>
    <t>Spread: UK-Germany</t>
  </si>
  <si>
    <t>X112USB@INTDAILY</t>
  </si>
  <si>
    <t>X112EUB@INTDAILY</t>
  </si>
  <si>
    <t>Bank of England</t>
  </si>
  <si>
    <t>02-Jan-1975</t>
  </si>
  <si>
    <t>UK: Spot Exchange Rate: US Dollar (US$/GBP)</t>
  </si>
  <si>
    <t>04-Jan-1999</t>
  </si>
  <si>
    <t>UK: Spot Exchange Rate: Euro (Euros/GBP)</t>
  </si>
  <si>
    <t>$/£</t>
  </si>
  <si>
    <t>€/£</t>
  </si>
  <si>
    <t>20250703</t>
  </si>
  <si>
    <t>Feb-11-2026 20:51</t>
  </si>
  <si>
    <t>11-Feb-2026</t>
  </si>
  <si>
    <t>Feb-11-2026 21:03</t>
  </si>
  <si>
    <t>Feb-11-2026 09:31</t>
  </si>
  <si>
    <t>10-Feb-2026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</si>
  <si>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</si>
  <si>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</si>
  <si>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</si>
  <si>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</si>
  <si>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</si>
  <si>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</si>
  <si>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</si>
  <si>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</si>
  <si>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</si>
  <si>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</si>
  <si>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</si>
  <si>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</si>
  <si>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</si>
  <si>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</si>
  <si>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</si>
  <si>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</si>
  <si>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</si>
  <si>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</si>
  <si>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</si>
  <si>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</si>
  <si>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</si>
  <si>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</si>
  <si>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</si>
  <si>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</si>
  <si>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</si>
  <si>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</si>
  <si>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</si>
  <si>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</si>
  <si>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</si>
  <si>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</si>
  <si>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</si>
  <si>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</si>
  <si>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</si>
  <si>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</si>
  <si>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</si>
  <si>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</si>
  <si>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</si>
  <si>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</si>
  <si>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</si>
  <si>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</si>
  <si>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</si>
  <si>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</si>
  <si>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</si>
  <si>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</si>
  <si>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</si>
  <si>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</si>
  <si>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</si>
  <si>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</si>
  <si>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</si>
  <si>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</si>
  <si>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</si>
  <si>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</si>
  <si>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</si>
  <si>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</si>
  <si>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</si>
  <si>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</si>
  <si>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</si>
  <si>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</si>
  <si>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</si>
  <si>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</si>
  <si>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</si>
  <si>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</si>
  <si>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</si>
  <si>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20251001</t>
  </si>
  <si>
    <t>20251002</t>
  </si>
  <si>
    <t>20251003</t>
  </si>
  <si>
    <t>20251006</t>
  </si>
  <si>
    <t>20251007</t>
  </si>
  <si>
    <t>20251008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</si>
  <si>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</si>
  <si>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</si>
  <si>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</si>
  <si>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</si>
  <si>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</si>
  <si>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</si>
  <si>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</si>
  <si>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</si>
  <si>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</si>
  <si>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</si>
  <si>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</si>
  <si>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</si>
  <si>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</si>
  <si>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</si>
  <si>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</si>
  <si>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20251030</t>
  </si>
  <si>
    <t>20251031</t>
  </si>
  <si>
    <t>20251103</t>
  </si>
  <si>
    <t>20251104</t>
  </si>
  <si>
    <t>20251105</t>
  </si>
  <si>
    <t>20251106</t>
  </si>
  <si>
    <t>20251107</t>
  </si>
  <si>
    <t>20251110</t>
  </si>
  <si>
    <t>20251111</t>
  </si>
  <si>
    <t>20251112</t>
  </si>
  <si>
    <t>20251113</t>
  </si>
  <si>
    <t>20251114</t>
  </si>
  <si>
    <t>20251117</t>
  </si>
  <si>
    <t>20251118</t>
  </si>
  <si>
    <t>20251119</t>
  </si>
  <si>
    <t>20251120</t>
  </si>
  <si>
    <t>20251121</t>
  </si>
  <si>
    <t>20251124</t>
  </si>
  <si>
    <t>20251125</t>
  </si>
  <si>
    <t>20251126</t>
  </si>
  <si>
    <t>20251127</t>
  </si>
  <si>
    <t>20251128</t>
  </si>
  <si>
    <t>20251201</t>
  </si>
  <si>
    <t>20251202</t>
  </si>
  <si>
    <t>20251203</t>
  </si>
  <si>
    <t>20251204</t>
  </si>
  <si>
    <t>20251205</t>
  </si>
  <si>
    <t>20251208</t>
  </si>
  <si>
    <t>20251209</t>
  </si>
  <si>
    <t>20251210</t>
  </si>
  <si>
    <t>20251211</t>
  </si>
  <si>
    <t>20251212</t>
  </si>
  <si>
    <t>20251215</t>
  </si>
  <si>
    <t>20251216</t>
  </si>
  <si>
    <t>20251217</t>
  </si>
  <si>
    <t>20251218</t>
  </si>
  <si>
    <t>20251219</t>
  </si>
  <si>
    <t>20251222</t>
  </si>
  <si>
    <t>20251223</t>
  </si>
  <si>
    <t>20251224</t>
  </si>
  <si>
    <t>20251225</t>
  </si>
  <si>
    <t>20251226</t>
  </si>
  <si>
    <t>20251229</t>
  </si>
  <si>
    <t>20251230</t>
  </si>
  <si>
    <t>20251231</t>
  </si>
  <si>
    <t>20260101</t>
  </si>
  <si>
    <t>20260102</t>
  </si>
  <si>
    <t>20260105</t>
  </si>
  <si>
    <t>20260106</t>
  </si>
  <si>
    <t>20260107</t>
  </si>
  <si>
    <t>20260108</t>
  </si>
  <si>
    <t>20260109</t>
  </si>
  <si>
    <t>20260112</t>
  </si>
  <si>
    <t>20260113</t>
  </si>
  <si>
    <t>20260114</t>
  </si>
  <si>
    <t>20260115</t>
  </si>
  <si>
    <t>20260116</t>
  </si>
  <si>
    <t>20260119</t>
  </si>
  <si>
    <t>20260120</t>
  </si>
  <si>
    <t>20260121</t>
  </si>
  <si>
    <t>20260122</t>
  </si>
  <si>
    <t>20260123</t>
  </si>
  <si>
    <t>20260126</t>
  </si>
  <si>
    <t>20260127</t>
  </si>
  <si>
    <t>20260128</t>
  </si>
  <si>
    <t>20260129</t>
  </si>
  <si>
    <t>20260130</t>
  </si>
  <si>
    <t>20260202</t>
  </si>
  <si>
    <t>20260203</t>
  </si>
  <si>
    <t>20260204</t>
  </si>
  <si>
    <t>20260205</t>
  </si>
  <si>
    <t>20260206</t>
  </si>
  <si>
    <t>20260209</t>
  </si>
  <si>
    <t>20260210</t>
  </si>
  <si>
    <t>20260211</t>
  </si>
  <si>
    <t>January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</si>
</sst>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2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7537907823489802E-2"/>
          <c:y val="0.14714391023940784"/>
          <c:w val="0.37840207182264596"/>
          <c:h val="0.70503675358665641"/>
        </c:manualLayout>
      </c:layout>
      <c:lineChart>
        <c:grouping val="standard"/>
        <c:varyColors val="0"/>
        <c:ser>
          <c:idx val="1"/>
          <c:order val="0"/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HAVER!$A$554:$A$563</c:f>
              <c:numCache>
                <c:formatCode>m/d/yyyy</c:formatCode>
                <c:ptCount val="10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46062</c:v>
                </c:pt>
                <c:pt idx="6">
                  <c:v>46063</c:v>
                </c:pt>
                <c:pt idx="7">
                  <c:v>46064</c:v>
                </c:pt>
              </c:numCache>
            </c:numRef>
          </c:cat>
          <c:val>
            <c:numRef>
              <c:f>HAVER!$C$554:$C$563</c:f>
              <c:numCache>
                <c:formatCode>0.00</c:formatCode>
                <c:ptCount val="10"/>
                <c:pt idx="0">
                  <c:v>4.51</c:v>
                </c:pt>
                <c:pt idx="1">
                  <c:v>4.5199999999999996</c:v>
                </c:pt>
                <c:pt idx="2">
                  <c:v>4.5599999999999996</c:v>
                </c:pt>
                <c:pt idx="3">
                  <c:v>4.57</c:v>
                </c:pt>
                <c:pt idx="4">
                  <c:v>4.5199999999999996</c:v>
                </c:pt>
                <c:pt idx="5">
                  <c:v>4.53</c:v>
                </c:pt>
                <c:pt idx="6">
                  <c:v>4.51</c:v>
                </c:pt>
                <c:pt idx="7">
                  <c:v>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A5-4182-9964-9C263A322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3"/>
        <c:majorTimeUnit val="days"/>
      </c:dateAx>
      <c:valAx>
        <c:axId val="263608576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21780147784005"/>
          <c:y val="0.14714391023940784"/>
          <c:w val="0.73922887761435385"/>
          <c:h val="0.70503675358665641"/>
        </c:manualLayout>
      </c:layout>
      <c:lineChart>
        <c:grouping val="standard"/>
        <c:varyColors val="0"/>
        <c:ser>
          <c:idx val="1"/>
          <c:order val="0"/>
          <c:tx>
            <c:strRef>
              <c:f>HAVER!$J$2</c:f>
              <c:strCache>
                <c:ptCount val="1"/>
                <c:pt idx="0">
                  <c:v>Spread: UK-US</c:v>
                </c:pt>
              </c:strCache>
            </c:strRef>
          </c:tx>
          <c:spPr>
            <a:ln w="34925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HAVER!$A$554:$A$563</c:f>
              <c:numCache>
                <c:formatCode>m/d/yyyy</c:formatCode>
                <c:ptCount val="10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46062</c:v>
                </c:pt>
                <c:pt idx="6">
                  <c:v>46063</c:v>
                </c:pt>
                <c:pt idx="7">
                  <c:v>46064</c:v>
                </c:pt>
              </c:numCache>
            </c:numRef>
          </c:cat>
          <c:val>
            <c:numRef>
              <c:f>HAVER!$J$554:$J$563</c:f>
              <c:numCache>
                <c:formatCode>0.00</c:formatCode>
                <c:ptCount val="10"/>
                <c:pt idx="0">
                  <c:v>0.21999999999999975</c:v>
                </c:pt>
                <c:pt idx="1">
                  <c:v>0.23999999999999932</c:v>
                </c:pt>
                <c:pt idx="2">
                  <c:v>0.26999999999999957</c:v>
                </c:pt>
                <c:pt idx="3">
                  <c:v>0.36000000000000032</c:v>
                </c:pt>
                <c:pt idx="4">
                  <c:v>0.29999999999999982</c:v>
                </c:pt>
                <c:pt idx="5">
                  <c:v>0.3100000000000005</c:v>
                </c:pt>
                <c:pt idx="6">
                  <c:v>0.34999999999999964</c:v>
                </c:pt>
                <c:pt idx="7">
                  <c:v>0.37000000000000011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9D-4B19-AE73-C930CB7FBE7D}"/>
            </c:ext>
          </c:extLst>
        </c:ser>
        <c:ser>
          <c:idx val="0"/>
          <c:order val="1"/>
          <c:tx>
            <c:strRef>
              <c:f>HAVER!$M$1</c:f>
              <c:strCache>
                <c:ptCount val="1"/>
                <c:pt idx="0">
                  <c:v>January average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HAVER!$A$554:$A$563</c:f>
              <c:numCache>
                <c:formatCode>m/d/yyyy</c:formatCode>
                <c:ptCount val="10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46062</c:v>
                </c:pt>
                <c:pt idx="6">
                  <c:v>46063</c:v>
                </c:pt>
                <c:pt idx="7">
                  <c:v>46064</c:v>
                </c:pt>
              </c:numCache>
            </c:numRef>
          </c:cat>
          <c:val>
            <c:numRef>
              <c:f>HAVER!$M$554:$M$563</c:f>
              <c:numCache>
                <c:formatCode>0.00</c:formatCode>
                <c:ptCount val="10"/>
                <c:pt idx="0">
                  <c:v>0.2415000000000001</c:v>
                </c:pt>
                <c:pt idx="1">
                  <c:v>0.2415000000000001</c:v>
                </c:pt>
                <c:pt idx="2">
                  <c:v>0.2415000000000001</c:v>
                </c:pt>
                <c:pt idx="3">
                  <c:v>0.2415000000000001</c:v>
                </c:pt>
                <c:pt idx="4">
                  <c:v>0.2415000000000001</c:v>
                </c:pt>
                <c:pt idx="5">
                  <c:v>0.2415000000000001</c:v>
                </c:pt>
                <c:pt idx="6">
                  <c:v>0.2415000000000001</c:v>
                </c:pt>
                <c:pt idx="7">
                  <c:v>0.2415000000000001</c:v>
                </c:pt>
                <c:pt idx="8">
                  <c:v>0.2415000000000001</c:v>
                </c:pt>
                <c:pt idx="9">
                  <c:v>0.2415000000000001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9D-4B19-AE73-C930CB7FB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3"/>
        <c:majorTimeUnit val="days"/>
      </c:dateAx>
      <c:valAx>
        <c:axId val="263608576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7537907823489802E-2"/>
          <c:y val="0.14714391023940784"/>
          <c:w val="0.37840207182264596"/>
          <c:h val="0.70503675358665641"/>
        </c:manualLayout>
      </c:layout>
      <c:lineChart>
        <c:grouping val="standard"/>
        <c:varyColors val="0"/>
        <c:ser>
          <c:idx val="1"/>
          <c:order val="0"/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HAVER!$A$554:$A$563</c:f>
              <c:numCache>
                <c:formatCode>m/d/yyyy</c:formatCode>
                <c:ptCount val="10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46062</c:v>
                </c:pt>
                <c:pt idx="6">
                  <c:v>46063</c:v>
                </c:pt>
                <c:pt idx="7">
                  <c:v>46064</c:v>
                </c:pt>
              </c:numCache>
            </c:numRef>
          </c:cat>
          <c:val>
            <c:numRef>
              <c:f>HAVER!$C$554:$C$563</c:f>
              <c:numCache>
                <c:formatCode>0.00</c:formatCode>
                <c:ptCount val="10"/>
                <c:pt idx="0">
                  <c:v>4.51</c:v>
                </c:pt>
                <c:pt idx="1">
                  <c:v>4.5199999999999996</c:v>
                </c:pt>
                <c:pt idx="2">
                  <c:v>4.5599999999999996</c:v>
                </c:pt>
                <c:pt idx="3">
                  <c:v>4.57</c:v>
                </c:pt>
                <c:pt idx="4">
                  <c:v>4.5199999999999996</c:v>
                </c:pt>
                <c:pt idx="5">
                  <c:v>4.53</c:v>
                </c:pt>
                <c:pt idx="6">
                  <c:v>4.51</c:v>
                </c:pt>
                <c:pt idx="7">
                  <c:v>4.55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0D-4172-B555-4C572BC81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3"/>
        <c:majorTimeUnit val="days"/>
      </c:dateAx>
      <c:valAx>
        <c:axId val="263608576"/>
        <c:scaling>
          <c:orientation val="minMax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21780147784005"/>
          <c:y val="0.14714391023940784"/>
          <c:w val="0.73922887761435385"/>
          <c:h val="0.70503675358665641"/>
        </c:manualLayout>
      </c:layout>
      <c:lineChart>
        <c:grouping val="standard"/>
        <c:varyColors val="0"/>
        <c:ser>
          <c:idx val="1"/>
          <c:order val="0"/>
          <c:tx>
            <c:strRef>
              <c:f>HAVER!$F$2</c:f>
              <c:strCache>
                <c:ptCount val="1"/>
                <c:pt idx="0">
                  <c:v>$/£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HAVER!$A$554:$A$563</c:f>
              <c:numCache>
                <c:formatCode>m/d/yyyy</c:formatCode>
                <c:ptCount val="10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46062</c:v>
                </c:pt>
                <c:pt idx="6">
                  <c:v>46063</c:v>
                </c:pt>
                <c:pt idx="7">
                  <c:v>46064</c:v>
                </c:pt>
              </c:numCache>
            </c:numRef>
          </c:cat>
          <c:val>
            <c:numRef>
              <c:f>HAVER!$F$554:$F$563</c:f>
              <c:numCache>
                <c:formatCode>0.0000</c:formatCode>
                <c:ptCount val="10"/>
                <c:pt idx="0">
                  <c:v>1.3628</c:v>
                </c:pt>
                <c:pt idx="1">
                  <c:v>1.3703000000000001</c:v>
                </c:pt>
                <c:pt idx="2">
                  <c:v>1.3664000000000001</c:v>
                </c:pt>
                <c:pt idx="3">
                  <c:v>1.3528</c:v>
                </c:pt>
                <c:pt idx="4">
                  <c:v>1.3614999999999999</c:v>
                </c:pt>
                <c:pt idx="5">
                  <c:v>1.3677999999999999</c:v>
                </c:pt>
                <c:pt idx="6">
                  <c:v>1.3673999999999999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32-4EF1-8345-DFD391950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  <c:majorUnit val="3"/>
        <c:majorTimeUnit val="days"/>
      </c:dateAx>
      <c:valAx>
        <c:axId val="263608576"/>
        <c:scaling>
          <c:orientation val="minMax"/>
          <c:min val="1.34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1.0000000000000002E-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FD2CD29-519A-480C-9C2D-CB85267E0887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64808C-766D-43D9-B223-37E9B9A2D2BA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AFB760-77D9-B8D0-E7A9-F2863B70EE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B2D4C5-1B99-8504-9871-446B1AC6336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10-year government bond yield &amp; spread vs UST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D5DBFB4-827E-16E9-8999-C00B377DC00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0.00113</cdr:x>
      <cdr:y>0.07407</cdr:y>
    </cdr:from>
    <cdr:to>
      <cdr:x>0.08654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9529" y="498509"/>
          <a:ext cx="720012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0.4802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4041EF93-273C-1419-DCD6-6FCA8AF631C8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0.07457</cdr:x>
      <cdr:y>0.10618</cdr:y>
    </cdr:from>
    <cdr:to>
      <cdr:x>0.45421</cdr:x>
      <cdr:y>0.16845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86378DB3-530B-B6CB-8372-C5BFE1869720}"/>
            </a:ext>
          </a:extLst>
        </cdr:cNvPr>
        <cdr:cNvSpPr txBox="1"/>
      </cdr:nvSpPr>
      <cdr:spPr>
        <a:xfrm xmlns:a="http://schemas.openxmlformats.org/drawingml/2006/main">
          <a:off x="627076" y="713748"/>
          <a:ext cx="3192450" cy="4185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</a:t>
          </a:r>
          <a:r>
            <a:rPr lang="en-GB" sz="18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10-year gilt y</a:t>
          </a:r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ield</a:t>
          </a:r>
        </a:p>
      </cdr:txBody>
    </cdr:sp>
  </cdr:relSizeAnchor>
  <cdr:relSizeAnchor xmlns:cdr="http://schemas.openxmlformats.org/drawingml/2006/chartDrawing">
    <cdr:from>
      <cdr:x>0.57096</cdr:x>
      <cdr:y>0.10665</cdr:y>
    </cdr:from>
    <cdr:to>
      <cdr:x>0.98657</cdr:x>
      <cdr:y>0.16892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94E2C285-73F8-D5EF-A865-E4B95F78787F}"/>
            </a:ext>
          </a:extLst>
        </cdr:cNvPr>
        <cdr:cNvSpPr txBox="1"/>
      </cdr:nvSpPr>
      <cdr:spPr>
        <a:xfrm xmlns:a="http://schemas.openxmlformats.org/drawingml/2006/main">
          <a:off x="4801363" y="716908"/>
          <a:ext cx="3494911" cy="4185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Spread - gilt vs US treasury note</a:t>
          </a:r>
        </a:p>
      </cdr:txBody>
    </cdr:sp>
  </cdr:relSizeAnchor>
  <cdr:relSizeAnchor xmlns:cdr="http://schemas.openxmlformats.org/drawingml/2006/chartDrawing">
    <cdr:from>
      <cdr:x>0.76683</cdr:x>
      <cdr:y>0.44636</cdr:y>
    </cdr:from>
    <cdr:to>
      <cdr:x>0.76683</cdr:x>
      <cdr:y>0.52146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B62485A5-4E20-4BFF-C44B-F35E027ABDAB}"/>
            </a:ext>
          </a:extLst>
        </cdr:cNvPr>
        <cdr:cNvCxnSpPr/>
      </cdr:nvCxnSpPr>
      <cdr:spPr>
        <a:xfrm xmlns:a="http://schemas.openxmlformats.org/drawingml/2006/main" flipH="1" flipV="1">
          <a:off x="6448425" y="3000375"/>
          <a:ext cx="0" cy="504825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  <a:effectLst xmlns:a="http://schemas.openxmlformats.org/drawingml/2006/main"/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0.00452</cdr:x>
      <cdr:y>0.07549</cdr:y>
    </cdr:from>
    <cdr:to>
      <cdr:x>0.20639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18878" y="508034"/>
          <a:ext cx="843135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%pts</a:t>
          </a:r>
        </a:p>
      </cdr:txBody>
    </cdr:sp>
  </cdr:relSizeAnchor>
  <cdr:relSizeAnchor xmlns:cdr="http://schemas.openxmlformats.org/drawingml/2006/chartDrawing">
    <cdr:from>
      <cdr:x>0.30518</cdr:x>
      <cdr:y>0.51059</cdr:y>
    </cdr:from>
    <cdr:to>
      <cdr:x>0.78894</cdr:x>
      <cdr:y>0.6249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DE208DA-F060-9A07-9F97-F0AB803563C3}"/>
            </a:ext>
          </a:extLst>
        </cdr:cNvPr>
        <cdr:cNvSpPr txBox="1"/>
      </cdr:nvSpPr>
      <cdr:spPr>
        <a:xfrm xmlns:a="http://schemas.openxmlformats.org/drawingml/2006/main">
          <a:off x="1333995" y="3432175"/>
          <a:ext cx="2114550" cy="768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January average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DD9E6-EF77-1404-B5FB-C78964FE99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B2D4C5-1B99-8504-9871-446B1AC6336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10-year government bond yield &amp; $/£ exchange rate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D5DBFB4-827E-16E9-8999-C00B377DC001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0.00113</cdr:x>
      <cdr:y>0.07407</cdr:y>
    </cdr:from>
    <cdr:to>
      <cdr:x>0.08654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9529" y="498509"/>
          <a:ext cx="720012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0.4802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4041EF93-273C-1419-DCD6-6FCA8AF631C8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0.07457</cdr:x>
      <cdr:y>0.10618</cdr:y>
    </cdr:from>
    <cdr:to>
      <cdr:x>0.45421</cdr:x>
      <cdr:y>0.16845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86378DB3-530B-B6CB-8372-C5BFE1869720}"/>
            </a:ext>
          </a:extLst>
        </cdr:cNvPr>
        <cdr:cNvSpPr txBox="1"/>
      </cdr:nvSpPr>
      <cdr:spPr>
        <a:xfrm xmlns:a="http://schemas.openxmlformats.org/drawingml/2006/main">
          <a:off x="627076" y="713748"/>
          <a:ext cx="3192450" cy="4185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</a:t>
          </a:r>
          <a:r>
            <a:rPr lang="en-GB" sz="18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10-year gilt y</a:t>
          </a:r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ield</a:t>
          </a:r>
        </a:p>
      </cdr:txBody>
    </cdr:sp>
  </cdr:relSizeAnchor>
  <cdr:relSizeAnchor xmlns:cdr="http://schemas.openxmlformats.org/drawingml/2006/chartDrawing">
    <cdr:from>
      <cdr:x>0.57096</cdr:x>
      <cdr:y>0.10665</cdr:y>
    </cdr:from>
    <cdr:to>
      <cdr:x>0.98657</cdr:x>
      <cdr:y>0.16892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94E2C285-73F8-D5EF-A865-E4B95F78787F}"/>
            </a:ext>
          </a:extLst>
        </cdr:cNvPr>
        <cdr:cNvSpPr txBox="1"/>
      </cdr:nvSpPr>
      <cdr:spPr>
        <a:xfrm xmlns:a="http://schemas.openxmlformats.org/drawingml/2006/main">
          <a:off x="4801363" y="716908"/>
          <a:ext cx="3494911" cy="4185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$/£ exchange rate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0.00452</cdr:x>
      <cdr:y>0.07549</cdr:y>
    </cdr:from>
    <cdr:to>
      <cdr:x>0.27686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1C365E8-877F-F051-3040-5FC37246B892}"/>
            </a:ext>
          </a:extLst>
        </cdr:cNvPr>
        <cdr:cNvSpPr txBox="1"/>
      </cdr:nvSpPr>
      <cdr:spPr>
        <a:xfrm xmlns:a="http://schemas.openxmlformats.org/drawingml/2006/main">
          <a:off x="19756" y="507438"/>
          <a:ext cx="1190413" cy="3424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$ per £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Extra Data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  <sheetName val="MACRO CHARTS"/>
      <sheetName val="Income_Statement"/>
      <sheetName val="Income_Statement1"/>
      <sheetName val="Income_Statement2"/>
      <sheetName val="Income_Statement3"/>
      <sheetName val="Income_Statement4"/>
      <sheetName val="Income_Statement5"/>
      <sheetName val="Income_Statement6"/>
      <sheetName val="Income_Statement7"/>
      <sheetName val="Income_Statement8"/>
      <sheetName val="Income Statement"/>
      <sheetName val="Income_Statement10"/>
      <sheetName val="Income_Statement9"/>
      <sheetName val="US_IP 12 (2)"/>
      <sheetName val="ALOKASI"/>
      <sheetName val="In"/>
      <sheetName val="BUDG98 (summary)"/>
      <sheetName val="Rango Valor"/>
      <sheetName val="FCD"/>
      <sheetName val="A Sc1"/>
      <sheetName val="SIS Data"/>
      <sheetName val="A"/>
      <sheetName val="ICIS Price History"/>
      <sheetName val="Lookup"/>
      <sheetName val="Divisional List"/>
      <sheetName val="FY16 and FY17 FX rates"/>
      <sheetName val="Divisional_List"/>
      <sheetName val="FY16_and_FY17_FX_rates"/>
      <sheetName val="Tableau de saisie"/>
      <sheetName val="EXPORT n-1"/>
      <sheetName val="EXPORT n-2"/>
      <sheetName val="nominal codes"/>
      <sheetName val="FAQs about AdCertifier"/>
      <sheetName val="Instructions for BF"/>
      <sheetName val="Booking Form"/>
      <sheetName val="CS Module Brief- WIP"/>
      <sheetName val="FC RateCard 2"/>
      <sheetName val="Form 40R dropdown"/>
      <sheetName val="Change Log"/>
      <sheetName val="Sheet1"/>
      <sheetName val="Briefing for special markets"/>
      <sheetName val="Original Source"/>
      <sheetName val="FC Rate Card"/>
      <sheetName val="CS module Rate Card"/>
      <sheetName val="India Test Bed"/>
      <sheetName val="China CAWI Test Beds"/>
      <sheetName val="Summary"/>
      <sheetName val="India Test Bed Sample Calc"/>
      <sheetName val="Sectors (M)"/>
      <sheetName val="FS-97"/>
      <sheetName val="name"/>
      <sheetName val="Brooklyn"/>
      <sheetName val="Train.set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C2" t="str">
            <v>Rank based on largest spend on FDNABev as a % of total OpEx spend</v>
          </cell>
        </row>
      </sheetData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>
        <row r="2">
          <cell r="C2" t="str">
            <v>CMI BPI/Marketing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7471-785B-41F5-A0FC-DC5471C4F6E2}">
  <dimension ref="A1:N563"/>
  <sheetViews>
    <sheetView workbookViewId="0">
      <pane xSplit="2" ySplit="8" topLeftCell="C394" activePane="bottomRight" state="frozen"/>
      <selection pane="topRight" activeCell="B1" sqref="B1"/>
      <selection pane="bottomLeft" activeCell="A7" sqref="A7"/>
      <selection pane="bottomRight" activeCell="N554" sqref="N554"/>
    </sheetView>
  </sheetViews>
  <sheetFormatPr defaultRowHeight="15" x14ac:dyDescent="0.25"/>
  <cols>
    <col min="1" max="1" width="10.42578125" bestFit="1" customWidth="1"/>
    <col min="3" max="7" width="15.7109375" customWidth="1"/>
  </cols>
  <sheetData>
    <row r="1" spans="1:14" x14ac:dyDescent="0.25">
      <c r="M1" t="s">
        <v>589</v>
      </c>
    </row>
    <row r="2" spans="1:14" x14ac:dyDescent="0.25">
      <c r="C2" t="s">
        <v>410</v>
      </c>
      <c r="D2" t="s">
        <v>411</v>
      </c>
      <c r="E2" t="s">
        <v>412</v>
      </c>
      <c r="F2" t="s">
        <v>422</v>
      </c>
      <c r="G2" t="s">
        <v>423</v>
      </c>
      <c r="J2" t="s">
        <v>413</v>
      </c>
      <c r="K2" t="s">
        <v>414</v>
      </c>
      <c r="M2" t="s">
        <v>413</v>
      </c>
      <c r="N2" t="s">
        <v>414</v>
      </c>
    </row>
    <row r="3" spans="1:14" x14ac:dyDescent="0.25">
      <c r="B3" s="1" t="s">
        <v>3</v>
      </c>
      <c r="C3" t="s">
        <v>0</v>
      </c>
      <c r="D3" t="s">
        <v>2</v>
      </c>
      <c r="E3" t="s">
        <v>1</v>
      </c>
      <c r="F3" t="s">
        <v>415</v>
      </c>
      <c r="G3" t="s">
        <v>416</v>
      </c>
    </row>
    <row r="4" spans="1:14" s="3" customFormat="1" ht="90" x14ac:dyDescent="0.25">
      <c r="B4" s="3" t="s">
        <v>9</v>
      </c>
      <c r="C4" s="3" t="s">
        <v>12</v>
      </c>
      <c r="D4" s="3" t="s">
        <v>17</v>
      </c>
      <c r="E4" s="3" t="s">
        <v>14</v>
      </c>
      <c r="F4" s="3" t="s">
        <v>419</v>
      </c>
      <c r="G4" s="3" t="s">
        <v>421</v>
      </c>
    </row>
    <row r="5" spans="1:14" x14ac:dyDescent="0.25">
      <c r="B5" t="s">
        <v>8</v>
      </c>
      <c r="C5" t="s">
        <v>11</v>
      </c>
      <c r="D5" t="s">
        <v>16</v>
      </c>
      <c r="E5" t="s">
        <v>13</v>
      </c>
      <c r="F5" t="s">
        <v>418</v>
      </c>
      <c r="G5" t="s">
        <v>420</v>
      </c>
    </row>
    <row r="6" spans="1:14" x14ac:dyDescent="0.25">
      <c r="B6" t="s">
        <v>7</v>
      </c>
      <c r="C6" t="s">
        <v>426</v>
      </c>
      <c r="D6" t="s">
        <v>426</v>
      </c>
      <c r="E6" t="s">
        <v>426</v>
      </c>
      <c r="F6" t="s">
        <v>429</v>
      </c>
      <c r="G6" t="s">
        <v>429</v>
      </c>
    </row>
    <row r="7" spans="1:14" x14ac:dyDescent="0.25">
      <c r="B7" t="s">
        <v>6</v>
      </c>
      <c r="C7" t="s">
        <v>10</v>
      </c>
      <c r="D7" t="s">
        <v>15</v>
      </c>
      <c r="E7" t="s">
        <v>10</v>
      </c>
      <c r="F7" t="s">
        <v>417</v>
      </c>
      <c r="G7" t="s">
        <v>417</v>
      </c>
    </row>
    <row r="8" spans="1:14" x14ac:dyDescent="0.25">
      <c r="B8" t="s">
        <v>5</v>
      </c>
      <c r="C8" t="s">
        <v>425</v>
      </c>
      <c r="D8" t="s">
        <v>427</v>
      </c>
      <c r="E8" t="s">
        <v>425</v>
      </c>
      <c r="F8" t="s">
        <v>428</v>
      </c>
      <c r="G8" t="s">
        <v>428</v>
      </c>
    </row>
    <row r="9" spans="1:14" x14ac:dyDescent="0.25">
      <c r="A9" s="4">
        <v>45292</v>
      </c>
      <c r="B9" t="s">
        <v>4</v>
      </c>
      <c r="C9" s="2" t="e">
        <v>#N/A</v>
      </c>
      <c r="D9" s="2" t="e">
        <v>#N/A</v>
      </c>
      <c r="E9" s="2">
        <v>2.02</v>
      </c>
      <c r="F9" s="5" t="e">
        <v>#N/A</v>
      </c>
      <c r="G9" s="5" t="e">
        <v>#N/A</v>
      </c>
      <c r="J9" s="2" t="e">
        <f t="shared" ref="J9:J72" si="0">C9-D9</f>
        <v>#N/A</v>
      </c>
      <c r="K9" s="2" t="e">
        <f t="shared" ref="K9:K72" si="1">C9-E9</f>
        <v>#N/A</v>
      </c>
    </row>
    <row r="10" spans="1:14" x14ac:dyDescent="0.25">
      <c r="A10" s="4">
        <v>45293</v>
      </c>
      <c r="B10" t="s">
        <v>18</v>
      </c>
      <c r="C10" s="2">
        <v>3.65</v>
      </c>
      <c r="D10" s="2">
        <v>3.95</v>
      </c>
      <c r="E10" s="2">
        <v>2.0699999999999998</v>
      </c>
      <c r="F10" s="5">
        <v>1.2625</v>
      </c>
      <c r="G10" s="5">
        <v>1.1536</v>
      </c>
      <c r="J10" s="2">
        <f t="shared" si="0"/>
        <v>-0.30000000000000027</v>
      </c>
      <c r="K10" s="2">
        <f t="shared" si="1"/>
        <v>1.58</v>
      </c>
    </row>
    <row r="11" spans="1:14" x14ac:dyDescent="0.25">
      <c r="A11" s="4">
        <v>45294</v>
      </c>
      <c r="B11" t="s">
        <v>19</v>
      </c>
      <c r="C11" s="2">
        <v>3.61</v>
      </c>
      <c r="D11" s="2">
        <v>3.91</v>
      </c>
      <c r="E11" s="2">
        <v>2</v>
      </c>
      <c r="F11" s="5">
        <v>1.2627999999999999</v>
      </c>
      <c r="G11" s="5">
        <v>1.1579999999999999</v>
      </c>
      <c r="J11" s="2">
        <f t="shared" si="0"/>
        <v>-0.30000000000000027</v>
      </c>
      <c r="K11" s="2">
        <f t="shared" si="1"/>
        <v>1.6099999999999999</v>
      </c>
    </row>
    <row r="12" spans="1:14" x14ac:dyDescent="0.25">
      <c r="A12" s="4">
        <v>45295</v>
      </c>
      <c r="B12" t="s">
        <v>20</v>
      </c>
      <c r="C12" s="2">
        <v>3.74</v>
      </c>
      <c r="D12" s="2">
        <v>3.99</v>
      </c>
      <c r="E12" s="2">
        <v>2.13</v>
      </c>
      <c r="F12" s="5">
        <v>1.2699</v>
      </c>
      <c r="G12" s="5">
        <v>1.1591</v>
      </c>
      <c r="J12" s="2">
        <f t="shared" si="0"/>
        <v>-0.25</v>
      </c>
      <c r="K12" s="2">
        <f t="shared" si="1"/>
        <v>1.6100000000000003</v>
      </c>
    </row>
    <row r="13" spans="1:14" x14ac:dyDescent="0.25">
      <c r="A13" s="4">
        <v>45296</v>
      </c>
      <c r="B13" t="s">
        <v>21</v>
      </c>
      <c r="C13" s="2">
        <v>3.81</v>
      </c>
      <c r="D13" s="2">
        <v>4.05</v>
      </c>
      <c r="E13" s="2">
        <v>2.1800000000000002</v>
      </c>
      <c r="F13" s="5">
        <v>1.2751999999999999</v>
      </c>
      <c r="G13" s="5">
        <v>1.1615</v>
      </c>
      <c r="J13" s="2">
        <f t="shared" si="0"/>
        <v>-0.23999999999999977</v>
      </c>
      <c r="K13" s="2">
        <f t="shared" si="1"/>
        <v>1.63</v>
      </c>
    </row>
    <row r="14" spans="1:14" x14ac:dyDescent="0.25">
      <c r="A14" s="4">
        <f>+A9+7</f>
        <v>45299</v>
      </c>
      <c r="B14" t="s">
        <v>22</v>
      </c>
      <c r="C14" s="2">
        <v>3.77</v>
      </c>
      <c r="D14" s="2">
        <v>4.01</v>
      </c>
      <c r="E14" s="2">
        <v>2.14</v>
      </c>
      <c r="F14" s="5">
        <v>1.2749999999999999</v>
      </c>
      <c r="G14" s="5">
        <v>1.1623000000000001</v>
      </c>
      <c r="J14" s="2">
        <f t="shared" si="0"/>
        <v>-0.23999999999999977</v>
      </c>
      <c r="K14" s="2">
        <f t="shared" si="1"/>
        <v>1.63</v>
      </c>
    </row>
    <row r="15" spans="1:14" x14ac:dyDescent="0.25">
      <c r="A15" s="4">
        <f t="shared" ref="A15:A78" si="2">+A10+7</f>
        <v>45300</v>
      </c>
      <c r="B15" t="s">
        <v>23</v>
      </c>
      <c r="C15" s="2">
        <v>3.79</v>
      </c>
      <c r="D15" s="2">
        <v>4.0199999999999996</v>
      </c>
      <c r="E15" s="2">
        <v>2.19</v>
      </c>
      <c r="F15" s="5">
        <v>1.2704</v>
      </c>
      <c r="G15" s="5">
        <v>1.1636</v>
      </c>
      <c r="J15" s="2">
        <f t="shared" si="0"/>
        <v>-0.22999999999999954</v>
      </c>
      <c r="K15" s="2">
        <f t="shared" si="1"/>
        <v>1.6</v>
      </c>
    </row>
    <row r="16" spans="1:14" x14ac:dyDescent="0.25">
      <c r="A16" s="4">
        <f t="shared" si="2"/>
        <v>45301</v>
      </c>
      <c r="B16" t="s">
        <v>24</v>
      </c>
      <c r="C16" s="2">
        <v>3.82</v>
      </c>
      <c r="D16" s="2">
        <v>4.04</v>
      </c>
      <c r="E16" s="2">
        <v>2.23</v>
      </c>
      <c r="F16" s="5">
        <v>1.2736000000000001</v>
      </c>
      <c r="G16" s="5">
        <v>1.1612</v>
      </c>
      <c r="J16" s="2">
        <f t="shared" si="0"/>
        <v>-0.2200000000000002</v>
      </c>
      <c r="K16" s="2">
        <f t="shared" si="1"/>
        <v>1.5899999999999999</v>
      </c>
    </row>
    <row r="17" spans="1:11" x14ac:dyDescent="0.25">
      <c r="A17" s="4">
        <f t="shared" si="2"/>
        <v>45302</v>
      </c>
      <c r="B17" t="s">
        <v>25</v>
      </c>
      <c r="C17" s="2">
        <v>3.85</v>
      </c>
      <c r="D17" s="2">
        <v>3.98</v>
      </c>
      <c r="E17" s="2">
        <v>2.19</v>
      </c>
      <c r="F17" s="5">
        <v>1.2714000000000001</v>
      </c>
      <c r="G17" s="5">
        <v>1.1615</v>
      </c>
      <c r="J17" s="2">
        <f t="shared" si="0"/>
        <v>-0.12999999999999989</v>
      </c>
      <c r="K17" s="2">
        <f t="shared" si="1"/>
        <v>1.6600000000000001</v>
      </c>
    </row>
    <row r="18" spans="1:11" x14ac:dyDescent="0.25">
      <c r="A18" s="4">
        <f t="shared" si="2"/>
        <v>45303</v>
      </c>
      <c r="B18" t="s">
        <v>26</v>
      </c>
      <c r="C18" s="2">
        <v>3.8</v>
      </c>
      <c r="D18" s="2">
        <v>3.96</v>
      </c>
      <c r="E18" s="2">
        <v>2.16</v>
      </c>
      <c r="F18" s="5">
        <v>1.2761</v>
      </c>
      <c r="G18" s="5">
        <v>1.1637</v>
      </c>
      <c r="J18" s="2">
        <f t="shared" si="0"/>
        <v>-0.16000000000000014</v>
      </c>
      <c r="K18" s="2">
        <f t="shared" si="1"/>
        <v>1.6399999999999997</v>
      </c>
    </row>
    <row r="19" spans="1:11" x14ac:dyDescent="0.25">
      <c r="A19" s="4">
        <f t="shared" si="2"/>
        <v>45306</v>
      </c>
      <c r="B19" t="s">
        <v>27</v>
      </c>
      <c r="C19" s="2">
        <v>3.8</v>
      </c>
      <c r="D19" s="2" t="e">
        <v>#N/A</v>
      </c>
      <c r="E19" s="2">
        <v>2.2000000000000002</v>
      </c>
      <c r="F19" s="5">
        <v>1.2730999999999999</v>
      </c>
      <c r="G19" s="5">
        <v>1.1626000000000001</v>
      </c>
      <c r="J19" s="2" t="e">
        <f t="shared" si="0"/>
        <v>#N/A</v>
      </c>
      <c r="K19" s="2">
        <f t="shared" si="1"/>
        <v>1.5999999999999996</v>
      </c>
    </row>
    <row r="20" spans="1:11" x14ac:dyDescent="0.25">
      <c r="A20" s="4">
        <f t="shared" si="2"/>
        <v>45307</v>
      </c>
      <c r="B20" t="s">
        <v>28</v>
      </c>
      <c r="C20" s="2">
        <v>3.83</v>
      </c>
      <c r="D20" s="2">
        <v>4.07</v>
      </c>
      <c r="E20" s="2">
        <v>2.25</v>
      </c>
      <c r="F20" s="5">
        <v>1.2665</v>
      </c>
      <c r="G20" s="5">
        <v>1.1635</v>
      </c>
      <c r="J20" s="2">
        <f t="shared" si="0"/>
        <v>-0.24000000000000021</v>
      </c>
      <c r="K20" s="2">
        <f t="shared" si="1"/>
        <v>1.58</v>
      </c>
    </row>
    <row r="21" spans="1:11" x14ac:dyDescent="0.25">
      <c r="A21" s="4">
        <f t="shared" si="2"/>
        <v>45308</v>
      </c>
      <c r="B21" t="s">
        <v>29</v>
      </c>
      <c r="C21" s="2">
        <v>3.98</v>
      </c>
      <c r="D21" s="2">
        <v>4.0999999999999996</v>
      </c>
      <c r="E21" s="2">
        <v>2.2799999999999998</v>
      </c>
      <c r="F21" s="5">
        <v>1.2658</v>
      </c>
      <c r="G21" s="5">
        <v>1.1667000000000001</v>
      </c>
      <c r="J21" s="2">
        <f t="shared" si="0"/>
        <v>-0.11999999999999966</v>
      </c>
      <c r="K21" s="2">
        <f t="shared" si="1"/>
        <v>1.7000000000000002</v>
      </c>
    </row>
    <row r="22" spans="1:11" x14ac:dyDescent="0.25">
      <c r="A22" s="4">
        <f t="shared" si="2"/>
        <v>45309</v>
      </c>
      <c r="B22" t="s">
        <v>30</v>
      </c>
      <c r="C22" s="2">
        <v>3.94</v>
      </c>
      <c r="D22" s="2">
        <v>4.1399999999999997</v>
      </c>
      <c r="E22" s="2">
        <v>2.3199999999999998</v>
      </c>
      <c r="F22" s="5">
        <v>1.2672000000000001</v>
      </c>
      <c r="G22" s="5">
        <v>1.1677</v>
      </c>
      <c r="J22" s="2">
        <f t="shared" si="0"/>
        <v>-0.19999999999999973</v>
      </c>
      <c r="K22" s="2">
        <f t="shared" si="1"/>
        <v>1.62</v>
      </c>
    </row>
    <row r="23" spans="1:11" x14ac:dyDescent="0.25">
      <c r="A23" s="4">
        <f t="shared" si="2"/>
        <v>45310</v>
      </c>
      <c r="B23" t="s">
        <v>31</v>
      </c>
      <c r="C23" s="2">
        <v>3.92</v>
      </c>
      <c r="D23" s="2">
        <v>4.1500000000000004</v>
      </c>
      <c r="E23" s="2">
        <v>2.2999999999999998</v>
      </c>
      <c r="F23" s="5">
        <v>1.268</v>
      </c>
      <c r="G23" s="5">
        <v>1.1652</v>
      </c>
      <c r="J23" s="2">
        <f t="shared" si="0"/>
        <v>-0.23000000000000043</v>
      </c>
      <c r="K23" s="2">
        <f t="shared" si="1"/>
        <v>1.62</v>
      </c>
    </row>
    <row r="24" spans="1:11" x14ac:dyDescent="0.25">
      <c r="A24" s="4">
        <f t="shared" si="2"/>
        <v>45313</v>
      </c>
      <c r="B24" t="s">
        <v>32</v>
      </c>
      <c r="C24" s="2">
        <v>3.91</v>
      </c>
      <c r="D24" s="2">
        <v>4.1100000000000003</v>
      </c>
      <c r="E24" s="2">
        <v>2.2599999999999998</v>
      </c>
      <c r="F24" s="5">
        <v>1.2721</v>
      </c>
      <c r="G24" s="5">
        <v>1.1687000000000001</v>
      </c>
      <c r="J24" s="2">
        <f t="shared" si="0"/>
        <v>-0.20000000000000018</v>
      </c>
      <c r="K24" s="2">
        <f t="shared" si="1"/>
        <v>1.6500000000000004</v>
      </c>
    </row>
    <row r="25" spans="1:11" x14ac:dyDescent="0.25">
      <c r="A25" s="4">
        <f t="shared" si="2"/>
        <v>45314</v>
      </c>
      <c r="B25" t="s">
        <v>33</v>
      </c>
      <c r="C25" s="2">
        <v>4</v>
      </c>
      <c r="D25" s="2">
        <v>4.1399999999999997</v>
      </c>
      <c r="E25" s="2">
        <v>2.35</v>
      </c>
      <c r="F25" s="5">
        <v>1.2665999999999999</v>
      </c>
      <c r="G25" s="5">
        <v>1.1694</v>
      </c>
      <c r="J25" s="2">
        <f t="shared" si="0"/>
        <v>-0.13999999999999968</v>
      </c>
      <c r="K25" s="2">
        <f t="shared" si="1"/>
        <v>1.65</v>
      </c>
    </row>
    <row r="26" spans="1:11" x14ac:dyDescent="0.25">
      <c r="A26" s="4">
        <f t="shared" si="2"/>
        <v>45315</v>
      </c>
      <c r="B26" t="s">
        <v>34</v>
      </c>
      <c r="C26" s="2">
        <v>4</v>
      </c>
      <c r="D26" s="2">
        <v>4.18</v>
      </c>
      <c r="E26" s="2">
        <v>2.35</v>
      </c>
      <c r="F26" s="5">
        <v>1.2753000000000001</v>
      </c>
      <c r="G26" s="5">
        <v>1.1698999999999999</v>
      </c>
      <c r="J26" s="2">
        <f t="shared" si="0"/>
        <v>-0.17999999999999972</v>
      </c>
      <c r="K26" s="2">
        <f t="shared" si="1"/>
        <v>1.65</v>
      </c>
    </row>
    <row r="27" spans="1:11" x14ac:dyDescent="0.25">
      <c r="A27" s="4">
        <f t="shared" si="2"/>
        <v>45316</v>
      </c>
      <c r="B27" t="s">
        <v>35</v>
      </c>
      <c r="C27" s="2">
        <v>3.99</v>
      </c>
      <c r="D27" s="2">
        <v>4.1399999999999997</v>
      </c>
      <c r="E27" s="2">
        <v>2.29</v>
      </c>
      <c r="F27" s="5">
        <v>1.27</v>
      </c>
      <c r="G27" s="5">
        <v>1.1725000000000001</v>
      </c>
      <c r="J27" s="2">
        <f t="shared" si="0"/>
        <v>-0.14999999999999947</v>
      </c>
      <c r="K27" s="2">
        <f t="shared" si="1"/>
        <v>1.7000000000000002</v>
      </c>
    </row>
    <row r="28" spans="1:11" x14ac:dyDescent="0.25">
      <c r="A28" s="4">
        <f t="shared" si="2"/>
        <v>45317</v>
      </c>
      <c r="B28" t="s">
        <v>36</v>
      </c>
      <c r="C28" s="2">
        <v>3.97</v>
      </c>
      <c r="D28" s="2">
        <v>4.1500000000000004</v>
      </c>
      <c r="E28" s="2">
        <v>2.2999999999999998</v>
      </c>
      <c r="F28" s="5">
        <v>1.2723</v>
      </c>
      <c r="G28" s="5">
        <v>1.1711</v>
      </c>
      <c r="J28" s="2">
        <f t="shared" si="0"/>
        <v>-0.18000000000000016</v>
      </c>
      <c r="K28" s="2">
        <f t="shared" si="1"/>
        <v>1.6700000000000004</v>
      </c>
    </row>
    <row r="29" spans="1:11" x14ac:dyDescent="0.25">
      <c r="A29" s="4">
        <f t="shared" si="2"/>
        <v>45320</v>
      </c>
      <c r="B29" t="s">
        <v>37</v>
      </c>
      <c r="C29" s="2">
        <v>3.88</v>
      </c>
      <c r="D29" s="2">
        <v>4.08</v>
      </c>
      <c r="E29" s="2">
        <v>2.23</v>
      </c>
      <c r="F29" s="5">
        <v>1.2678</v>
      </c>
      <c r="G29" s="5">
        <v>1.1741999999999999</v>
      </c>
      <c r="J29" s="2">
        <f t="shared" si="0"/>
        <v>-0.20000000000000018</v>
      </c>
      <c r="K29" s="2">
        <f t="shared" si="1"/>
        <v>1.65</v>
      </c>
    </row>
    <row r="30" spans="1:11" x14ac:dyDescent="0.25">
      <c r="A30" s="4">
        <f t="shared" si="2"/>
        <v>45321</v>
      </c>
      <c r="B30" t="s">
        <v>38</v>
      </c>
      <c r="C30" s="2">
        <v>3.9</v>
      </c>
      <c r="D30" s="2">
        <v>4.0599999999999996</v>
      </c>
      <c r="E30" s="2">
        <v>2.27</v>
      </c>
      <c r="F30" s="5">
        <v>1.2665999999999999</v>
      </c>
      <c r="G30" s="5">
        <v>1.1688000000000001</v>
      </c>
      <c r="J30" s="2">
        <f t="shared" si="0"/>
        <v>-0.1599999999999997</v>
      </c>
      <c r="K30" s="2">
        <f t="shared" si="1"/>
        <v>1.63</v>
      </c>
    </row>
    <row r="31" spans="1:11" x14ac:dyDescent="0.25">
      <c r="A31" s="4">
        <f t="shared" si="2"/>
        <v>45322</v>
      </c>
      <c r="B31" t="s">
        <v>39</v>
      </c>
      <c r="C31" s="2">
        <v>3.79</v>
      </c>
      <c r="D31" s="2">
        <v>3.99</v>
      </c>
      <c r="E31" s="2">
        <v>2.17</v>
      </c>
      <c r="F31" s="5">
        <v>1.2733000000000001</v>
      </c>
      <c r="G31" s="5">
        <v>1.1722999999999999</v>
      </c>
      <c r="J31" s="2">
        <f t="shared" si="0"/>
        <v>-0.20000000000000018</v>
      </c>
      <c r="K31" s="2">
        <f t="shared" si="1"/>
        <v>1.62</v>
      </c>
    </row>
    <row r="32" spans="1:11" x14ac:dyDescent="0.25">
      <c r="A32" s="4">
        <f t="shared" si="2"/>
        <v>45323</v>
      </c>
      <c r="B32" t="s">
        <v>40</v>
      </c>
      <c r="C32" s="2">
        <v>3.76</v>
      </c>
      <c r="D32" s="2">
        <v>3.87</v>
      </c>
      <c r="E32" s="2">
        <v>2.16</v>
      </c>
      <c r="F32" s="5">
        <v>1.2682</v>
      </c>
      <c r="G32" s="5">
        <v>1.1714</v>
      </c>
      <c r="J32" s="2">
        <f t="shared" si="0"/>
        <v>-0.11000000000000032</v>
      </c>
      <c r="K32" s="2">
        <f t="shared" si="1"/>
        <v>1.5999999999999996</v>
      </c>
    </row>
    <row r="33" spans="1:11" x14ac:dyDescent="0.25">
      <c r="A33" s="4">
        <f t="shared" si="2"/>
        <v>45324</v>
      </c>
      <c r="B33" t="s">
        <v>41</v>
      </c>
      <c r="C33" s="2">
        <v>3.92</v>
      </c>
      <c r="D33" s="2">
        <v>4.03</v>
      </c>
      <c r="E33" s="2">
        <v>2.23</v>
      </c>
      <c r="F33" s="5">
        <v>1.2657</v>
      </c>
      <c r="G33" s="5">
        <v>1.1717</v>
      </c>
      <c r="J33" s="2">
        <f t="shared" si="0"/>
        <v>-0.11000000000000032</v>
      </c>
      <c r="K33" s="2">
        <f t="shared" si="1"/>
        <v>1.69</v>
      </c>
    </row>
    <row r="34" spans="1:11" x14ac:dyDescent="0.25">
      <c r="A34" s="4">
        <f t="shared" si="2"/>
        <v>45327</v>
      </c>
      <c r="B34" t="s">
        <v>42</v>
      </c>
      <c r="C34" s="2">
        <v>4</v>
      </c>
      <c r="D34" s="2">
        <v>4.17</v>
      </c>
      <c r="E34" s="2">
        <v>2.3199999999999998</v>
      </c>
      <c r="F34" s="5">
        <v>1.2521</v>
      </c>
      <c r="G34" s="5">
        <v>1.1675</v>
      </c>
      <c r="J34" s="2">
        <f t="shared" si="0"/>
        <v>-0.16999999999999993</v>
      </c>
      <c r="K34" s="2">
        <f t="shared" si="1"/>
        <v>1.6800000000000002</v>
      </c>
    </row>
    <row r="35" spans="1:11" x14ac:dyDescent="0.25">
      <c r="A35" s="4">
        <f t="shared" si="2"/>
        <v>45328</v>
      </c>
      <c r="B35" t="s">
        <v>43</v>
      </c>
      <c r="C35" s="2">
        <v>3.94</v>
      </c>
      <c r="D35" s="2">
        <v>4.09</v>
      </c>
      <c r="E35" s="2">
        <v>2.2799999999999998</v>
      </c>
      <c r="F35" s="5">
        <v>1.2577</v>
      </c>
      <c r="G35" s="5">
        <v>1.1707000000000001</v>
      </c>
      <c r="J35" s="2">
        <f t="shared" si="0"/>
        <v>-0.14999999999999991</v>
      </c>
      <c r="K35" s="2">
        <f t="shared" si="1"/>
        <v>1.6600000000000001</v>
      </c>
    </row>
    <row r="36" spans="1:11" x14ac:dyDescent="0.25">
      <c r="A36" s="4">
        <f t="shared" si="2"/>
        <v>45329</v>
      </c>
      <c r="B36" t="s">
        <v>44</v>
      </c>
      <c r="C36" s="2">
        <v>4</v>
      </c>
      <c r="D36" s="2">
        <v>4.09</v>
      </c>
      <c r="E36" s="2">
        <v>2.3199999999999998</v>
      </c>
      <c r="F36" s="5">
        <v>1.2632000000000001</v>
      </c>
      <c r="G36" s="5">
        <v>1.1742999999999999</v>
      </c>
      <c r="J36" s="2">
        <f t="shared" si="0"/>
        <v>-8.9999999999999858E-2</v>
      </c>
      <c r="K36" s="2">
        <f t="shared" si="1"/>
        <v>1.6800000000000002</v>
      </c>
    </row>
    <row r="37" spans="1:11" x14ac:dyDescent="0.25">
      <c r="A37" s="4">
        <f t="shared" si="2"/>
        <v>45330</v>
      </c>
      <c r="B37" t="s">
        <v>45</v>
      </c>
      <c r="C37" s="2">
        <v>4.0599999999999996</v>
      </c>
      <c r="D37" s="2">
        <v>4.1500000000000004</v>
      </c>
      <c r="E37" s="2">
        <v>2.36</v>
      </c>
      <c r="F37" s="5">
        <v>1.2605</v>
      </c>
      <c r="G37" s="5">
        <v>1.1713</v>
      </c>
      <c r="J37" s="2">
        <f t="shared" si="0"/>
        <v>-9.0000000000000746E-2</v>
      </c>
      <c r="K37" s="2">
        <f t="shared" si="1"/>
        <v>1.6999999999999997</v>
      </c>
    </row>
    <row r="38" spans="1:11" x14ac:dyDescent="0.25">
      <c r="A38" s="4">
        <f t="shared" si="2"/>
        <v>45331</v>
      </c>
      <c r="B38" t="s">
        <v>46</v>
      </c>
      <c r="C38" s="2">
        <v>4.0599999999999996</v>
      </c>
      <c r="D38" s="2">
        <v>4.17</v>
      </c>
      <c r="E38" s="2">
        <v>2.38</v>
      </c>
      <c r="F38" s="5">
        <v>1.2632000000000001</v>
      </c>
      <c r="G38" s="5">
        <v>1.1712</v>
      </c>
      <c r="J38" s="2">
        <f t="shared" si="0"/>
        <v>-0.11000000000000032</v>
      </c>
      <c r="K38" s="2">
        <f t="shared" si="1"/>
        <v>1.6799999999999997</v>
      </c>
    </row>
    <row r="39" spans="1:11" x14ac:dyDescent="0.25">
      <c r="A39" s="4">
        <f t="shared" si="2"/>
        <v>45334</v>
      </c>
      <c r="B39" t="s">
        <v>47</v>
      </c>
      <c r="C39" s="2">
        <v>4.0599999999999996</v>
      </c>
      <c r="D39" s="2">
        <v>4.17</v>
      </c>
      <c r="E39" s="2">
        <v>2.36</v>
      </c>
      <c r="F39" s="5">
        <v>1.2615000000000001</v>
      </c>
      <c r="G39" s="5">
        <v>1.1717</v>
      </c>
      <c r="J39" s="2">
        <f t="shared" si="0"/>
        <v>-0.11000000000000032</v>
      </c>
      <c r="K39" s="2">
        <f t="shared" si="1"/>
        <v>1.6999999999999997</v>
      </c>
    </row>
    <row r="40" spans="1:11" x14ac:dyDescent="0.25">
      <c r="A40" s="4">
        <f t="shared" si="2"/>
        <v>45335</v>
      </c>
      <c r="B40" t="s">
        <v>48</v>
      </c>
      <c r="C40" s="2">
        <v>4.16</v>
      </c>
      <c r="D40" s="2">
        <v>4.3099999999999996</v>
      </c>
      <c r="E40" s="2">
        <v>2.4</v>
      </c>
      <c r="F40" s="5">
        <v>1.2601</v>
      </c>
      <c r="G40" s="5">
        <v>1.1758</v>
      </c>
      <c r="J40" s="2">
        <f t="shared" si="0"/>
        <v>-0.14999999999999947</v>
      </c>
      <c r="K40" s="2">
        <f t="shared" si="1"/>
        <v>1.7600000000000002</v>
      </c>
    </row>
    <row r="41" spans="1:11" x14ac:dyDescent="0.25">
      <c r="A41" s="4">
        <f t="shared" si="2"/>
        <v>45336</v>
      </c>
      <c r="B41" t="s">
        <v>49</v>
      </c>
      <c r="C41" s="2">
        <v>4.03</v>
      </c>
      <c r="D41" s="2">
        <v>4.2699999999999996</v>
      </c>
      <c r="E41" s="2">
        <v>2.3199999999999998</v>
      </c>
      <c r="F41" s="5">
        <v>1.2548999999999999</v>
      </c>
      <c r="G41" s="5">
        <v>1.1705000000000001</v>
      </c>
      <c r="J41" s="2">
        <f t="shared" si="0"/>
        <v>-0.23999999999999932</v>
      </c>
      <c r="K41" s="2">
        <f t="shared" si="1"/>
        <v>1.7100000000000004</v>
      </c>
    </row>
    <row r="42" spans="1:11" x14ac:dyDescent="0.25">
      <c r="A42" s="4">
        <f t="shared" si="2"/>
        <v>45337</v>
      </c>
      <c r="B42" t="s">
        <v>50</v>
      </c>
      <c r="C42" s="2">
        <v>4.05</v>
      </c>
      <c r="D42" s="2">
        <v>4.24</v>
      </c>
      <c r="E42" s="2">
        <v>2.35</v>
      </c>
      <c r="F42" s="5">
        <v>1.2585</v>
      </c>
      <c r="G42" s="5">
        <v>1.1694</v>
      </c>
      <c r="J42" s="2">
        <f t="shared" si="0"/>
        <v>-0.19000000000000039</v>
      </c>
      <c r="K42" s="2">
        <f t="shared" si="1"/>
        <v>1.6999999999999997</v>
      </c>
    </row>
    <row r="43" spans="1:11" x14ac:dyDescent="0.25">
      <c r="A43" s="4">
        <f t="shared" si="2"/>
        <v>45338</v>
      </c>
      <c r="B43" t="s">
        <v>51</v>
      </c>
      <c r="C43" s="2">
        <v>4.1100000000000003</v>
      </c>
      <c r="D43" s="2">
        <v>4.3</v>
      </c>
      <c r="E43" s="2">
        <v>2.4</v>
      </c>
      <c r="F43" s="5">
        <v>1.2584</v>
      </c>
      <c r="G43" s="5">
        <v>1.1682999999999999</v>
      </c>
      <c r="J43" s="2">
        <f t="shared" si="0"/>
        <v>-0.1899999999999995</v>
      </c>
      <c r="K43" s="2">
        <f t="shared" si="1"/>
        <v>1.7100000000000004</v>
      </c>
    </row>
    <row r="44" spans="1:11" x14ac:dyDescent="0.25">
      <c r="A44" s="4">
        <f t="shared" si="2"/>
        <v>45341</v>
      </c>
      <c r="B44" t="s">
        <v>52</v>
      </c>
      <c r="C44" s="2">
        <v>4.12</v>
      </c>
      <c r="D44" s="2" t="e">
        <v>#N/A</v>
      </c>
      <c r="E44" s="2">
        <v>2.42</v>
      </c>
      <c r="F44" s="5">
        <v>1.2586999999999999</v>
      </c>
      <c r="G44" s="5">
        <v>1.1689000000000001</v>
      </c>
      <c r="J44" s="2" t="e">
        <f t="shared" si="0"/>
        <v>#N/A</v>
      </c>
      <c r="K44" s="2">
        <f t="shared" si="1"/>
        <v>1.7000000000000002</v>
      </c>
    </row>
    <row r="45" spans="1:11" x14ac:dyDescent="0.25">
      <c r="A45" s="4">
        <f t="shared" si="2"/>
        <v>45342</v>
      </c>
      <c r="B45" t="s">
        <v>53</v>
      </c>
      <c r="C45" s="2">
        <v>4.05</v>
      </c>
      <c r="D45" s="2">
        <v>4.2699999999999996</v>
      </c>
      <c r="E45" s="2">
        <v>2.38</v>
      </c>
      <c r="F45" s="5">
        <v>1.2662</v>
      </c>
      <c r="G45" s="5">
        <v>1.17</v>
      </c>
      <c r="J45" s="2">
        <f t="shared" si="0"/>
        <v>-0.21999999999999975</v>
      </c>
      <c r="K45" s="2">
        <f t="shared" si="1"/>
        <v>1.67</v>
      </c>
    </row>
    <row r="46" spans="1:11" x14ac:dyDescent="0.25">
      <c r="A46" s="4">
        <f t="shared" si="2"/>
        <v>45343</v>
      </c>
      <c r="B46" t="s">
        <v>54</v>
      </c>
      <c r="C46" s="2">
        <v>4.0999999999999996</v>
      </c>
      <c r="D46" s="2">
        <v>4.32</v>
      </c>
      <c r="E46" s="2">
        <v>2.4500000000000002</v>
      </c>
      <c r="F46" s="5">
        <v>1.2612000000000001</v>
      </c>
      <c r="G46" s="5">
        <v>1.1672</v>
      </c>
      <c r="J46" s="2">
        <f t="shared" si="0"/>
        <v>-0.22000000000000064</v>
      </c>
      <c r="K46" s="2">
        <f t="shared" si="1"/>
        <v>1.6499999999999995</v>
      </c>
    </row>
    <row r="47" spans="1:11" x14ac:dyDescent="0.25">
      <c r="A47" s="4">
        <f t="shared" si="2"/>
        <v>45344</v>
      </c>
      <c r="B47" t="s">
        <v>55</v>
      </c>
      <c r="C47" s="2">
        <v>4.1100000000000003</v>
      </c>
      <c r="D47" s="2">
        <v>4.33</v>
      </c>
      <c r="E47" s="2">
        <v>2.44</v>
      </c>
      <c r="F47" s="5">
        <v>1.2621</v>
      </c>
      <c r="G47" s="5">
        <v>1.1675</v>
      </c>
      <c r="J47" s="2">
        <f t="shared" si="0"/>
        <v>-0.21999999999999975</v>
      </c>
      <c r="K47" s="2">
        <f t="shared" si="1"/>
        <v>1.6700000000000004</v>
      </c>
    </row>
    <row r="48" spans="1:11" x14ac:dyDescent="0.25">
      <c r="A48" s="4">
        <f t="shared" si="2"/>
        <v>45345</v>
      </c>
      <c r="B48" t="s">
        <v>56</v>
      </c>
      <c r="C48" s="2">
        <v>4.1100000000000003</v>
      </c>
      <c r="D48" s="2">
        <v>4.26</v>
      </c>
      <c r="E48" s="2">
        <v>2.37</v>
      </c>
      <c r="F48" s="5">
        <v>1.2677</v>
      </c>
      <c r="G48" s="5">
        <v>1.1715</v>
      </c>
      <c r="J48" s="2">
        <f t="shared" si="0"/>
        <v>-0.14999999999999947</v>
      </c>
      <c r="K48" s="2">
        <f t="shared" si="1"/>
        <v>1.7400000000000002</v>
      </c>
    </row>
    <row r="49" spans="1:11" x14ac:dyDescent="0.25">
      <c r="A49" s="4">
        <f t="shared" si="2"/>
        <v>45348</v>
      </c>
      <c r="B49" t="s">
        <v>57</v>
      </c>
      <c r="C49" s="2">
        <v>4.1500000000000004</v>
      </c>
      <c r="D49" s="2">
        <v>4.28</v>
      </c>
      <c r="E49" s="2">
        <v>2.4300000000000002</v>
      </c>
      <c r="F49" s="5">
        <v>1.2684</v>
      </c>
      <c r="G49" s="5">
        <v>1.1689000000000001</v>
      </c>
      <c r="J49" s="2">
        <f t="shared" si="0"/>
        <v>-0.12999999999999989</v>
      </c>
      <c r="K49" s="2">
        <f t="shared" si="1"/>
        <v>1.7200000000000002</v>
      </c>
    </row>
    <row r="50" spans="1:11" x14ac:dyDescent="0.25">
      <c r="A50" s="4">
        <f t="shared" si="2"/>
        <v>45349</v>
      </c>
      <c r="B50" t="s">
        <v>58</v>
      </c>
      <c r="C50" s="2">
        <v>4.1900000000000004</v>
      </c>
      <c r="D50" s="2">
        <v>4.3099999999999996</v>
      </c>
      <c r="E50" s="2">
        <v>2.4700000000000002</v>
      </c>
      <c r="F50" s="5">
        <v>1.2683</v>
      </c>
      <c r="G50" s="5">
        <v>1.1692</v>
      </c>
      <c r="J50" s="2">
        <f t="shared" si="0"/>
        <v>-0.11999999999999922</v>
      </c>
      <c r="K50" s="2">
        <f t="shared" si="1"/>
        <v>1.7200000000000002</v>
      </c>
    </row>
    <row r="51" spans="1:11" x14ac:dyDescent="0.25">
      <c r="A51" s="4">
        <f t="shared" si="2"/>
        <v>45350</v>
      </c>
      <c r="B51" t="s">
        <v>59</v>
      </c>
      <c r="C51" s="2">
        <v>4.18</v>
      </c>
      <c r="D51" s="2">
        <v>4.2699999999999996</v>
      </c>
      <c r="E51" s="2">
        <v>2.46</v>
      </c>
      <c r="F51" s="5">
        <v>1.2653000000000001</v>
      </c>
      <c r="G51" s="5">
        <v>1.1679999999999999</v>
      </c>
      <c r="J51" s="2">
        <f t="shared" si="0"/>
        <v>-8.9999999999999858E-2</v>
      </c>
      <c r="K51" s="2">
        <f t="shared" si="1"/>
        <v>1.7199999999999998</v>
      </c>
    </row>
    <row r="52" spans="1:11" x14ac:dyDescent="0.25">
      <c r="A52" s="4">
        <f t="shared" si="2"/>
        <v>45351</v>
      </c>
      <c r="B52" t="s">
        <v>60</v>
      </c>
      <c r="C52" s="2">
        <v>4.12</v>
      </c>
      <c r="D52" s="2">
        <v>4.25</v>
      </c>
      <c r="E52" s="2">
        <v>2.42</v>
      </c>
      <c r="F52" s="5">
        <v>1.2649999999999999</v>
      </c>
      <c r="G52" s="5">
        <v>1.1688000000000001</v>
      </c>
      <c r="J52" s="2">
        <f t="shared" si="0"/>
        <v>-0.12999999999999989</v>
      </c>
      <c r="K52" s="2">
        <f t="shared" si="1"/>
        <v>1.7000000000000002</v>
      </c>
    </row>
    <row r="53" spans="1:11" x14ac:dyDescent="0.25">
      <c r="A53" s="4">
        <f t="shared" si="2"/>
        <v>45352</v>
      </c>
      <c r="B53" t="s">
        <v>61</v>
      </c>
      <c r="C53" s="2">
        <v>4.0999999999999996</v>
      </c>
      <c r="D53" s="2">
        <v>4.1900000000000004</v>
      </c>
      <c r="E53" s="2">
        <v>2.41</v>
      </c>
      <c r="F53" s="5">
        <v>1.2652000000000001</v>
      </c>
      <c r="G53" s="5">
        <v>1.1677</v>
      </c>
      <c r="J53" s="2">
        <f t="shared" si="0"/>
        <v>-9.0000000000000746E-2</v>
      </c>
      <c r="K53" s="2">
        <f t="shared" si="1"/>
        <v>1.6899999999999995</v>
      </c>
    </row>
    <row r="54" spans="1:11" x14ac:dyDescent="0.25">
      <c r="A54" s="4">
        <f t="shared" si="2"/>
        <v>45355</v>
      </c>
      <c r="B54" t="s">
        <v>62</v>
      </c>
      <c r="C54" s="2">
        <v>4.13</v>
      </c>
      <c r="D54" s="2">
        <v>4.22</v>
      </c>
      <c r="E54" s="2">
        <v>2.4</v>
      </c>
      <c r="F54" s="5">
        <v>1.2698</v>
      </c>
      <c r="G54" s="5">
        <v>1.1689000000000001</v>
      </c>
      <c r="J54" s="2">
        <f t="shared" si="0"/>
        <v>-8.9999999999999858E-2</v>
      </c>
      <c r="K54" s="2">
        <f t="shared" si="1"/>
        <v>1.73</v>
      </c>
    </row>
    <row r="55" spans="1:11" x14ac:dyDescent="0.25">
      <c r="A55" s="4">
        <f t="shared" si="2"/>
        <v>45356</v>
      </c>
      <c r="B55" t="s">
        <v>63</v>
      </c>
      <c r="C55" s="2">
        <v>4.01</v>
      </c>
      <c r="D55" s="2">
        <v>4.13</v>
      </c>
      <c r="E55" s="2">
        <v>2.3199999999999998</v>
      </c>
      <c r="F55" s="5">
        <v>1.2732000000000001</v>
      </c>
      <c r="G55" s="5">
        <v>1.1712</v>
      </c>
      <c r="J55" s="2">
        <f t="shared" si="0"/>
        <v>-0.12000000000000011</v>
      </c>
      <c r="K55" s="2">
        <f t="shared" si="1"/>
        <v>1.69</v>
      </c>
    </row>
    <row r="56" spans="1:11" x14ac:dyDescent="0.25">
      <c r="A56" s="4">
        <f t="shared" si="2"/>
        <v>45357</v>
      </c>
      <c r="B56" t="s">
        <v>64</v>
      </c>
      <c r="C56" s="2">
        <v>4</v>
      </c>
      <c r="D56" s="2">
        <v>4.1100000000000003</v>
      </c>
      <c r="E56" s="2">
        <v>2.33</v>
      </c>
      <c r="F56" s="5">
        <v>1.2743</v>
      </c>
      <c r="G56" s="5">
        <v>1.1685000000000001</v>
      </c>
      <c r="J56" s="2">
        <f t="shared" si="0"/>
        <v>-0.11000000000000032</v>
      </c>
      <c r="K56" s="2">
        <f t="shared" si="1"/>
        <v>1.67</v>
      </c>
    </row>
    <row r="57" spans="1:11" x14ac:dyDescent="0.25">
      <c r="A57" s="4">
        <f t="shared" si="2"/>
        <v>45358</v>
      </c>
      <c r="B57" t="s">
        <v>65</v>
      </c>
      <c r="C57" s="2">
        <v>4.01</v>
      </c>
      <c r="D57" s="2">
        <v>4.09</v>
      </c>
      <c r="E57" s="2">
        <v>2.2999999999999998</v>
      </c>
      <c r="F57" s="5">
        <v>1.2788999999999999</v>
      </c>
      <c r="G57" s="5">
        <v>1.1700999999999999</v>
      </c>
      <c r="J57" s="2">
        <f t="shared" si="0"/>
        <v>-8.0000000000000071E-2</v>
      </c>
      <c r="K57" s="2">
        <f t="shared" si="1"/>
        <v>1.71</v>
      </c>
    </row>
    <row r="58" spans="1:11" x14ac:dyDescent="0.25">
      <c r="A58" s="4">
        <f t="shared" si="2"/>
        <v>45359</v>
      </c>
      <c r="B58" t="s">
        <v>66</v>
      </c>
      <c r="C58" s="2">
        <v>3.97</v>
      </c>
      <c r="D58" s="2">
        <v>4.09</v>
      </c>
      <c r="E58" s="2">
        <v>2.27</v>
      </c>
      <c r="F58" s="5">
        <v>1.2881</v>
      </c>
      <c r="G58" s="5">
        <v>1.1752</v>
      </c>
      <c r="J58" s="2">
        <f t="shared" si="0"/>
        <v>-0.11999999999999966</v>
      </c>
      <c r="K58" s="2">
        <f t="shared" si="1"/>
        <v>1.7000000000000002</v>
      </c>
    </row>
    <row r="59" spans="1:11" x14ac:dyDescent="0.25">
      <c r="A59" s="4">
        <f t="shared" si="2"/>
        <v>45362</v>
      </c>
      <c r="B59" t="s">
        <v>67</v>
      </c>
      <c r="C59" s="2">
        <v>3.97</v>
      </c>
      <c r="D59" s="2">
        <v>4.0999999999999996</v>
      </c>
      <c r="E59" s="2">
        <v>2.2999999999999998</v>
      </c>
      <c r="F59" s="5">
        <v>1.2805</v>
      </c>
      <c r="G59" s="5">
        <v>1.1718999999999999</v>
      </c>
      <c r="J59" s="2">
        <f t="shared" si="0"/>
        <v>-0.12999999999999945</v>
      </c>
      <c r="K59" s="2">
        <f t="shared" si="1"/>
        <v>1.6700000000000004</v>
      </c>
    </row>
    <row r="60" spans="1:11" x14ac:dyDescent="0.25">
      <c r="A60" s="4">
        <f t="shared" si="2"/>
        <v>45363</v>
      </c>
      <c r="B60" t="s">
        <v>68</v>
      </c>
      <c r="C60" s="2">
        <v>3.94</v>
      </c>
      <c r="D60" s="2">
        <v>4.16</v>
      </c>
      <c r="E60" s="2">
        <v>2.33</v>
      </c>
      <c r="F60" s="5">
        <v>1.2784</v>
      </c>
      <c r="G60" s="5">
        <v>1.171</v>
      </c>
      <c r="J60" s="2">
        <f t="shared" si="0"/>
        <v>-0.2200000000000002</v>
      </c>
      <c r="K60" s="2">
        <f t="shared" si="1"/>
        <v>1.6099999999999999</v>
      </c>
    </row>
    <row r="61" spans="1:11" x14ac:dyDescent="0.25">
      <c r="A61" s="4">
        <f t="shared" si="2"/>
        <v>45364</v>
      </c>
      <c r="B61" t="s">
        <v>69</v>
      </c>
      <c r="C61" s="2">
        <v>4.0199999999999996</v>
      </c>
      <c r="D61" s="2">
        <v>4.1900000000000004</v>
      </c>
      <c r="E61" s="2">
        <v>2.37</v>
      </c>
      <c r="F61" s="5">
        <v>1.2797000000000001</v>
      </c>
      <c r="G61" s="5">
        <v>1.1693</v>
      </c>
      <c r="J61" s="2">
        <f t="shared" si="0"/>
        <v>-0.17000000000000082</v>
      </c>
      <c r="K61" s="2">
        <f t="shared" si="1"/>
        <v>1.6499999999999995</v>
      </c>
    </row>
    <row r="62" spans="1:11" x14ac:dyDescent="0.25">
      <c r="A62" s="4">
        <f t="shared" si="2"/>
        <v>45365</v>
      </c>
      <c r="B62" t="s">
        <v>70</v>
      </c>
      <c r="C62" s="2">
        <v>4.0999999999999996</v>
      </c>
      <c r="D62" s="2">
        <v>4.29</v>
      </c>
      <c r="E62" s="2">
        <v>2.44</v>
      </c>
      <c r="F62" s="5">
        <v>1.2746999999999999</v>
      </c>
      <c r="G62" s="5">
        <v>1.1707000000000001</v>
      </c>
      <c r="J62" s="2">
        <f t="shared" si="0"/>
        <v>-0.19000000000000039</v>
      </c>
      <c r="K62" s="2">
        <f t="shared" si="1"/>
        <v>1.6599999999999997</v>
      </c>
    </row>
    <row r="63" spans="1:11" x14ac:dyDescent="0.25">
      <c r="A63" s="4">
        <f t="shared" si="2"/>
        <v>45366</v>
      </c>
      <c r="B63" t="s">
        <v>71</v>
      </c>
      <c r="C63" s="2">
        <v>4.09</v>
      </c>
      <c r="D63" s="2">
        <v>4.3099999999999996</v>
      </c>
      <c r="E63" s="2">
        <v>2.44</v>
      </c>
      <c r="F63" s="5">
        <v>1.274</v>
      </c>
      <c r="G63" s="5">
        <v>1.1700999999999999</v>
      </c>
      <c r="J63" s="2">
        <f t="shared" si="0"/>
        <v>-0.21999999999999975</v>
      </c>
      <c r="K63" s="2">
        <f t="shared" si="1"/>
        <v>1.65</v>
      </c>
    </row>
    <row r="64" spans="1:11" x14ac:dyDescent="0.25">
      <c r="A64" s="4">
        <f t="shared" si="2"/>
        <v>45369</v>
      </c>
      <c r="B64" t="s">
        <v>72</v>
      </c>
      <c r="C64" s="2">
        <v>4.09</v>
      </c>
      <c r="D64" s="2">
        <v>4.34</v>
      </c>
      <c r="E64" s="2">
        <v>2.46</v>
      </c>
      <c r="F64" s="5">
        <v>1.2733000000000001</v>
      </c>
      <c r="G64" s="5">
        <v>1.1698</v>
      </c>
      <c r="J64" s="2">
        <f t="shared" si="0"/>
        <v>-0.25</v>
      </c>
      <c r="K64" s="2">
        <f t="shared" si="1"/>
        <v>1.63</v>
      </c>
    </row>
    <row r="65" spans="1:11" x14ac:dyDescent="0.25">
      <c r="A65" s="4">
        <f t="shared" si="2"/>
        <v>45370</v>
      </c>
      <c r="B65" t="s">
        <v>73</v>
      </c>
      <c r="C65" s="2">
        <v>4.05</v>
      </c>
      <c r="D65" s="2">
        <v>4.3</v>
      </c>
      <c r="E65" s="2">
        <v>2.4500000000000002</v>
      </c>
      <c r="F65" s="5">
        <v>1.2710999999999999</v>
      </c>
      <c r="G65" s="5">
        <v>1.1706000000000001</v>
      </c>
      <c r="J65" s="2">
        <f t="shared" si="0"/>
        <v>-0.25</v>
      </c>
      <c r="K65" s="2">
        <f t="shared" si="1"/>
        <v>1.5999999999999996</v>
      </c>
    </row>
    <row r="66" spans="1:11" x14ac:dyDescent="0.25">
      <c r="A66" s="4">
        <f t="shared" si="2"/>
        <v>45371</v>
      </c>
      <c r="B66" t="s">
        <v>74</v>
      </c>
      <c r="C66" s="2">
        <v>4.01</v>
      </c>
      <c r="D66" s="2">
        <v>4.2699999999999996</v>
      </c>
      <c r="E66" s="2">
        <v>2.4300000000000002</v>
      </c>
      <c r="F66" s="5">
        <v>1.2710999999999999</v>
      </c>
      <c r="G66" s="5">
        <v>1.171</v>
      </c>
      <c r="J66" s="2">
        <f t="shared" si="0"/>
        <v>-0.25999999999999979</v>
      </c>
      <c r="K66" s="2">
        <f t="shared" si="1"/>
        <v>1.5799999999999996</v>
      </c>
    </row>
    <row r="67" spans="1:11" x14ac:dyDescent="0.25">
      <c r="A67" s="4">
        <f t="shared" si="2"/>
        <v>45372</v>
      </c>
      <c r="B67" t="s">
        <v>75</v>
      </c>
      <c r="C67" s="2">
        <v>3.98</v>
      </c>
      <c r="D67" s="2">
        <v>4.2699999999999996</v>
      </c>
      <c r="E67" s="2">
        <v>2.41</v>
      </c>
      <c r="F67" s="5">
        <v>1.2667999999999999</v>
      </c>
      <c r="G67" s="5">
        <v>1.1664000000000001</v>
      </c>
      <c r="J67" s="2">
        <f t="shared" si="0"/>
        <v>-0.28999999999999959</v>
      </c>
      <c r="K67" s="2">
        <f t="shared" si="1"/>
        <v>1.5699999999999998</v>
      </c>
    </row>
    <row r="68" spans="1:11" x14ac:dyDescent="0.25">
      <c r="A68" s="4">
        <f t="shared" si="2"/>
        <v>45373</v>
      </c>
      <c r="B68" t="s">
        <v>76</v>
      </c>
      <c r="C68" s="2">
        <v>3.93</v>
      </c>
      <c r="D68" s="2">
        <v>4.22</v>
      </c>
      <c r="E68" s="2">
        <v>2.3199999999999998</v>
      </c>
      <c r="F68" s="5">
        <v>1.2601</v>
      </c>
      <c r="G68" s="5">
        <v>1.165</v>
      </c>
      <c r="J68" s="2">
        <f t="shared" si="0"/>
        <v>-0.28999999999999959</v>
      </c>
      <c r="K68" s="2">
        <f t="shared" si="1"/>
        <v>1.6100000000000003</v>
      </c>
    </row>
    <row r="69" spans="1:11" x14ac:dyDescent="0.25">
      <c r="A69" s="4">
        <f t="shared" si="2"/>
        <v>45376</v>
      </c>
      <c r="B69" t="s">
        <v>77</v>
      </c>
      <c r="C69" s="2">
        <v>3.98</v>
      </c>
      <c r="D69" s="2">
        <v>4.25</v>
      </c>
      <c r="E69" s="2">
        <v>2.37</v>
      </c>
      <c r="F69" s="5">
        <v>1.2645</v>
      </c>
      <c r="G69" s="5">
        <v>1.1668000000000001</v>
      </c>
      <c r="J69" s="2">
        <f t="shared" si="0"/>
        <v>-0.27</v>
      </c>
      <c r="K69" s="2">
        <f t="shared" si="1"/>
        <v>1.6099999999999999</v>
      </c>
    </row>
    <row r="70" spans="1:11" x14ac:dyDescent="0.25">
      <c r="A70" s="4">
        <f t="shared" si="2"/>
        <v>45377</v>
      </c>
      <c r="B70" t="s">
        <v>78</v>
      </c>
      <c r="C70" s="2">
        <v>3.97</v>
      </c>
      <c r="D70" s="2">
        <v>4.24</v>
      </c>
      <c r="E70" s="2">
        <v>2.35</v>
      </c>
      <c r="F70" s="5">
        <v>1.2627999999999999</v>
      </c>
      <c r="G70" s="5">
        <v>1.1661999999999999</v>
      </c>
      <c r="J70" s="2">
        <f t="shared" si="0"/>
        <v>-0.27</v>
      </c>
      <c r="K70" s="2">
        <f t="shared" si="1"/>
        <v>1.62</v>
      </c>
    </row>
    <row r="71" spans="1:11" x14ac:dyDescent="0.25">
      <c r="A71" s="4">
        <f t="shared" si="2"/>
        <v>45378</v>
      </c>
      <c r="B71" t="s">
        <v>79</v>
      </c>
      <c r="C71" s="2">
        <v>3.93</v>
      </c>
      <c r="D71" s="2">
        <v>4.2</v>
      </c>
      <c r="E71" s="2">
        <v>2.29</v>
      </c>
      <c r="F71" s="5">
        <v>1.2628999999999999</v>
      </c>
      <c r="G71" s="5">
        <v>1.1671</v>
      </c>
      <c r="J71" s="2">
        <f t="shared" si="0"/>
        <v>-0.27</v>
      </c>
      <c r="K71" s="2">
        <f t="shared" si="1"/>
        <v>1.6400000000000001</v>
      </c>
    </row>
    <row r="72" spans="1:11" x14ac:dyDescent="0.25">
      <c r="A72" s="4">
        <f t="shared" si="2"/>
        <v>45379</v>
      </c>
      <c r="B72" t="s">
        <v>80</v>
      </c>
      <c r="C72" s="2">
        <v>3.95</v>
      </c>
      <c r="D72" s="2">
        <v>4.2</v>
      </c>
      <c r="E72" s="2">
        <v>2.31</v>
      </c>
      <c r="F72" s="5">
        <v>1.2632000000000001</v>
      </c>
      <c r="G72" s="5">
        <v>1.1694</v>
      </c>
      <c r="J72" s="2">
        <f t="shared" si="0"/>
        <v>-0.25</v>
      </c>
      <c r="K72" s="2">
        <f t="shared" si="1"/>
        <v>1.6400000000000001</v>
      </c>
    </row>
    <row r="73" spans="1:11" x14ac:dyDescent="0.25">
      <c r="A73" s="4">
        <f t="shared" si="2"/>
        <v>45380</v>
      </c>
      <c r="B73" t="s">
        <v>81</v>
      </c>
      <c r="C73" s="2">
        <v>3.95</v>
      </c>
      <c r="D73" s="2" t="e">
        <v>#N/A</v>
      </c>
      <c r="E73" s="2">
        <v>2.29</v>
      </c>
      <c r="F73" s="5" t="e">
        <v>#N/A</v>
      </c>
      <c r="G73" s="5" t="e">
        <v>#N/A</v>
      </c>
      <c r="J73" s="2" t="e">
        <f t="shared" ref="J73:J136" si="3">C73-D73</f>
        <v>#N/A</v>
      </c>
      <c r="K73" s="2">
        <f t="shared" ref="K73:K136" si="4">C73-E73</f>
        <v>1.6600000000000001</v>
      </c>
    </row>
    <row r="74" spans="1:11" x14ac:dyDescent="0.25">
      <c r="A74" s="4">
        <f t="shared" si="2"/>
        <v>45383</v>
      </c>
      <c r="B74" t="s">
        <v>82</v>
      </c>
      <c r="C74" s="2" t="e">
        <v>#N/A</v>
      </c>
      <c r="D74" s="2">
        <v>4.33</v>
      </c>
      <c r="E74" s="2" t="e">
        <v>#N/A</v>
      </c>
      <c r="F74" s="5" t="e">
        <v>#N/A</v>
      </c>
      <c r="G74" s="5" t="e">
        <v>#N/A</v>
      </c>
      <c r="J74" s="2" t="e">
        <f t="shared" si="3"/>
        <v>#N/A</v>
      </c>
      <c r="K74" s="2" t="e">
        <f t="shared" si="4"/>
        <v>#N/A</v>
      </c>
    </row>
    <row r="75" spans="1:11" x14ac:dyDescent="0.25">
      <c r="A75" s="4">
        <f t="shared" si="2"/>
        <v>45384</v>
      </c>
      <c r="B75" t="s">
        <v>83</v>
      </c>
      <c r="C75" s="2">
        <v>4.08</v>
      </c>
      <c r="D75" s="2">
        <v>4.3600000000000003</v>
      </c>
      <c r="E75" s="2">
        <v>2.4</v>
      </c>
      <c r="F75" s="5">
        <v>1.2566999999999999</v>
      </c>
      <c r="G75" s="5">
        <v>1.1673</v>
      </c>
      <c r="J75" s="2">
        <f t="shared" si="3"/>
        <v>-0.28000000000000025</v>
      </c>
      <c r="K75" s="2">
        <f t="shared" si="4"/>
        <v>1.6800000000000002</v>
      </c>
    </row>
    <row r="76" spans="1:11" x14ac:dyDescent="0.25">
      <c r="A76" s="4">
        <f t="shared" si="2"/>
        <v>45385</v>
      </c>
      <c r="B76" t="s">
        <v>84</v>
      </c>
      <c r="C76" s="2">
        <v>4.04</v>
      </c>
      <c r="D76" s="2">
        <v>4.3600000000000003</v>
      </c>
      <c r="E76" s="2">
        <v>2.38</v>
      </c>
      <c r="F76" s="5">
        <v>1.2619</v>
      </c>
      <c r="G76" s="5">
        <v>1.1658999999999999</v>
      </c>
      <c r="J76" s="2">
        <f t="shared" si="3"/>
        <v>-0.32000000000000028</v>
      </c>
      <c r="K76" s="2">
        <f t="shared" si="4"/>
        <v>1.6600000000000001</v>
      </c>
    </row>
    <row r="77" spans="1:11" x14ac:dyDescent="0.25">
      <c r="A77" s="4">
        <f t="shared" si="2"/>
        <v>45386</v>
      </c>
      <c r="B77" t="s">
        <v>85</v>
      </c>
      <c r="C77" s="2">
        <v>4.0199999999999996</v>
      </c>
      <c r="D77" s="2">
        <v>4.3099999999999996</v>
      </c>
      <c r="E77" s="2">
        <v>2.36</v>
      </c>
      <c r="F77" s="5">
        <v>1.2667999999999999</v>
      </c>
      <c r="G77" s="5">
        <v>1.1657</v>
      </c>
      <c r="J77" s="2">
        <f t="shared" si="3"/>
        <v>-0.29000000000000004</v>
      </c>
      <c r="K77" s="2">
        <f t="shared" si="4"/>
        <v>1.6599999999999997</v>
      </c>
    </row>
    <row r="78" spans="1:11" x14ac:dyDescent="0.25">
      <c r="A78" s="4">
        <f t="shared" si="2"/>
        <v>45387</v>
      </c>
      <c r="B78" t="s">
        <v>86</v>
      </c>
      <c r="C78" s="2">
        <v>4.0599999999999996</v>
      </c>
      <c r="D78" s="2">
        <v>4.3899999999999997</v>
      </c>
      <c r="E78" s="2">
        <v>2.41</v>
      </c>
      <c r="F78" s="5">
        <v>1.2615000000000001</v>
      </c>
      <c r="G78" s="5">
        <v>1.1659999999999999</v>
      </c>
      <c r="J78" s="2">
        <f t="shared" si="3"/>
        <v>-0.33000000000000007</v>
      </c>
      <c r="K78" s="2">
        <f t="shared" si="4"/>
        <v>1.6499999999999995</v>
      </c>
    </row>
    <row r="79" spans="1:11" x14ac:dyDescent="0.25">
      <c r="A79" s="4">
        <f t="shared" ref="A79:A142" si="5">+A74+7</f>
        <v>45390</v>
      </c>
      <c r="B79" t="s">
        <v>87</v>
      </c>
      <c r="C79" s="2">
        <v>4.09</v>
      </c>
      <c r="D79" s="2">
        <v>4.42</v>
      </c>
      <c r="E79" s="2">
        <v>2.4300000000000002</v>
      </c>
      <c r="F79" s="5">
        <v>1.2646999999999999</v>
      </c>
      <c r="G79" s="5">
        <v>1.1653</v>
      </c>
      <c r="J79" s="2">
        <f t="shared" si="3"/>
        <v>-0.33000000000000007</v>
      </c>
      <c r="K79" s="2">
        <f t="shared" si="4"/>
        <v>1.6599999999999997</v>
      </c>
    </row>
    <row r="80" spans="1:11" x14ac:dyDescent="0.25">
      <c r="A80" s="4">
        <f t="shared" si="5"/>
        <v>45391</v>
      </c>
      <c r="B80" t="s">
        <v>88</v>
      </c>
      <c r="C80" s="2">
        <v>4.01</v>
      </c>
      <c r="D80" s="2">
        <v>4.3600000000000003</v>
      </c>
      <c r="E80" s="2">
        <v>2.37</v>
      </c>
      <c r="F80" s="5">
        <v>1.2675000000000001</v>
      </c>
      <c r="G80" s="5">
        <v>1.1674</v>
      </c>
      <c r="J80" s="2">
        <f t="shared" si="3"/>
        <v>-0.35000000000000053</v>
      </c>
      <c r="K80" s="2">
        <f t="shared" si="4"/>
        <v>1.6399999999999997</v>
      </c>
    </row>
    <row r="81" spans="1:11" x14ac:dyDescent="0.25">
      <c r="A81" s="4">
        <f t="shared" si="5"/>
        <v>45392</v>
      </c>
      <c r="B81" t="s">
        <v>89</v>
      </c>
      <c r="C81" s="2">
        <v>4.1500000000000004</v>
      </c>
      <c r="D81" s="2">
        <v>4.55</v>
      </c>
      <c r="E81" s="2">
        <v>2.4500000000000002</v>
      </c>
      <c r="F81" s="5">
        <v>1.2565999999999999</v>
      </c>
      <c r="G81" s="5">
        <v>1.1685000000000001</v>
      </c>
      <c r="J81" s="2">
        <f t="shared" si="3"/>
        <v>-0.39999999999999947</v>
      </c>
      <c r="K81" s="2">
        <f t="shared" si="4"/>
        <v>1.7000000000000002</v>
      </c>
    </row>
    <row r="82" spans="1:11" x14ac:dyDescent="0.25">
      <c r="A82" s="4">
        <f t="shared" si="5"/>
        <v>45393</v>
      </c>
      <c r="B82" t="s">
        <v>90</v>
      </c>
      <c r="C82" s="2">
        <v>4.1900000000000004</v>
      </c>
      <c r="D82" s="2">
        <v>4.5599999999999996</v>
      </c>
      <c r="E82" s="2">
        <v>2.46</v>
      </c>
      <c r="F82" s="5">
        <v>1.252</v>
      </c>
      <c r="G82" s="5">
        <v>1.1695</v>
      </c>
      <c r="J82" s="2">
        <f t="shared" si="3"/>
        <v>-0.36999999999999922</v>
      </c>
      <c r="K82" s="2">
        <f t="shared" si="4"/>
        <v>1.7300000000000004</v>
      </c>
    </row>
    <row r="83" spans="1:11" x14ac:dyDescent="0.25">
      <c r="A83" s="4">
        <f t="shared" si="5"/>
        <v>45394</v>
      </c>
      <c r="B83" t="s">
        <v>91</v>
      </c>
      <c r="C83" s="2">
        <v>4.13</v>
      </c>
      <c r="D83" s="2">
        <v>4.5</v>
      </c>
      <c r="E83" s="2">
        <v>2.36</v>
      </c>
      <c r="F83" s="5">
        <v>1.2435</v>
      </c>
      <c r="G83" s="5">
        <v>1.1698</v>
      </c>
      <c r="J83" s="2">
        <f t="shared" si="3"/>
        <v>-0.37000000000000011</v>
      </c>
      <c r="K83" s="2">
        <f t="shared" si="4"/>
        <v>1.77</v>
      </c>
    </row>
    <row r="84" spans="1:11" x14ac:dyDescent="0.25">
      <c r="A84" s="4">
        <f t="shared" si="5"/>
        <v>45397</v>
      </c>
      <c r="B84" t="s">
        <v>92</v>
      </c>
      <c r="C84" s="2">
        <v>4.22</v>
      </c>
      <c r="D84" s="2">
        <v>4.63</v>
      </c>
      <c r="E84" s="2">
        <v>2.44</v>
      </c>
      <c r="F84" s="5">
        <v>1.2451000000000001</v>
      </c>
      <c r="G84" s="5">
        <v>1.1716</v>
      </c>
      <c r="J84" s="2">
        <f t="shared" si="3"/>
        <v>-0.41000000000000014</v>
      </c>
      <c r="K84" s="2">
        <f t="shared" si="4"/>
        <v>1.7799999999999998</v>
      </c>
    </row>
    <row r="85" spans="1:11" x14ac:dyDescent="0.25">
      <c r="A85" s="4">
        <f t="shared" si="5"/>
        <v>45398</v>
      </c>
      <c r="B85" t="s">
        <v>93</v>
      </c>
      <c r="C85" s="2">
        <v>4.3</v>
      </c>
      <c r="D85" s="2">
        <v>4.67</v>
      </c>
      <c r="E85" s="2">
        <v>2.4900000000000002</v>
      </c>
      <c r="F85" s="5">
        <v>1.2442</v>
      </c>
      <c r="G85" s="5">
        <v>1.1701999999999999</v>
      </c>
      <c r="J85" s="2">
        <f t="shared" si="3"/>
        <v>-0.37000000000000011</v>
      </c>
      <c r="K85" s="2">
        <f t="shared" si="4"/>
        <v>1.8099999999999996</v>
      </c>
    </row>
    <row r="86" spans="1:11" x14ac:dyDescent="0.25">
      <c r="A86" s="4">
        <f t="shared" si="5"/>
        <v>45399</v>
      </c>
      <c r="B86" t="s">
        <v>94</v>
      </c>
      <c r="C86" s="2">
        <v>4.25</v>
      </c>
      <c r="D86" s="2">
        <v>4.59</v>
      </c>
      <c r="E86" s="2">
        <v>2.4700000000000002</v>
      </c>
      <c r="F86" s="5">
        <v>1.2450000000000001</v>
      </c>
      <c r="G86" s="5">
        <v>1.1706000000000001</v>
      </c>
      <c r="J86" s="2">
        <f t="shared" si="3"/>
        <v>-0.33999999999999986</v>
      </c>
      <c r="K86" s="2">
        <f t="shared" si="4"/>
        <v>1.7799999999999998</v>
      </c>
    </row>
    <row r="87" spans="1:11" x14ac:dyDescent="0.25">
      <c r="A87" s="4">
        <f t="shared" si="5"/>
        <v>45400</v>
      </c>
      <c r="B87" t="s">
        <v>95</v>
      </c>
      <c r="C87" s="2">
        <v>4.2699999999999996</v>
      </c>
      <c r="D87" s="2">
        <v>4.6399999999999997</v>
      </c>
      <c r="E87" s="2">
        <v>2.4900000000000002</v>
      </c>
      <c r="F87" s="5">
        <v>1.2444</v>
      </c>
      <c r="G87" s="5">
        <v>1.1679999999999999</v>
      </c>
      <c r="J87" s="2">
        <f t="shared" si="3"/>
        <v>-0.37000000000000011</v>
      </c>
      <c r="K87" s="2">
        <f t="shared" si="4"/>
        <v>1.7799999999999994</v>
      </c>
    </row>
    <row r="88" spans="1:11" x14ac:dyDescent="0.25">
      <c r="A88" s="4">
        <f t="shared" si="5"/>
        <v>45401</v>
      </c>
      <c r="B88" t="s">
        <v>96</v>
      </c>
      <c r="C88" s="2">
        <v>4.2300000000000004</v>
      </c>
      <c r="D88" s="2">
        <v>4.62</v>
      </c>
      <c r="E88" s="2">
        <v>2.5</v>
      </c>
      <c r="F88" s="5">
        <v>1.2434000000000001</v>
      </c>
      <c r="G88" s="5">
        <v>1.1653</v>
      </c>
      <c r="J88" s="2">
        <f t="shared" si="3"/>
        <v>-0.38999999999999968</v>
      </c>
      <c r="K88" s="2">
        <f t="shared" si="4"/>
        <v>1.7300000000000004</v>
      </c>
    </row>
    <row r="89" spans="1:11" x14ac:dyDescent="0.25">
      <c r="A89" s="4">
        <f t="shared" si="5"/>
        <v>45404</v>
      </c>
      <c r="B89" t="s">
        <v>97</v>
      </c>
      <c r="C89" s="2">
        <v>4.2</v>
      </c>
      <c r="D89" s="2">
        <v>4.62</v>
      </c>
      <c r="E89" s="2">
        <v>2.4900000000000002</v>
      </c>
      <c r="F89" s="5">
        <v>1.2331000000000001</v>
      </c>
      <c r="G89" s="5">
        <v>1.1584000000000001</v>
      </c>
      <c r="J89" s="2">
        <f t="shared" si="3"/>
        <v>-0.41999999999999993</v>
      </c>
      <c r="K89" s="2">
        <f t="shared" si="4"/>
        <v>1.71</v>
      </c>
    </row>
    <row r="90" spans="1:11" x14ac:dyDescent="0.25">
      <c r="A90" s="4">
        <f t="shared" si="5"/>
        <v>45405</v>
      </c>
      <c r="B90" t="s">
        <v>98</v>
      </c>
      <c r="C90" s="2">
        <v>4.2300000000000004</v>
      </c>
      <c r="D90" s="2">
        <v>4.6100000000000003</v>
      </c>
      <c r="E90" s="2">
        <v>2.5099999999999998</v>
      </c>
      <c r="F90" s="5">
        <v>1.2433000000000001</v>
      </c>
      <c r="G90" s="5">
        <v>1.1620999999999999</v>
      </c>
      <c r="J90" s="2">
        <f t="shared" si="3"/>
        <v>-0.37999999999999989</v>
      </c>
      <c r="K90" s="2">
        <f t="shared" si="4"/>
        <v>1.7200000000000006</v>
      </c>
    </row>
    <row r="91" spans="1:11" x14ac:dyDescent="0.25">
      <c r="A91" s="4">
        <f t="shared" si="5"/>
        <v>45406</v>
      </c>
      <c r="B91" t="s">
        <v>99</v>
      </c>
      <c r="C91" s="2">
        <v>4.33</v>
      </c>
      <c r="D91" s="2">
        <v>4.6500000000000004</v>
      </c>
      <c r="E91" s="2">
        <v>2.59</v>
      </c>
      <c r="F91" s="5">
        <v>1.2433000000000001</v>
      </c>
      <c r="G91" s="5">
        <v>1.1633</v>
      </c>
      <c r="J91" s="2">
        <f t="shared" si="3"/>
        <v>-0.32000000000000028</v>
      </c>
      <c r="K91" s="2">
        <f t="shared" si="4"/>
        <v>1.7400000000000002</v>
      </c>
    </row>
    <row r="92" spans="1:11" x14ac:dyDescent="0.25">
      <c r="A92" s="4">
        <f t="shared" si="5"/>
        <v>45407</v>
      </c>
      <c r="B92" t="s">
        <v>100</v>
      </c>
      <c r="C92" s="2">
        <v>4.3600000000000003</v>
      </c>
      <c r="D92" s="2">
        <v>4.7</v>
      </c>
      <c r="E92" s="2">
        <v>2.63</v>
      </c>
      <c r="F92" s="5">
        <v>1.2488999999999999</v>
      </c>
      <c r="G92" s="5">
        <v>1.1658999999999999</v>
      </c>
      <c r="J92" s="2">
        <f t="shared" si="3"/>
        <v>-0.33999999999999986</v>
      </c>
      <c r="K92" s="2">
        <f t="shared" si="4"/>
        <v>1.7300000000000004</v>
      </c>
    </row>
    <row r="93" spans="1:11" x14ac:dyDescent="0.25">
      <c r="A93" s="4">
        <f t="shared" si="5"/>
        <v>45408</v>
      </c>
      <c r="B93" t="s">
        <v>101</v>
      </c>
      <c r="C93" s="2">
        <v>4.33</v>
      </c>
      <c r="D93" s="2">
        <v>4.67</v>
      </c>
      <c r="E93" s="2">
        <v>2.58</v>
      </c>
      <c r="F93" s="5">
        <v>1.2462</v>
      </c>
      <c r="G93" s="5">
        <v>1.1669</v>
      </c>
      <c r="J93" s="2">
        <f t="shared" si="3"/>
        <v>-0.33999999999999986</v>
      </c>
      <c r="K93" s="2">
        <f t="shared" si="4"/>
        <v>1.75</v>
      </c>
    </row>
    <row r="94" spans="1:11" x14ac:dyDescent="0.25">
      <c r="A94" s="4">
        <f t="shared" si="5"/>
        <v>45411</v>
      </c>
      <c r="B94" t="s">
        <v>102</v>
      </c>
      <c r="C94" s="2">
        <v>4.28</v>
      </c>
      <c r="D94" s="2">
        <v>4.63</v>
      </c>
      <c r="E94" s="2">
        <v>2.5299999999999998</v>
      </c>
      <c r="F94" s="5">
        <v>1.2547999999999999</v>
      </c>
      <c r="G94" s="5">
        <v>1.1713</v>
      </c>
      <c r="J94" s="2">
        <f t="shared" si="3"/>
        <v>-0.34999999999999964</v>
      </c>
      <c r="K94" s="2">
        <f t="shared" si="4"/>
        <v>1.7500000000000004</v>
      </c>
    </row>
    <row r="95" spans="1:11" x14ac:dyDescent="0.25">
      <c r="A95" s="4">
        <f t="shared" si="5"/>
        <v>45412</v>
      </c>
      <c r="B95" t="s">
        <v>103</v>
      </c>
      <c r="C95" s="2">
        <v>4.3600000000000003</v>
      </c>
      <c r="D95" s="2">
        <v>4.6900000000000004</v>
      </c>
      <c r="E95" s="2">
        <v>2.59</v>
      </c>
      <c r="F95" s="5">
        <v>1.252</v>
      </c>
      <c r="G95" s="5">
        <v>1.171</v>
      </c>
      <c r="J95" s="2">
        <f t="shared" si="3"/>
        <v>-0.33000000000000007</v>
      </c>
      <c r="K95" s="2">
        <f t="shared" si="4"/>
        <v>1.7700000000000005</v>
      </c>
    </row>
    <row r="96" spans="1:11" x14ac:dyDescent="0.25">
      <c r="A96" s="4">
        <f t="shared" si="5"/>
        <v>45413</v>
      </c>
      <c r="B96" t="s">
        <v>104</v>
      </c>
      <c r="C96" s="2">
        <v>4.3600000000000003</v>
      </c>
      <c r="D96" s="2">
        <v>4.63</v>
      </c>
      <c r="E96" s="2">
        <v>2.58</v>
      </c>
      <c r="F96" s="5">
        <v>1.2492000000000001</v>
      </c>
      <c r="G96" s="5">
        <v>1.1693</v>
      </c>
      <c r="J96" s="2">
        <f t="shared" si="3"/>
        <v>-0.26999999999999957</v>
      </c>
      <c r="K96" s="2">
        <f t="shared" si="4"/>
        <v>1.7800000000000002</v>
      </c>
    </row>
    <row r="97" spans="1:11" x14ac:dyDescent="0.25">
      <c r="A97" s="4">
        <f t="shared" si="5"/>
        <v>45414</v>
      </c>
      <c r="B97" t="s">
        <v>105</v>
      </c>
      <c r="C97" s="2">
        <v>4.28</v>
      </c>
      <c r="D97" s="2">
        <v>4.58</v>
      </c>
      <c r="E97" s="2">
        <v>2.54</v>
      </c>
      <c r="F97" s="5">
        <v>1.2484999999999999</v>
      </c>
      <c r="G97" s="5">
        <v>1.1680999999999999</v>
      </c>
      <c r="J97" s="2">
        <f t="shared" si="3"/>
        <v>-0.29999999999999982</v>
      </c>
      <c r="K97" s="2">
        <f t="shared" si="4"/>
        <v>1.7400000000000002</v>
      </c>
    </row>
    <row r="98" spans="1:11" x14ac:dyDescent="0.25">
      <c r="A98" s="4">
        <f t="shared" si="5"/>
        <v>45415</v>
      </c>
      <c r="B98" t="s">
        <v>106</v>
      </c>
      <c r="C98" s="2">
        <v>4.22</v>
      </c>
      <c r="D98" s="2">
        <v>4.5</v>
      </c>
      <c r="E98" s="2">
        <v>2.4900000000000002</v>
      </c>
      <c r="F98" s="5">
        <v>1.2545999999999999</v>
      </c>
      <c r="G98" s="5">
        <v>1.1653</v>
      </c>
      <c r="J98" s="2">
        <f t="shared" si="3"/>
        <v>-0.28000000000000025</v>
      </c>
      <c r="K98" s="2">
        <f t="shared" si="4"/>
        <v>1.7299999999999995</v>
      </c>
    </row>
    <row r="99" spans="1:11" x14ac:dyDescent="0.25">
      <c r="A99" s="4">
        <f t="shared" si="5"/>
        <v>45418</v>
      </c>
      <c r="B99" t="s">
        <v>107</v>
      </c>
      <c r="C99" s="2" t="e">
        <v>#N/A</v>
      </c>
      <c r="D99" s="2">
        <v>4.49</v>
      </c>
      <c r="E99" s="2">
        <v>2.4700000000000002</v>
      </c>
      <c r="F99" s="5" t="e">
        <v>#N/A</v>
      </c>
      <c r="G99" s="5" t="e">
        <v>#N/A</v>
      </c>
      <c r="J99" s="2" t="e">
        <f t="shared" si="3"/>
        <v>#N/A</v>
      </c>
      <c r="K99" s="2" t="e">
        <f t="shared" si="4"/>
        <v>#N/A</v>
      </c>
    </row>
    <row r="100" spans="1:11" x14ac:dyDescent="0.25">
      <c r="A100" s="4">
        <f t="shared" si="5"/>
        <v>45419</v>
      </c>
      <c r="B100" t="s">
        <v>108</v>
      </c>
      <c r="C100" s="2">
        <v>4.13</v>
      </c>
      <c r="D100" s="2">
        <v>4.47</v>
      </c>
      <c r="E100" s="2">
        <v>2.4300000000000002</v>
      </c>
      <c r="F100" s="5">
        <v>1.2554000000000001</v>
      </c>
      <c r="G100" s="5">
        <v>1.1647000000000001</v>
      </c>
      <c r="J100" s="2">
        <f t="shared" si="3"/>
        <v>-0.33999999999999986</v>
      </c>
      <c r="K100" s="2">
        <f t="shared" si="4"/>
        <v>1.6999999999999997</v>
      </c>
    </row>
    <row r="101" spans="1:11" x14ac:dyDescent="0.25">
      <c r="A101" s="4">
        <f t="shared" si="5"/>
        <v>45420</v>
      </c>
      <c r="B101" t="s">
        <v>109</v>
      </c>
      <c r="C101" s="2">
        <v>4.13</v>
      </c>
      <c r="D101" s="2">
        <v>4.4800000000000004</v>
      </c>
      <c r="E101" s="2">
        <v>2.4700000000000002</v>
      </c>
      <c r="F101" s="5">
        <v>1.2493000000000001</v>
      </c>
      <c r="G101" s="5">
        <v>1.1621999999999999</v>
      </c>
      <c r="J101" s="2">
        <f t="shared" si="3"/>
        <v>-0.35000000000000053</v>
      </c>
      <c r="K101" s="2">
        <f t="shared" si="4"/>
        <v>1.6599999999999997</v>
      </c>
    </row>
    <row r="102" spans="1:11" x14ac:dyDescent="0.25">
      <c r="A102" s="4">
        <f t="shared" si="5"/>
        <v>45421</v>
      </c>
      <c r="B102" t="s">
        <v>110</v>
      </c>
      <c r="C102" s="2">
        <v>4.1399999999999997</v>
      </c>
      <c r="D102" s="2">
        <v>4.45</v>
      </c>
      <c r="E102" s="2">
        <v>2.4900000000000002</v>
      </c>
      <c r="F102" s="5">
        <v>1.2512000000000001</v>
      </c>
      <c r="G102" s="5">
        <v>1.1611</v>
      </c>
      <c r="J102" s="2">
        <f t="shared" si="3"/>
        <v>-0.3100000000000005</v>
      </c>
      <c r="K102" s="2">
        <f t="shared" si="4"/>
        <v>1.6499999999999995</v>
      </c>
    </row>
    <row r="103" spans="1:11" x14ac:dyDescent="0.25">
      <c r="A103" s="4">
        <f t="shared" si="5"/>
        <v>45422</v>
      </c>
      <c r="B103" t="s">
        <v>111</v>
      </c>
      <c r="C103" s="2">
        <v>4.17</v>
      </c>
      <c r="D103" s="2">
        <v>4.5</v>
      </c>
      <c r="E103" s="2">
        <v>2.52</v>
      </c>
      <c r="F103" s="5">
        <v>1.2507999999999999</v>
      </c>
      <c r="G103" s="5">
        <v>1.1619999999999999</v>
      </c>
      <c r="J103" s="2">
        <f t="shared" si="3"/>
        <v>-0.33000000000000007</v>
      </c>
      <c r="K103" s="2">
        <f t="shared" si="4"/>
        <v>1.65</v>
      </c>
    </row>
    <row r="104" spans="1:11" x14ac:dyDescent="0.25">
      <c r="A104" s="4">
        <f t="shared" si="5"/>
        <v>45425</v>
      </c>
      <c r="B104" t="s">
        <v>112</v>
      </c>
      <c r="C104" s="2">
        <v>4.17</v>
      </c>
      <c r="D104" s="2">
        <v>4.4800000000000004</v>
      </c>
      <c r="E104" s="2">
        <v>2.5099999999999998</v>
      </c>
      <c r="F104" s="5">
        <v>1.2563</v>
      </c>
      <c r="G104" s="5">
        <v>1.1628000000000001</v>
      </c>
      <c r="J104" s="2">
        <f t="shared" si="3"/>
        <v>-0.3100000000000005</v>
      </c>
      <c r="K104" s="2">
        <f t="shared" si="4"/>
        <v>1.6600000000000001</v>
      </c>
    </row>
    <row r="105" spans="1:11" x14ac:dyDescent="0.25">
      <c r="A105" s="4">
        <f t="shared" si="5"/>
        <v>45426</v>
      </c>
      <c r="B105" t="s">
        <v>113</v>
      </c>
      <c r="C105" s="2">
        <v>4.16</v>
      </c>
      <c r="D105" s="2">
        <v>4.45</v>
      </c>
      <c r="E105" s="2">
        <v>2.54</v>
      </c>
      <c r="F105" s="5">
        <v>1.2588999999999999</v>
      </c>
      <c r="G105" s="5">
        <v>1.1629</v>
      </c>
      <c r="J105" s="2">
        <f t="shared" si="3"/>
        <v>-0.29000000000000004</v>
      </c>
      <c r="K105" s="2">
        <f t="shared" si="4"/>
        <v>1.62</v>
      </c>
    </row>
    <row r="106" spans="1:11" x14ac:dyDescent="0.25">
      <c r="A106" s="4">
        <f t="shared" si="5"/>
        <v>45427</v>
      </c>
      <c r="B106" t="s">
        <v>114</v>
      </c>
      <c r="C106" s="2">
        <v>4.0599999999999996</v>
      </c>
      <c r="D106" s="2">
        <v>4.3600000000000003</v>
      </c>
      <c r="E106" s="2">
        <v>2.42</v>
      </c>
      <c r="F106" s="5">
        <v>1.2648999999999999</v>
      </c>
      <c r="G106" s="5">
        <v>1.1649</v>
      </c>
      <c r="J106" s="2">
        <f t="shared" si="3"/>
        <v>-0.30000000000000071</v>
      </c>
      <c r="K106" s="2">
        <f t="shared" si="4"/>
        <v>1.6399999999999997</v>
      </c>
    </row>
    <row r="107" spans="1:11" x14ac:dyDescent="0.25">
      <c r="A107" s="4">
        <f t="shared" si="5"/>
        <v>45428</v>
      </c>
      <c r="B107" t="s">
        <v>115</v>
      </c>
      <c r="C107" s="2">
        <v>4.07</v>
      </c>
      <c r="D107" s="2">
        <v>4.38</v>
      </c>
      <c r="E107" s="2">
        <v>2.46</v>
      </c>
      <c r="F107" s="5">
        <v>1.2667999999999999</v>
      </c>
      <c r="G107" s="5">
        <v>1.1654</v>
      </c>
      <c r="J107" s="2">
        <f t="shared" si="3"/>
        <v>-0.30999999999999961</v>
      </c>
      <c r="K107" s="2">
        <f t="shared" si="4"/>
        <v>1.6100000000000003</v>
      </c>
    </row>
    <row r="108" spans="1:11" x14ac:dyDescent="0.25">
      <c r="A108" s="4">
        <f t="shared" si="5"/>
        <v>45429</v>
      </c>
      <c r="B108" t="s">
        <v>116</v>
      </c>
      <c r="C108" s="2">
        <v>4.12</v>
      </c>
      <c r="D108" s="2">
        <v>4.42</v>
      </c>
      <c r="E108" s="2">
        <v>2.52</v>
      </c>
      <c r="F108" s="5">
        <v>1.2698</v>
      </c>
      <c r="G108" s="5">
        <v>1.1675</v>
      </c>
      <c r="J108" s="2">
        <f t="shared" si="3"/>
        <v>-0.29999999999999982</v>
      </c>
      <c r="K108" s="2">
        <f t="shared" si="4"/>
        <v>1.6</v>
      </c>
    </row>
    <row r="109" spans="1:11" x14ac:dyDescent="0.25">
      <c r="A109" s="4">
        <f t="shared" si="5"/>
        <v>45432</v>
      </c>
      <c r="B109" t="s">
        <v>117</v>
      </c>
      <c r="C109" s="2">
        <v>4.17</v>
      </c>
      <c r="D109" s="2">
        <v>4.4400000000000004</v>
      </c>
      <c r="E109" s="2">
        <v>2.5299999999999998</v>
      </c>
      <c r="F109" s="5">
        <v>1.2707999999999999</v>
      </c>
      <c r="G109" s="5">
        <v>1.1696</v>
      </c>
      <c r="J109" s="2">
        <f t="shared" si="3"/>
        <v>-0.27000000000000046</v>
      </c>
      <c r="K109" s="2">
        <f t="shared" si="4"/>
        <v>1.6400000000000001</v>
      </c>
    </row>
    <row r="110" spans="1:11" x14ac:dyDescent="0.25">
      <c r="A110" s="4">
        <f t="shared" si="5"/>
        <v>45433</v>
      </c>
      <c r="B110" t="s">
        <v>118</v>
      </c>
      <c r="C110" s="2">
        <v>4.13</v>
      </c>
      <c r="D110" s="2">
        <v>4.41</v>
      </c>
      <c r="E110" s="2">
        <v>2.5099999999999998</v>
      </c>
      <c r="F110" s="5">
        <v>1.2723</v>
      </c>
      <c r="G110" s="5">
        <v>1.1715</v>
      </c>
      <c r="J110" s="2">
        <f t="shared" si="3"/>
        <v>-0.28000000000000025</v>
      </c>
      <c r="K110" s="2">
        <f t="shared" si="4"/>
        <v>1.62</v>
      </c>
    </row>
    <row r="111" spans="1:11" x14ac:dyDescent="0.25">
      <c r="A111" s="4">
        <f t="shared" si="5"/>
        <v>45434</v>
      </c>
      <c r="B111" t="s">
        <v>119</v>
      </c>
      <c r="C111" s="2">
        <v>4.2300000000000004</v>
      </c>
      <c r="D111" s="2">
        <v>4.43</v>
      </c>
      <c r="E111" s="2">
        <v>2.54</v>
      </c>
      <c r="F111" s="5">
        <v>1.2724</v>
      </c>
      <c r="G111" s="5">
        <v>1.1745000000000001</v>
      </c>
      <c r="J111" s="2">
        <f t="shared" si="3"/>
        <v>-0.19999999999999929</v>
      </c>
      <c r="K111" s="2">
        <f t="shared" si="4"/>
        <v>1.6900000000000004</v>
      </c>
    </row>
    <row r="112" spans="1:11" x14ac:dyDescent="0.25">
      <c r="A112" s="4">
        <f t="shared" si="5"/>
        <v>45435</v>
      </c>
      <c r="B112" t="s">
        <v>120</v>
      </c>
      <c r="C112" s="2">
        <v>4.26</v>
      </c>
      <c r="D112" s="2">
        <v>4.47</v>
      </c>
      <c r="E112" s="2">
        <v>2.59</v>
      </c>
      <c r="F112" s="5">
        <v>1.2712000000000001</v>
      </c>
      <c r="G112" s="5">
        <v>1.1742999999999999</v>
      </c>
      <c r="J112" s="2">
        <f t="shared" si="3"/>
        <v>-0.20999999999999996</v>
      </c>
      <c r="K112" s="2">
        <f t="shared" si="4"/>
        <v>1.67</v>
      </c>
    </row>
    <row r="113" spans="1:11" x14ac:dyDescent="0.25">
      <c r="A113" s="4">
        <f t="shared" si="5"/>
        <v>45436</v>
      </c>
      <c r="B113" t="s">
        <v>121</v>
      </c>
      <c r="C113" s="2">
        <v>4.26</v>
      </c>
      <c r="D113" s="2">
        <v>4.46</v>
      </c>
      <c r="E113" s="2">
        <v>2.58</v>
      </c>
      <c r="F113" s="5">
        <v>1.2738</v>
      </c>
      <c r="G113" s="5">
        <v>1.1744000000000001</v>
      </c>
      <c r="J113" s="2">
        <f t="shared" si="3"/>
        <v>-0.20000000000000018</v>
      </c>
      <c r="K113" s="2">
        <f t="shared" si="4"/>
        <v>1.6799999999999997</v>
      </c>
    </row>
    <row r="114" spans="1:11" x14ac:dyDescent="0.25">
      <c r="A114" s="4">
        <f t="shared" si="5"/>
        <v>45439</v>
      </c>
      <c r="B114" t="s">
        <v>122</v>
      </c>
      <c r="C114" s="2">
        <v>4.26</v>
      </c>
      <c r="D114" s="2" t="e">
        <v>#N/A</v>
      </c>
      <c r="E114" s="2">
        <v>2.5499999999999998</v>
      </c>
      <c r="F114" s="5" t="e">
        <v>#N/A</v>
      </c>
      <c r="G114" s="5" t="e">
        <v>#N/A</v>
      </c>
      <c r="J114" s="2" t="e">
        <f t="shared" si="3"/>
        <v>#N/A</v>
      </c>
      <c r="K114" s="2">
        <f t="shared" si="4"/>
        <v>1.71</v>
      </c>
    </row>
    <row r="115" spans="1:11" x14ac:dyDescent="0.25">
      <c r="A115" s="4">
        <f t="shared" si="5"/>
        <v>45440</v>
      </c>
      <c r="B115" t="s">
        <v>123</v>
      </c>
      <c r="C115" s="2">
        <v>4.2699999999999996</v>
      </c>
      <c r="D115" s="2">
        <v>4.54</v>
      </c>
      <c r="E115" s="2">
        <v>2.6</v>
      </c>
      <c r="F115" s="5">
        <v>1.2777000000000001</v>
      </c>
      <c r="G115" s="5">
        <v>1.1749000000000001</v>
      </c>
      <c r="J115" s="2">
        <f t="shared" si="3"/>
        <v>-0.27000000000000046</v>
      </c>
      <c r="K115" s="2">
        <f t="shared" si="4"/>
        <v>1.6699999999999995</v>
      </c>
    </row>
    <row r="116" spans="1:11" x14ac:dyDescent="0.25">
      <c r="A116" s="4">
        <f t="shared" si="5"/>
        <v>45441</v>
      </c>
      <c r="B116" t="s">
        <v>124</v>
      </c>
      <c r="C116" s="2">
        <v>4.41</v>
      </c>
      <c r="D116" s="2">
        <v>4.6100000000000003</v>
      </c>
      <c r="E116" s="2">
        <v>2.69</v>
      </c>
      <c r="F116" s="5">
        <v>1.2715000000000001</v>
      </c>
      <c r="G116" s="5">
        <v>1.1757</v>
      </c>
      <c r="J116" s="2">
        <f t="shared" si="3"/>
        <v>-0.20000000000000018</v>
      </c>
      <c r="K116" s="2">
        <f t="shared" si="4"/>
        <v>1.7200000000000002</v>
      </c>
    </row>
    <row r="117" spans="1:11" x14ac:dyDescent="0.25">
      <c r="A117" s="4">
        <f t="shared" si="5"/>
        <v>45442</v>
      </c>
      <c r="B117" t="s">
        <v>125</v>
      </c>
      <c r="C117" s="2">
        <v>4.34</v>
      </c>
      <c r="D117" s="2">
        <v>4.55</v>
      </c>
      <c r="E117" s="2">
        <v>2.66</v>
      </c>
      <c r="F117" s="5">
        <v>1.2739</v>
      </c>
      <c r="G117" s="5">
        <v>1.1751</v>
      </c>
      <c r="J117" s="2">
        <f t="shared" si="3"/>
        <v>-0.20999999999999996</v>
      </c>
      <c r="K117" s="2">
        <f t="shared" si="4"/>
        <v>1.6799999999999997</v>
      </c>
    </row>
    <row r="118" spans="1:11" x14ac:dyDescent="0.25">
      <c r="A118" s="4">
        <f t="shared" si="5"/>
        <v>45443</v>
      </c>
      <c r="B118" t="s">
        <v>126</v>
      </c>
      <c r="C118" s="2">
        <v>4.33</v>
      </c>
      <c r="D118" s="2">
        <v>4.51</v>
      </c>
      <c r="E118" s="2">
        <v>2.67</v>
      </c>
      <c r="F118" s="5">
        <v>1.2730999999999999</v>
      </c>
      <c r="G118" s="5">
        <v>1.1727000000000001</v>
      </c>
      <c r="J118" s="2">
        <f t="shared" si="3"/>
        <v>-0.17999999999999972</v>
      </c>
      <c r="K118" s="2">
        <f t="shared" si="4"/>
        <v>1.6600000000000001</v>
      </c>
    </row>
    <row r="119" spans="1:11" x14ac:dyDescent="0.25">
      <c r="A119" s="4">
        <f t="shared" si="5"/>
        <v>45446</v>
      </c>
      <c r="B119" t="s">
        <v>127</v>
      </c>
      <c r="C119" s="2">
        <v>4.22</v>
      </c>
      <c r="D119" s="2">
        <v>4.41</v>
      </c>
      <c r="E119" s="2">
        <v>2.59</v>
      </c>
      <c r="F119" s="5">
        <v>1.2771999999999999</v>
      </c>
      <c r="G119" s="5">
        <v>1.175</v>
      </c>
      <c r="J119" s="2">
        <f t="shared" si="3"/>
        <v>-0.19000000000000039</v>
      </c>
      <c r="K119" s="2">
        <f t="shared" si="4"/>
        <v>1.63</v>
      </c>
    </row>
    <row r="120" spans="1:11" x14ac:dyDescent="0.25">
      <c r="A120" s="4">
        <f t="shared" si="5"/>
        <v>45447</v>
      </c>
      <c r="B120" t="s">
        <v>128</v>
      </c>
      <c r="C120" s="2">
        <v>4.17</v>
      </c>
      <c r="D120" s="2">
        <v>4.33</v>
      </c>
      <c r="E120" s="2">
        <v>2.54</v>
      </c>
      <c r="F120" s="5">
        <v>1.278</v>
      </c>
      <c r="G120" s="5">
        <v>1.1746000000000001</v>
      </c>
      <c r="J120" s="2">
        <f t="shared" si="3"/>
        <v>-0.16000000000000014</v>
      </c>
      <c r="K120" s="2">
        <f t="shared" si="4"/>
        <v>1.63</v>
      </c>
    </row>
    <row r="121" spans="1:11" x14ac:dyDescent="0.25">
      <c r="A121" s="4">
        <f t="shared" si="5"/>
        <v>45448</v>
      </c>
      <c r="B121" t="s">
        <v>129</v>
      </c>
      <c r="C121" s="2">
        <v>4.1900000000000004</v>
      </c>
      <c r="D121" s="2">
        <v>4.29</v>
      </c>
      <c r="E121" s="2">
        <v>2.5099999999999998</v>
      </c>
      <c r="F121" s="5">
        <v>1.276</v>
      </c>
      <c r="G121" s="5">
        <v>1.1741999999999999</v>
      </c>
      <c r="J121" s="2">
        <f t="shared" si="3"/>
        <v>-9.9999999999999645E-2</v>
      </c>
      <c r="K121" s="2">
        <f t="shared" si="4"/>
        <v>1.6800000000000006</v>
      </c>
    </row>
    <row r="122" spans="1:11" x14ac:dyDescent="0.25">
      <c r="A122" s="4">
        <f t="shared" si="5"/>
        <v>45449</v>
      </c>
      <c r="B122" t="s">
        <v>130</v>
      </c>
      <c r="C122" s="2">
        <v>4.17</v>
      </c>
      <c r="D122" s="2">
        <v>4.28</v>
      </c>
      <c r="E122" s="2">
        <v>2.54</v>
      </c>
      <c r="F122" s="5">
        <v>1.2773000000000001</v>
      </c>
      <c r="G122" s="5">
        <v>1.1741999999999999</v>
      </c>
      <c r="J122" s="2">
        <f t="shared" si="3"/>
        <v>-0.11000000000000032</v>
      </c>
      <c r="K122" s="2">
        <f t="shared" si="4"/>
        <v>1.63</v>
      </c>
    </row>
    <row r="123" spans="1:11" x14ac:dyDescent="0.25">
      <c r="A123" s="4">
        <f t="shared" si="5"/>
        <v>45450</v>
      </c>
      <c r="B123" t="s">
        <v>131</v>
      </c>
      <c r="C123" s="2">
        <v>4.25</v>
      </c>
      <c r="D123" s="2">
        <v>4.43</v>
      </c>
      <c r="E123" s="2">
        <v>2.62</v>
      </c>
      <c r="F123" s="5">
        <v>1.2724</v>
      </c>
      <c r="G123" s="5">
        <v>1.1767000000000001</v>
      </c>
      <c r="J123" s="2">
        <f t="shared" si="3"/>
        <v>-0.17999999999999972</v>
      </c>
      <c r="K123" s="2">
        <f t="shared" si="4"/>
        <v>1.63</v>
      </c>
    </row>
    <row r="124" spans="1:11" x14ac:dyDescent="0.25">
      <c r="A124" s="4">
        <f t="shared" si="5"/>
        <v>45453</v>
      </c>
      <c r="B124" t="s">
        <v>132</v>
      </c>
      <c r="C124" s="2">
        <v>4.33</v>
      </c>
      <c r="D124" s="2">
        <v>4.47</v>
      </c>
      <c r="E124" s="2">
        <v>2.67</v>
      </c>
      <c r="F124" s="5">
        <v>1.2717000000000001</v>
      </c>
      <c r="G124" s="5">
        <v>1.1847000000000001</v>
      </c>
      <c r="J124" s="2">
        <f t="shared" si="3"/>
        <v>-0.13999999999999968</v>
      </c>
      <c r="K124" s="2">
        <f t="shared" si="4"/>
        <v>1.6600000000000001</v>
      </c>
    </row>
    <row r="125" spans="1:11" x14ac:dyDescent="0.25">
      <c r="A125" s="4">
        <f t="shared" si="5"/>
        <v>45454</v>
      </c>
      <c r="B125" t="s">
        <v>133</v>
      </c>
      <c r="C125" s="2">
        <v>4.26</v>
      </c>
      <c r="D125" s="2">
        <v>4.3899999999999997</v>
      </c>
      <c r="E125" s="2">
        <v>2.62</v>
      </c>
      <c r="F125" s="5">
        <v>1.2712000000000001</v>
      </c>
      <c r="G125" s="5">
        <v>1.1855</v>
      </c>
      <c r="J125" s="2">
        <f t="shared" si="3"/>
        <v>-0.12999999999999989</v>
      </c>
      <c r="K125" s="2">
        <f t="shared" si="4"/>
        <v>1.6399999999999997</v>
      </c>
    </row>
    <row r="126" spans="1:11" x14ac:dyDescent="0.25">
      <c r="A126" s="4">
        <f t="shared" si="5"/>
        <v>45455</v>
      </c>
      <c r="B126" t="s">
        <v>134</v>
      </c>
      <c r="C126" s="2">
        <v>4.1100000000000003</v>
      </c>
      <c r="D126" s="2">
        <v>4.3099999999999996</v>
      </c>
      <c r="E126" s="2">
        <v>2.54</v>
      </c>
      <c r="F126" s="5">
        <v>1.2843</v>
      </c>
      <c r="G126" s="5">
        <v>1.1839</v>
      </c>
      <c r="J126" s="2">
        <f t="shared" si="3"/>
        <v>-0.19999999999999929</v>
      </c>
      <c r="K126" s="2">
        <f t="shared" si="4"/>
        <v>1.5700000000000003</v>
      </c>
    </row>
    <row r="127" spans="1:11" x14ac:dyDescent="0.25">
      <c r="A127" s="4">
        <f t="shared" si="5"/>
        <v>45456</v>
      </c>
      <c r="B127" t="s">
        <v>135</v>
      </c>
      <c r="C127" s="2">
        <v>4.13</v>
      </c>
      <c r="D127" s="2">
        <v>4.24</v>
      </c>
      <c r="E127" s="2">
        <v>2.4700000000000002</v>
      </c>
      <c r="F127" s="5">
        <v>1.2766999999999999</v>
      </c>
      <c r="G127" s="5">
        <v>1.1852</v>
      </c>
      <c r="J127" s="2">
        <f t="shared" si="3"/>
        <v>-0.11000000000000032</v>
      </c>
      <c r="K127" s="2">
        <f t="shared" si="4"/>
        <v>1.6599999999999997</v>
      </c>
    </row>
    <row r="128" spans="1:11" x14ac:dyDescent="0.25">
      <c r="A128" s="4">
        <f t="shared" si="5"/>
        <v>45457</v>
      </c>
      <c r="B128" t="s">
        <v>136</v>
      </c>
      <c r="C128" s="2">
        <v>4.05</v>
      </c>
      <c r="D128" s="2">
        <v>4.2</v>
      </c>
      <c r="E128" s="2">
        <v>2.37</v>
      </c>
      <c r="F128" s="5">
        <v>1.2666999999999999</v>
      </c>
      <c r="G128" s="5">
        <v>1.1852</v>
      </c>
      <c r="J128" s="2">
        <f t="shared" si="3"/>
        <v>-0.15000000000000036</v>
      </c>
      <c r="K128" s="2">
        <f t="shared" si="4"/>
        <v>1.6799999999999997</v>
      </c>
    </row>
    <row r="129" spans="1:11" x14ac:dyDescent="0.25">
      <c r="A129" s="4">
        <f t="shared" si="5"/>
        <v>45460</v>
      </c>
      <c r="B129" t="s">
        <v>137</v>
      </c>
      <c r="C129" s="2">
        <v>4.1100000000000003</v>
      </c>
      <c r="D129" s="2">
        <v>4.28</v>
      </c>
      <c r="E129" s="2">
        <v>2.41</v>
      </c>
      <c r="F129" s="5">
        <v>1.268</v>
      </c>
      <c r="G129" s="5">
        <v>1.1833</v>
      </c>
      <c r="J129" s="2">
        <f t="shared" si="3"/>
        <v>-0.16999999999999993</v>
      </c>
      <c r="K129" s="2">
        <f t="shared" si="4"/>
        <v>1.7000000000000002</v>
      </c>
    </row>
    <row r="130" spans="1:11" x14ac:dyDescent="0.25">
      <c r="A130" s="4">
        <f t="shared" si="5"/>
        <v>45461</v>
      </c>
      <c r="B130" t="s">
        <v>138</v>
      </c>
      <c r="C130" s="2">
        <v>4.04</v>
      </c>
      <c r="D130" s="2">
        <v>4.22</v>
      </c>
      <c r="E130" s="2">
        <v>2.39</v>
      </c>
      <c r="F130" s="5">
        <v>1.2689999999999999</v>
      </c>
      <c r="G130" s="5">
        <v>1.1817</v>
      </c>
      <c r="J130" s="2">
        <f t="shared" si="3"/>
        <v>-0.17999999999999972</v>
      </c>
      <c r="K130" s="2">
        <f t="shared" si="4"/>
        <v>1.65</v>
      </c>
    </row>
    <row r="131" spans="1:11" x14ac:dyDescent="0.25">
      <c r="A131" s="4">
        <f t="shared" si="5"/>
        <v>45462</v>
      </c>
      <c r="B131" t="s">
        <v>139</v>
      </c>
      <c r="C131" s="2">
        <v>4.07</v>
      </c>
      <c r="D131" s="2" t="e">
        <v>#N/A</v>
      </c>
      <c r="E131" s="2">
        <v>2.41</v>
      </c>
      <c r="F131" s="5">
        <v>1.2732000000000001</v>
      </c>
      <c r="G131" s="5">
        <v>1.1845000000000001</v>
      </c>
      <c r="J131" s="2" t="e">
        <f t="shared" si="3"/>
        <v>#N/A</v>
      </c>
      <c r="K131" s="2">
        <f t="shared" si="4"/>
        <v>1.6600000000000001</v>
      </c>
    </row>
    <row r="132" spans="1:11" x14ac:dyDescent="0.25">
      <c r="A132" s="4">
        <f t="shared" si="5"/>
        <v>45463</v>
      </c>
      <c r="B132" t="s">
        <v>140</v>
      </c>
      <c r="C132" s="2">
        <v>4.05</v>
      </c>
      <c r="D132" s="2">
        <v>4.25</v>
      </c>
      <c r="E132" s="2">
        <v>2.42</v>
      </c>
      <c r="F132" s="5">
        <v>1.2685999999999999</v>
      </c>
      <c r="G132" s="5">
        <v>1.1831</v>
      </c>
      <c r="J132" s="2">
        <f t="shared" si="3"/>
        <v>-0.20000000000000018</v>
      </c>
      <c r="K132" s="2">
        <f t="shared" si="4"/>
        <v>1.63</v>
      </c>
    </row>
    <row r="133" spans="1:11" x14ac:dyDescent="0.25">
      <c r="A133" s="4">
        <f t="shared" si="5"/>
        <v>45464</v>
      </c>
      <c r="B133" t="s">
        <v>141</v>
      </c>
      <c r="C133" s="2">
        <v>4.07</v>
      </c>
      <c r="D133" s="2">
        <v>4.25</v>
      </c>
      <c r="E133" s="2">
        <v>2.4</v>
      </c>
      <c r="F133" s="5">
        <v>1.2625999999999999</v>
      </c>
      <c r="G133" s="5">
        <v>1.1819999999999999</v>
      </c>
      <c r="J133" s="2">
        <f t="shared" si="3"/>
        <v>-0.17999999999999972</v>
      </c>
      <c r="K133" s="2">
        <f t="shared" si="4"/>
        <v>1.6700000000000004</v>
      </c>
    </row>
    <row r="134" spans="1:11" x14ac:dyDescent="0.25">
      <c r="A134" s="4">
        <f t="shared" si="5"/>
        <v>45467</v>
      </c>
      <c r="B134" t="s">
        <v>142</v>
      </c>
      <c r="C134" s="2">
        <v>4.07</v>
      </c>
      <c r="D134" s="2">
        <v>4.25</v>
      </c>
      <c r="E134" s="2">
        <v>2.41</v>
      </c>
      <c r="F134" s="5">
        <v>1.2687999999999999</v>
      </c>
      <c r="G134" s="5">
        <v>1.1823999999999999</v>
      </c>
      <c r="J134" s="2">
        <f t="shared" si="3"/>
        <v>-0.17999999999999972</v>
      </c>
      <c r="K134" s="2">
        <f t="shared" si="4"/>
        <v>1.6600000000000001</v>
      </c>
    </row>
    <row r="135" spans="1:11" x14ac:dyDescent="0.25">
      <c r="A135" s="4">
        <f t="shared" si="5"/>
        <v>45468</v>
      </c>
      <c r="B135" t="s">
        <v>143</v>
      </c>
      <c r="C135" s="2">
        <v>4.07</v>
      </c>
      <c r="D135" s="2">
        <v>4.2300000000000004</v>
      </c>
      <c r="E135" s="2">
        <v>2.4</v>
      </c>
      <c r="F135" s="5">
        <v>1.2672000000000001</v>
      </c>
      <c r="G135" s="5">
        <v>1.1840999999999999</v>
      </c>
      <c r="J135" s="2">
        <f t="shared" si="3"/>
        <v>-0.16000000000000014</v>
      </c>
      <c r="K135" s="2">
        <f t="shared" si="4"/>
        <v>1.6700000000000004</v>
      </c>
    </row>
    <row r="136" spans="1:11" x14ac:dyDescent="0.25">
      <c r="A136" s="4">
        <f t="shared" si="5"/>
        <v>45469</v>
      </c>
      <c r="B136" t="s">
        <v>144</v>
      </c>
      <c r="C136" s="2">
        <v>4.13</v>
      </c>
      <c r="D136" s="2">
        <v>4.32</v>
      </c>
      <c r="E136" s="2">
        <v>2.46</v>
      </c>
      <c r="F136" s="5">
        <v>1.2623</v>
      </c>
      <c r="G136" s="5">
        <v>1.1819</v>
      </c>
      <c r="J136" s="2">
        <f t="shared" si="3"/>
        <v>-0.19000000000000039</v>
      </c>
      <c r="K136" s="2">
        <f t="shared" si="4"/>
        <v>1.67</v>
      </c>
    </row>
    <row r="137" spans="1:11" x14ac:dyDescent="0.25">
      <c r="A137" s="4">
        <f t="shared" si="5"/>
        <v>45470</v>
      </c>
      <c r="B137" t="s">
        <v>145</v>
      </c>
      <c r="C137" s="2">
        <v>4.13</v>
      </c>
      <c r="D137" s="2">
        <v>4.29</v>
      </c>
      <c r="E137" s="2">
        <v>2.4500000000000002</v>
      </c>
      <c r="F137" s="5">
        <v>1.2650999999999999</v>
      </c>
      <c r="G137" s="5">
        <v>1.1809000000000001</v>
      </c>
      <c r="J137" s="2">
        <f t="shared" ref="J137:J200" si="6">C137-D137</f>
        <v>-0.16000000000000014</v>
      </c>
      <c r="K137" s="2">
        <f t="shared" ref="K137:K200" si="7">C137-E137</f>
        <v>1.6799999999999997</v>
      </c>
    </row>
    <row r="138" spans="1:11" x14ac:dyDescent="0.25">
      <c r="A138" s="4">
        <f t="shared" si="5"/>
        <v>45471</v>
      </c>
      <c r="B138" t="s">
        <v>146</v>
      </c>
      <c r="C138" s="2">
        <v>4.17</v>
      </c>
      <c r="D138" s="2">
        <v>4.3600000000000003</v>
      </c>
      <c r="E138" s="2">
        <v>2.5</v>
      </c>
      <c r="F138" s="5">
        <v>1.2642</v>
      </c>
      <c r="G138" s="5">
        <v>1.1796</v>
      </c>
      <c r="J138" s="2">
        <f t="shared" si="6"/>
        <v>-0.19000000000000039</v>
      </c>
      <c r="K138" s="2">
        <f t="shared" si="7"/>
        <v>1.67</v>
      </c>
    </row>
    <row r="139" spans="1:11" x14ac:dyDescent="0.25">
      <c r="A139" s="4">
        <f t="shared" si="5"/>
        <v>45474</v>
      </c>
      <c r="B139" t="s">
        <v>147</v>
      </c>
      <c r="C139" s="2">
        <v>4.28</v>
      </c>
      <c r="D139" s="2">
        <v>4.4800000000000004</v>
      </c>
      <c r="E139" s="2">
        <v>2.61</v>
      </c>
      <c r="F139" s="5">
        <v>1.2646999999999999</v>
      </c>
      <c r="G139" s="5">
        <v>1.1786000000000001</v>
      </c>
      <c r="J139" s="2">
        <f t="shared" si="6"/>
        <v>-0.20000000000000018</v>
      </c>
      <c r="K139" s="2">
        <f t="shared" si="7"/>
        <v>1.6700000000000004</v>
      </c>
    </row>
    <row r="140" spans="1:11" x14ac:dyDescent="0.25">
      <c r="A140" s="4">
        <f t="shared" si="5"/>
        <v>45475</v>
      </c>
      <c r="B140" t="s">
        <v>148</v>
      </c>
      <c r="C140" s="2">
        <v>4.24</v>
      </c>
      <c r="D140" s="2">
        <v>4.43</v>
      </c>
      <c r="E140" s="2">
        <v>2.6</v>
      </c>
      <c r="F140" s="5">
        <v>1.2676000000000001</v>
      </c>
      <c r="G140" s="5">
        <v>1.1798999999999999</v>
      </c>
      <c r="J140" s="2">
        <f t="shared" si="6"/>
        <v>-0.1899999999999995</v>
      </c>
      <c r="K140" s="2">
        <f t="shared" si="7"/>
        <v>1.6400000000000001</v>
      </c>
    </row>
    <row r="141" spans="1:11" x14ac:dyDescent="0.25">
      <c r="A141" s="4">
        <f t="shared" si="5"/>
        <v>45476</v>
      </c>
      <c r="B141" t="s">
        <v>149</v>
      </c>
      <c r="C141" s="2">
        <v>4.16</v>
      </c>
      <c r="D141" s="2">
        <v>4.3600000000000003</v>
      </c>
      <c r="E141" s="2">
        <v>2.56</v>
      </c>
      <c r="F141" s="5">
        <v>1.2762</v>
      </c>
      <c r="G141" s="5">
        <v>1.181</v>
      </c>
      <c r="J141" s="2">
        <f t="shared" si="6"/>
        <v>-0.20000000000000018</v>
      </c>
      <c r="K141" s="2">
        <f t="shared" si="7"/>
        <v>1.6</v>
      </c>
    </row>
    <row r="142" spans="1:11" x14ac:dyDescent="0.25">
      <c r="A142" s="4">
        <f t="shared" si="5"/>
        <v>45477</v>
      </c>
      <c r="B142" t="s">
        <v>150</v>
      </c>
      <c r="C142" s="2">
        <v>4.2</v>
      </c>
      <c r="D142" s="2" t="e">
        <v>#N/A</v>
      </c>
      <c r="E142" s="2">
        <v>2.59</v>
      </c>
      <c r="F142" s="5">
        <v>1.2762</v>
      </c>
      <c r="G142" s="5">
        <v>1.1808000000000001</v>
      </c>
      <c r="J142" s="2" t="e">
        <f t="shared" si="6"/>
        <v>#N/A</v>
      </c>
      <c r="K142" s="2">
        <f t="shared" si="7"/>
        <v>1.6100000000000003</v>
      </c>
    </row>
    <row r="143" spans="1:11" x14ac:dyDescent="0.25">
      <c r="A143" s="4">
        <f t="shared" ref="A143:A206" si="8">+A138+7</f>
        <v>45478</v>
      </c>
      <c r="B143" t="s">
        <v>151</v>
      </c>
      <c r="C143" s="2">
        <v>4.1399999999999997</v>
      </c>
      <c r="D143" s="2">
        <v>4.28</v>
      </c>
      <c r="E143" s="2">
        <v>2.5299999999999998</v>
      </c>
      <c r="F143" s="5">
        <v>1.2798</v>
      </c>
      <c r="G143" s="5">
        <v>1.1823999999999999</v>
      </c>
      <c r="J143" s="2">
        <f t="shared" si="6"/>
        <v>-0.14000000000000057</v>
      </c>
      <c r="K143" s="2">
        <f t="shared" si="7"/>
        <v>1.6099999999999999</v>
      </c>
    </row>
    <row r="144" spans="1:11" x14ac:dyDescent="0.25">
      <c r="A144" s="4">
        <f t="shared" si="8"/>
        <v>45481</v>
      </c>
      <c r="B144" t="s">
        <v>152</v>
      </c>
      <c r="C144" s="2">
        <v>4.1100000000000003</v>
      </c>
      <c r="D144" s="2">
        <v>4.28</v>
      </c>
      <c r="E144" s="2">
        <v>2.5099999999999998</v>
      </c>
      <c r="F144" s="5">
        <v>1.2833000000000001</v>
      </c>
      <c r="G144" s="5">
        <v>1.1843999999999999</v>
      </c>
      <c r="J144" s="2">
        <f t="shared" si="6"/>
        <v>-0.16999999999999993</v>
      </c>
      <c r="K144" s="2">
        <f t="shared" si="7"/>
        <v>1.6000000000000005</v>
      </c>
    </row>
    <row r="145" spans="1:11" x14ac:dyDescent="0.25">
      <c r="A145" s="4">
        <f t="shared" si="8"/>
        <v>45482</v>
      </c>
      <c r="B145" t="s">
        <v>153</v>
      </c>
      <c r="C145" s="2">
        <v>4.16</v>
      </c>
      <c r="D145" s="2">
        <v>4.3</v>
      </c>
      <c r="E145" s="2">
        <v>2.5499999999999998</v>
      </c>
      <c r="F145" s="5">
        <v>1.2797000000000001</v>
      </c>
      <c r="G145" s="5">
        <v>1.1832</v>
      </c>
      <c r="J145" s="2">
        <f t="shared" si="6"/>
        <v>-0.13999999999999968</v>
      </c>
      <c r="K145" s="2">
        <f t="shared" si="7"/>
        <v>1.6100000000000003</v>
      </c>
    </row>
    <row r="146" spans="1:11" x14ac:dyDescent="0.25">
      <c r="A146" s="4">
        <f t="shared" si="8"/>
        <v>45483</v>
      </c>
      <c r="B146" t="s">
        <v>154</v>
      </c>
      <c r="C146" s="2">
        <v>4.12</v>
      </c>
      <c r="D146" s="2">
        <v>4.28</v>
      </c>
      <c r="E146" s="2">
        <v>2.5299999999999998</v>
      </c>
      <c r="F146" s="5">
        <v>1.2829999999999999</v>
      </c>
      <c r="G146" s="5">
        <v>1.1854</v>
      </c>
      <c r="J146" s="2">
        <f t="shared" si="6"/>
        <v>-0.16000000000000014</v>
      </c>
      <c r="K146" s="2">
        <f t="shared" si="7"/>
        <v>1.5900000000000003</v>
      </c>
    </row>
    <row r="147" spans="1:11" x14ac:dyDescent="0.25">
      <c r="A147" s="4">
        <f t="shared" si="8"/>
        <v>45484</v>
      </c>
      <c r="B147" t="s">
        <v>155</v>
      </c>
      <c r="C147" s="2">
        <v>4.08</v>
      </c>
      <c r="D147" s="2">
        <v>4.2</v>
      </c>
      <c r="E147" s="2">
        <v>2.4900000000000002</v>
      </c>
      <c r="F147" s="5">
        <v>1.2924</v>
      </c>
      <c r="G147" s="5">
        <v>1.1879999999999999</v>
      </c>
      <c r="J147" s="2">
        <f t="shared" si="6"/>
        <v>-0.12000000000000011</v>
      </c>
      <c r="K147" s="2">
        <f t="shared" si="7"/>
        <v>1.5899999999999999</v>
      </c>
    </row>
    <row r="148" spans="1:11" x14ac:dyDescent="0.25">
      <c r="A148" s="4">
        <f t="shared" si="8"/>
        <v>45485</v>
      </c>
      <c r="B148" t="s">
        <v>156</v>
      </c>
      <c r="C148" s="2">
        <v>4.12</v>
      </c>
      <c r="D148" s="2">
        <v>4.18</v>
      </c>
      <c r="E148" s="2">
        <v>2.4900000000000002</v>
      </c>
      <c r="F148" s="5">
        <v>1.2988999999999999</v>
      </c>
      <c r="G148" s="5">
        <v>1.1907000000000001</v>
      </c>
      <c r="J148" s="2">
        <f t="shared" si="6"/>
        <v>-5.9999999999999609E-2</v>
      </c>
      <c r="K148" s="2">
        <f t="shared" si="7"/>
        <v>1.63</v>
      </c>
    </row>
    <row r="149" spans="1:11" x14ac:dyDescent="0.25">
      <c r="A149" s="4">
        <f t="shared" si="8"/>
        <v>45488</v>
      </c>
      <c r="B149" t="s">
        <v>157</v>
      </c>
      <c r="C149" s="2">
        <v>4.1100000000000003</v>
      </c>
      <c r="D149" s="2">
        <v>4.2300000000000004</v>
      </c>
      <c r="E149" s="2">
        <v>2.48</v>
      </c>
      <c r="F149" s="5">
        <v>1.2984</v>
      </c>
      <c r="G149" s="5">
        <v>1.1893</v>
      </c>
      <c r="J149" s="2">
        <f t="shared" si="6"/>
        <v>-0.12000000000000011</v>
      </c>
      <c r="K149" s="2">
        <f t="shared" si="7"/>
        <v>1.6300000000000003</v>
      </c>
    </row>
    <row r="150" spans="1:11" x14ac:dyDescent="0.25">
      <c r="A150" s="4">
        <f t="shared" si="8"/>
        <v>45489</v>
      </c>
      <c r="B150" t="s">
        <v>158</v>
      </c>
      <c r="C150" s="2">
        <v>4.05</v>
      </c>
      <c r="D150" s="2">
        <v>4.17</v>
      </c>
      <c r="E150" s="2">
        <v>2.42</v>
      </c>
      <c r="F150" s="5">
        <v>1.2948</v>
      </c>
      <c r="G150" s="5">
        <v>1.1900999999999999</v>
      </c>
      <c r="J150" s="2">
        <f t="shared" si="6"/>
        <v>-0.12000000000000011</v>
      </c>
      <c r="K150" s="2">
        <f t="shared" si="7"/>
        <v>1.63</v>
      </c>
    </row>
    <row r="151" spans="1:11" x14ac:dyDescent="0.25">
      <c r="A151" s="4">
        <f t="shared" si="8"/>
        <v>45490</v>
      </c>
      <c r="B151" t="s">
        <v>159</v>
      </c>
      <c r="C151" s="2">
        <v>4.07</v>
      </c>
      <c r="D151" s="2">
        <v>4.16</v>
      </c>
      <c r="E151" s="2">
        <v>2.42</v>
      </c>
      <c r="F151" s="5">
        <v>1.3013999999999999</v>
      </c>
      <c r="G151" s="5">
        <v>1.1902999999999999</v>
      </c>
      <c r="J151" s="2">
        <f t="shared" si="6"/>
        <v>-8.9999999999999858E-2</v>
      </c>
      <c r="K151" s="2">
        <f t="shared" si="7"/>
        <v>1.6500000000000004</v>
      </c>
    </row>
    <row r="152" spans="1:11" x14ac:dyDescent="0.25">
      <c r="A152" s="4">
        <f t="shared" si="8"/>
        <v>45491</v>
      </c>
      <c r="B152" t="s">
        <v>160</v>
      </c>
      <c r="C152" s="2">
        <v>4.07</v>
      </c>
      <c r="D152" s="2">
        <v>4.2</v>
      </c>
      <c r="E152" s="2">
        <v>2.44</v>
      </c>
      <c r="F152" s="5">
        <v>1.2978000000000001</v>
      </c>
      <c r="G152" s="5">
        <v>1.1891</v>
      </c>
      <c r="J152" s="2">
        <f t="shared" si="6"/>
        <v>-0.12999999999999989</v>
      </c>
      <c r="K152" s="2">
        <f t="shared" si="7"/>
        <v>1.6300000000000003</v>
      </c>
    </row>
    <row r="153" spans="1:11" x14ac:dyDescent="0.25">
      <c r="A153" s="4">
        <f t="shared" si="8"/>
        <v>45492</v>
      </c>
      <c r="B153" t="s">
        <v>161</v>
      </c>
      <c r="C153" s="2">
        <v>4.13</v>
      </c>
      <c r="D153" s="2">
        <v>4.25</v>
      </c>
      <c r="E153" s="2">
        <v>2.4700000000000002</v>
      </c>
      <c r="F153" s="5">
        <v>1.2917000000000001</v>
      </c>
      <c r="G153" s="5">
        <v>1.1860999999999999</v>
      </c>
      <c r="J153" s="2">
        <f t="shared" si="6"/>
        <v>-0.12000000000000011</v>
      </c>
      <c r="K153" s="2">
        <f t="shared" si="7"/>
        <v>1.6599999999999997</v>
      </c>
    </row>
    <row r="154" spans="1:11" x14ac:dyDescent="0.25">
      <c r="A154" s="4">
        <f t="shared" si="8"/>
        <v>45495</v>
      </c>
      <c r="B154" t="s">
        <v>162</v>
      </c>
      <c r="C154" s="2">
        <v>4.17</v>
      </c>
      <c r="D154" s="2">
        <v>4.26</v>
      </c>
      <c r="E154" s="2">
        <v>2.4900000000000002</v>
      </c>
      <c r="F154" s="5">
        <v>1.2912999999999999</v>
      </c>
      <c r="G154" s="5">
        <v>1.1862999999999999</v>
      </c>
      <c r="J154" s="2">
        <f t="shared" si="6"/>
        <v>-8.9999999999999858E-2</v>
      </c>
      <c r="K154" s="2">
        <f t="shared" si="7"/>
        <v>1.6799999999999997</v>
      </c>
    </row>
    <row r="155" spans="1:11" x14ac:dyDescent="0.25">
      <c r="A155" s="4">
        <f t="shared" si="8"/>
        <v>45496</v>
      </c>
      <c r="B155" t="s">
        <v>163</v>
      </c>
      <c r="C155" s="2">
        <v>4.13</v>
      </c>
      <c r="D155" s="2">
        <v>4.25</v>
      </c>
      <c r="E155" s="2">
        <v>2.4500000000000002</v>
      </c>
      <c r="F155" s="5">
        <v>1.2907999999999999</v>
      </c>
      <c r="G155" s="5">
        <v>1.1901999999999999</v>
      </c>
      <c r="J155" s="2">
        <f t="shared" si="6"/>
        <v>-0.12000000000000011</v>
      </c>
      <c r="K155" s="2">
        <f t="shared" si="7"/>
        <v>1.6799999999999997</v>
      </c>
    </row>
    <row r="156" spans="1:11" x14ac:dyDescent="0.25">
      <c r="A156" s="4">
        <f t="shared" si="8"/>
        <v>45497</v>
      </c>
      <c r="B156" t="s">
        <v>164</v>
      </c>
      <c r="C156" s="2">
        <v>4.16</v>
      </c>
      <c r="D156" s="2">
        <v>4.28</v>
      </c>
      <c r="E156" s="2">
        <v>2.46</v>
      </c>
      <c r="F156" s="5">
        <v>1.2918000000000001</v>
      </c>
      <c r="G156" s="5">
        <v>1.1901999999999999</v>
      </c>
      <c r="J156" s="2">
        <f t="shared" si="6"/>
        <v>-0.12000000000000011</v>
      </c>
      <c r="K156" s="2">
        <f t="shared" si="7"/>
        <v>1.7000000000000002</v>
      </c>
    </row>
    <row r="157" spans="1:11" x14ac:dyDescent="0.25">
      <c r="A157" s="4">
        <f t="shared" si="8"/>
        <v>45498</v>
      </c>
      <c r="B157" t="s">
        <v>165</v>
      </c>
      <c r="C157" s="2">
        <v>4.1399999999999997</v>
      </c>
      <c r="D157" s="2">
        <v>4.2699999999999996</v>
      </c>
      <c r="E157" s="2">
        <v>2.44</v>
      </c>
      <c r="F157" s="5">
        <v>1.2877000000000001</v>
      </c>
      <c r="G157" s="5">
        <v>1.1861999999999999</v>
      </c>
      <c r="J157" s="2">
        <f t="shared" si="6"/>
        <v>-0.12999999999999989</v>
      </c>
      <c r="K157" s="2">
        <f t="shared" si="7"/>
        <v>1.6999999999999997</v>
      </c>
    </row>
    <row r="158" spans="1:11" x14ac:dyDescent="0.25">
      <c r="A158" s="4">
        <f t="shared" si="8"/>
        <v>45499</v>
      </c>
      <c r="B158" t="s">
        <v>166</v>
      </c>
      <c r="C158" s="2">
        <v>4.0999999999999996</v>
      </c>
      <c r="D158" s="2">
        <v>4.2</v>
      </c>
      <c r="E158" s="2">
        <v>2.4</v>
      </c>
      <c r="F158" s="5">
        <v>1.2853000000000001</v>
      </c>
      <c r="G158" s="5">
        <v>1.1839999999999999</v>
      </c>
      <c r="J158" s="2">
        <f t="shared" si="6"/>
        <v>-0.10000000000000053</v>
      </c>
      <c r="K158" s="2">
        <f t="shared" si="7"/>
        <v>1.6999999999999997</v>
      </c>
    </row>
    <row r="159" spans="1:11" x14ac:dyDescent="0.25">
      <c r="A159" s="4">
        <f t="shared" si="8"/>
        <v>45502</v>
      </c>
      <c r="B159" t="s">
        <v>167</v>
      </c>
      <c r="C159" s="2">
        <v>4.05</v>
      </c>
      <c r="D159" s="2">
        <v>4.17</v>
      </c>
      <c r="E159" s="2">
        <v>2.36</v>
      </c>
      <c r="F159" s="5">
        <v>1.2847</v>
      </c>
      <c r="G159" s="5">
        <v>1.1878</v>
      </c>
      <c r="J159" s="2">
        <f t="shared" si="6"/>
        <v>-0.12000000000000011</v>
      </c>
      <c r="K159" s="2">
        <f t="shared" si="7"/>
        <v>1.69</v>
      </c>
    </row>
    <row r="160" spans="1:11" x14ac:dyDescent="0.25">
      <c r="A160" s="4">
        <f t="shared" si="8"/>
        <v>45503</v>
      </c>
      <c r="B160" t="s">
        <v>168</v>
      </c>
      <c r="C160" s="2">
        <v>4.03</v>
      </c>
      <c r="D160" s="2">
        <v>4.1500000000000004</v>
      </c>
      <c r="E160" s="2">
        <v>2.34</v>
      </c>
      <c r="F160" s="5">
        <v>1.2827999999999999</v>
      </c>
      <c r="G160" s="5">
        <v>1.1872</v>
      </c>
      <c r="J160" s="2">
        <f t="shared" si="6"/>
        <v>-0.12000000000000011</v>
      </c>
      <c r="K160" s="2">
        <f t="shared" si="7"/>
        <v>1.6900000000000004</v>
      </c>
    </row>
    <row r="161" spans="1:11" x14ac:dyDescent="0.25">
      <c r="A161" s="4">
        <f t="shared" si="8"/>
        <v>45504</v>
      </c>
      <c r="B161" t="s">
        <v>169</v>
      </c>
      <c r="C161" s="2">
        <v>3.96</v>
      </c>
      <c r="D161" s="2">
        <v>4.09</v>
      </c>
      <c r="E161" s="2">
        <v>2.29</v>
      </c>
      <c r="F161" s="5">
        <v>1.2844</v>
      </c>
      <c r="G161" s="5">
        <v>1.1869000000000001</v>
      </c>
      <c r="J161" s="2">
        <f t="shared" si="6"/>
        <v>-0.12999999999999989</v>
      </c>
      <c r="K161" s="2">
        <f t="shared" si="7"/>
        <v>1.67</v>
      </c>
    </row>
    <row r="162" spans="1:11" x14ac:dyDescent="0.25">
      <c r="A162" s="4">
        <f t="shared" si="8"/>
        <v>45505</v>
      </c>
      <c r="B162" t="s">
        <v>170</v>
      </c>
      <c r="C162" s="2">
        <v>3.89</v>
      </c>
      <c r="D162" s="2">
        <v>3.99</v>
      </c>
      <c r="E162" s="2">
        <v>2.25</v>
      </c>
      <c r="F162" s="5">
        <v>1.2793000000000001</v>
      </c>
      <c r="G162" s="5">
        <v>1.1854</v>
      </c>
      <c r="J162" s="2">
        <f t="shared" si="6"/>
        <v>-0.10000000000000009</v>
      </c>
      <c r="K162" s="2">
        <f t="shared" si="7"/>
        <v>1.6400000000000001</v>
      </c>
    </row>
    <row r="163" spans="1:11" x14ac:dyDescent="0.25">
      <c r="A163" s="4">
        <f t="shared" si="8"/>
        <v>45506</v>
      </c>
      <c r="B163" t="s">
        <v>171</v>
      </c>
      <c r="C163" s="2">
        <v>3.83</v>
      </c>
      <c r="D163" s="2">
        <v>3.8</v>
      </c>
      <c r="E163" s="2">
        <v>2.17</v>
      </c>
      <c r="F163" s="5">
        <v>1.2806999999999999</v>
      </c>
      <c r="G163" s="5">
        <v>1.1725000000000001</v>
      </c>
      <c r="J163" s="2">
        <f t="shared" si="6"/>
        <v>3.0000000000000249E-2</v>
      </c>
      <c r="K163" s="2">
        <f t="shared" si="7"/>
        <v>1.6600000000000001</v>
      </c>
    </row>
    <row r="164" spans="1:11" x14ac:dyDescent="0.25">
      <c r="A164" s="4">
        <f t="shared" si="8"/>
        <v>45509</v>
      </c>
      <c r="B164" t="s">
        <v>172</v>
      </c>
      <c r="C164" s="2">
        <v>3.88</v>
      </c>
      <c r="D164" s="2">
        <v>3.78</v>
      </c>
      <c r="E164" s="2">
        <v>2.1800000000000002</v>
      </c>
      <c r="F164" s="5">
        <v>1.2759</v>
      </c>
      <c r="G164" s="5">
        <v>1.1620999999999999</v>
      </c>
      <c r="J164" s="2">
        <f t="shared" si="6"/>
        <v>0.10000000000000009</v>
      </c>
      <c r="K164" s="2">
        <f t="shared" si="7"/>
        <v>1.6999999999999997</v>
      </c>
    </row>
    <row r="165" spans="1:11" x14ac:dyDescent="0.25">
      <c r="A165" s="4">
        <f t="shared" si="8"/>
        <v>45510</v>
      </c>
      <c r="B165" t="s">
        <v>173</v>
      </c>
      <c r="C165" s="2">
        <v>3.93</v>
      </c>
      <c r="D165" s="2">
        <v>3.9</v>
      </c>
      <c r="E165" s="2">
        <v>2.2200000000000002</v>
      </c>
      <c r="F165" s="5">
        <v>1.2706</v>
      </c>
      <c r="G165" s="5">
        <v>1.1619999999999999</v>
      </c>
      <c r="J165" s="2">
        <f t="shared" si="6"/>
        <v>3.0000000000000249E-2</v>
      </c>
      <c r="K165" s="2">
        <f t="shared" si="7"/>
        <v>1.71</v>
      </c>
    </row>
    <row r="166" spans="1:11" x14ac:dyDescent="0.25">
      <c r="A166" s="4">
        <f t="shared" si="8"/>
        <v>45511</v>
      </c>
      <c r="B166" t="s">
        <v>174</v>
      </c>
      <c r="C166" s="2">
        <v>3.95</v>
      </c>
      <c r="D166" s="2">
        <v>3.96</v>
      </c>
      <c r="E166" s="2">
        <v>2.27</v>
      </c>
      <c r="F166" s="5">
        <v>1.2721</v>
      </c>
      <c r="G166" s="5">
        <v>1.1637</v>
      </c>
      <c r="J166" s="2">
        <f t="shared" si="6"/>
        <v>-9.9999999999997868E-3</v>
      </c>
      <c r="K166" s="2">
        <f t="shared" si="7"/>
        <v>1.6800000000000002</v>
      </c>
    </row>
    <row r="167" spans="1:11" x14ac:dyDescent="0.25">
      <c r="A167" s="4">
        <f t="shared" si="8"/>
        <v>45512</v>
      </c>
      <c r="B167" t="s">
        <v>175</v>
      </c>
      <c r="C167" s="2">
        <v>3.99</v>
      </c>
      <c r="D167" s="2">
        <v>3.99</v>
      </c>
      <c r="E167" s="2">
        <v>2.27</v>
      </c>
      <c r="F167" s="5">
        <v>1.2715000000000001</v>
      </c>
      <c r="G167" s="5">
        <v>1.1657999999999999</v>
      </c>
      <c r="J167" s="2">
        <f t="shared" si="6"/>
        <v>0</v>
      </c>
      <c r="K167" s="2">
        <f t="shared" si="7"/>
        <v>1.7200000000000002</v>
      </c>
    </row>
    <row r="168" spans="1:11" x14ac:dyDescent="0.25">
      <c r="A168" s="4">
        <f t="shared" si="8"/>
        <v>45513</v>
      </c>
      <c r="B168" t="s">
        <v>176</v>
      </c>
      <c r="C168" s="2">
        <v>3.95</v>
      </c>
      <c r="D168" s="2">
        <v>3.94</v>
      </c>
      <c r="E168" s="2">
        <v>2.23</v>
      </c>
      <c r="F168" s="5">
        <v>1.2764</v>
      </c>
      <c r="G168" s="5">
        <v>1.1686000000000001</v>
      </c>
      <c r="J168" s="2">
        <f t="shared" si="6"/>
        <v>1.0000000000000231E-2</v>
      </c>
      <c r="K168" s="2">
        <f t="shared" si="7"/>
        <v>1.7200000000000002</v>
      </c>
    </row>
    <row r="169" spans="1:11" x14ac:dyDescent="0.25">
      <c r="A169" s="4">
        <f t="shared" si="8"/>
        <v>45516</v>
      </c>
      <c r="B169" t="s">
        <v>177</v>
      </c>
      <c r="C169" s="2">
        <v>3.92</v>
      </c>
      <c r="D169" s="2">
        <v>3.9</v>
      </c>
      <c r="E169" s="2">
        <v>2.2200000000000002</v>
      </c>
      <c r="F169" s="5">
        <v>1.2785</v>
      </c>
      <c r="G169" s="5">
        <v>1.1695</v>
      </c>
      <c r="J169" s="2">
        <f t="shared" si="6"/>
        <v>2.0000000000000018E-2</v>
      </c>
      <c r="K169" s="2">
        <f t="shared" si="7"/>
        <v>1.6999999999999997</v>
      </c>
    </row>
    <row r="170" spans="1:11" x14ac:dyDescent="0.25">
      <c r="A170" s="4">
        <f t="shared" si="8"/>
        <v>45517</v>
      </c>
      <c r="B170" t="s">
        <v>178</v>
      </c>
      <c r="C170" s="2">
        <v>3.89</v>
      </c>
      <c r="D170" s="2">
        <v>3.85</v>
      </c>
      <c r="E170" s="2">
        <v>2.1800000000000002</v>
      </c>
      <c r="F170" s="5">
        <v>1.2824</v>
      </c>
      <c r="G170" s="5">
        <v>1.1706000000000001</v>
      </c>
      <c r="J170" s="2">
        <f t="shared" si="6"/>
        <v>4.0000000000000036E-2</v>
      </c>
      <c r="K170" s="2">
        <f t="shared" si="7"/>
        <v>1.71</v>
      </c>
    </row>
    <row r="171" spans="1:11" x14ac:dyDescent="0.25">
      <c r="A171" s="4">
        <f t="shared" si="8"/>
        <v>45518</v>
      </c>
      <c r="B171" t="s">
        <v>179</v>
      </c>
      <c r="C171" s="2">
        <v>3.83</v>
      </c>
      <c r="D171" s="2">
        <v>3.83</v>
      </c>
      <c r="E171" s="2">
        <v>2.19</v>
      </c>
      <c r="F171" s="5">
        <v>1.2856000000000001</v>
      </c>
      <c r="G171" s="5">
        <v>1.1649</v>
      </c>
      <c r="J171" s="2">
        <f t="shared" si="6"/>
        <v>0</v>
      </c>
      <c r="K171" s="2">
        <f t="shared" si="7"/>
        <v>1.6400000000000001</v>
      </c>
    </row>
    <row r="172" spans="1:11" x14ac:dyDescent="0.25">
      <c r="A172" s="4">
        <f t="shared" si="8"/>
        <v>45519</v>
      </c>
      <c r="B172" t="s">
        <v>180</v>
      </c>
      <c r="C172" s="2">
        <v>3.92</v>
      </c>
      <c r="D172" s="2">
        <v>3.92</v>
      </c>
      <c r="E172" s="2">
        <v>2.2599999999999998</v>
      </c>
      <c r="F172" s="5">
        <v>1.2853000000000001</v>
      </c>
      <c r="G172" s="5">
        <v>1.1701999999999999</v>
      </c>
      <c r="J172" s="2">
        <f t="shared" si="6"/>
        <v>0</v>
      </c>
      <c r="K172" s="2">
        <f t="shared" si="7"/>
        <v>1.6600000000000001</v>
      </c>
    </row>
    <row r="173" spans="1:11" x14ac:dyDescent="0.25">
      <c r="A173" s="4">
        <f t="shared" si="8"/>
        <v>45520</v>
      </c>
      <c r="B173" t="s">
        <v>181</v>
      </c>
      <c r="C173" s="2">
        <v>3.92</v>
      </c>
      <c r="D173" s="2">
        <v>3.89</v>
      </c>
      <c r="E173" s="2">
        <v>2.25</v>
      </c>
      <c r="F173" s="5">
        <v>1.2889999999999999</v>
      </c>
      <c r="G173" s="5">
        <v>1.1728000000000001</v>
      </c>
      <c r="J173" s="2">
        <f t="shared" si="6"/>
        <v>2.9999999999999805E-2</v>
      </c>
      <c r="K173" s="2">
        <f t="shared" si="7"/>
        <v>1.67</v>
      </c>
    </row>
    <row r="174" spans="1:11" x14ac:dyDescent="0.25">
      <c r="A174" s="4">
        <f t="shared" si="8"/>
        <v>45523</v>
      </c>
      <c r="B174" t="s">
        <v>182</v>
      </c>
      <c r="C174" s="2">
        <v>3.92</v>
      </c>
      <c r="D174" s="2">
        <v>3.86</v>
      </c>
      <c r="E174" s="2">
        <v>2.25</v>
      </c>
      <c r="F174" s="5">
        <v>1.2986</v>
      </c>
      <c r="G174" s="5">
        <v>1.1736</v>
      </c>
      <c r="J174" s="2">
        <f t="shared" si="6"/>
        <v>6.0000000000000053E-2</v>
      </c>
      <c r="K174" s="2">
        <f t="shared" si="7"/>
        <v>1.67</v>
      </c>
    </row>
    <row r="175" spans="1:11" x14ac:dyDescent="0.25">
      <c r="A175" s="4">
        <f t="shared" si="8"/>
        <v>45524</v>
      </c>
      <c r="B175" t="s">
        <v>183</v>
      </c>
      <c r="C175" s="2">
        <v>3.91</v>
      </c>
      <c r="D175" s="2">
        <v>3.82</v>
      </c>
      <c r="E175" s="2">
        <v>2.21</v>
      </c>
      <c r="F175" s="5">
        <v>1.3030999999999999</v>
      </c>
      <c r="G175" s="5">
        <v>1.1727000000000001</v>
      </c>
      <c r="J175" s="2">
        <f t="shared" si="6"/>
        <v>9.0000000000000302E-2</v>
      </c>
      <c r="K175" s="2">
        <f t="shared" si="7"/>
        <v>1.7000000000000002</v>
      </c>
    </row>
    <row r="176" spans="1:11" x14ac:dyDescent="0.25">
      <c r="A176" s="4">
        <f t="shared" si="8"/>
        <v>45525</v>
      </c>
      <c r="B176" t="s">
        <v>184</v>
      </c>
      <c r="C176" s="2">
        <v>3.89</v>
      </c>
      <c r="D176" s="2">
        <v>3.79</v>
      </c>
      <c r="E176" s="2">
        <v>2.2000000000000002</v>
      </c>
      <c r="F176" s="5">
        <v>1.3061</v>
      </c>
      <c r="G176" s="5">
        <v>1.1739999999999999</v>
      </c>
      <c r="J176" s="2">
        <f t="shared" si="6"/>
        <v>0.10000000000000009</v>
      </c>
      <c r="K176" s="2">
        <f t="shared" si="7"/>
        <v>1.69</v>
      </c>
    </row>
    <row r="177" spans="1:11" x14ac:dyDescent="0.25">
      <c r="A177" s="4">
        <f t="shared" si="8"/>
        <v>45526</v>
      </c>
      <c r="B177" t="s">
        <v>185</v>
      </c>
      <c r="C177" s="2">
        <v>3.96</v>
      </c>
      <c r="D177" s="2">
        <v>3.86</v>
      </c>
      <c r="E177" s="2">
        <v>2.2599999999999998</v>
      </c>
      <c r="F177" s="5">
        <v>1.3103</v>
      </c>
      <c r="G177" s="5">
        <v>1.1788000000000001</v>
      </c>
      <c r="J177" s="2">
        <f t="shared" si="6"/>
        <v>0.10000000000000009</v>
      </c>
      <c r="K177" s="2">
        <f t="shared" si="7"/>
        <v>1.7000000000000002</v>
      </c>
    </row>
    <row r="178" spans="1:11" x14ac:dyDescent="0.25">
      <c r="A178" s="4">
        <f t="shared" si="8"/>
        <v>45527</v>
      </c>
      <c r="B178" t="s">
        <v>186</v>
      </c>
      <c r="C178" s="2">
        <v>3.92</v>
      </c>
      <c r="D178" s="2">
        <v>3.81</v>
      </c>
      <c r="E178" s="2">
        <v>2.23</v>
      </c>
      <c r="F178" s="5">
        <v>1.3189</v>
      </c>
      <c r="G178" s="5">
        <v>1.1800999999999999</v>
      </c>
      <c r="J178" s="2">
        <f t="shared" si="6"/>
        <v>0.10999999999999988</v>
      </c>
      <c r="K178" s="2">
        <f t="shared" si="7"/>
        <v>1.69</v>
      </c>
    </row>
    <row r="179" spans="1:11" x14ac:dyDescent="0.25">
      <c r="A179" s="4">
        <f t="shared" si="8"/>
        <v>45530</v>
      </c>
      <c r="B179" t="s">
        <v>187</v>
      </c>
      <c r="C179" s="2">
        <v>3.94</v>
      </c>
      <c r="D179" s="2">
        <v>3.82</v>
      </c>
      <c r="E179" s="2">
        <v>2.25</v>
      </c>
      <c r="F179" s="5" t="e">
        <v>#N/A</v>
      </c>
      <c r="G179" s="5" t="e">
        <v>#N/A</v>
      </c>
      <c r="J179" s="2">
        <f t="shared" si="6"/>
        <v>0.12000000000000011</v>
      </c>
      <c r="K179" s="2">
        <f t="shared" si="7"/>
        <v>1.69</v>
      </c>
    </row>
    <row r="180" spans="1:11" x14ac:dyDescent="0.25">
      <c r="A180" s="4">
        <f t="shared" si="8"/>
        <v>45531</v>
      </c>
      <c r="B180" t="s">
        <v>188</v>
      </c>
      <c r="C180" s="2">
        <v>3.99</v>
      </c>
      <c r="D180" s="2">
        <v>3.83</v>
      </c>
      <c r="E180" s="2">
        <v>2.2799999999999998</v>
      </c>
      <c r="F180" s="5">
        <v>1.3234999999999999</v>
      </c>
      <c r="G180" s="5">
        <v>1.1852</v>
      </c>
      <c r="J180" s="2">
        <f t="shared" si="6"/>
        <v>0.16000000000000014</v>
      </c>
      <c r="K180" s="2">
        <f t="shared" si="7"/>
        <v>1.7100000000000004</v>
      </c>
    </row>
    <row r="181" spans="1:11" x14ac:dyDescent="0.25">
      <c r="A181" s="4">
        <f t="shared" si="8"/>
        <v>45532</v>
      </c>
      <c r="B181" t="s">
        <v>189</v>
      </c>
      <c r="C181" s="2">
        <v>4.01</v>
      </c>
      <c r="D181" s="2">
        <v>3.84</v>
      </c>
      <c r="E181" s="2">
        <v>2.27</v>
      </c>
      <c r="F181" s="5">
        <v>1.3212999999999999</v>
      </c>
      <c r="G181" s="5">
        <v>1.1871</v>
      </c>
      <c r="J181" s="2">
        <f t="shared" si="6"/>
        <v>0.16999999999999993</v>
      </c>
      <c r="K181" s="2">
        <f t="shared" si="7"/>
        <v>1.7399999999999998</v>
      </c>
    </row>
    <row r="182" spans="1:11" x14ac:dyDescent="0.25">
      <c r="A182" s="4">
        <f t="shared" si="8"/>
        <v>45533</v>
      </c>
      <c r="B182" t="s">
        <v>190</v>
      </c>
      <c r="C182" s="2">
        <v>4.0199999999999996</v>
      </c>
      <c r="D182" s="2">
        <v>3.87</v>
      </c>
      <c r="E182" s="2">
        <v>2.27</v>
      </c>
      <c r="F182" s="5">
        <v>1.3154999999999999</v>
      </c>
      <c r="G182" s="5">
        <v>1.1883999999999999</v>
      </c>
      <c r="J182" s="2">
        <f t="shared" si="6"/>
        <v>0.14999999999999947</v>
      </c>
      <c r="K182" s="2">
        <f t="shared" si="7"/>
        <v>1.7499999999999996</v>
      </c>
    </row>
    <row r="183" spans="1:11" x14ac:dyDescent="0.25">
      <c r="A183" s="4">
        <f t="shared" si="8"/>
        <v>45534</v>
      </c>
      <c r="B183" t="s">
        <v>191</v>
      </c>
      <c r="C183" s="2">
        <v>4.03</v>
      </c>
      <c r="D183" s="2">
        <v>3.91</v>
      </c>
      <c r="E183" s="2">
        <v>2.2999999999999998</v>
      </c>
      <c r="F183" s="5">
        <v>1.3144</v>
      </c>
      <c r="G183" s="5">
        <v>1.1875</v>
      </c>
      <c r="J183" s="2">
        <f t="shared" si="6"/>
        <v>0.12000000000000011</v>
      </c>
      <c r="K183" s="2">
        <f t="shared" si="7"/>
        <v>1.7300000000000004</v>
      </c>
    </row>
    <row r="184" spans="1:11" x14ac:dyDescent="0.25">
      <c r="A184" s="4">
        <f t="shared" si="8"/>
        <v>45537</v>
      </c>
      <c r="B184" t="s">
        <v>192</v>
      </c>
      <c r="C184" s="2">
        <v>4.0599999999999996</v>
      </c>
      <c r="D184" s="2" t="e">
        <v>#N/A</v>
      </c>
      <c r="E184" s="2">
        <v>2.34</v>
      </c>
      <c r="F184" s="5">
        <v>1.3151999999999999</v>
      </c>
      <c r="G184" s="5">
        <v>1.1880999999999999</v>
      </c>
      <c r="J184" s="2" t="e">
        <f t="shared" si="6"/>
        <v>#N/A</v>
      </c>
      <c r="K184" s="2">
        <f t="shared" si="7"/>
        <v>1.7199999999999998</v>
      </c>
    </row>
    <row r="185" spans="1:11" x14ac:dyDescent="0.25">
      <c r="A185" s="4">
        <f t="shared" si="8"/>
        <v>45538</v>
      </c>
      <c r="B185" t="s">
        <v>193</v>
      </c>
      <c r="C185" s="2">
        <v>3.99</v>
      </c>
      <c r="D185" s="2">
        <v>3.84</v>
      </c>
      <c r="E185" s="2">
        <v>2.27</v>
      </c>
      <c r="F185" s="5">
        <v>1.3095000000000001</v>
      </c>
      <c r="G185" s="5">
        <v>1.1858</v>
      </c>
      <c r="J185" s="2">
        <f t="shared" si="6"/>
        <v>0.15000000000000036</v>
      </c>
      <c r="K185" s="2">
        <f t="shared" si="7"/>
        <v>1.7200000000000002</v>
      </c>
    </row>
    <row r="186" spans="1:11" x14ac:dyDescent="0.25">
      <c r="A186" s="4">
        <f t="shared" si="8"/>
        <v>45539</v>
      </c>
      <c r="B186" t="s">
        <v>194</v>
      </c>
      <c r="C186" s="2">
        <v>3.93</v>
      </c>
      <c r="D186" s="2">
        <v>3.77</v>
      </c>
      <c r="E186" s="2">
        <v>2.21</v>
      </c>
      <c r="F186" s="5">
        <v>1.3161</v>
      </c>
      <c r="G186" s="5">
        <v>1.1866000000000001</v>
      </c>
      <c r="J186" s="2">
        <f t="shared" si="6"/>
        <v>0.16000000000000014</v>
      </c>
      <c r="K186" s="2">
        <f t="shared" si="7"/>
        <v>1.7200000000000002</v>
      </c>
    </row>
    <row r="187" spans="1:11" x14ac:dyDescent="0.25">
      <c r="A187" s="4">
        <f t="shared" si="8"/>
        <v>45540</v>
      </c>
      <c r="B187" t="s">
        <v>195</v>
      </c>
      <c r="C187" s="2">
        <v>3.91</v>
      </c>
      <c r="D187" s="2">
        <v>3.73</v>
      </c>
      <c r="E187" s="2">
        <v>2.2000000000000002</v>
      </c>
      <c r="F187" s="5">
        <v>1.3158000000000001</v>
      </c>
      <c r="G187" s="5">
        <v>1.1876</v>
      </c>
      <c r="J187" s="2">
        <f t="shared" si="6"/>
        <v>0.18000000000000016</v>
      </c>
      <c r="K187" s="2">
        <f t="shared" si="7"/>
        <v>1.71</v>
      </c>
    </row>
    <row r="188" spans="1:11" x14ac:dyDescent="0.25">
      <c r="A188" s="4">
        <f t="shared" si="8"/>
        <v>45541</v>
      </c>
      <c r="B188" t="s">
        <v>196</v>
      </c>
      <c r="C188" s="2">
        <v>3.92</v>
      </c>
      <c r="D188" s="2">
        <v>3.72</v>
      </c>
      <c r="E188" s="2">
        <v>2.2000000000000002</v>
      </c>
      <c r="F188" s="5">
        <v>1.3160000000000001</v>
      </c>
      <c r="G188" s="5">
        <v>1.1854</v>
      </c>
      <c r="J188" s="2">
        <f t="shared" si="6"/>
        <v>0.19999999999999973</v>
      </c>
      <c r="K188" s="2">
        <f t="shared" si="7"/>
        <v>1.7199999999999998</v>
      </c>
    </row>
    <row r="189" spans="1:11" x14ac:dyDescent="0.25">
      <c r="A189" s="4">
        <f t="shared" si="8"/>
        <v>45544</v>
      </c>
      <c r="B189" t="s">
        <v>197</v>
      </c>
      <c r="C189" s="2">
        <v>3.86</v>
      </c>
      <c r="D189" s="2">
        <v>3.7</v>
      </c>
      <c r="E189" s="2">
        <v>2.17</v>
      </c>
      <c r="F189" s="5">
        <v>1.3079000000000001</v>
      </c>
      <c r="G189" s="5">
        <v>1.1845000000000001</v>
      </c>
      <c r="J189" s="2">
        <f t="shared" si="6"/>
        <v>0.1599999999999997</v>
      </c>
      <c r="K189" s="2">
        <f t="shared" si="7"/>
        <v>1.69</v>
      </c>
    </row>
    <row r="190" spans="1:11" x14ac:dyDescent="0.25">
      <c r="A190" s="4">
        <f t="shared" si="8"/>
        <v>45545</v>
      </c>
      <c r="B190" t="s">
        <v>198</v>
      </c>
      <c r="C190" s="2">
        <v>3.83</v>
      </c>
      <c r="D190" s="2">
        <v>3.65</v>
      </c>
      <c r="E190" s="2">
        <v>2.14</v>
      </c>
      <c r="F190" s="5">
        <v>1.3057000000000001</v>
      </c>
      <c r="G190" s="5">
        <v>1.1850000000000001</v>
      </c>
      <c r="J190" s="2">
        <f t="shared" si="6"/>
        <v>0.18000000000000016</v>
      </c>
      <c r="K190" s="2">
        <f t="shared" si="7"/>
        <v>1.69</v>
      </c>
    </row>
    <row r="191" spans="1:11" x14ac:dyDescent="0.25">
      <c r="A191" s="4">
        <f t="shared" si="8"/>
        <v>45546</v>
      </c>
      <c r="B191" t="s">
        <v>199</v>
      </c>
      <c r="C191" s="2">
        <v>3.77</v>
      </c>
      <c r="D191" s="2">
        <v>3.65</v>
      </c>
      <c r="E191" s="2">
        <v>2.11</v>
      </c>
      <c r="F191" s="5">
        <v>1.3015000000000001</v>
      </c>
      <c r="G191" s="5">
        <v>1.1820999999999999</v>
      </c>
      <c r="J191" s="2">
        <f t="shared" si="6"/>
        <v>0.12000000000000011</v>
      </c>
      <c r="K191" s="2">
        <f t="shared" si="7"/>
        <v>1.6600000000000001</v>
      </c>
    </row>
    <row r="192" spans="1:11" x14ac:dyDescent="0.25">
      <c r="A192" s="4">
        <f t="shared" si="8"/>
        <v>45547</v>
      </c>
      <c r="B192" t="s">
        <v>200</v>
      </c>
      <c r="C192" s="2">
        <v>3.79</v>
      </c>
      <c r="D192" s="2">
        <v>3.68</v>
      </c>
      <c r="E192" s="2">
        <v>2.16</v>
      </c>
      <c r="F192" s="5">
        <v>1.3079000000000001</v>
      </c>
      <c r="G192" s="5">
        <v>1.1847000000000001</v>
      </c>
      <c r="J192" s="2">
        <f t="shared" si="6"/>
        <v>0.10999999999999988</v>
      </c>
      <c r="K192" s="2">
        <f t="shared" si="7"/>
        <v>1.63</v>
      </c>
    </row>
    <row r="193" spans="1:11" x14ac:dyDescent="0.25">
      <c r="A193" s="4">
        <f t="shared" si="8"/>
        <v>45548</v>
      </c>
      <c r="B193" t="s">
        <v>201</v>
      </c>
      <c r="C193" s="2">
        <v>3.76</v>
      </c>
      <c r="D193" s="2">
        <v>3.66</v>
      </c>
      <c r="E193" s="2">
        <v>2.14</v>
      </c>
      <c r="F193" s="5">
        <v>1.3154999999999999</v>
      </c>
      <c r="G193" s="5">
        <v>1.1862999999999999</v>
      </c>
      <c r="J193" s="2">
        <f t="shared" si="6"/>
        <v>9.9999999999999645E-2</v>
      </c>
      <c r="K193" s="2">
        <f t="shared" si="7"/>
        <v>1.6199999999999997</v>
      </c>
    </row>
    <row r="194" spans="1:11" x14ac:dyDescent="0.25">
      <c r="A194" s="4">
        <f t="shared" si="8"/>
        <v>45551</v>
      </c>
      <c r="B194" t="s">
        <v>202</v>
      </c>
      <c r="C194" s="2">
        <v>3.76</v>
      </c>
      <c r="D194" s="2">
        <v>3.63</v>
      </c>
      <c r="E194" s="2">
        <v>2.12</v>
      </c>
      <c r="F194" s="5">
        <v>1.32</v>
      </c>
      <c r="G194" s="5">
        <v>1.1865000000000001</v>
      </c>
      <c r="J194" s="2">
        <f t="shared" si="6"/>
        <v>0.12999999999999989</v>
      </c>
      <c r="K194" s="2">
        <f t="shared" si="7"/>
        <v>1.6399999999999997</v>
      </c>
    </row>
    <row r="195" spans="1:11" x14ac:dyDescent="0.25">
      <c r="A195" s="4">
        <f t="shared" si="8"/>
        <v>45552</v>
      </c>
      <c r="B195" t="s">
        <v>203</v>
      </c>
      <c r="C195" s="2">
        <v>3.77</v>
      </c>
      <c r="D195" s="2">
        <v>3.65</v>
      </c>
      <c r="E195" s="2">
        <v>2.15</v>
      </c>
      <c r="F195" s="5">
        <v>1.3188</v>
      </c>
      <c r="G195" s="5">
        <v>1.1854</v>
      </c>
      <c r="J195" s="2">
        <f t="shared" si="6"/>
        <v>0.12000000000000011</v>
      </c>
      <c r="K195" s="2">
        <f t="shared" si="7"/>
        <v>1.62</v>
      </c>
    </row>
    <row r="196" spans="1:11" x14ac:dyDescent="0.25">
      <c r="A196" s="4">
        <f t="shared" si="8"/>
        <v>45553</v>
      </c>
      <c r="B196" t="s">
        <v>204</v>
      </c>
      <c r="C196" s="2">
        <v>3.84</v>
      </c>
      <c r="D196" s="2">
        <v>3.7</v>
      </c>
      <c r="E196" s="2">
        <v>2.2000000000000002</v>
      </c>
      <c r="F196" s="5">
        <v>1.3211999999999999</v>
      </c>
      <c r="G196" s="5">
        <v>1.1883999999999999</v>
      </c>
      <c r="J196" s="2">
        <f t="shared" si="6"/>
        <v>0.13999999999999968</v>
      </c>
      <c r="K196" s="2">
        <f t="shared" si="7"/>
        <v>1.6399999999999997</v>
      </c>
    </row>
    <row r="197" spans="1:11" x14ac:dyDescent="0.25">
      <c r="A197" s="4">
        <f t="shared" si="8"/>
        <v>45554</v>
      </c>
      <c r="B197" t="s">
        <v>205</v>
      </c>
      <c r="C197" s="2">
        <v>3.89</v>
      </c>
      <c r="D197" s="2">
        <v>3.73</v>
      </c>
      <c r="E197" s="2">
        <v>2.19</v>
      </c>
      <c r="F197" s="5">
        <v>1.325</v>
      </c>
      <c r="G197" s="5">
        <v>1.1904999999999999</v>
      </c>
      <c r="J197" s="2">
        <f t="shared" si="6"/>
        <v>0.16000000000000014</v>
      </c>
      <c r="K197" s="2">
        <f t="shared" si="7"/>
        <v>1.7000000000000002</v>
      </c>
    </row>
    <row r="198" spans="1:11" x14ac:dyDescent="0.25">
      <c r="A198" s="4">
        <f t="shared" si="8"/>
        <v>45555</v>
      </c>
      <c r="B198" t="s">
        <v>206</v>
      </c>
      <c r="C198" s="2">
        <v>3.9</v>
      </c>
      <c r="D198" s="2">
        <v>3.73</v>
      </c>
      <c r="E198" s="2">
        <v>2.19</v>
      </c>
      <c r="F198" s="5">
        <v>1.3281000000000001</v>
      </c>
      <c r="G198" s="5">
        <v>1.1917</v>
      </c>
      <c r="J198" s="2">
        <f t="shared" si="6"/>
        <v>0.16999999999999993</v>
      </c>
      <c r="K198" s="2">
        <f t="shared" si="7"/>
        <v>1.71</v>
      </c>
    </row>
    <row r="199" spans="1:11" x14ac:dyDescent="0.25">
      <c r="A199" s="4">
        <f t="shared" si="8"/>
        <v>45558</v>
      </c>
      <c r="B199" t="s">
        <v>207</v>
      </c>
      <c r="C199" s="2">
        <v>3.92</v>
      </c>
      <c r="D199" s="2">
        <v>3.75</v>
      </c>
      <c r="E199" s="2">
        <v>2.15</v>
      </c>
      <c r="F199" s="5">
        <v>1.335</v>
      </c>
      <c r="G199" s="5">
        <v>1.1992</v>
      </c>
      <c r="J199" s="2">
        <f t="shared" si="6"/>
        <v>0.16999999999999993</v>
      </c>
      <c r="K199" s="2">
        <f t="shared" si="7"/>
        <v>1.77</v>
      </c>
    </row>
    <row r="200" spans="1:11" x14ac:dyDescent="0.25">
      <c r="A200" s="4">
        <f t="shared" si="8"/>
        <v>45559</v>
      </c>
      <c r="B200" t="s">
        <v>208</v>
      </c>
      <c r="C200" s="2">
        <v>3.93</v>
      </c>
      <c r="D200" s="2">
        <v>3.74</v>
      </c>
      <c r="E200" s="2">
        <v>2.14</v>
      </c>
      <c r="F200" s="5">
        <v>1.339</v>
      </c>
      <c r="G200" s="5">
        <v>1.2007000000000001</v>
      </c>
      <c r="J200" s="2">
        <f t="shared" si="6"/>
        <v>0.18999999999999995</v>
      </c>
      <c r="K200" s="2">
        <f t="shared" si="7"/>
        <v>1.79</v>
      </c>
    </row>
    <row r="201" spans="1:11" x14ac:dyDescent="0.25">
      <c r="A201" s="4">
        <f t="shared" si="8"/>
        <v>45560</v>
      </c>
      <c r="B201" t="s">
        <v>209</v>
      </c>
      <c r="C201" s="2">
        <v>3.99</v>
      </c>
      <c r="D201" s="2">
        <v>3.79</v>
      </c>
      <c r="E201" s="2">
        <v>2.1800000000000002</v>
      </c>
      <c r="F201" s="5">
        <v>1.3374999999999999</v>
      </c>
      <c r="G201" s="5">
        <v>1.1971000000000001</v>
      </c>
      <c r="J201" s="2">
        <f t="shared" ref="J201:J264" si="9">C201-D201</f>
        <v>0.20000000000000018</v>
      </c>
      <c r="K201" s="2">
        <f t="shared" ref="K201:K264" si="10">C201-E201</f>
        <v>1.81</v>
      </c>
    </row>
    <row r="202" spans="1:11" x14ac:dyDescent="0.25">
      <c r="A202" s="4">
        <f t="shared" si="8"/>
        <v>45561</v>
      </c>
      <c r="B202" t="s">
        <v>210</v>
      </c>
      <c r="C202" s="2">
        <v>4.0199999999999996</v>
      </c>
      <c r="D202" s="2">
        <v>3.79</v>
      </c>
      <c r="E202" s="2">
        <v>2.17</v>
      </c>
      <c r="F202" s="5">
        <v>1.3395999999999999</v>
      </c>
      <c r="G202" s="5">
        <v>1.1996</v>
      </c>
      <c r="J202" s="2">
        <f t="shared" si="9"/>
        <v>0.22999999999999954</v>
      </c>
      <c r="K202" s="2">
        <f t="shared" si="10"/>
        <v>1.8499999999999996</v>
      </c>
    </row>
    <row r="203" spans="1:11" x14ac:dyDescent="0.25">
      <c r="A203" s="4">
        <f t="shared" si="8"/>
        <v>45562</v>
      </c>
      <c r="B203" t="s">
        <v>211</v>
      </c>
      <c r="C203" s="2">
        <v>3.97</v>
      </c>
      <c r="D203" s="2">
        <v>3.75</v>
      </c>
      <c r="E203" s="2">
        <v>2.13</v>
      </c>
      <c r="F203" s="5">
        <v>1.3408</v>
      </c>
      <c r="G203" s="5">
        <v>1.1994</v>
      </c>
      <c r="J203" s="2">
        <f t="shared" si="9"/>
        <v>0.2200000000000002</v>
      </c>
      <c r="K203" s="2">
        <f t="shared" si="10"/>
        <v>1.8400000000000003</v>
      </c>
    </row>
    <row r="204" spans="1:11" x14ac:dyDescent="0.25">
      <c r="A204" s="4">
        <f t="shared" si="8"/>
        <v>45565</v>
      </c>
      <c r="B204" t="s">
        <v>212</v>
      </c>
      <c r="C204" s="2">
        <v>4</v>
      </c>
      <c r="D204" s="2">
        <v>3.81</v>
      </c>
      <c r="E204" s="2">
        <v>2.14</v>
      </c>
      <c r="F204" s="5">
        <v>1.3412999999999999</v>
      </c>
      <c r="G204" s="5">
        <v>1.202</v>
      </c>
      <c r="J204" s="2">
        <f t="shared" si="9"/>
        <v>0.18999999999999995</v>
      </c>
      <c r="K204" s="2">
        <f t="shared" si="10"/>
        <v>1.8599999999999999</v>
      </c>
    </row>
    <row r="205" spans="1:11" x14ac:dyDescent="0.25">
      <c r="A205" s="4">
        <f t="shared" si="8"/>
        <v>45566</v>
      </c>
      <c r="B205" t="s">
        <v>213</v>
      </c>
      <c r="C205" s="2">
        <v>3.94</v>
      </c>
      <c r="D205" s="2">
        <v>3.74</v>
      </c>
      <c r="E205" s="2">
        <v>2.0499999999999998</v>
      </c>
      <c r="F205" s="5">
        <v>1.3289</v>
      </c>
      <c r="G205" s="5">
        <v>1.1997</v>
      </c>
      <c r="J205" s="2">
        <f t="shared" si="9"/>
        <v>0.19999999999999973</v>
      </c>
      <c r="K205" s="2">
        <f t="shared" si="10"/>
        <v>1.8900000000000001</v>
      </c>
    </row>
    <row r="206" spans="1:11" x14ac:dyDescent="0.25">
      <c r="A206" s="4">
        <f t="shared" si="8"/>
        <v>45567</v>
      </c>
      <c r="B206" t="s">
        <v>214</v>
      </c>
      <c r="C206" s="2">
        <v>4.04</v>
      </c>
      <c r="D206" s="2">
        <v>3.79</v>
      </c>
      <c r="E206" s="2">
        <v>2.1</v>
      </c>
      <c r="F206" s="5">
        <v>1.3250999999999999</v>
      </c>
      <c r="G206" s="5">
        <v>1.2005999999999999</v>
      </c>
      <c r="J206" s="2">
        <f t="shared" si="9"/>
        <v>0.25</v>
      </c>
      <c r="K206" s="2">
        <f t="shared" si="10"/>
        <v>1.94</v>
      </c>
    </row>
    <row r="207" spans="1:11" x14ac:dyDescent="0.25">
      <c r="A207" s="4">
        <f t="shared" ref="A207:A270" si="11">+A202+7</f>
        <v>45568</v>
      </c>
      <c r="B207" t="s">
        <v>215</v>
      </c>
      <c r="C207" s="2">
        <v>4.0199999999999996</v>
      </c>
      <c r="D207" s="2">
        <v>3.85</v>
      </c>
      <c r="E207" s="2">
        <v>2.15</v>
      </c>
      <c r="F207" s="5">
        <v>1.3108</v>
      </c>
      <c r="G207" s="5">
        <v>1.1898</v>
      </c>
      <c r="J207" s="2">
        <f t="shared" si="9"/>
        <v>0.16999999999999948</v>
      </c>
      <c r="K207" s="2">
        <f t="shared" si="10"/>
        <v>1.8699999999999997</v>
      </c>
    </row>
    <row r="208" spans="1:11" x14ac:dyDescent="0.25">
      <c r="A208" s="4">
        <f t="shared" si="11"/>
        <v>45569</v>
      </c>
      <c r="B208" t="s">
        <v>216</v>
      </c>
      <c r="C208" s="2">
        <v>4.1399999999999997</v>
      </c>
      <c r="D208" s="2">
        <v>3.98</v>
      </c>
      <c r="E208" s="2">
        <v>2.2200000000000002</v>
      </c>
      <c r="F208" s="5">
        <v>1.3112999999999999</v>
      </c>
      <c r="G208" s="5">
        <v>1.1954</v>
      </c>
      <c r="J208" s="2">
        <f t="shared" si="9"/>
        <v>0.1599999999999997</v>
      </c>
      <c r="K208" s="2">
        <f t="shared" si="10"/>
        <v>1.9199999999999995</v>
      </c>
    </row>
    <row r="209" spans="1:11" x14ac:dyDescent="0.25">
      <c r="A209" s="4">
        <f t="shared" si="11"/>
        <v>45572</v>
      </c>
      <c r="B209" t="s">
        <v>217</v>
      </c>
      <c r="C209" s="2">
        <v>4.2</v>
      </c>
      <c r="D209" s="2">
        <v>4.03</v>
      </c>
      <c r="E209" s="2">
        <v>2.25</v>
      </c>
      <c r="F209" s="5">
        <v>1.3079000000000001</v>
      </c>
      <c r="G209" s="5">
        <v>1.1917</v>
      </c>
      <c r="J209" s="2">
        <f t="shared" si="9"/>
        <v>0.16999999999999993</v>
      </c>
      <c r="K209" s="2">
        <f t="shared" si="10"/>
        <v>1.9500000000000002</v>
      </c>
    </row>
    <row r="210" spans="1:11" x14ac:dyDescent="0.25">
      <c r="A210" s="4">
        <f t="shared" si="11"/>
        <v>45573</v>
      </c>
      <c r="B210" t="s">
        <v>218</v>
      </c>
      <c r="C210" s="2">
        <v>4.18</v>
      </c>
      <c r="D210" s="2">
        <v>4.04</v>
      </c>
      <c r="E210" s="2">
        <v>2.2400000000000002</v>
      </c>
      <c r="F210" s="5">
        <v>1.3092999999999999</v>
      </c>
      <c r="G210" s="5">
        <v>1.1935</v>
      </c>
      <c r="J210" s="2">
        <f t="shared" si="9"/>
        <v>0.13999999999999968</v>
      </c>
      <c r="K210" s="2">
        <f t="shared" si="10"/>
        <v>1.9399999999999995</v>
      </c>
    </row>
    <row r="211" spans="1:11" x14ac:dyDescent="0.25">
      <c r="A211" s="4">
        <f t="shared" si="11"/>
        <v>45574</v>
      </c>
      <c r="B211" t="s">
        <v>219</v>
      </c>
      <c r="C211" s="2" t="e">
        <v>#N/A</v>
      </c>
      <c r="D211" s="2">
        <v>4.0599999999999996</v>
      </c>
      <c r="E211" s="2" t="e">
        <v>#N/A</v>
      </c>
      <c r="F211" s="5">
        <v>1.3071999999999999</v>
      </c>
      <c r="G211" s="5">
        <v>1.194</v>
      </c>
      <c r="J211" s="2" t="e">
        <f t="shared" si="9"/>
        <v>#N/A</v>
      </c>
      <c r="K211" s="2" t="e">
        <f t="shared" si="10"/>
        <v>#N/A</v>
      </c>
    </row>
    <row r="212" spans="1:11" x14ac:dyDescent="0.25">
      <c r="A212" s="4">
        <f t="shared" si="11"/>
        <v>45575</v>
      </c>
      <c r="B212" t="s">
        <v>220</v>
      </c>
      <c r="C212" s="2">
        <v>4.22</v>
      </c>
      <c r="D212" s="2">
        <v>4.09</v>
      </c>
      <c r="E212" s="2">
        <v>2.25</v>
      </c>
      <c r="F212" s="5">
        <v>1.3048999999999999</v>
      </c>
      <c r="G212" s="5">
        <v>1.1946000000000001</v>
      </c>
      <c r="J212" s="2">
        <f t="shared" si="9"/>
        <v>0.12999999999999989</v>
      </c>
      <c r="K212" s="2">
        <f t="shared" si="10"/>
        <v>1.9699999999999998</v>
      </c>
    </row>
    <row r="213" spans="1:11" x14ac:dyDescent="0.25">
      <c r="A213" s="4">
        <f t="shared" si="11"/>
        <v>45576</v>
      </c>
      <c r="B213" t="s">
        <v>221</v>
      </c>
      <c r="C213" s="2">
        <v>4.2</v>
      </c>
      <c r="D213" s="2">
        <v>4.08</v>
      </c>
      <c r="E213" s="2">
        <v>2.2599999999999998</v>
      </c>
      <c r="F213" s="5">
        <v>1.3075000000000001</v>
      </c>
      <c r="G213" s="5">
        <v>1.1948000000000001</v>
      </c>
      <c r="J213" s="2">
        <f t="shared" si="9"/>
        <v>0.12000000000000011</v>
      </c>
      <c r="K213" s="2">
        <f t="shared" si="10"/>
        <v>1.9400000000000004</v>
      </c>
    </row>
    <row r="214" spans="1:11" x14ac:dyDescent="0.25">
      <c r="A214" s="4">
        <f t="shared" si="11"/>
        <v>45579</v>
      </c>
      <c r="B214" t="s">
        <v>222</v>
      </c>
      <c r="C214" s="2">
        <v>4.24</v>
      </c>
      <c r="D214" s="2" t="e">
        <v>#N/A</v>
      </c>
      <c r="E214" s="2">
        <v>2.27</v>
      </c>
      <c r="F214" s="5">
        <v>1.3057000000000001</v>
      </c>
      <c r="G214" s="5">
        <v>1.1964999999999999</v>
      </c>
      <c r="J214" s="2" t="e">
        <f t="shared" si="9"/>
        <v>#N/A</v>
      </c>
      <c r="K214" s="2">
        <f t="shared" si="10"/>
        <v>1.9700000000000002</v>
      </c>
    </row>
    <row r="215" spans="1:11" x14ac:dyDescent="0.25">
      <c r="A215" s="4">
        <f t="shared" si="11"/>
        <v>45580</v>
      </c>
      <c r="B215" t="s">
        <v>223</v>
      </c>
      <c r="C215" s="2">
        <v>4.17</v>
      </c>
      <c r="D215" s="2">
        <v>4.03</v>
      </c>
      <c r="E215" s="2">
        <v>2.2200000000000002</v>
      </c>
      <c r="F215" s="5">
        <v>1.3093999999999999</v>
      </c>
      <c r="G215" s="5">
        <v>1.2010000000000001</v>
      </c>
      <c r="J215" s="2">
        <f t="shared" si="9"/>
        <v>0.13999999999999968</v>
      </c>
      <c r="K215" s="2">
        <f t="shared" si="10"/>
        <v>1.9499999999999997</v>
      </c>
    </row>
    <row r="216" spans="1:11" x14ac:dyDescent="0.25">
      <c r="A216" s="4">
        <f t="shared" si="11"/>
        <v>45581</v>
      </c>
      <c r="B216" t="s">
        <v>224</v>
      </c>
      <c r="C216" s="2">
        <v>4.07</v>
      </c>
      <c r="D216" s="2">
        <v>4.0199999999999996</v>
      </c>
      <c r="E216" s="2">
        <v>2.19</v>
      </c>
      <c r="F216" s="5">
        <v>1.3008999999999999</v>
      </c>
      <c r="G216" s="5">
        <v>1.1957</v>
      </c>
      <c r="J216" s="2">
        <f t="shared" si="9"/>
        <v>5.0000000000000711E-2</v>
      </c>
      <c r="K216" s="2">
        <f t="shared" si="10"/>
        <v>1.8800000000000003</v>
      </c>
    </row>
    <row r="217" spans="1:11" x14ac:dyDescent="0.25">
      <c r="A217" s="4">
        <f t="shared" si="11"/>
        <v>45582</v>
      </c>
      <c r="B217" t="s">
        <v>225</v>
      </c>
      <c r="C217" s="2">
        <v>4.09</v>
      </c>
      <c r="D217" s="2">
        <v>4.09</v>
      </c>
      <c r="E217" s="2">
        <v>2.2000000000000002</v>
      </c>
      <c r="F217" s="5">
        <v>1.2997000000000001</v>
      </c>
      <c r="G217" s="5">
        <v>1.2002999999999999</v>
      </c>
      <c r="J217" s="2">
        <f t="shared" si="9"/>
        <v>0</v>
      </c>
      <c r="K217" s="2">
        <f t="shared" si="10"/>
        <v>1.8899999999999997</v>
      </c>
    </row>
    <row r="218" spans="1:11" x14ac:dyDescent="0.25">
      <c r="A218" s="4">
        <f t="shared" si="11"/>
        <v>45583</v>
      </c>
      <c r="B218" t="s">
        <v>226</v>
      </c>
      <c r="C218" s="2">
        <v>4.05</v>
      </c>
      <c r="D218" s="2">
        <v>4.08</v>
      </c>
      <c r="E218" s="2">
        <v>2.19</v>
      </c>
      <c r="F218" s="5">
        <v>1.3036000000000001</v>
      </c>
      <c r="G218" s="5">
        <v>1.2005999999999999</v>
      </c>
      <c r="J218" s="2">
        <f t="shared" si="9"/>
        <v>-3.0000000000000249E-2</v>
      </c>
      <c r="K218" s="2">
        <f t="shared" si="10"/>
        <v>1.8599999999999999</v>
      </c>
    </row>
    <row r="219" spans="1:11" x14ac:dyDescent="0.25">
      <c r="A219" s="4">
        <f t="shared" si="11"/>
        <v>45586</v>
      </c>
      <c r="B219" t="s">
        <v>227</v>
      </c>
      <c r="C219" s="2">
        <v>4.1399999999999997</v>
      </c>
      <c r="D219" s="2">
        <v>4.1900000000000004</v>
      </c>
      <c r="E219" s="2">
        <v>2.29</v>
      </c>
      <c r="F219" s="5">
        <v>1.3002</v>
      </c>
      <c r="G219" s="5">
        <v>1.1999</v>
      </c>
      <c r="J219" s="2">
        <f t="shared" si="9"/>
        <v>-5.0000000000000711E-2</v>
      </c>
      <c r="K219" s="2">
        <f t="shared" si="10"/>
        <v>1.8499999999999996</v>
      </c>
    </row>
    <row r="220" spans="1:11" x14ac:dyDescent="0.25">
      <c r="A220" s="4">
        <f t="shared" si="11"/>
        <v>45587</v>
      </c>
      <c r="B220" t="s">
        <v>228</v>
      </c>
      <c r="C220" s="2">
        <v>4.16</v>
      </c>
      <c r="D220" s="2">
        <v>4.2</v>
      </c>
      <c r="E220" s="2">
        <v>2.31</v>
      </c>
      <c r="F220" s="5">
        <v>1.2975000000000001</v>
      </c>
      <c r="G220" s="5">
        <v>1.2002999999999999</v>
      </c>
      <c r="J220" s="2">
        <f t="shared" si="9"/>
        <v>-4.0000000000000036E-2</v>
      </c>
      <c r="K220" s="2">
        <f t="shared" si="10"/>
        <v>1.85</v>
      </c>
    </row>
    <row r="221" spans="1:11" x14ac:dyDescent="0.25">
      <c r="A221" s="4">
        <f t="shared" si="11"/>
        <v>45588</v>
      </c>
      <c r="B221" t="s">
        <v>229</v>
      </c>
      <c r="C221" s="2">
        <v>4.21</v>
      </c>
      <c r="D221" s="2">
        <v>4.24</v>
      </c>
      <c r="E221" s="2">
        <v>2.3199999999999998</v>
      </c>
      <c r="F221" s="5">
        <v>1.2948</v>
      </c>
      <c r="G221" s="5">
        <v>1.2016</v>
      </c>
      <c r="J221" s="2">
        <f t="shared" si="9"/>
        <v>-3.0000000000000249E-2</v>
      </c>
      <c r="K221" s="2">
        <f t="shared" si="10"/>
        <v>1.8900000000000001</v>
      </c>
    </row>
    <row r="222" spans="1:11" x14ac:dyDescent="0.25">
      <c r="A222" s="4">
        <f t="shared" si="11"/>
        <v>45589</v>
      </c>
      <c r="B222" t="s">
        <v>230</v>
      </c>
      <c r="C222" s="2">
        <v>4.2300000000000004</v>
      </c>
      <c r="D222" s="2">
        <v>4.21</v>
      </c>
      <c r="E222" s="2">
        <v>2.27</v>
      </c>
      <c r="F222" s="5">
        <v>1.2961</v>
      </c>
      <c r="G222" s="5">
        <v>1.2002999999999999</v>
      </c>
      <c r="J222" s="2">
        <f t="shared" si="9"/>
        <v>2.0000000000000462E-2</v>
      </c>
      <c r="K222" s="2">
        <f t="shared" si="10"/>
        <v>1.9600000000000004</v>
      </c>
    </row>
    <row r="223" spans="1:11" x14ac:dyDescent="0.25">
      <c r="A223" s="4">
        <f t="shared" si="11"/>
        <v>45590</v>
      </c>
      <c r="B223" t="s">
        <v>231</v>
      </c>
      <c r="C223" s="2">
        <v>4.24</v>
      </c>
      <c r="D223" s="2">
        <v>4.25</v>
      </c>
      <c r="E223" s="2">
        <v>2.2999999999999998</v>
      </c>
      <c r="F223" s="5">
        <v>1.2990999999999999</v>
      </c>
      <c r="G223" s="5">
        <v>1.1994</v>
      </c>
      <c r="J223" s="2">
        <f t="shared" si="9"/>
        <v>-9.9999999999997868E-3</v>
      </c>
      <c r="K223" s="2">
        <f t="shared" si="10"/>
        <v>1.9400000000000004</v>
      </c>
    </row>
    <row r="224" spans="1:11" x14ac:dyDescent="0.25">
      <c r="A224" s="4">
        <f t="shared" si="11"/>
        <v>45593</v>
      </c>
      <c r="B224" t="s">
        <v>232</v>
      </c>
      <c r="C224" s="2">
        <v>4.25</v>
      </c>
      <c r="D224" s="2">
        <v>4.28</v>
      </c>
      <c r="E224" s="2">
        <v>2.2799999999999998</v>
      </c>
      <c r="F224" s="5">
        <v>1.2996000000000001</v>
      </c>
      <c r="G224" s="5">
        <v>1.2005999999999999</v>
      </c>
      <c r="J224" s="2">
        <f t="shared" si="9"/>
        <v>-3.0000000000000249E-2</v>
      </c>
      <c r="K224" s="2">
        <f t="shared" si="10"/>
        <v>1.9700000000000002</v>
      </c>
    </row>
    <row r="225" spans="1:11" x14ac:dyDescent="0.25">
      <c r="A225" s="4">
        <f t="shared" si="11"/>
        <v>45594</v>
      </c>
      <c r="B225" t="s">
        <v>233</v>
      </c>
      <c r="C225" s="2">
        <v>4.29</v>
      </c>
      <c r="D225" s="2">
        <v>4.28</v>
      </c>
      <c r="E225" s="2">
        <v>2.33</v>
      </c>
      <c r="F225" s="5">
        <v>1.2996000000000001</v>
      </c>
      <c r="G225" s="5">
        <v>1.2033</v>
      </c>
      <c r="J225" s="2">
        <f t="shared" si="9"/>
        <v>9.9999999999997868E-3</v>
      </c>
      <c r="K225" s="2">
        <f t="shared" si="10"/>
        <v>1.96</v>
      </c>
    </row>
    <row r="226" spans="1:11" x14ac:dyDescent="0.25">
      <c r="A226" s="4">
        <f t="shared" si="11"/>
        <v>45595</v>
      </c>
      <c r="B226" t="s">
        <v>234</v>
      </c>
      <c r="C226" s="2">
        <v>4.37</v>
      </c>
      <c r="D226" s="2">
        <v>4.29</v>
      </c>
      <c r="E226" s="2">
        <v>2.4</v>
      </c>
      <c r="F226" s="5">
        <v>1.2996000000000001</v>
      </c>
      <c r="G226" s="5">
        <v>1.1978</v>
      </c>
      <c r="J226" s="2">
        <f t="shared" si="9"/>
        <v>8.0000000000000071E-2</v>
      </c>
      <c r="K226" s="2">
        <f t="shared" si="10"/>
        <v>1.9700000000000002</v>
      </c>
    </row>
    <row r="227" spans="1:11" x14ac:dyDescent="0.25">
      <c r="A227" s="4">
        <f t="shared" si="11"/>
        <v>45596</v>
      </c>
      <c r="B227" t="s">
        <v>235</v>
      </c>
      <c r="C227" s="2">
        <v>4.43</v>
      </c>
      <c r="D227" s="2">
        <v>4.28</v>
      </c>
      <c r="E227" s="2">
        <v>2.39</v>
      </c>
      <c r="F227" s="5">
        <v>1.2856000000000001</v>
      </c>
      <c r="G227" s="5">
        <v>1.1841999999999999</v>
      </c>
      <c r="J227" s="2">
        <f t="shared" si="9"/>
        <v>0.14999999999999947</v>
      </c>
      <c r="K227" s="2">
        <f t="shared" si="10"/>
        <v>2.0399999999999996</v>
      </c>
    </row>
    <row r="228" spans="1:11" x14ac:dyDescent="0.25">
      <c r="A228" s="4">
        <f t="shared" si="11"/>
        <v>45597</v>
      </c>
      <c r="B228" t="s">
        <v>236</v>
      </c>
      <c r="C228" s="2">
        <v>4.46</v>
      </c>
      <c r="D228" s="2">
        <v>4.37</v>
      </c>
      <c r="E228" s="2">
        <v>2.41</v>
      </c>
      <c r="F228" s="5">
        <v>1.296</v>
      </c>
      <c r="G228" s="5">
        <v>1.1946000000000001</v>
      </c>
      <c r="J228" s="2">
        <f t="shared" si="9"/>
        <v>8.9999999999999858E-2</v>
      </c>
      <c r="K228" s="2">
        <f t="shared" si="10"/>
        <v>2.0499999999999998</v>
      </c>
    </row>
    <row r="229" spans="1:11" x14ac:dyDescent="0.25">
      <c r="A229" s="4">
        <f t="shared" si="11"/>
        <v>45600</v>
      </c>
      <c r="B229" t="s">
        <v>237</v>
      </c>
      <c r="C229" s="2">
        <v>4.46</v>
      </c>
      <c r="D229" s="2">
        <v>4.3099999999999996</v>
      </c>
      <c r="E229" s="2">
        <v>2.4</v>
      </c>
      <c r="F229" s="5">
        <v>1.2981</v>
      </c>
      <c r="G229" s="5">
        <v>1.1909000000000001</v>
      </c>
      <c r="J229" s="2">
        <f t="shared" si="9"/>
        <v>0.15000000000000036</v>
      </c>
      <c r="K229" s="2">
        <f t="shared" si="10"/>
        <v>2.06</v>
      </c>
    </row>
    <row r="230" spans="1:11" x14ac:dyDescent="0.25">
      <c r="A230" s="4">
        <f t="shared" si="11"/>
        <v>45601</v>
      </c>
      <c r="B230" t="s">
        <v>238</v>
      </c>
      <c r="C230" s="2">
        <v>4.5199999999999996</v>
      </c>
      <c r="D230" s="2">
        <v>4.26</v>
      </c>
      <c r="E230" s="2">
        <v>2.42</v>
      </c>
      <c r="F230" s="5">
        <v>1.3002</v>
      </c>
      <c r="G230" s="5">
        <v>1.1926000000000001</v>
      </c>
      <c r="J230" s="2">
        <f t="shared" si="9"/>
        <v>0.25999999999999979</v>
      </c>
      <c r="K230" s="2">
        <f t="shared" si="10"/>
        <v>2.0999999999999996</v>
      </c>
    </row>
    <row r="231" spans="1:11" x14ac:dyDescent="0.25">
      <c r="A231" s="4">
        <f t="shared" si="11"/>
        <v>45602</v>
      </c>
      <c r="B231" t="s">
        <v>239</v>
      </c>
      <c r="C231" s="2">
        <v>4.54</v>
      </c>
      <c r="D231" s="2">
        <v>4.42</v>
      </c>
      <c r="E231" s="2">
        <v>2.41</v>
      </c>
      <c r="F231" s="5">
        <v>1.2889999999999999</v>
      </c>
      <c r="G231" s="5">
        <v>1.2005999999999999</v>
      </c>
      <c r="J231" s="2">
        <f t="shared" si="9"/>
        <v>0.12000000000000011</v>
      </c>
      <c r="K231" s="2">
        <f t="shared" si="10"/>
        <v>2.13</v>
      </c>
    </row>
    <row r="232" spans="1:11" x14ac:dyDescent="0.25">
      <c r="A232" s="4">
        <f t="shared" si="11"/>
        <v>45603</v>
      </c>
      <c r="B232" t="s">
        <v>240</v>
      </c>
      <c r="C232" s="2">
        <v>4.4800000000000004</v>
      </c>
      <c r="D232" s="2">
        <v>4.3099999999999996</v>
      </c>
      <c r="E232" s="2">
        <v>2.44</v>
      </c>
      <c r="F232" s="5">
        <v>1.2996000000000001</v>
      </c>
      <c r="G232" s="5">
        <v>1.2020999999999999</v>
      </c>
      <c r="J232" s="2">
        <f t="shared" si="9"/>
        <v>0.17000000000000082</v>
      </c>
      <c r="K232" s="2">
        <f t="shared" si="10"/>
        <v>2.0400000000000005</v>
      </c>
    </row>
    <row r="233" spans="1:11" x14ac:dyDescent="0.25">
      <c r="A233" s="4">
        <f t="shared" si="11"/>
        <v>45604</v>
      </c>
      <c r="B233" t="s">
        <v>241</v>
      </c>
      <c r="C233" s="2">
        <v>4.43</v>
      </c>
      <c r="D233" s="2">
        <v>4.3</v>
      </c>
      <c r="E233" s="2">
        <v>2.35</v>
      </c>
      <c r="F233" s="5">
        <v>1.2939000000000001</v>
      </c>
      <c r="G233" s="5">
        <v>1.2037</v>
      </c>
      <c r="J233" s="2">
        <f t="shared" si="9"/>
        <v>0.12999999999999989</v>
      </c>
      <c r="K233" s="2">
        <f t="shared" si="10"/>
        <v>2.0799999999999996</v>
      </c>
    </row>
    <row r="234" spans="1:11" x14ac:dyDescent="0.25">
      <c r="A234" s="4">
        <f t="shared" si="11"/>
        <v>45607</v>
      </c>
      <c r="B234" t="s">
        <v>242</v>
      </c>
      <c r="C234" s="2">
        <v>4.43</v>
      </c>
      <c r="D234" s="2" t="e">
        <v>#N/A</v>
      </c>
      <c r="E234" s="2">
        <v>2.33</v>
      </c>
      <c r="F234" s="5">
        <v>1.2869999999999999</v>
      </c>
      <c r="G234" s="5">
        <v>1.2087000000000001</v>
      </c>
      <c r="J234" s="2" t="e">
        <f t="shared" si="9"/>
        <v>#N/A</v>
      </c>
      <c r="K234" s="2">
        <f t="shared" si="10"/>
        <v>2.0999999999999996</v>
      </c>
    </row>
    <row r="235" spans="1:11" x14ac:dyDescent="0.25">
      <c r="A235" s="4">
        <f t="shared" si="11"/>
        <v>45608</v>
      </c>
      <c r="B235" t="s">
        <v>243</v>
      </c>
      <c r="C235" s="2">
        <v>4.53</v>
      </c>
      <c r="D235" s="2">
        <v>4.43</v>
      </c>
      <c r="E235" s="2">
        <v>2.4</v>
      </c>
      <c r="F235" s="5">
        <v>1.2764</v>
      </c>
      <c r="G235" s="5">
        <v>1.2030000000000001</v>
      </c>
      <c r="J235" s="2">
        <f t="shared" si="9"/>
        <v>0.10000000000000053</v>
      </c>
      <c r="K235" s="2">
        <f t="shared" si="10"/>
        <v>2.1300000000000003</v>
      </c>
    </row>
    <row r="236" spans="1:11" x14ac:dyDescent="0.25">
      <c r="A236" s="4">
        <f t="shared" si="11"/>
        <v>45609</v>
      </c>
      <c r="B236" t="s">
        <v>244</v>
      </c>
      <c r="C236" s="2">
        <v>4.54</v>
      </c>
      <c r="D236" s="2">
        <v>4.4400000000000004</v>
      </c>
      <c r="E236" s="2">
        <v>2.41</v>
      </c>
      <c r="F236" s="5">
        <v>1.2724</v>
      </c>
      <c r="G236" s="5">
        <v>1.2017</v>
      </c>
      <c r="J236" s="2">
        <f t="shared" si="9"/>
        <v>9.9999999999999645E-2</v>
      </c>
      <c r="K236" s="2">
        <f t="shared" si="10"/>
        <v>2.13</v>
      </c>
    </row>
    <row r="237" spans="1:11" x14ac:dyDescent="0.25">
      <c r="A237" s="4">
        <f t="shared" si="11"/>
        <v>45610</v>
      </c>
      <c r="B237" t="s">
        <v>245</v>
      </c>
      <c r="C237" s="2">
        <v>4.4800000000000004</v>
      </c>
      <c r="D237" s="2">
        <v>4.43</v>
      </c>
      <c r="E237" s="2">
        <v>2.35</v>
      </c>
      <c r="F237" s="5">
        <v>1.2707999999999999</v>
      </c>
      <c r="G237" s="5">
        <v>1.2016</v>
      </c>
      <c r="J237" s="2">
        <f t="shared" si="9"/>
        <v>5.0000000000000711E-2</v>
      </c>
      <c r="K237" s="2">
        <f t="shared" si="10"/>
        <v>2.1300000000000003</v>
      </c>
    </row>
    <row r="238" spans="1:11" x14ac:dyDescent="0.25">
      <c r="A238" s="4">
        <f t="shared" si="11"/>
        <v>45611</v>
      </c>
      <c r="B238" t="s">
        <v>246</v>
      </c>
      <c r="C238" s="2">
        <v>4.46</v>
      </c>
      <c r="D238" s="2">
        <v>4.43</v>
      </c>
      <c r="E238" s="2">
        <v>2.34</v>
      </c>
      <c r="F238" s="5">
        <v>1.2628999999999999</v>
      </c>
      <c r="G238" s="5">
        <v>1.1987000000000001</v>
      </c>
      <c r="J238" s="2">
        <f t="shared" si="9"/>
        <v>3.0000000000000249E-2</v>
      </c>
      <c r="K238" s="2">
        <f t="shared" si="10"/>
        <v>2.12</v>
      </c>
    </row>
    <row r="239" spans="1:11" x14ac:dyDescent="0.25">
      <c r="A239" s="4">
        <f t="shared" si="11"/>
        <v>45614</v>
      </c>
      <c r="B239" t="s">
        <v>247</v>
      </c>
      <c r="C239" s="2">
        <v>4.46</v>
      </c>
      <c r="D239" s="2">
        <v>4.42</v>
      </c>
      <c r="E239" s="2">
        <v>2.37</v>
      </c>
      <c r="F239" s="5">
        <v>1.264</v>
      </c>
      <c r="G239" s="5">
        <v>1.1954</v>
      </c>
      <c r="J239" s="2">
        <f t="shared" si="9"/>
        <v>4.0000000000000036E-2</v>
      </c>
      <c r="K239" s="2">
        <f t="shared" si="10"/>
        <v>2.09</v>
      </c>
    </row>
    <row r="240" spans="1:11" x14ac:dyDescent="0.25">
      <c r="A240" s="4">
        <f t="shared" si="11"/>
        <v>45615</v>
      </c>
      <c r="B240" t="s">
        <v>248</v>
      </c>
      <c r="C240" s="2">
        <v>4.4400000000000004</v>
      </c>
      <c r="D240" s="2">
        <v>4.3899999999999997</v>
      </c>
      <c r="E240" s="2">
        <v>2.35</v>
      </c>
      <c r="F240" s="5">
        <v>1.2665</v>
      </c>
      <c r="G240" s="5">
        <v>1.1962999999999999</v>
      </c>
      <c r="J240" s="2">
        <f t="shared" si="9"/>
        <v>5.0000000000000711E-2</v>
      </c>
      <c r="K240" s="2">
        <f t="shared" si="10"/>
        <v>2.0900000000000003</v>
      </c>
    </row>
    <row r="241" spans="1:11" x14ac:dyDescent="0.25">
      <c r="A241" s="4">
        <f t="shared" si="11"/>
        <v>45616</v>
      </c>
      <c r="B241" t="s">
        <v>249</v>
      </c>
      <c r="C241" s="2">
        <v>4.46</v>
      </c>
      <c r="D241" s="2">
        <v>4.41</v>
      </c>
      <c r="E241" s="2">
        <v>2.35</v>
      </c>
      <c r="F241" s="5">
        <v>1.2653000000000001</v>
      </c>
      <c r="G241" s="5">
        <v>1.2025999999999999</v>
      </c>
      <c r="J241" s="2">
        <f t="shared" si="9"/>
        <v>4.9999999999999822E-2</v>
      </c>
      <c r="K241" s="2">
        <f t="shared" si="10"/>
        <v>2.11</v>
      </c>
    </row>
    <row r="242" spans="1:11" x14ac:dyDescent="0.25">
      <c r="A242" s="4">
        <f t="shared" si="11"/>
        <v>45617</v>
      </c>
      <c r="B242" t="s">
        <v>250</v>
      </c>
      <c r="C242" s="2">
        <v>4.43</v>
      </c>
      <c r="D242" s="2">
        <v>4.43</v>
      </c>
      <c r="E242" s="2">
        <v>2.33</v>
      </c>
      <c r="F242" s="5">
        <v>1.2618</v>
      </c>
      <c r="G242" s="5">
        <v>1.2004999999999999</v>
      </c>
      <c r="J242" s="2">
        <f t="shared" si="9"/>
        <v>0</v>
      </c>
      <c r="K242" s="2">
        <f t="shared" si="10"/>
        <v>2.0999999999999996</v>
      </c>
    </row>
    <row r="243" spans="1:11" x14ac:dyDescent="0.25">
      <c r="A243" s="4">
        <f t="shared" si="11"/>
        <v>45618</v>
      </c>
      <c r="B243" t="s">
        <v>251</v>
      </c>
      <c r="C243" s="2">
        <v>4.3899999999999997</v>
      </c>
      <c r="D243" s="2">
        <v>4.41</v>
      </c>
      <c r="E243" s="2">
        <v>2.2599999999999998</v>
      </c>
      <c r="F243" s="5">
        <v>1.2526999999999999</v>
      </c>
      <c r="G243" s="5">
        <v>1.2033</v>
      </c>
      <c r="J243" s="2">
        <f t="shared" si="9"/>
        <v>-2.0000000000000462E-2</v>
      </c>
      <c r="K243" s="2">
        <f t="shared" si="10"/>
        <v>2.13</v>
      </c>
    </row>
    <row r="244" spans="1:11" x14ac:dyDescent="0.25">
      <c r="A244" s="4">
        <f t="shared" si="11"/>
        <v>45621</v>
      </c>
      <c r="B244" t="s">
        <v>252</v>
      </c>
      <c r="C244" s="2">
        <v>4.3499999999999996</v>
      </c>
      <c r="D244" s="2">
        <v>4.2699999999999996</v>
      </c>
      <c r="E244" s="2">
        <v>2.2000000000000002</v>
      </c>
      <c r="F244" s="5">
        <v>1.2551000000000001</v>
      </c>
      <c r="G244" s="5">
        <v>1.1966000000000001</v>
      </c>
      <c r="J244" s="2">
        <f t="shared" si="9"/>
        <v>8.0000000000000071E-2</v>
      </c>
      <c r="K244" s="2">
        <f t="shared" si="10"/>
        <v>2.1499999999999995</v>
      </c>
    </row>
    <row r="245" spans="1:11" x14ac:dyDescent="0.25">
      <c r="A245" s="4">
        <f t="shared" si="11"/>
        <v>45622</v>
      </c>
      <c r="B245" t="s">
        <v>253</v>
      </c>
      <c r="C245" s="2">
        <v>4.34</v>
      </c>
      <c r="D245" s="2">
        <v>4.3</v>
      </c>
      <c r="E245" s="2">
        <v>2.1800000000000002</v>
      </c>
      <c r="F245" s="5">
        <v>1.2563</v>
      </c>
      <c r="G245" s="5">
        <v>1.1988000000000001</v>
      </c>
      <c r="J245" s="2">
        <f t="shared" si="9"/>
        <v>4.0000000000000036E-2</v>
      </c>
      <c r="K245" s="2">
        <f t="shared" si="10"/>
        <v>2.1599999999999997</v>
      </c>
    </row>
    <row r="246" spans="1:11" x14ac:dyDescent="0.25">
      <c r="A246" s="4">
        <f t="shared" si="11"/>
        <v>45623</v>
      </c>
      <c r="B246" t="s">
        <v>254</v>
      </c>
      <c r="C246" s="2">
        <v>4.29</v>
      </c>
      <c r="D246" s="2">
        <v>4.25</v>
      </c>
      <c r="E246" s="2">
        <v>2.17</v>
      </c>
      <c r="F246" s="5">
        <v>1.2677</v>
      </c>
      <c r="G246" s="5">
        <v>1.1993</v>
      </c>
      <c r="J246" s="2">
        <f t="shared" si="9"/>
        <v>4.0000000000000036E-2</v>
      </c>
      <c r="K246" s="2">
        <f t="shared" si="10"/>
        <v>2.12</v>
      </c>
    </row>
    <row r="247" spans="1:11" x14ac:dyDescent="0.25">
      <c r="A247" s="4">
        <f t="shared" si="11"/>
        <v>45624</v>
      </c>
      <c r="B247" t="s">
        <v>255</v>
      </c>
      <c r="C247" s="2">
        <v>4.28</v>
      </c>
      <c r="D247" s="2" t="e">
        <v>#N/A</v>
      </c>
      <c r="E247" s="2">
        <v>2.13</v>
      </c>
      <c r="F247" s="5">
        <v>1.2682</v>
      </c>
      <c r="G247" s="5">
        <v>1.2019</v>
      </c>
      <c r="J247" s="2" t="e">
        <f t="shared" si="9"/>
        <v>#N/A</v>
      </c>
      <c r="K247" s="2">
        <f t="shared" si="10"/>
        <v>2.1500000000000004</v>
      </c>
    </row>
    <row r="248" spans="1:11" x14ac:dyDescent="0.25">
      <c r="A248" s="4">
        <f t="shared" si="11"/>
        <v>45625</v>
      </c>
      <c r="B248" t="s">
        <v>256</v>
      </c>
      <c r="C248" s="2">
        <v>4.24</v>
      </c>
      <c r="D248" s="2">
        <v>4.18</v>
      </c>
      <c r="E248" s="2">
        <v>2.08</v>
      </c>
      <c r="F248" s="5">
        <v>1.2707999999999999</v>
      </c>
      <c r="G248" s="5">
        <v>1.2033</v>
      </c>
      <c r="J248" s="2">
        <f t="shared" si="9"/>
        <v>6.0000000000000497E-2</v>
      </c>
      <c r="K248" s="2">
        <f t="shared" si="10"/>
        <v>2.16</v>
      </c>
    </row>
    <row r="249" spans="1:11" x14ac:dyDescent="0.25">
      <c r="A249" s="4">
        <f t="shared" si="11"/>
        <v>45628</v>
      </c>
      <c r="B249" t="s">
        <v>257</v>
      </c>
      <c r="C249" s="2">
        <v>4.22</v>
      </c>
      <c r="D249" s="2">
        <v>4.1900000000000004</v>
      </c>
      <c r="E249" s="2">
        <v>2.04</v>
      </c>
      <c r="F249" s="5">
        <v>1.2628999999999999</v>
      </c>
      <c r="G249" s="5">
        <v>1.2061999999999999</v>
      </c>
      <c r="J249" s="2">
        <f t="shared" si="9"/>
        <v>2.9999999999999361E-2</v>
      </c>
      <c r="K249" s="2">
        <f t="shared" si="10"/>
        <v>2.1799999999999997</v>
      </c>
    </row>
    <row r="250" spans="1:11" x14ac:dyDescent="0.25">
      <c r="A250" s="4">
        <f t="shared" si="11"/>
        <v>45629</v>
      </c>
      <c r="B250" t="s">
        <v>258</v>
      </c>
      <c r="C250" s="2">
        <v>4.24</v>
      </c>
      <c r="D250" s="2">
        <v>4.2300000000000004</v>
      </c>
      <c r="E250" s="2">
        <v>2.06</v>
      </c>
      <c r="F250" s="5">
        <v>1.2662</v>
      </c>
      <c r="G250" s="5">
        <v>1.204</v>
      </c>
      <c r="J250" s="2">
        <f t="shared" si="9"/>
        <v>9.9999999999997868E-3</v>
      </c>
      <c r="K250" s="2">
        <f t="shared" si="10"/>
        <v>2.1800000000000002</v>
      </c>
    </row>
    <row r="251" spans="1:11" x14ac:dyDescent="0.25">
      <c r="A251" s="4">
        <f t="shared" si="11"/>
        <v>45630</v>
      </c>
      <c r="B251" t="s">
        <v>259</v>
      </c>
      <c r="C251" s="2">
        <v>4.24</v>
      </c>
      <c r="D251" s="2">
        <v>4.1900000000000004</v>
      </c>
      <c r="E251" s="2">
        <v>2.0499999999999998</v>
      </c>
      <c r="F251" s="5">
        <v>1.2707999999999999</v>
      </c>
      <c r="G251" s="5">
        <v>1.2070000000000001</v>
      </c>
      <c r="J251" s="2">
        <f t="shared" si="9"/>
        <v>4.9999999999999822E-2</v>
      </c>
      <c r="K251" s="2">
        <f t="shared" si="10"/>
        <v>2.1900000000000004</v>
      </c>
    </row>
    <row r="252" spans="1:11" x14ac:dyDescent="0.25">
      <c r="A252" s="4">
        <f t="shared" si="11"/>
        <v>45631</v>
      </c>
      <c r="B252" t="s">
        <v>260</v>
      </c>
      <c r="C252" s="2">
        <v>4.2699999999999996</v>
      </c>
      <c r="D252" s="2">
        <v>4.17</v>
      </c>
      <c r="E252" s="2">
        <v>2.1</v>
      </c>
      <c r="F252" s="5">
        <v>1.2757000000000001</v>
      </c>
      <c r="G252" s="5">
        <v>1.2065999999999999</v>
      </c>
      <c r="J252" s="2">
        <f t="shared" si="9"/>
        <v>9.9999999999999645E-2</v>
      </c>
      <c r="K252" s="2">
        <f t="shared" si="10"/>
        <v>2.1699999999999995</v>
      </c>
    </row>
    <row r="253" spans="1:11" x14ac:dyDescent="0.25">
      <c r="A253" s="4">
        <f t="shared" si="11"/>
        <v>45632</v>
      </c>
      <c r="B253" t="s">
        <v>261</v>
      </c>
      <c r="C253" s="2">
        <v>4.28</v>
      </c>
      <c r="D253" s="2">
        <v>4.1500000000000004</v>
      </c>
      <c r="E253" s="2">
        <v>2.1</v>
      </c>
      <c r="F253" s="5">
        <v>1.2743</v>
      </c>
      <c r="G253" s="5">
        <v>1.2063999999999999</v>
      </c>
      <c r="J253" s="2">
        <f t="shared" si="9"/>
        <v>0.12999999999999989</v>
      </c>
      <c r="K253" s="2">
        <f t="shared" si="10"/>
        <v>2.1800000000000002</v>
      </c>
    </row>
    <row r="254" spans="1:11" x14ac:dyDescent="0.25">
      <c r="A254" s="4">
        <f t="shared" si="11"/>
        <v>45635</v>
      </c>
      <c r="B254" t="s">
        <v>262</v>
      </c>
      <c r="C254" s="2">
        <v>4.28</v>
      </c>
      <c r="D254" s="2">
        <v>4.2</v>
      </c>
      <c r="E254" s="2">
        <v>2.12</v>
      </c>
      <c r="F254" s="5">
        <v>1.2796000000000001</v>
      </c>
      <c r="G254" s="5">
        <v>1.2081</v>
      </c>
      <c r="J254" s="2">
        <f t="shared" si="9"/>
        <v>8.0000000000000071E-2</v>
      </c>
      <c r="K254" s="2">
        <f t="shared" si="10"/>
        <v>2.16</v>
      </c>
    </row>
    <row r="255" spans="1:11" x14ac:dyDescent="0.25">
      <c r="A255" s="4">
        <f t="shared" si="11"/>
        <v>45636</v>
      </c>
      <c r="B255" t="s">
        <v>263</v>
      </c>
      <c r="C255" s="2">
        <v>4.33</v>
      </c>
      <c r="D255" s="2">
        <v>4.22</v>
      </c>
      <c r="E255" s="2">
        <v>2.12</v>
      </c>
      <c r="F255" s="5">
        <v>1.2738</v>
      </c>
      <c r="G255" s="5">
        <v>1.2126999999999999</v>
      </c>
      <c r="J255" s="2">
        <f t="shared" si="9"/>
        <v>0.11000000000000032</v>
      </c>
      <c r="K255" s="2">
        <f t="shared" si="10"/>
        <v>2.21</v>
      </c>
    </row>
    <row r="256" spans="1:11" x14ac:dyDescent="0.25">
      <c r="A256" s="4">
        <f t="shared" si="11"/>
        <v>45637</v>
      </c>
      <c r="B256" t="s">
        <v>264</v>
      </c>
      <c r="C256" s="2">
        <v>4.33</v>
      </c>
      <c r="D256" s="2">
        <v>4.26</v>
      </c>
      <c r="E256" s="2">
        <v>2.14</v>
      </c>
      <c r="F256" s="5">
        <v>1.2744</v>
      </c>
      <c r="G256" s="5">
        <v>1.2148000000000001</v>
      </c>
      <c r="J256" s="2">
        <f t="shared" si="9"/>
        <v>7.0000000000000284E-2</v>
      </c>
      <c r="K256" s="2">
        <f t="shared" si="10"/>
        <v>2.19</v>
      </c>
    </row>
    <row r="257" spans="1:11" x14ac:dyDescent="0.25">
      <c r="A257" s="4">
        <f t="shared" si="11"/>
        <v>45638</v>
      </c>
      <c r="B257" t="s">
        <v>265</v>
      </c>
      <c r="C257" s="2">
        <v>4.37</v>
      </c>
      <c r="D257" s="2">
        <v>4.32</v>
      </c>
      <c r="E257" s="2">
        <v>2.21</v>
      </c>
      <c r="F257" s="5">
        <v>1.2689999999999999</v>
      </c>
      <c r="G257" s="5">
        <v>1.2116</v>
      </c>
      <c r="J257" s="2">
        <f t="shared" si="9"/>
        <v>4.9999999999999822E-2</v>
      </c>
      <c r="K257" s="2">
        <f t="shared" si="10"/>
        <v>2.16</v>
      </c>
    </row>
    <row r="258" spans="1:11" x14ac:dyDescent="0.25">
      <c r="A258" s="4">
        <f t="shared" si="11"/>
        <v>45639</v>
      </c>
      <c r="B258" t="s">
        <v>266</v>
      </c>
      <c r="C258" s="2">
        <v>4.42</v>
      </c>
      <c r="D258" s="2">
        <v>4.4000000000000004</v>
      </c>
      <c r="E258" s="2">
        <v>2.2599999999999998</v>
      </c>
      <c r="F258" s="5">
        <v>1.2614000000000001</v>
      </c>
      <c r="G258" s="5">
        <v>1.2025999999999999</v>
      </c>
      <c r="J258" s="2">
        <f t="shared" si="9"/>
        <v>1.9999999999999574E-2</v>
      </c>
      <c r="K258" s="2">
        <f t="shared" si="10"/>
        <v>2.16</v>
      </c>
    </row>
    <row r="259" spans="1:11" x14ac:dyDescent="0.25">
      <c r="A259" s="4">
        <f t="shared" si="11"/>
        <v>45642</v>
      </c>
      <c r="B259" t="s">
        <v>267</v>
      </c>
      <c r="C259" s="2">
        <v>4.4400000000000004</v>
      </c>
      <c r="D259" s="2">
        <v>4.3899999999999997</v>
      </c>
      <c r="E259" s="2">
        <v>2.2400000000000002</v>
      </c>
      <c r="F259" s="5">
        <v>1.2690999999999999</v>
      </c>
      <c r="G259" s="5">
        <v>1.2079</v>
      </c>
      <c r="J259" s="2">
        <f t="shared" si="9"/>
        <v>5.0000000000000711E-2</v>
      </c>
      <c r="K259" s="2">
        <f t="shared" si="10"/>
        <v>2.2000000000000002</v>
      </c>
    </row>
    <row r="260" spans="1:11" x14ac:dyDescent="0.25">
      <c r="A260" s="4">
        <f t="shared" si="11"/>
        <v>45643</v>
      </c>
      <c r="B260" t="s">
        <v>268</v>
      </c>
      <c r="C260" s="2">
        <v>4.5199999999999996</v>
      </c>
      <c r="D260" s="2">
        <v>4.4000000000000004</v>
      </c>
      <c r="E260" s="2">
        <v>2.2400000000000002</v>
      </c>
      <c r="F260" s="5">
        <v>1.2710999999999999</v>
      </c>
      <c r="G260" s="5">
        <v>1.2105999999999999</v>
      </c>
      <c r="J260" s="2">
        <f t="shared" si="9"/>
        <v>0.11999999999999922</v>
      </c>
      <c r="K260" s="2">
        <f t="shared" si="10"/>
        <v>2.2799999999999994</v>
      </c>
    </row>
    <row r="261" spans="1:11" x14ac:dyDescent="0.25">
      <c r="A261" s="4">
        <f t="shared" si="11"/>
        <v>45644</v>
      </c>
      <c r="B261" t="s">
        <v>269</v>
      </c>
      <c r="C261" s="2">
        <v>4.55</v>
      </c>
      <c r="D261" s="2">
        <v>4.5</v>
      </c>
      <c r="E261" s="2">
        <v>2.2599999999999998</v>
      </c>
      <c r="F261" s="5">
        <v>1.2693000000000001</v>
      </c>
      <c r="G261" s="5">
        <v>1.2118</v>
      </c>
      <c r="J261" s="2">
        <f t="shared" si="9"/>
        <v>4.9999999999999822E-2</v>
      </c>
      <c r="K261" s="2">
        <f t="shared" si="10"/>
        <v>2.29</v>
      </c>
    </row>
    <row r="262" spans="1:11" x14ac:dyDescent="0.25">
      <c r="A262" s="4">
        <f t="shared" si="11"/>
        <v>45645</v>
      </c>
      <c r="B262" t="s">
        <v>270</v>
      </c>
      <c r="C262" s="2">
        <v>4.6100000000000003</v>
      </c>
      <c r="D262" s="2">
        <v>4.57</v>
      </c>
      <c r="E262" s="2">
        <v>2.31</v>
      </c>
      <c r="F262" s="5">
        <v>1.2551000000000001</v>
      </c>
      <c r="G262" s="5">
        <v>1.2090000000000001</v>
      </c>
      <c r="J262" s="2">
        <f t="shared" si="9"/>
        <v>4.0000000000000036E-2</v>
      </c>
      <c r="K262" s="2">
        <f t="shared" si="10"/>
        <v>2.3000000000000003</v>
      </c>
    </row>
    <row r="263" spans="1:11" x14ac:dyDescent="0.25">
      <c r="A263" s="4">
        <f t="shared" si="11"/>
        <v>45646</v>
      </c>
      <c r="B263" t="s">
        <v>271</v>
      </c>
      <c r="C263" s="2">
        <v>4.5199999999999996</v>
      </c>
      <c r="D263" s="2">
        <v>4.5199999999999996</v>
      </c>
      <c r="E263" s="2">
        <v>2.29</v>
      </c>
      <c r="F263" s="5">
        <v>1.2541</v>
      </c>
      <c r="G263" s="5">
        <v>1.2061999999999999</v>
      </c>
      <c r="J263" s="2">
        <f t="shared" si="9"/>
        <v>0</v>
      </c>
      <c r="K263" s="2">
        <f t="shared" si="10"/>
        <v>2.2299999999999995</v>
      </c>
    </row>
    <row r="264" spans="1:11" x14ac:dyDescent="0.25">
      <c r="A264" s="4">
        <f t="shared" si="11"/>
        <v>45649</v>
      </c>
      <c r="B264" t="s">
        <v>272</v>
      </c>
      <c r="C264" s="2">
        <v>4.5599999999999996</v>
      </c>
      <c r="D264" s="2">
        <v>4.59</v>
      </c>
      <c r="E264" s="2">
        <v>2.33</v>
      </c>
      <c r="F264" s="5">
        <v>1.2519</v>
      </c>
      <c r="G264" s="5">
        <v>1.2047000000000001</v>
      </c>
      <c r="J264" s="2">
        <f t="shared" si="9"/>
        <v>-3.0000000000000249E-2</v>
      </c>
      <c r="K264" s="2">
        <f t="shared" si="10"/>
        <v>2.2299999999999995</v>
      </c>
    </row>
    <row r="265" spans="1:11" x14ac:dyDescent="0.25">
      <c r="A265" s="4">
        <f t="shared" si="11"/>
        <v>45650</v>
      </c>
      <c r="B265" t="s">
        <v>273</v>
      </c>
      <c r="C265" s="2">
        <v>4.5999999999999996</v>
      </c>
      <c r="D265" s="2">
        <v>4.59</v>
      </c>
      <c r="E265" s="2">
        <v>2.33</v>
      </c>
      <c r="F265" s="5">
        <v>1.2539</v>
      </c>
      <c r="G265" s="5">
        <v>1.2065999999999999</v>
      </c>
      <c r="J265" s="2">
        <f t="shared" ref="J265:J328" si="12">C265-D265</f>
        <v>9.9999999999997868E-3</v>
      </c>
      <c r="K265" s="2">
        <f t="shared" ref="K265:K328" si="13">C265-E265</f>
        <v>2.2699999999999996</v>
      </c>
    </row>
    <row r="266" spans="1:11" x14ac:dyDescent="0.25">
      <c r="A266" s="4">
        <f t="shared" si="11"/>
        <v>45651</v>
      </c>
      <c r="B266" t="s">
        <v>274</v>
      </c>
      <c r="C266" s="2" t="e">
        <v>#N/A</v>
      </c>
      <c r="D266" s="2" t="e">
        <v>#N/A</v>
      </c>
      <c r="E266" s="2">
        <v>2.33</v>
      </c>
      <c r="F266" s="5" t="e">
        <v>#N/A</v>
      </c>
      <c r="G266" s="5" t="e">
        <v>#N/A</v>
      </c>
      <c r="J266" s="2" t="e">
        <f t="shared" si="12"/>
        <v>#N/A</v>
      </c>
      <c r="K266" s="2" t="e">
        <f t="shared" si="13"/>
        <v>#N/A</v>
      </c>
    </row>
    <row r="267" spans="1:11" x14ac:dyDescent="0.25">
      <c r="A267" s="4">
        <f t="shared" si="11"/>
        <v>45652</v>
      </c>
      <c r="B267" t="s">
        <v>275</v>
      </c>
      <c r="C267" s="2" t="e">
        <v>#N/A</v>
      </c>
      <c r="D267" s="2">
        <v>4.58</v>
      </c>
      <c r="E267" s="2">
        <v>2.33</v>
      </c>
      <c r="F267" s="5" t="e">
        <v>#N/A</v>
      </c>
      <c r="G267" s="5" t="e">
        <v>#N/A</v>
      </c>
      <c r="J267" s="2" t="e">
        <f t="shared" si="12"/>
        <v>#N/A</v>
      </c>
      <c r="K267" s="2" t="e">
        <f t="shared" si="13"/>
        <v>#N/A</v>
      </c>
    </row>
    <row r="268" spans="1:11" x14ac:dyDescent="0.25">
      <c r="A268" s="4">
        <f t="shared" si="11"/>
        <v>45653</v>
      </c>
      <c r="B268" t="s">
        <v>276</v>
      </c>
      <c r="C268" s="2">
        <v>4.6399999999999997</v>
      </c>
      <c r="D268" s="2">
        <v>4.62</v>
      </c>
      <c r="E268" s="2">
        <v>2.4</v>
      </c>
      <c r="F268" s="5">
        <v>1.2577</v>
      </c>
      <c r="G268" s="5">
        <v>1.2068000000000001</v>
      </c>
      <c r="J268" s="2">
        <f t="shared" si="12"/>
        <v>1.9999999999999574E-2</v>
      </c>
      <c r="K268" s="2">
        <f t="shared" si="13"/>
        <v>2.2399999999999998</v>
      </c>
    </row>
    <row r="269" spans="1:11" x14ac:dyDescent="0.25">
      <c r="A269" s="4">
        <f t="shared" si="11"/>
        <v>45656</v>
      </c>
      <c r="B269" t="s">
        <v>277</v>
      </c>
      <c r="C269" s="2">
        <v>4.62</v>
      </c>
      <c r="D269" s="2">
        <v>4.55</v>
      </c>
      <c r="E269" s="2">
        <v>2.36</v>
      </c>
      <c r="F269" s="5">
        <v>1.2511000000000001</v>
      </c>
      <c r="G269" s="5">
        <v>1.2053</v>
      </c>
      <c r="J269" s="2">
        <f t="shared" si="12"/>
        <v>7.0000000000000284E-2</v>
      </c>
      <c r="K269" s="2">
        <f t="shared" si="13"/>
        <v>2.2600000000000002</v>
      </c>
    </row>
    <row r="270" spans="1:11" x14ac:dyDescent="0.25">
      <c r="A270" s="4">
        <f t="shared" si="11"/>
        <v>45657</v>
      </c>
      <c r="B270" t="s">
        <v>278</v>
      </c>
      <c r="C270" s="2">
        <v>4.57</v>
      </c>
      <c r="D270" s="2">
        <v>4.58</v>
      </c>
      <c r="E270" s="2">
        <v>2.36</v>
      </c>
      <c r="F270" s="5">
        <v>1.2528999999999999</v>
      </c>
      <c r="G270" s="5">
        <v>1.2099</v>
      </c>
      <c r="J270" s="2">
        <f t="shared" si="12"/>
        <v>-9.9999999999997868E-3</v>
      </c>
      <c r="K270" s="2">
        <f t="shared" si="13"/>
        <v>2.2100000000000004</v>
      </c>
    </row>
    <row r="271" spans="1:11" x14ac:dyDescent="0.25">
      <c r="A271" s="4">
        <f t="shared" ref="A271:A334" si="14">+A266+7</f>
        <v>45658</v>
      </c>
      <c r="B271" t="s">
        <v>279</v>
      </c>
      <c r="C271" s="2" t="e">
        <v>#N/A</v>
      </c>
      <c r="D271" s="2" t="e">
        <v>#N/A</v>
      </c>
      <c r="E271" s="2">
        <v>2.37</v>
      </c>
      <c r="F271" s="5" t="e">
        <v>#N/A</v>
      </c>
      <c r="G271" s="5" t="e">
        <v>#N/A</v>
      </c>
      <c r="J271" s="2" t="e">
        <f t="shared" si="12"/>
        <v>#N/A</v>
      </c>
      <c r="K271" s="2" t="e">
        <f t="shared" si="13"/>
        <v>#N/A</v>
      </c>
    </row>
    <row r="272" spans="1:11" x14ac:dyDescent="0.25">
      <c r="A272" s="4">
        <f t="shared" si="14"/>
        <v>45659</v>
      </c>
      <c r="B272" t="s">
        <v>280</v>
      </c>
      <c r="C272" s="2">
        <v>4.59</v>
      </c>
      <c r="D272" s="2">
        <v>4.57</v>
      </c>
      <c r="E272" s="2">
        <v>2.36</v>
      </c>
      <c r="F272" s="5">
        <v>1.2375</v>
      </c>
      <c r="G272" s="5">
        <v>1.2044999999999999</v>
      </c>
      <c r="J272" s="2">
        <f t="shared" si="12"/>
        <v>1.9999999999999574E-2</v>
      </c>
      <c r="K272" s="2">
        <f t="shared" si="13"/>
        <v>2.23</v>
      </c>
    </row>
    <row r="273" spans="1:11" x14ac:dyDescent="0.25">
      <c r="A273" s="4">
        <f t="shared" si="14"/>
        <v>45660</v>
      </c>
      <c r="B273" t="s">
        <v>281</v>
      </c>
      <c r="C273" s="2">
        <v>4.5999999999999996</v>
      </c>
      <c r="D273" s="2">
        <v>4.5999999999999996</v>
      </c>
      <c r="E273" s="2">
        <v>2.4300000000000002</v>
      </c>
      <c r="F273" s="5">
        <v>1.2403999999999999</v>
      </c>
      <c r="G273" s="5">
        <v>1.2058</v>
      </c>
      <c r="J273" s="2">
        <f t="shared" si="12"/>
        <v>0</v>
      </c>
      <c r="K273" s="2">
        <f t="shared" si="13"/>
        <v>2.1699999999999995</v>
      </c>
    </row>
    <row r="274" spans="1:11" x14ac:dyDescent="0.25">
      <c r="A274" s="4">
        <f t="shared" si="14"/>
        <v>45663</v>
      </c>
      <c r="B274" t="s">
        <v>282</v>
      </c>
      <c r="C274" s="2">
        <v>4.6100000000000003</v>
      </c>
      <c r="D274" s="2">
        <v>4.62</v>
      </c>
      <c r="E274" s="2">
        <v>2.4500000000000002</v>
      </c>
      <c r="F274" s="5">
        <v>1.2507999999999999</v>
      </c>
      <c r="G274" s="5">
        <v>1.2034</v>
      </c>
      <c r="J274" s="2">
        <f t="shared" si="12"/>
        <v>-9.9999999999997868E-3</v>
      </c>
      <c r="K274" s="2">
        <f t="shared" si="13"/>
        <v>2.16</v>
      </c>
    </row>
    <row r="275" spans="1:11" x14ac:dyDescent="0.25">
      <c r="A275" s="4">
        <f t="shared" si="14"/>
        <v>45664</v>
      </c>
      <c r="B275" t="s">
        <v>283</v>
      </c>
      <c r="C275" s="2">
        <v>4.68</v>
      </c>
      <c r="D275" s="2">
        <v>4.67</v>
      </c>
      <c r="E275" s="2">
        <v>2.48</v>
      </c>
      <c r="F275" s="5">
        <v>1.2498</v>
      </c>
      <c r="G275" s="5">
        <v>1.2049000000000001</v>
      </c>
      <c r="J275" s="2">
        <f t="shared" si="12"/>
        <v>9.9999999999997868E-3</v>
      </c>
      <c r="K275" s="2">
        <f t="shared" si="13"/>
        <v>2.1999999999999997</v>
      </c>
    </row>
    <row r="276" spans="1:11" x14ac:dyDescent="0.25">
      <c r="A276" s="4">
        <f t="shared" si="14"/>
        <v>45665</v>
      </c>
      <c r="B276" t="s">
        <v>284</v>
      </c>
      <c r="C276" s="2">
        <v>4.8099999999999996</v>
      </c>
      <c r="D276" s="2">
        <v>4.67</v>
      </c>
      <c r="E276" s="2">
        <v>2.52</v>
      </c>
      <c r="F276" s="5">
        <v>1.2342</v>
      </c>
      <c r="G276" s="5">
        <v>1.1981999999999999</v>
      </c>
      <c r="J276" s="2">
        <f t="shared" si="12"/>
        <v>0.13999999999999968</v>
      </c>
      <c r="K276" s="2">
        <f t="shared" si="13"/>
        <v>2.2899999999999996</v>
      </c>
    </row>
    <row r="277" spans="1:11" x14ac:dyDescent="0.25">
      <c r="A277" s="4">
        <f t="shared" si="14"/>
        <v>45666</v>
      </c>
      <c r="B277" t="s">
        <v>285</v>
      </c>
      <c r="C277" s="2">
        <v>4.82</v>
      </c>
      <c r="D277" s="2">
        <v>4.68</v>
      </c>
      <c r="E277" s="2">
        <v>2.5499999999999998</v>
      </c>
      <c r="F277" s="5">
        <v>1.2302999999999999</v>
      </c>
      <c r="G277" s="5">
        <v>1.1944999999999999</v>
      </c>
      <c r="J277" s="2">
        <f t="shared" si="12"/>
        <v>0.14000000000000057</v>
      </c>
      <c r="K277" s="2">
        <f t="shared" si="13"/>
        <v>2.2700000000000005</v>
      </c>
    </row>
    <row r="278" spans="1:11" x14ac:dyDescent="0.25">
      <c r="A278" s="4">
        <f t="shared" si="14"/>
        <v>45667</v>
      </c>
      <c r="B278" t="s">
        <v>286</v>
      </c>
      <c r="C278" s="2">
        <v>4.8499999999999996</v>
      </c>
      <c r="D278" s="2">
        <v>4.7699999999999996</v>
      </c>
      <c r="E278" s="2">
        <v>2.58</v>
      </c>
      <c r="F278" s="5">
        <v>1.2230000000000001</v>
      </c>
      <c r="G278" s="5">
        <v>1.1931</v>
      </c>
      <c r="J278" s="2">
        <f t="shared" si="12"/>
        <v>8.0000000000000071E-2</v>
      </c>
      <c r="K278" s="2">
        <f t="shared" si="13"/>
        <v>2.2699999999999996</v>
      </c>
    </row>
    <row r="279" spans="1:11" x14ac:dyDescent="0.25">
      <c r="A279" s="4">
        <f t="shared" si="14"/>
        <v>45670</v>
      </c>
      <c r="B279" t="s">
        <v>287</v>
      </c>
      <c r="C279" s="2">
        <v>4.87</v>
      </c>
      <c r="D279" s="2">
        <v>4.79</v>
      </c>
      <c r="E279" s="2">
        <v>2.59</v>
      </c>
      <c r="F279" s="5">
        <v>1.2152000000000001</v>
      </c>
      <c r="G279" s="5">
        <v>1.1918</v>
      </c>
      <c r="J279" s="2">
        <f t="shared" si="12"/>
        <v>8.0000000000000071E-2</v>
      </c>
      <c r="K279" s="2">
        <f t="shared" si="13"/>
        <v>2.2800000000000002</v>
      </c>
    </row>
    <row r="280" spans="1:11" x14ac:dyDescent="0.25">
      <c r="A280" s="4">
        <f t="shared" si="14"/>
        <v>45671</v>
      </c>
      <c r="B280" t="s">
        <v>288</v>
      </c>
      <c r="C280" s="2">
        <v>4.91</v>
      </c>
      <c r="D280" s="2">
        <v>4.78</v>
      </c>
      <c r="E280" s="2">
        <v>2.63</v>
      </c>
      <c r="F280" s="5">
        <v>1.2201</v>
      </c>
      <c r="G280" s="5">
        <v>1.1851</v>
      </c>
      <c r="J280" s="2">
        <f t="shared" si="12"/>
        <v>0.12999999999999989</v>
      </c>
      <c r="K280" s="2">
        <f t="shared" si="13"/>
        <v>2.2800000000000002</v>
      </c>
    </row>
    <row r="281" spans="1:11" x14ac:dyDescent="0.25">
      <c r="A281" s="4">
        <f t="shared" si="14"/>
        <v>45672</v>
      </c>
      <c r="B281" t="s">
        <v>289</v>
      </c>
      <c r="C281" s="2">
        <v>4.7300000000000004</v>
      </c>
      <c r="D281" s="2">
        <v>4.66</v>
      </c>
      <c r="E281" s="2">
        <v>2.5299999999999998</v>
      </c>
      <c r="F281" s="5">
        <v>1.2258</v>
      </c>
      <c r="G281" s="5">
        <v>1.1894</v>
      </c>
      <c r="J281" s="2">
        <f t="shared" si="12"/>
        <v>7.0000000000000284E-2</v>
      </c>
      <c r="K281" s="2">
        <f t="shared" si="13"/>
        <v>2.2000000000000006</v>
      </c>
    </row>
    <row r="282" spans="1:11" x14ac:dyDescent="0.25">
      <c r="A282" s="4">
        <f t="shared" si="14"/>
        <v>45673</v>
      </c>
      <c r="B282" t="s">
        <v>290</v>
      </c>
      <c r="C282" s="2">
        <v>4.68</v>
      </c>
      <c r="D282" s="2">
        <v>4.6100000000000003</v>
      </c>
      <c r="E282" s="2">
        <v>2.5099999999999998</v>
      </c>
      <c r="F282" s="5">
        <v>1.2235</v>
      </c>
      <c r="G282" s="5">
        <v>1.1877</v>
      </c>
      <c r="J282" s="2">
        <f t="shared" si="12"/>
        <v>6.9999999999999396E-2</v>
      </c>
      <c r="K282" s="2">
        <f t="shared" si="13"/>
        <v>2.17</v>
      </c>
    </row>
    <row r="283" spans="1:11" x14ac:dyDescent="0.25">
      <c r="A283" s="4">
        <f t="shared" si="14"/>
        <v>45674</v>
      </c>
      <c r="B283" t="s">
        <v>291</v>
      </c>
      <c r="C283" s="2">
        <v>4.66</v>
      </c>
      <c r="D283" s="2">
        <v>4.6100000000000003</v>
      </c>
      <c r="E283" s="2">
        <v>2.5</v>
      </c>
      <c r="F283" s="5">
        <v>1.2198</v>
      </c>
      <c r="G283" s="5">
        <v>1.1843999999999999</v>
      </c>
      <c r="J283" s="2">
        <f t="shared" si="12"/>
        <v>4.9999999999999822E-2</v>
      </c>
      <c r="K283" s="2">
        <f t="shared" si="13"/>
        <v>2.16</v>
      </c>
    </row>
    <row r="284" spans="1:11" x14ac:dyDescent="0.25">
      <c r="A284" s="4">
        <f t="shared" si="14"/>
        <v>45677</v>
      </c>
      <c r="B284" t="s">
        <v>292</v>
      </c>
      <c r="C284" s="2">
        <v>4.66</v>
      </c>
      <c r="D284" s="2" t="e">
        <v>#N/A</v>
      </c>
      <c r="E284" s="2">
        <v>2.5</v>
      </c>
      <c r="F284" s="5">
        <v>1.2293000000000001</v>
      </c>
      <c r="G284" s="5">
        <v>1.1819</v>
      </c>
      <c r="J284" s="2" t="e">
        <f t="shared" si="12"/>
        <v>#N/A</v>
      </c>
      <c r="K284" s="2">
        <f t="shared" si="13"/>
        <v>2.16</v>
      </c>
    </row>
    <row r="285" spans="1:11" x14ac:dyDescent="0.25">
      <c r="A285" s="4">
        <f t="shared" si="14"/>
        <v>45678</v>
      </c>
      <c r="B285" t="s">
        <v>293</v>
      </c>
      <c r="C285" s="2">
        <v>4.5999999999999996</v>
      </c>
      <c r="D285" s="2">
        <v>4.57</v>
      </c>
      <c r="E285" s="2">
        <v>2.48</v>
      </c>
      <c r="F285" s="5">
        <v>1.2299</v>
      </c>
      <c r="G285" s="5">
        <v>1.1825000000000001</v>
      </c>
      <c r="J285" s="2">
        <f t="shared" si="12"/>
        <v>2.9999999999999361E-2</v>
      </c>
      <c r="K285" s="2">
        <f t="shared" si="13"/>
        <v>2.1199999999999997</v>
      </c>
    </row>
    <row r="286" spans="1:11" x14ac:dyDescent="0.25">
      <c r="A286" s="4">
        <f t="shared" si="14"/>
        <v>45679</v>
      </c>
      <c r="B286" t="s">
        <v>294</v>
      </c>
      <c r="C286" s="2">
        <v>4.6399999999999997</v>
      </c>
      <c r="D286" s="2">
        <v>4.5999999999999996</v>
      </c>
      <c r="E286" s="2">
        <v>2.5</v>
      </c>
      <c r="F286" s="5">
        <v>1.2318</v>
      </c>
      <c r="G286" s="5">
        <v>1.1821999999999999</v>
      </c>
      <c r="J286" s="2">
        <f t="shared" si="12"/>
        <v>4.0000000000000036E-2</v>
      </c>
      <c r="K286" s="2">
        <f t="shared" si="13"/>
        <v>2.1399999999999997</v>
      </c>
    </row>
    <row r="287" spans="1:11" x14ac:dyDescent="0.25">
      <c r="A287" s="4">
        <f t="shared" si="14"/>
        <v>45680</v>
      </c>
      <c r="B287" t="s">
        <v>295</v>
      </c>
      <c r="C287" s="2">
        <v>4.6399999999999997</v>
      </c>
      <c r="D287" s="2">
        <v>4.6500000000000004</v>
      </c>
      <c r="E287" s="2">
        <v>2.52</v>
      </c>
      <c r="F287" s="5">
        <v>1.2323999999999999</v>
      </c>
      <c r="G287" s="5">
        <v>1.1852</v>
      </c>
      <c r="J287" s="2">
        <f t="shared" si="12"/>
        <v>-1.0000000000000675E-2</v>
      </c>
      <c r="K287" s="2">
        <f t="shared" si="13"/>
        <v>2.1199999999999997</v>
      </c>
    </row>
    <row r="288" spans="1:11" x14ac:dyDescent="0.25">
      <c r="A288" s="4">
        <f t="shared" si="14"/>
        <v>45681</v>
      </c>
      <c r="B288" t="s">
        <v>296</v>
      </c>
      <c r="C288" s="2">
        <v>4.6399999999999997</v>
      </c>
      <c r="D288" s="2">
        <v>4.63</v>
      </c>
      <c r="E288" s="2">
        <v>2.5499999999999998</v>
      </c>
      <c r="F288" s="5">
        <v>1.2484</v>
      </c>
      <c r="G288" s="5">
        <v>1.1871</v>
      </c>
      <c r="J288" s="2">
        <f t="shared" si="12"/>
        <v>9.9999999999997868E-3</v>
      </c>
      <c r="K288" s="2">
        <f t="shared" si="13"/>
        <v>2.09</v>
      </c>
    </row>
    <row r="289" spans="1:11" x14ac:dyDescent="0.25">
      <c r="A289" s="4">
        <f t="shared" si="14"/>
        <v>45684</v>
      </c>
      <c r="B289" t="s">
        <v>297</v>
      </c>
      <c r="C289" s="2">
        <v>4.59</v>
      </c>
      <c r="D289" s="2">
        <v>4.53</v>
      </c>
      <c r="E289" s="2">
        <v>2.5099999999999998</v>
      </c>
      <c r="F289" s="5">
        <v>1.2473000000000001</v>
      </c>
      <c r="G289" s="5">
        <v>1.1879999999999999</v>
      </c>
      <c r="J289" s="2">
        <f t="shared" si="12"/>
        <v>5.9999999999999609E-2</v>
      </c>
      <c r="K289" s="2">
        <f t="shared" si="13"/>
        <v>2.08</v>
      </c>
    </row>
    <row r="290" spans="1:11" x14ac:dyDescent="0.25">
      <c r="A290" s="4">
        <f t="shared" si="14"/>
        <v>45685</v>
      </c>
      <c r="B290" t="s">
        <v>298</v>
      </c>
      <c r="C290" s="2">
        <v>4.62</v>
      </c>
      <c r="D290" s="2">
        <v>4.55</v>
      </c>
      <c r="E290" s="2">
        <v>2.56</v>
      </c>
      <c r="F290" s="5">
        <v>1.2432000000000001</v>
      </c>
      <c r="G290" s="5">
        <v>1.1926000000000001</v>
      </c>
      <c r="J290" s="2">
        <f t="shared" si="12"/>
        <v>7.0000000000000284E-2</v>
      </c>
      <c r="K290" s="2">
        <f t="shared" si="13"/>
        <v>2.06</v>
      </c>
    </row>
    <row r="291" spans="1:11" x14ac:dyDescent="0.25">
      <c r="A291" s="4">
        <f t="shared" si="14"/>
        <v>45686</v>
      </c>
      <c r="B291" t="s">
        <v>299</v>
      </c>
      <c r="C291" s="2">
        <v>4.6100000000000003</v>
      </c>
      <c r="D291" s="2">
        <v>4.55</v>
      </c>
      <c r="E291" s="2">
        <v>2.58</v>
      </c>
      <c r="F291" s="5">
        <v>1.2434000000000001</v>
      </c>
      <c r="G291" s="5">
        <v>1.1933</v>
      </c>
      <c r="J291" s="2">
        <f t="shared" si="12"/>
        <v>6.0000000000000497E-2</v>
      </c>
      <c r="K291" s="2">
        <f t="shared" si="13"/>
        <v>2.0300000000000002</v>
      </c>
    </row>
    <row r="292" spans="1:11" x14ac:dyDescent="0.25">
      <c r="A292" s="4">
        <f t="shared" si="14"/>
        <v>45687</v>
      </c>
      <c r="B292" t="s">
        <v>300</v>
      </c>
      <c r="C292" s="2">
        <v>4.5599999999999996</v>
      </c>
      <c r="D292" s="2">
        <v>4.5199999999999996</v>
      </c>
      <c r="E292" s="2">
        <v>2.52</v>
      </c>
      <c r="F292" s="5">
        <v>1.2466999999999999</v>
      </c>
      <c r="G292" s="5">
        <v>1.1951000000000001</v>
      </c>
      <c r="J292" s="2">
        <f t="shared" si="12"/>
        <v>4.0000000000000036E-2</v>
      </c>
      <c r="K292" s="2">
        <f t="shared" si="13"/>
        <v>2.0399999999999996</v>
      </c>
    </row>
    <row r="293" spans="1:11" x14ac:dyDescent="0.25">
      <c r="A293" s="4">
        <f t="shared" si="14"/>
        <v>45688</v>
      </c>
      <c r="B293" t="s">
        <v>301</v>
      </c>
      <c r="C293" s="2">
        <v>4.54</v>
      </c>
      <c r="D293" s="2">
        <v>4.58</v>
      </c>
      <c r="E293" s="2">
        <v>2.48</v>
      </c>
      <c r="F293" s="5">
        <v>1.2425999999999999</v>
      </c>
      <c r="G293" s="5">
        <v>1.1952</v>
      </c>
      <c r="J293" s="2">
        <f t="shared" si="12"/>
        <v>-4.0000000000000036E-2</v>
      </c>
      <c r="K293" s="2">
        <f t="shared" si="13"/>
        <v>2.06</v>
      </c>
    </row>
    <row r="294" spans="1:11" x14ac:dyDescent="0.25">
      <c r="A294" s="4">
        <f t="shared" si="14"/>
        <v>45691</v>
      </c>
      <c r="B294" t="s">
        <v>302</v>
      </c>
      <c r="C294" s="2">
        <v>4.49</v>
      </c>
      <c r="D294" s="2">
        <v>4.54</v>
      </c>
      <c r="E294" s="2">
        <v>2.41</v>
      </c>
      <c r="F294" s="5">
        <v>1.2412000000000001</v>
      </c>
      <c r="G294" s="5">
        <v>1.2031000000000001</v>
      </c>
      <c r="J294" s="2">
        <f t="shared" si="12"/>
        <v>-4.9999999999999822E-2</v>
      </c>
      <c r="K294" s="2">
        <f t="shared" si="13"/>
        <v>2.08</v>
      </c>
    </row>
    <row r="295" spans="1:11" x14ac:dyDescent="0.25">
      <c r="A295" s="4">
        <f t="shared" si="14"/>
        <v>45692</v>
      </c>
      <c r="B295" t="s">
        <v>303</v>
      </c>
      <c r="C295" s="2">
        <v>4.5199999999999996</v>
      </c>
      <c r="D295" s="2">
        <v>4.5199999999999996</v>
      </c>
      <c r="E295" s="2">
        <v>2.39</v>
      </c>
      <c r="F295" s="5">
        <v>1.2477</v>
      </c>
      <c r="G295" s="5">
        <v>1.2019</v>
      </c>
      <c r="J295" s="2">
        <f t="shared" si="12"/>
        <v>0</v>
      </c>
      <c r="K295" s="2">
        <f t="shared" si="13"/>
        <v>2.1299999999999994</v>
      </c>
    </row>
    <row r="296" spans="1:11" x14ac:dyDescent="0.25">
      <c r="A296" s="4">
        <f t="shared" si="14"/>
        <v>45693</v>
      </c>
      <c r="B296" t="s">
        <v>304</v>
      </c>
      <c r="C296" s="2">
        <v>4.43</v>
      </c>
      <c r="D296" s="2">
        <v>4.43</v>
      </c>
      <c r="E296" s="2">
        <v>2.37</v>
      </c>
      <c r="F296" s="5">
        <v>1.2518</v>
      </c>
      <c r="G296" s="5">
        <v>1.2011000000000001</v>
      </c>
      <c r="J296" s="2">
        <f t="shared" si="12"/>
        <v>0</v>
      </c>
      <c r="K296" s="2">
        <f t="shared" si="13"/>
        <v>2.0599999999999996</v>
      </c>
    </row>
    <row r="297" spans="1:11" x14ac:dyDescent="0.25">
      <c r="A297" s="4">
        <f t="shared" si="14"/>
        <v>45694</v>
      </c>
      <c r="B297" t="s">
        <v>305</v>
      </c>
      <c r="C297" s="2">
        <v>4.4800000000000004</v>
      </c>
      <c r="D297" s="2">
        <v>4.45</v>
      </c>
      <c r="E297" s="2">
        <v>2.37</v>
      </c>
      <c r="F297" s="5">
        <v>1.2414000000000001</v>
      </c>
      <c r="G297" s="5">
        <v>1.1973</v>
      </c>
      <c r="J297" s="2">
        <f t="shared" si="12"/>
        <v>3.0000000000000249E-2</v>
      </c>
      <c r="K297" s="2">
        <f t="shared" si="13"/>
        <v>2.1100000000000003</v>
      </c>
    </row>
    <row r="298" spans="1:11" x14ac:dyDescent="0.25">
      <c r="A298" s="4">
        <f t="shared" si="14"/>
        <v>45695</v>
      </c>
      <c r="B298" t="s">
        <v>306</v>
      </c>
      <c r="C298" s="2">
        <v>4.4800000000000004</v>
      </c>
      <c r="D298" s="2">
        <v>4.49</v>
      </c>
      <c r="E298" s="2">
        <v>2.37</v>
      </c>
      <c r="F298" s="5">
        <v>1.2423999999999999</v>
      </c>
      <c r="G298" s="5">
        <v>1.1997</v>
      </c>
      <c r="J298" s="2">
        <f t="shared" si="12"/>
        <v>-9.9999999999997868E-3</v>
      </c>
      <c r="K298" s="2">
        <f t="shared" si="13"/>
        <v>2.1100000000000003</v>
      </c>
    </row>
    <row r="299" spans="1:11" x14ac:dyDescent="0.25">
      <c r="A299" s="4">
        <f t="shared" si="14"/>
        <v>45698</v>
      </c>
      <c r="B299" t="s">
        <v>307</v>
      </c>
      <c r="C299" s="2">
        <v>4.46</v>
      </c>
      <c r="D299" s="2">
        <v>4.51</v>
      </c>
      <c r="E299" s="2">
        <v>2.37</v>
      </c>
      <c r="F299" s="5">
        <v>1.2390000000000001</v>
      </c>
      <c r="G299" s="5">
        <v>1.2011000000000001</v>
      </c>
      <c r="J299" s="2">
        <f t="shared" si="12"/>
        <v>-4.9999999999999822E-2</v>
      </c>
      <c r="K299" s="2">
        <f t="shared" si="13"/>
        <v>2.09</v>
      </c>
    </row>
    <row r="300" spans="1:11" x14ac:dyDescent="0.25">
      <c r="A300" s="4">
        <f t="shared" si="14"/>
        <v>45699</v>
      </c>
      <c r="B300" t="s">
        <v>308</v>
      </c>
      <c r="C300" s="2">
        <v>4.5</v>
      </c>
      <c r="D300" s="2">
        <v>4.54</v>
      </c>
      <c r="E300" s="2">
        <v>2.4300000000000002</v>
      </c>
      <c r="F300" s="5">
        <v>1.2405999999999999</v>
      </c>
      <c r="G300" s="5">
        <v>1.1998</v>
      </c>
      <c r="J300" s="2">
        <f t="shared" si="12"/>
        <v>-4.0000000000000036E-2</v>
      </c>
      <c r="K300" s="2">
        <f t="shared" si="13"/>
        <v>2.0699999999999998</v>
      </c>
    </row>
    <row r="301" spans="1:11" x14ac:dyDescent="0.25">
      <c r="A301" s="4">
        <f t="shared" si="14"/>
        <v>45700</v>
      </c>
      <c r="B301" t="s">
        <v>309</v>
      </c>
      <c r="C301" s="2">
        <v>4.54</v>
      </c>
      <c r="D301" s="2">
        <v>4.62</v>
      </c>
      <c r="E301" s="2">
        <v>2.48</v>
      </c>
      <c r="F301" s="5">
        <v>1.2434000000000001</v>
      </c>
      <c r="G301" s="5">
        <v>1.1984999999999999</v>
      </c>
      <c r="J301" s="2">
        <f t="shared" si="12"/>
        <v>-8.0000000000000071E-2</v>
      </c>
      <c r="K301" s="2">
        <f t="shared" si="13"/>
        <v>2.06</v>
      </c>
    </row>
    <row r="302" spans="1:11" x14ac:dyDescent="0.25">
      <c r="A302" s="4">
        <f t="shared" si="14"/>
        <v>45701</v>
      </c>
      <c r="B302" t="s">
        <v>310</v>
      </c>
      <c r="C302" s="2">
        <v>4.4800000000000004</v>
      </c>
      <c r="D302" s="2">
        <v>4.5199999999999996</v>
      </c>
      <c r="E302" s="2">
        <v>2.42</v>
      </c>
      <c r="F302" s="5">
        <v>1.2523</v>
      </c>
      <c r="G302" s="5">
        <v>1.2002999999999999</v>
      </c>
      <c r="J302" s="2">
        <f t="shared" si="12"/>
        <v>-3.9999999999999147E-2</v>
      </c>
      <c r="K302" s="2">
        <f t="shared" si="13"/>
        <v>2.0600000000000005</v>
      </c>
    </row>
    <row r="303" spans="1:11" x14ac:dyDescent="0.25">
      <c r="A303" s="4">
        <f t="shared" si="14"/>
        <v>45702</v>
      </c>
      <c r="B303" t="s">
        <v>311</v>
      </c>
      <c r="C303" s="2">
        <v>4.51</v>
      </c>
      <c r="D303" s="2">
        <v>4.47</v>
      </c>
      <c r="E303" s="2">
        <v>2.44</v>
      </c>
      <c r="F303" s="5">
        <v>1.2618</v>
      </c>
      <c r="G303" s="5">
        <v>1.2007000000000001</v>
      </c>
      <c r="J303" s="2">
        <f t="shared" si="12"/>
        <v>4.0000000000000036E-2</v>
      </c>
      <c r="K303" s="2">
        <f t="shared" si="13"/>
        <v>2.0699999999999998</v>
      </c>
    </row>
    <row r="304" spans="1:11" x14ac:dyDescent="0.25">
      <c r="A304" s="4">
        <f t="shared" si="14"/>
        <v>45705</v>
      </c>
      <c r="B304" t="s">
        <v>312</v>
      </c>
      <c r="C304" s="2">
        <v>4.53</v>
      </c>
      <c r="D304" s="2" t="e">
        <v>#N/A</v>
      </c>
      <c r="E304" s="2">
        <v>2.4900000000000002</v>
      </c>
      <c r="F304" s="5">
        <v>1.2606999999999999</v>
      </c>
      <c r="G304" s="5">
        <v>1.2029000000000001</v>
      </c>
      <c r="J304" s="2" t="e">
        <f t="shared" si="12"/>
        <v>#N/A</v>
      </c>
      <c r="K304" s="2">
        <f t="shared" si="13"/>
        <v>2.04</v>
      </c>
    </row>
    <row r="305" spans="1:11" x14ac:dyDescent="0.25">
      <c r="A305" s="4">
        <f t="shared" si="14"/>
        <v>45706</v>
      </c>
      <c r="B305" t="s">
        <v>313</v>
      </c>
      <c r="C305" s="2">
        <v>4.5599999999999996</v>
      </c>
      <c r="D305" s="2">
        <v>4.55</v>
      </c>
      <c r="E305" s="2">
        <v>2.5099999999999998</v>
      </c>
      <c r="F305" s="5">
        <v>1.2615000000000001</v>
      </c>
      <c r="G305" s="5">
        <v>1.2053</v>
      </c>
      <c r="J305" s="2">
        <f t="shared" si="12"/>
        <v>9.9999999999997868E-3</v>
      </c>
      <c r="K305" s="2">
        <f t="shared" si="13"/>
        <v>2.0499999999999998</v>
      </c>
    </row>
    <row r="306" spans="1:11" x14ac:dyDescent="0.25">
      <c r="A306" s="4">
        <f t="shared" si="14"/>
        <v>45707</v>
      </c>
      <c r="B306" t="s">
        <v>314</v>
      </c>
      <c r="C306" s="2">
        <v>4.62</v>
      </c>
      <c r="D306" s="2">
        <v>4.53</v>
      </c>
      <c r="E306" s="2">
        <v>2.5499999999999998</v>
      </c>
      <c r="F306" s="5">
        <v>1.2589999999999999</v>
      </c>
      <c r="G306" s="5">
        <v>1.2078</v>
      </c>
      <c r="J306" s="2">
        <f t="shared" si="12"/>
        <v>8.9999999999999858E-2</v>
      </c>
      <c r="K306" s="2">
        <f t="shared" si="13"/>
        <v>2.0700000000000003</v>
      </c>
    </row>
    <row r="307" spans="1:11" x14ac:dyDescent="0.25">
      <c r="A307" s="4">
        <f t="shared" si="14"/>
        <v>45708</v>
      </c>
      <c r="B307" t="s">
        <v>315</v>
      </c>
      <c r="C307" s="2">
        <v>4.6100000000000003</v>
      </c>
      <c r="D307" s="2">
        <v>4.5</v>
      </c>
      <c r="E307" s="2">
        <v>2.54</v>
      </c>
      <c r="F307" s="5">
        <v>1.2641</v>
      </c>
      <c r="G307" s="5">
        <v>1.2068000000000001</v>
      </c>
      <c r="J307" s="2">
        <f t="shared" si="12"/>
        <v>0.11000000000000032</v>
      </c>
      <c r="K307" s="2">
        <f t="shared" si="13"/>
        <v>2.0700000000000003</v>
      </c>
    </row>
    <row r="308" spans="1:11" x14ac:dyDescent="0.25">
      <c r="A308" s="4">
        <f t="shared" si="14"/>
        <v>45709</v>
      </c>
      <c r="B308" t="s">
        <v>316</v>
      </c>
      <c r="C308" s="2">
        <v>4.5599999999999996</v>
      </c>
      <c r="D308" s="2">
        <v>4.42</v>
      </c>
      <c r="E308" s="2">
        <v>2.4500000000000002</v>
      </c>
      <c r="F308" s="5">
        <v>1.2638</v>
      </c>
      <c r="G308" s="5">
        <v>1.2090000000000001</v>
      </c>
      <c r="J308" s="2">
        <f t="shared" si="12"/>
        <v>0.13999999999999968</v>
      </c>
      <c r="K308" s="2">
        <f t="shared" si="13"/>
        <v>2.1099999999999994</v>
      </c>
    </row>
    <row r="309" spans="1:11" x14ac:dyDescent="0.25">
      <c r="A309" s="4">
        <f t="shared" si="14"/>
        <v>45712</v>
      </c>
      <c r="B309" t="s">
        <v>317</v>
      </c>
      <c r="C309" s="2">
        <v>4.57</v>
      </c>
      <c r="D309" s="2">
        <v>4.4000000000000004</v>
      </c>
      <c r="E309" s="2">
        <v>2.4900000000000002</v>
      </c>
      <c r="F309" s="5">
        <v>1.2621</v>
      </c>
      <c r="G309" s="5">
        <v>1.2055</v>
      </c>
      <c r="J309" s="2">
        <f t="shared" si="12"/>
        <v>0.16999999999999993</v>
      </c>
      <c r="K309" s="2">
        <f t="shared" si="13"/>
        <v>2.08</v>
      </c>
    </row>
    <row r="310" spans="1:11" x14ac:dyDescent="0.25">
      <c r="A310" s="4">
        <f t="shared" si="14"/>
        <v>45713</v>
      </c>
      <c r="B310" t="s">
        <v>318</v>
      </c>
      <c r="C310" s="2">
        <v>4.51</v>
      </c>
      <c r="D310" s="2">
        <v>4.3</v>
      </c>
      <c r="E310" s="2">
        <v>2.46</v>
      </c>
      <c r="F310" s="5">
        <v>1.2655000000000001</v>
      </c>
      <c r="G310" s="5">
        <v>1.2054</v>
      </c>
      <c r="J310" s="2">
        <f t="shared" si="12"/>
        <v>0.20999999999999996</v>
      </c>
      <c r="K310" s="2">
        <f t="shared" si="13"/>
        <v>2.0499999999999998</v>
      </c>
    </row>
    <row r="311" spans="1:11" x14ac:dyDescent="0.25">
      <c r="A311" s="4">
        <f t="shared" si="14"/>
        <v>45714</v>
      </c>
      <c r="B311" t="s">
        <v>319</v>
      </c>
      <c r="C311" s="2">
        <v>4.5</v>
      </c>
      <c r="D311" s="2">
        <v>4.25</v>
      </c>
      <c r="E311" s="2">
        <v>2.42</v>
      </c>
      <c r="F311" s="5">
        <v>1.2695000000000001</v>
      </c>
      <c r="G311" s="5">
        <v>1.2083999999999999</v>
      </c>
      <c r="J311" s="2">
        <f t="shared" si="12"/>
        <v>0.25</v>
      </c>
      <c r="K311" s="2">
        <f t="shared" si="13"/>
        <v>2.08</v>
      </c>
    </row>
    <row r="312" spans="1:11" x14ac:dyDescent="0.25">
      <c r="A312" s="4">
        <f t="shared" si="14"/>
        <v>45715</v>
      </c>
      <c r="B312" t="s">
        <v>320</v>
      </c>
      <c r="C312" s="2">
        <v>4.5199999999999996</v>
      </c>
      <c r="D312" s="2">
        <v>4.29</v>
      </c>
      <c r="E312" s="2">
        <v>2.42</v>
      </c>
      <c r="F312" s="5">
        <v>1.2627999999999999</v>
      </c>
      <c r="G312" s="5">
        <v>1.2124999999999999</v>
      </c>
      <c r="J312" s="2">
        <f t="shared" si="12"/>
        <v>0.22999999999999954</v>
      </c>
      <c r="K312" s="2">
        <f t="shared" si="13"/>
        <v>2.0999999999999996</v>
      </c>
    </row>
    <row r="313" spans="1:11" x14ac:dyDescent="0.25">
      <c r="A313" s="4">
        <f t="shared" si="14"/>
        <v>45716</v>
      </c>
      <c r="B313" t="s">
        <v>321</v>
      </c>
      <c r="C313" s="2">
        <v>4.4800000000000004</v>
      </c>
      <c r="D313" s="2">
        <v>4.24</v>
      </c>
      <c r="E313" s="2">
        <v>2.39</v>
      </c>
      <c r="F313" s="5">
        <v>1.2592000000000001</v>
      </c>
      <c r="G313" s="5">
        <v>1.2108000000000001</v>
      </c>
      <c r="J313" s="2">
        <f t="shared" si="12"/>
        <v>0.24000000000000021</v>
      </c>
      <c r="K313" s="2">
        <f t="shared" si="13"/>
        <v>2.0900000000000003</v>
      </c>
    </row>
    <row r="314" spans="1:11" x14ac:dyDescent="0.25">
      <c r="A314" s="4">
        <f t="shared" si="14"/>
        <v>45719</v>
      </c>
      <c r="B314" t="s">
        <v>322</v>
      </c>
      <c r="C314" s="2">
        <v>4.57</v>
      </c>
      <c r="D314" s="2">
        <v>4.16</v>
      </c>
      <c r="E314" s="2">
        <v>2.4700000000000002</v>
      </c>
      <c r="F314" s="5">
        <v>1.2699</v>
      </c>
      <c r="G314" s="5">
        <v>1.2112000000000001</v>
      </c>
      <c r="J314" s="2">
        <f t="shared" si="12"/>
        <v>0.41000000000000014</v>
      </c>
      <c r="K314" s="2">
        <f t="shared" si="13"/>
        <v>2.1</v>
      </c>
    </row>
    <row r="315" spans="1:11" x14ac:dyDescent="0.25">
      <c r="A315" s="4">
        <f t="shared" si="14"/>
        <v>45720</v>
      </c>
      <c r="B315" t="s">
        <v>323</v>
      </c>
      <c r="C315" s="2">
        <v>4.5599999999999996</v>
      </c>
      <c r="D315" s="2">
        <v>4.22</v>
      </c>
      <c r="E315" s="2">
        <v>2.5099999999999998</v>
      </c>
      <c r="F315" s="5">
        <v>1.2716000000000001</v>
      </c>
      <c r="G315" s="5">
        <v>1.208</v>
      </c>
      <c r="J315" s="2">
        <f t="shared" si="12"/>
        <v>0.33999999999999986</v>
      </c>
      <c r="K315" s="2">
        <f t="shared" si="13"/>
        <v>2.0499999999999998</v>
      </c>
    </row>
    <row r="316" spans="1:11" x14ac:dyDescent="0.25">
      <c r="A316" s="4">
        <f t="shared" si="14"/>
        <v>45721</v>
      </c>
      <c r="B316" t="s">
        <v>324</v>
      </c>
      <c r="C316" s="2">
        <v>4.7</v>
      </c>
      <c r="D316" s="2">
        <v>4.28</v>
      </c>
      <c r="E316" s="2">
        <v>2.8</v>
      </c>
      <c r="F316" s="5">
        <v>1.2867999999999999</v>
      </c>
      <c r="G316" s="5">
        <v>1.1953</v>
      </c>
      <c r="J316" s="2">
        <f t="shared" si="12"/>
        <v>0.41999999999999993</v>
      </c>
      <c r="K316" s="2">
        <f t="shared" si="13"/>
        <v>1.9000000000000004</v>
      </c>
    </row>
    <row r="317" spans="1:11" x14ac:dyDescent="0.25">
      <c r="A317" s="4">
        <f t="shared" si="14"/>
        <v>45722</v>
      </c>
      <c r="B317" t="s">
        <v>325</v>
      </c>
      <c r="C317" s="2">
        <v>4.68</v>
      </c>
      <c r="D317" s="2">
        <v>4.29</v>
      </c>
      <c r="E317" s="2">
        <v>2.82</v>
      </c>
      <c r="F317" s="5">
        <v>1.2890999999999999</v>
      </c>
      <c r="G317" s="5">
        <v>1.1917</v>
      </c>
      <c r="J317" s="2">
        <f t="shared" si="12"/>
        <v>0.38999999999999968</v>
      </c>
      <c r="K317" s="2">
        <f t="shared" si="13"/>
        <v>1.8599999999999999</v>
      </c>
    </row>
    <row r="318" spans="1:11" x14ac:dyDescent="0.25">
      <c r="A318" s="4">
        <f t="shared" si="14"/>
        <v>45723</v>
      </c>
      <c r="B318" t="s">
        <v>326</v>
      </c>
      <c r="C318" s="2">
        <v>4.66</v>
      </c>
      <c r="D318" s="2">
        <v>4.32</v>
      </c>
      <c r="E318" s="2">
        <v>2.85</v>
      </c>
      <c r="F318" s="5">
        <v>1.2924</v>
      </c>
      <c r="G318" s="5">
        <v>1.1889000000000001</v>
      </c>
      <c r="J318" s="2">
        <f t="shared" si="12"/>
        <v>0.33999999999999986</v>
      </c>
      <c r="K318" s="2">
        <f t="shared" si="13"/>
        <v>1.81</v>
      </c>
    </row>
    <row r="319" spans="1:11" x14ac:dyDescent="0.25">
      <c r="A319" s="4">
        <f t="shared" si="14"/>
        <v>45726</v>
      </c>
      <c r="B319" t="s">
        <v>327</v>
      </c>
      <c r="C319" s="2">
        <v>4.6399999999999997</v>
      </c>
      <c r="D319" s="2">
        <v>4.22</v>
      </c>
      <c r="E319" s="2">
        <v>2.82</v>
      </c>
      <c r="F319" s="5">
        <v>1.2904</v>
      </c>
      <c r="G319" s="5">
        <v>1.1906000000000001</v>
      </c>
      <c r="J319" s="2">
        <f t="shared" si="12"/>
        <v>0.41999999999999993</v>
      </c>
      <c r="K319" s="2">
        <f t="shared" si="13"/>
        <v>1.8199999999999998</v>
      </c>
    </row>
    <row r="320" spans="1:11" x14ac:dyDescent="0.25">
      <c r="A320" s="4">
        <f t="shared" si="14"/>
        <v>45727</v>
      </c>
      <c r="B320" t="s">
        <v>328</v>
      </c>
      <c r="C320" s="2">
        <v>4.68</v>
      </c>
      <c r="D320" s="2">
        <v>4.28</v>
      </c>
      <c r="E320" s="2">
        <v>2.93</v>
      </c>
      <c r="F320" s="5">
        <v>1.2946</v>
      </c>
      <c r="G320" s="5">
        <v>1.1848000000000001</v>
      </c>
      <c r="J320" s="2">
        <f t="shared" si="12"/>
        <v>0.39999999999999947</v>
      </c>
      <c r="K320" s="2">
        <f t="shared" si="13"/>
        <v>1.7499999999999996</v>
      </c>
    </row>
    <row r="321" spans="1:11" x14ac:dyDescent="0.25">
      <c r="A321" s="4">
        <f t="shared" si="14"/>
        <v>45728</v>
      </c>
      <c r="B321" t="s">
        <v>329</v>
      </c>
      <c r="C321" s="2">
        <v>4.72</v>
      </c>
      <c r="D321" s="2">
        <v>4.32</v>
      </c>
      <c r="E321" s="2">
        <v>2.88</v>
      </c>
      <c r="F321" s="5">
        <v>1.2968</v>
      </c>
      <c r="G321" s="5">
        <v>1.1871</v>
      </c>
      <c r="J321" s="2">
        <f t="shared" si="12"/>
        <v>0.39999999999999947</v>
      </c>
      <c r="K321" s="2">
        <f t="shared" si="13"/>
        <v>1.8399999999999999</v>
      </c>
    </row>
    <row r="322" spans="1:11" x14ac:dyDescent="0.25">
      <c r="A322" s="4">
        <f t="shared" si="14"/>
        <v>45729</v>
      </c>
      <c r="B322" t="s">
        <v>330</v>
      </c>
      <c r="C322" s="2">
        <v>4.66</v>
      </c>
      <c r="D322" s="2">
        <v>4.2699999999999996</v>
      </c>
      <c r="E322" s="2">
        <v>2.85</v>
      </c>
      <c r="F322" s="5">
        <v>1.2943</v>
      </c>
      <c r="G322" s="5">
        <v>1.1919999999999999</v>
      </c>
      <c r="J322" s="2">
        <f t="shared" si="12"/>
        <v>0.39000000000000057</v>
      </c>
      <c r="K322" s="2">
        <f t="shared" si="13"/>
        <v>1.81</v>
      </c>
    </row>
    <row r="323" spans="1:11" x14ac:dyDescent="0.25">
      <c r="A323" s="4">
        <f t="shared" si="14"/>
        <v>45730</v>
      </c>
      <c r="B323" t="s">
        <v>331</v>
      </c>
      <c r="C323" s="2">
        <v>4.67</v>
      </c>
      <c r="D323" s="2">
        <v>4.3099999999999996</v>
      </c>
      <c r="E323" s="2">
        <v>2.88</v>
      </c>
      <c r="F323" s="5">
        <v>1.2915000000000001</v>
      </c>
      <c r="G323" s="5">
        <v>1.1879999999999999</v>
      </c>
      <c r="J323" s="2">
        <f t="shared" si="12"/>
        <v>0.36000000000000032</v>
      </c>
      <c r="K323" s="2">
        <f t="shared" si="13"/>
        <v>1.79</v>
      </c>
    </row>
    <row r="324" spans="1:11" x14ac:dyDescent="0.25">
      <c r="A324" s="4">
        <f t="shared" si="14"/>
        <v>45733</v>
      </c>
      <c r="B324" t="s">
        <v>332</v>
      </c>
      <c r="C324" s="2">
        <v>4.6500000000000004</v>
      </c>
      <c r="D324" s="2">
        <v>4.3099999999999996</v>
      </c>
      <c r="E324" s="2">
        <v>2.83</v>
      </c>
      <c r="F324" s="5">
        <v>1.2985</v>
      </c>
      <c r="G324" s="5">
        <v>1.1889000000000001</v>
      </c>
      <c r="J324" s="2">
        <f t="shared" si="12"/>
        <v>0.34000000000000075</v>
      </c>
      <c r="K324" s="2">
        <f t="shared" si="13"/>
        <v>1.8200000000000003</v>
      </c>
    </row>
    <row r="325" spans="1:11" x14ac:dyDescent="0.25">
      <c r="A325" s="4">
        <f t="shared" si="14"/>
        <v>45734</v>
      </c>
      <c r="B325" t="s">
        <v>333</v>
      </c>
      <c r="C325" s="2">
        <v>4.6399999999999997</v>
      </c>
      <c r="D325" s="2">
        <v>4.29</v>
      </c>
      <c r="E325" s="2">
        <v>2.8</v>
      </c>
      <c r="F325" s="5">
        <v>1.2985</v>
      </c>
      <c r="G325" s="5">
        <v>1.1883999999999999</v>
      </c>
      <c r="J325" s="2">
        <f t="shared" si="12"/>
        <v>0.34999999999999964</v>
      </c>
      <c r="K325" s="2">
        <f t="shared" si="13"/>
        <v>1.8399999999999999</v>
      </c>
    </row>
    <row r="326" spans="1:11" x14ac:dyDescent="0.25">
      <c r="A326" s="4">
        <f t="shared" si="14"/>
        <v>45735</v>
      </c>
      <c r="B326" t="s">
        <v>334</v>
      </c>
      <c r="C326" s="2">
        <v>4.6500000000000004</v>
      </c>
      <c r="D326" s="2">
        <v>4.25</v>
      </c>
      <c r="E326" s="2">
        <v>2.77</v>
      </c>
      <c r="F326" s="5">
        <v>1.2967</v>
      </c>
      <c r="G326" s="5">
        <v>1.1919999999999999</v>
      </c>
      <c r="J326" s="2">
        <f t="shared" si="12"/>
        <v>0.40000000000000036</v>
      </c>
      <c r="K326" s="2">
        <f t="shared" si="13"/>
        <v>1.8800000000000003</v>
      </c>
    </row>
    <row r="327" spans="1:11" x14ac:dyDescent="0.25">
      <c r="A327" s="4">
        <f t="shared" si="14"/>
        <v>45736</v>
      </c>
      <c r="B327" t="s">
        <v>335</v>
      </c>
      <c r="C327" s="2">
        <v>4.66</v>
      </c>
      <c r="D327" s="2">
        <v>4.24</v>
      </c>
      <c r="E327" s="2">
        <v>2.78</v>
      </c>
      <c r="F327" s="5">
        <v>1.2971999999999999</v>
      </c>
      <c r="G327" s="5">
        <v>1.196</v>
      </c>
      <c r="J327" s="2">
        <f t="shared" si="12"/>
        <v>0.41999999999999993</v>
      </c>
      <c r="K327" s="2">
        <f t="shared" si="13"/>
        <v>1.8800000000000003</v>
      </c>
    </row>
    <row r="328" spans="1:11" x14ac:dyDescent="0.25">
      <c r="A328" s="4">
        <f t="shared" si="14"/>
        <v>45737</v>
      </c>
      <c r="B328" t="s">
        <v>336</v>
      </c>
      <c r="C328" s="2">
        <v>4.72</v>
      </c>
      <c r="D328" s="2">
        <v>4.25</v>
      </c>
      <c r="E328" s="2">
        <v>2.76</v>
      </c>
      <c r="F328" s="5">
        <v>1.2892999999999999</v>
      </c>
      <c r="G328" s="5">
        <v>1.1931</v>
      </c>
      <c r="J328" s="2">
        <f t="shared" si="12"/>
        <v>0.46999999999999975</v>
      </c>
      <c r="K328" s="2">
        <f t="shared" si="13"/>
        <v>1.96</v>
      </c>
    </row>
    <row r="329" spans="1:11" x14ac:dyDescent="0.25">
      <c r="A329" s="4">
        <f t="shared" si="14"/>
        <v>45740</v>
      </c>
      <c r="B329" t="s">
        <v>337</v>
      </c>
      <c r="C329" s="2">
        <v>4.72</v>
      </c>
      <c r="D329" s="2">
        <v>4.34</v>
      </c>
      <c r="E329" s="2">
        <v>2.78</v>
      </c>
      <c r="F329" s="5">
        <v>1.2910999999999999</v>
      </c>
      <c r="G329" s="5">
        <v>1.1961999999999999</v>
      </c>
      <c r="J329" s="2">
        <f t="shared" ref="J329:J392" si="15">C329-D329</f>
        <v>0.37999999999999989</v>
      </c>
      <c r="K329" s="2">
        <f t="shared" ref="K329:K392" si="16">C329-E329</f>
        <v>1.94</v>
      </c>
    </row>
    <row r="330" spans="1:11" x14ac:dyDescent="0.25">
      <c r="A330" s="4">
        <f t="shared" si="14"/>
        <v>45741</v>
      </c>
      <c r="B330" t="s">
        <v>338</v>
      </c>
      <c r="C330" s="2">
        <v>4.7699999999999996</v>
      </c>
      <c r="D330" s="2">
        <v>4.3099999999999996</v>
      </c>
      <c r="E330" s="2">
        <v>2.8</v>
      </c>
      <c r="F330" s="5">
        <v>1.2948</v>
      </c>
      <c r="G330" s="5">
        <v>1.1984999999999999</v>
      </c>
      <c r="J330" s="2">
        <f t="shared" si="15"/>
        <v>0.45999999999999996</v>
      </c>
      <c r="K330" s="2">
        <f t="shared" si="16"/>
        <v>1.9699999999999998</v>
      </c>
    </row>
    <row r="331" spans="1:11" x14ac:dyDescent="0.25">
      <c r="A331" s="4">
        <f t="shared" si="14"/>
        <v>45742</v>
      </c>
      <c r="B331" t="s">
        <v>339</v>
      </c>
      <c r="C331" s="2">
        <v>4.71</v>
      </c>
      <c r="D331" s="2">
        <v>4.3499999999999996</v>
      </c>
      <c r="E331" s="2">
        <v>2.77</v>
      </c>
      <c r="F331" s="5">
        <v>1.2887</v>
      </c>
      <c r="G331" s="5">
        <v>1.1954</v>
      </c>
      <c r="J331" s="2">
        <f t="shared" si="15"/>
        <v>0.36000000000000032</v>
      </c>
      <c r="K331" s="2">
        <f t="shared" si="16"/>
        <v>1.94</v>
      </c>
    </row>
    <row r="332" spans="1:11" x14ac:dyDescent="0.25">
      <c r="A332" s="4">
        <f t="shared" si="14"/>
        <v>45743</v>
      </c>
      <c r="B332" t="s">
        <v>340</v>
      </c>
      <c r="C332" s="2">
        <v>4.79</v>
      </c>
      <c r="D332" s="2">
        <v>4.38</v>
      </c>
      <c r="E332" s="2">
        <v>2.77</v>
      </c>
      <c r="F332" s="5">
        <v>1.2963</v>
      </c>
      <c r="G332" s="5">
        <v>1.2002999999999999</v>
      </c>
      <c r="J332" s="2">
        <f t="shared" si="15"/>
        <v>0.41000000000000014</v>
      </c>
      <c r="K332" s="2">
        <f t="shared" si="16"/>
        <v>2.02</v>
      </c>
    </row>
    <row r="333" spans="1:11" x14ac:dyDescent="0.25">
      <c r="A333" s="4">
        <f t="shared" si="14"/>
        <v>45744</v>
      </c>
      <c r="B333" t="s">
        <v>341</v>
      </c>
      <c r="C333" s="2">
        <v>4.7</v>
      </c>
      <c r="D333" s="2">
        <v>4.2699999999999996</v>
      </c>
      <c r="E333" s="2">
        <v>2.73</v>
      </c>
      <c r="F333" s="5">
        <v>1.2941</v>
      </c>
      <c r="G333" s="5">
        <v>1.1955</v>
      </c>
      <c r="J333" s="2">
        <f t="shared" si="15"/>
        <v>0.4300000000000006</v>
      </c>
      <c r="K333" s="2">
        <f t="shared" si="16"/>
        <v>1.9700000000000002</v>
      </c>
    </row>
    <row r="334" spans="1:11" x14ac:dyDescent="0.25">
      <c r="A334" s="4">
        <f t="shared" si="14"/>
        <v>45747</v>
      </c>
      <c r="B334" t="s">
        <v>342</v>
      </c>
      <c r="C334" s="2">
        <v>4.7</v>
      </c>
      <c r="D334" s="2">
        <v>4.2300000000000004</v>
      </c>
      <c r="E334" s="2">
        <v>2.74</v>
      </c>
      <c r="F334" s="5">
        <v>1.2909999999999999</v>
      </c>
      <c r="G334" s="5">
        <v>1.1951000000000001</v>
      </c>
      <c r="J334" s="2">
        <f t="shared" si="15"/>
        <v>0.46999999999999975</v>
      </c>
      <c r="K334" s="2">
        <f t="shared" si="16"/>
        <v>1.96</v>
      </c>
    </row>
    <row r="335" spans="1:11" x14ac:dyDescent="0.25">
      <c r="A335" s="4">
        <f t="shared" ref="A335:A398" si="17">+A330+7</f>
        <v>45748</v>
      </c>
      <c r="B335" t="s">
        <v>343</v>
      </c>
      <c r="C335" s="2">
        <v>4.6500000000000004</v>
      </c>
      <c r="D335" s="2">
        <v>4.17</v>
      </c>
      <c r="E335" s="2">
        <v>2.68</v>
      </c>
      <c r="F335" s="5">
        <v>1.2923</v>
      </c>
      <c r="G335" s="5">
        <v>1.1957</v>
      </c>
      <c r="J335" s="2">
        <f t="shared" si="15"/>
        <v>0.48000000000000043</v>
      </c>
      <c r="K335" s="2">
        <f t="shared" si="16"/>
        <v>1.9700000000000002</v>
      </c>
    </row>
    <row r="336" spans="1:11" x14ac:dyDescent="0.25">
      <c r="A336" s="4">
        <f t="shared" si="17"/>
        <v>45749</v>
      </c>
      <c r="B336" t="s">
        <v>344</v>
      </c>
      <c r="C336" s="2">
        <v>4.67</v>
      </c>
      <c r="D336" s="2">
        <v>4.2</v>
      </c>
      <c r="E336" s="2">
        <v>2.72</v>
      </c>
      <c r="F336" s="5">
        <v>1.2966</v>
      </c>
      <c r="G336" s="5">
        <v>1.1940999999999999</v>
      </c>
      <c r="J336" s="2">
        <f t="shared" si="15"/>
        <v>0.46999999999999975</v>
      </c>
      <c r="K336" s="2">
        <f t="shared" si="16"/>
        <v>1.9499999999999997</v>
      </c>
    </row>
    <row r="337" spans="1:11" x14ac:dyDescent="0.25">
      <c r="A337" s="4">
        <f t="shared" si="17"/>
        <v>45750</v>
      </c>
      <c r="B337" t="s">
        <v>345</v>
      </c>
      <c r="C337" s="2">
        <v>4.53</v>
      </c>
      <c r="D337" s="2">
        <v>4.0599999999999996</v>
      </c>
      <c r="E337" s="2">
        <v>2.65</v>
      </c>
      <c r="F337" s="5">
        <v>1.3168</v>
      </c>
      <c r="G337" s="5">
        <v>1.1842999999999999</v>
      </c>
      <c r="J337" s="2">
        <f t="shared" si="15"/>
        <v>0.47000000000000064</v>
      </c>
      <c r="K337" s="2">
        <f t="shared" si="16"/>
        <v>1.8800000000000003</v>
      </c>
    </row>
    <row r="338" spans="1:11" x14ac:dyDescent="0.25">
      <c r="A338" s="4">
        <f t="shared" si="17"/>
        <v>45751</v>
      </c>
      <c r="B338" t="s">
        <v>346</v>
      </c>
      <c r="C338" s="2">
        <v>4.45</v>
      </c>
      <c r="D338" s="2">
        <v>4.01</v>
      </c>
      <c r="E338" s="2">
        <v>2.59</v>
      </c>
      <c r="F338" s="5">
        <v>1.294</v>
      </c>
      <c r="G338" s="5">
        <v>1.1778999999999999</v>
      </c>
      <c r="J338" s="2">
        <f t="shared" si="15"/>
        <v>0.44000000000000039</v>
      </c>
      <c r="K338" s="2">
        <f t="shared" si="16"/>
        <v>1.8600000000000003</v>
      </c>
    </row>
    <row r="339" spans="1:11" x14ac:dyDescent="0.25">
      <c r="A339" s="4">
        <f t="shared" si="17"/>
        <v>45754</v>
      </c>
      <c r="B339" t="s">
        <v>347</v>
      </c>
      <c r="C339" s="2">
        <v>4.6500000000000004</v>
      </c>
      <c r="D339" s="2">
        <v>4.1500000000000004</v>
      </c>
      <c r="E339" s="2">
        <v>2.66</v>
      </c>
      <c r="F339" s="5">
        <v>1.2755000000000001</v>
      </c>
      <c r="G339" s="5">
        <v>1.1677999999999999</v>
      </c>
      <c r="J339" s="2">
        <f t="shared" si="15"/>
        <v>0.5</v>
      </c>
      <c r="K339" s="2">
        <f t="shared" si="16"/>
        <v>1.9900000000000002</v>
      </c>
    </row>
    <row r="340" spans="1:11" x14ac:dyDescent="0.25">
      <c r="A340" s="4">
        <f t="shared" si="17"/>
        <v>45755</v>
      </c>
      <c r="B340" t="s">
        <v>348</v>
      </c>
      <c r="C340" s="2">
        <v>4.5999999999999996</v>
      </c>
      <c r="D340" s="2">
        <v>4.26</v>
      </c>
      <c r="E340" s="2">
        <v>2.6</v>
      </c>
      <c r="F340" s="5">
        <v>1.2757000000000001</v>
      </c>
      <c r="G340" s="5">
        <v>1.169</v>
      </c>
      <c r="J340" s="2">
        <f t="shared" si="15"/>
        <v>0.33999999999999986</v>
      </c>
      <c r="K340" s="2">
        <f t="shared" si="16"/>
        <v>1.9999999999999996</v>
      </c>
    </row>
    <row r="341" spans="1:11" x14ac:dyDescent="0.25">
      <c r="A341" s="4">
        <f t="shared" si="17"/>
        <v>45756</v>
      </c>
      <c r="B341" t="s">
        <v>349</v>
      </c>
      <c r="C341" s="2">
        <v>4.8</v>
      </c>
      <c r="D341" s="2">
        <v>4.34</v>
      </c>
      <c r="E341" s="2">
        <v>2.61</v>
      </c>
      <c r="F341" s="5">
        <v>1.2757000000000001</v>
      </c>
      <c r="G341" s="5">
        <v>1.1555</v>
      </c>
      <c r="J341" s="2">
        <f t="shared" si="15"/>
        <v>0.45999999999999996</v>
      </c>
      <c r="K341" s="2">
        <f t="shared" si="16"/>
        <v>2.19</v>
      </c>
    </row>
    <row r="342" spans="1:11" x14ac:dyDescent="0.25">
      <c r="A342" s="4">
        <f t="shared" si="17"/>
        <v>45757</v>
      </c>
      <c r="B342" t="s">
        <v>350</v>
      </c>
      <c r="C342" s="2">
        <v>4.63</v>
      </c>
      <c r="D342" s="2">
        <v>4.4000000000000004</v>
      </c>
      <c r="E342" s="2">
        <v>2.59</v>
      </c>
      <c r="F342" s="5">
        <v>1.296</v>
      </c>
      <c r="G342" s="5">
        <v>1.1586000000000001</v>
      </c>
      <c r="J342" s="2">
        <f t="shared" si="15"/>
        <v>0.22999999999999954</v>
      </c>
      <c r="K342" s="2">
        <f t="shared" si="16"/>
        <v>2.04</v>
      </c>
    </row>
    <row r="343" spans="1:11" x14ac:dyDescent="0.25">
      <c r="A343" s="4">
        <f t="shared" si="17"/>
        <v>45758</v>
      </c>
      <c r="B343" t="s">
        <v>351</v>
      </c>
      <c r="C343" s="2">
        <v>4.72</v>
      </c>
      <c r="D343" s="2">
        <v>4.4800000000000004</v>
      </c>
      <c r="E343" s="2">
        <v>2.58</v>
      </c>
      <c r="F343" s="5">
        <v>1.3059000000000001</v>
      </c>
      <c r="G343" s="5">
        <v>1.1516</v>
      </c>
      <c r="J343" s="2">
        <f t="shared" si="15"/>
        <v>0.23999999999999932</v>
      </c>
      <c r="K343" s="2">
        <f t="shared" si="16"/>
        <v>2.1399999999999997</v>
      </c>
    </row>
    <row r="344" spans="1:11" x14ac:dyDescent="0.25">
      <c r="A344" s="4">
        <f t="shared" si="17"/>
        <v>45761</v>
      </c>
      <c r="B344" t="s">
        <v>352</v>
      </c>
      <c r="C344" s="2">
        <v>4.66</v>
      </c>
      <c r="D344" s="2">
        <v>4.38</v>
      </c>
      <c r="E344" s="2">
        <v>2.4900000000000002</v>
      </c>
      <c r="F344" s="5">
        <v>1.3187</v>
      </c>
      <c r="G344" s="5">
        <v>1.1600999999999999</v>
      </c>
      <c r="J344" s="2">
        <f t="shared" si="15"/>
        <v>0.28000000000000025</v>
      </c>
      <c r="K344" s="2">
        <f t="shared" si="16"/>
        <v>2.17</v>
      </c>
    </row>
    <row r="345" spans="1:11" x14ac:dyDescent="0.25">
      <c r="A345" s="4">
        <f t="shared" si="17"/>
        <v>45762</v>
      </c>
      <c r="B345" t="s">
        <v>353</v>
      </c>
      <c r="C345" s="2">
        <v>4.63</v>
      </c>
      <c r="D345" s="2">
        <v>4.3499999999999996</v>
      </c>
      <c r="E345" s="2">
        <v>2.5299999999999998</v>
      </c>
      <c r="F345" s="5">
        <v>1.3245</v>
      </c>
      <c r="G345" s="5">
        <v>1.1691</v>
      </c>
      <c r="J345" s="2">
        <f t="shared" si="15"/>
        <v>0.28000000000000025</v>
      </c>
      <c r="K345" s="2">
        <f t="shared" si="16"/>
        <v>2.1</v>
      </c>
    </row>
    <row r="346" spans="1:11" x14ac:dyDescent="0.25">
      <c r="A346" s="4">
        <f t="shared" si="17"/>
        <v>45763</v>
      </c>
      <c r="B346" t="s">
        <v>354</v>
      </c>
      <c r="C346" s="2">
        <v>4.6100000000000003</v>
      </c>
      <c r="D346" s="2">
        <v>4.29</v>
      </c>
      <c r="E346" s="2">
        <v>2.5</v>
      </c>
      <c r="F346" s="5">
        <v>1.3257000000000001</v>
      </c>
      <c r="G346" s="5">
        <v>1.1646000000000001</v>
      </c>
      <c r="J346" s="2">
        <f t="shared" si="15"/>
        <v>0.32000000000000028</v>
      </c>
      <c r="K346" s="2">
        <f t="shared" si="16"/>
        <v>2.1100000000000003</v>
      </c>
    </row>
    <row r="347" spans="1:11" x14ac:dyDescent="0.25">
      <c r="A347" s="4">
        <f t="shared" si="17"/>
        <v>45764</v>
      </c>
      <c r="B347" t="s">
        <v>355</v>
      </c>
      <c r="C347" s="2">
        <v>4.57</v>
      </c>
      <c r="D347" s="2">
        <v>4.34</v>
      </c>
      <c r="E347" s="2">
        <v>2.48</v>
      </c>
      <c r="F347" s="5">
        <v>1.3232999999999999</v>
      </c>
      <c r="G347" s="5">
        <v>1.1659999999999999</v>
      </c>
      <c r="J347" s="2">
        <f t="shared" si="15"/>
        <v>0.23000000000000043</v>
      </c>
      <c r="K347" s="2">
        <f t="shared" si="16"/>
        <v>2.0900000000000003</v>
      </c>
    </row>
    <row r="348" spans="1:11" x14ac:dyDescent="0.25">
      <c r="A348" s="4">
        <f t="shared" si="17"/>
        <v>45765</v>
      </c>
      <c r="B348" t="s">
        <v>356</v>
      </c>
      <c r="C348" s="2" t="e">
        <v>#N/A</v>
      </c>
      <c r="D348" s="2" t="e">
        <v>#N/A</v>
      </c>
      <c r="E348" s="2">
        <v>2.46</v>
      </c>
      <c r="F348" s="5" t="e">
        <v>#N/A</v>
      </c>
      <c r="G348" s="5" t="e">
        <v>#N/A</v>
      </c>
      <c r="J348" s="2" t="e">
        <f t="shared" si="15"/>
        <v>#N/A</v>
      </c>
      <c r="K348" s="2" t="e">
        <f t="shared" si="16"/>
        <v>#N/A</v>
      </c>
    </row>
    <row r="349" spans="1:11" x14ac:dyDescent="0.25">
      <c r="A349" s="4">
        <f t="shared" si="17"/>
        <v>45768</v>
      </c>
      <c r="B349" t="s">
        <v>357</v>
      </c>
      <c r="C349" s="2" t="e">
        <v>#N/A</v>
      </c>
      <c r="D349" s="2">
        <v>4.42</v>
      </c>
      <c r="E349" s="2">
        <v>2.4700000000000002</v>
      </c>
      <c r="F349" s="5" t="e">
        <v>#N/A</v>
      </c>
      <c r="G349" s="5" t="e">
        <v>#N/A</v>
      </c>
      <c r="J349" s="2" t="e">
        <f t="shared" si="15"/>
        <v>#N/A</v>
      </c>
      <c r="K349" s="2" t="e">
        <f t="shared" si="16"/>
        <v>#N/A</v>
      </c>
    </row>
    <row r="350" spans="1:11" x14ac:dyDescent="0.25">
      <c r="A350" s="4">
        <f t="shared" si="17"/>
        <v>45769</v>
      </c>
      <c r="B350" t="s">
        <v>358</v>
      </c>
      <c r="C350" s="2">
        <v>4.57</v>
      </c>
      <c r="D350" s="2">
        <v>4.41</v>
      </c>
      <c r="E350" s="2">
        <v>2.4500000000000002</v>
      </c>
      <c r="F350" s="5">
        <v>1.3379000000000001</v>
      </c>
      <c r="G350" s="5">
        <v>1.1656</v>
      </c>
      <c r="J350" s="2">
        <f t="shared" si="15"/>
        <v>0.16000000000000014</v>
      </c>
      <c r="K350" s="2">
        <f t="shared" si="16"/>
        <v>2.12</v>
      </c>
    </row>
    <row r="351" spans="1:11" x14ac:dyDescent="0.25">
      <c r="A351" s="4">
        <f t="shared" si="17"/>
        <v>45770</v>
      </c>
      <c r="B351" t="s">
        <v>359</v>
      </c>
      <c r="C351" s="2">
        <v>4.5599999999999996</v>
      </c>
      <c r="D351" s="2">
        <v>4.4000000000000004</v>
      </c>
      <c r="E351" s="2">
        <v>2.5</v>
      </c>
      <c r="F351" s="5">
        <v>1.3274999999999999</v>
      </c>
      <c r="G351" s="5">
        <v>1.1692</v>
      </c>
      <c r="J351" s="2">
        <f t="shared" si="15"/>
        <v>0.15999999999999925</v>
      </c>
      <c r="K351" s="2">
        <f t="shared" si="16"/>
        <v>2.0599999999999996</v>
      </c>
    </row>
    <row r="352" spans="1:11" x14ac:dyDescent="0.25">
      <c r="A352" s="4">
        <f t="shared" si="17"/>
        <v>45771</v>
      </c>
      <c r="B352" t="s">
        <v>360</v>
      </c>
      <c r="C352" s="2">
        <v>4.5</v>
      </c>
      <c r="D352" s="2">
        <v>4.32</v>
      </c>
      <c r="E352" s="2">
        <v>2.44</v>
      </c>
      <c r="F352" s="5">
        <v>1.3314999999999999</v>
      </c>
      <c r="G352" s="5">
        <v>1.1708000000000001</v>
      </c>
      <c r="J352" s="2">
        <f t="shared" si="15"/>
        <v>0.17999999999999972</v>
      </c>
      <c r="K352" s="2">
        <f t="shared" si="16"/>
        <v>2.06</v>
      </c>
    </row>
    <row r="353" spans="1:11" x14ac:dyDescent="0.25">
      <c r="A353" s="4">
        <f t="shared" si="17"/>
        <v>45772</v>
      </c>
      <c r="B353" t="s">
        <v>361</v>
      </c>
      <c r="C353" s="2">
        <v>4.4800000000000004</v>
      </c>
      <c r="D353" s="2">
        <v>4.29</v>
      </c>
      <c r="E353" s="2">
        <v>2.4700000000000002</v>
      </c>
      <c r="F353" s="5">
        <v>1.3309</v>
      </c>
      <c r="G353" s="5">
        <v>1.1707000000000001</v>
      </c>
      <c r="J353" s="2">
        <f t="shared" si="15"/>
        <v>0.19000000000000039</v>
      </c>
      <c r="K353" s="2">
        <f t="shared" si="16"/>
        <v>2.0100000000000002</v>
      </c>
    </row>
    <row r="354" spans="1:11" x14ac:dyDescent="0.25">
      <c r="A354" s="4">
        <f t="shared" si="17"/>
        <v>45775</v>
      </c>
      <c r="B354" t="s">
        <v>362</v>
      </c>
      <c r="C354" s="2">
        <v>4.5</v>
      </c>
      <c r="D354" s="2">
        <v>4.2300000000000004</v>
      </c>
      <c r="E354" s="2">
        <v>2.5</v>
      </c>
      <c r="F354" s="5">
        <v>1.3392999999999999</v>
      </c>
      <c r="G354" s="5">
        <v>1.1768000000000001</v>
      </c>
      <c r="J354" s="2">
        <f t="shared" si="15"/>
        <v>0.26999999999999957</v>
      </c>
      <c r="K354" s="2">
        <f t="shared" si="16"/>
        <v>2</v>
      </c>
    </row>
    <row r="355" spans="1:11" x14ac:dyDescent="0.25">
      <c r="A355" s="4">
        <f t="shared" si="17"/>
        <v>45776</v>
      </c>
      <c r="B355" t="s">
        <v>363</v>
      </c>
      <c r="C355" s="2">
        <v>4.47</v>
      </c>
      <c r="D355" s="2">
        <v>4.1900000000000004</v>
      </c>
      <c r="E355" s="2">
        <v>2.4900000000000002</v>
      </c>
      <c r="F355" s="5">
        <v>1.3389</v>
      </c>
      <c r="G355" s="5">
        <v>1.1761999999999999</v>
      </c>
      <c r="J355" s="2">
        <f t="shared" si="15"/>
        <v>0.27999999999999936</v>
      </c>
      <c r="K355" s="2">
        <f t="shared" si="16"/>
        <v>1.9799999999999995</v>
      </c>
    </row>
    <row r="356" spans="1:11" x14ac:dyDescent="0.25">
      <c r="A356" s="4">
        <f t="shared" si="17"/>
        <v>45777</v>
      </c>
      <c r="B356" t="s">
        <v>364</v>
      </c>
      <c r="C356" s="2">
        <v>4.43</v>
      </c>
      <c r="D356" s="2">
        <v>4.17</v>
      </c>
      <c r="E356" s="2">
        <v>2.44</v>
      </c>
      <c r="F356" s="5">
        <v>1.3355999999999999</v>
      </c>
      <c r="G356" s="5">
        <v>1.1749000000000001</v>
      </c>
      <c r="J356" s="2">
        <f t="shared" si="15"/>
        <v>0.25999999999999979</v>
      </c>
      <c r="K356" s="2">
        <f t="shared" si="16"/>
        <v>1.9899999999999998</v>
      </c>
    </row>
    <row r="357" spans="1:11" x14ac:dyDescent="0.25">
      <c r="A357" s="4">
        <f t="shared" si="17"/>
        <v>45778</v>
      </c>
      <c r="B357" t="s">
        <v>365</v>
      </c>
      <c r="C357" s="2">
        <v>4.4800000000000004</v>
      </c>
      <c r="D357" s="2">
        <v>4.25</v>
      </c>
      <c r="E357" s="2">
        <v>2.4500000000000002</v>
      </c>
      <c r="F357" s="5">
        <v>1.3295999999999999</v>
      </c>
      <c r="G357" s="5">
        <v>1.1785000000000001</v>
      </c>
      <c r="J357" s="2">
        <f t="shared" si="15"/>
        <v>0.23000000000000043</v>
      </c>
      <c r="K357" s="2">
        <f t="shared" si="16"/>
        <v>2.0300000000000002</v>
      </c>
    </row>
    <row r="358" spans="1:11" x14ac:dyDescent="0.25">
      <c r="A358" s="4">
        <f t="shared" si="17"/>
        <v>45779</v>
      </c>
      <c r="B358" t="s">
        <v>366</v>
      </c>
      <c r="C358" s="2">
        <v>4.53</v>
      </c>
      <c r="D358" s="2">
        <v>4.33</v>
      </c>
      <c r="E358" s="2">
        <v>2.5299999999999998</v>
      </c>
      <c r="F358" s="5">
        <v>1.3321000000000001</v>
      </c>
      <c r="G358" s="5">
        <v>1.1718</v>
      </c>
      <c r="J358" s="2">
        <f t="shared" si="15"/>
        <v>0.20000000000000018</v>
      </c>
      <c r="K358" s="2">
        <f t="shared" si="16"/>
        <v>2.0000000000000004</v>
      </c>
    </row>
    <row r="359" spans="1:11" x14ac:dyDescent="0.25">
      <c r="A359" s="4">
        <f t="shared" si="17"/>
        <v>45782</v>
      </c>
      <c r="B359" t="s">
        <v>367</v>
      </c>
      <c r="C359" s="2">
        <v>4.51</v>
      </c>
      <c r="D359" s="2">
        <v>4.3600000000000003</v>
      </c>
      <c r="E359" s="2">
        <v>2.5299999999999998</v>
      </c>
      <c r="F359" s="5" t="e">
        <v>#N/A</v>
      </c>
      <c r="G359" s="5" t="e">
        <v>#N/A</v>
      </c>
      <c r="J359" s="2">
        <f t="shared" si="15"/>
        <v>0.14999999999999947</v>
      </c>
      <c r="K359" s="2">
        <f t="shared" si="16"/>
        <v>1.98</v>
      </c>
    </row>
    <row r="360" spans="1:11" x14ac:dyDescent="0.25">
      <c r="A360" s="4">
        <f t="shared" si="17"/>
        <v>45783</v>
      </c>
      <c r="B360" t="s">
        <v>368</v>
      </c>
      <c r="C360" s="2">
        <v>4.51</v>
      </c>
      <c r="D360" s="2">
        <v>4.3</v>
      </c>
      <c r="E360" s="2">
        <v>2.5299999999999998</v>
      </c>
      <c r="F360" s="5">
        <v>1.3371999999999999</v>
      </c>
      <c r="G360" s="5">
        <v>1.1791</v>
      </c>
      <c r="J360" s="2">
        <f t="shared" si="15"/>
        <v>0.20999999999999996</v>
      </c>
      <c r="K360" s="2">
        <f t="shared" si="16"/>
        <v>1.98</v>
      </c>
    </row>
    <row r="361" spans="1:11" x14ac:dyDescent="0.25">
      <c r="A361" s="4">
        <f t="shared" si="17"/>
        <v>45784</v>
      </c>
      <c r="B361" t="s">
        <v>369</v>
      </c>
      <c r="C361" s="2">
        <v>4.45</v>
      </c>
      <c r="D361" s="2">
        <v>4.26</v>
      </c>
      <c r="E361" s="2">
        <v>2.4700000000000002</v>
      </c>
      <c r="F361" s="5">
        <v>1.3366</v>
      </c>
      <c r="G361" s="5">
        <v>1.1757</v>
      </c>
      <c r="J361" s="2">
        <f t="shared" si="15"/>
        <v>0.19000000000000039</v>
      </c>
      <c r="K361" s="2">
        <f t="shared" si="16"/>
        <v>1.98</v>
      </c>
    </row>
    <row r="362" spans="1:11" x14ac:dyDescent="0.25">
      <c r="A362" s="4">
        <f t="shared" si="17"/>
        <v>45785</v>
      </c>
      <c r="B362" t="s">
        <v>370</v>
      </c>
      <c r="C362" s="2">
        <v>4.55</v>
      </c>
      <c r="D362" s="2">
        <v>4.37</v>
      </c>
      <c r="E362" s="2">
        <v>2.5499999999999998</v>
      </c>
      <c r="F362" s="5">
        <v>1.331</v>
      </c>
      <c r="G362" s="5">
        <v>1.1800999999999999</v>
      </c>
      <c r="J362" s="2">
        <f t="shared" si="15"/>
        <v>0.17999999999999972</v>
      </c>
      <c r="K362" s="2">
        <f t="shared" si="16"/>
        <v>2</v>
      </c>
    </row>
    <row r="363" spans="1:11" x14ac:dyDescent="0.25">
      <c r="A363" s="4">
        <f t="shared" si="17"/>
        <v>45786</v>
      </c>
      <c r="B363" t="s">
        <v>371</v>
      </c>
      <c r="C363" s="2">
        <v>4.57</v>
      </c>
      <c r="D363" s="2">
        <v>4.37</v>
      </c>
      <c r="E363" s="2">
        <v>2.56</v>
      </c>
      <c r="F363" s="5">
        <v>1.3305</v>
      </c>
      <c r="G363" s="5">
        <v>1.1808000000000001</v>
      </c>
      <c r="J363" s="2">
        <f t="shared" si="15"/>
        <v>0.20000000000000018</v>
      </c>
      <c r="K363" s="2">
        <f t="shared" si="16"/>
        <v>2.0100000000000002</v>
      </c>
    </row>
    <row r="364" spans="1:11" x14ac:dyDescent="0.25">
      <c r="A364" s="4">
        <f t="shared" si="17"/>
        <v>45789</v>
      </c>
      <c r="B364" t="s">
        <v>372</v>
      </c>
      <c r="C364" s="2">
        <v>4.6500000000000004</v>
      </c>
      <c r="D364" s="2">
        <v>4.45</v>
      </c>
      <c r="E364" s="2">
        <v>2.66</v>
      </c>
      <c r="F364" s="5">
        <v>1.3202</v>
      </c>
      <c r="G364" s="5">
        <v>1.1880999999999999</v>
      </c>
      <c r="J364" s="2">
        <f t="shared" si="15"/>
        <v>0.20000000000000018</v>
      </c>
      <c r="K364" s="2">
        <f t="shared" si="16"/>
        <v>1.9900000000000002</v>
      </c>
    </row>
    <row r="365" spans="1:11" x14ac:dyDescent="0.25">
      <c r="A365" s="4">
        <f t="shared" si="17"/>
        <v>45790</v>
      </c>
      <c r="B365" t="s">
        <v>373</v>
      </c>
      <c r="C365" s="2">
        <v>4.67</v>
      </c>
      <c r="D365" s="2">
        <v>4.49</v>
      </c>
      <c r="E365" s="2">
        <v>2.68</v>
      </c>
      <c r="F365" s="5">
        <v>1.3260000000000001</v>
      </c>
      <c r="G365" s="5">
        <v>1.1879999999999999</v>
      </c>
      <c r="J365" s="2">
        <f t="shared" si="15"/>
        <v>0.17999999999999972</v>
      </c>
      <c r="K365" s="2">
        <f t="shared" si="16"/>
        <v>1.9899999999999998</v>
      </c>
    </row>
    <row r="366" spans="1:11" x14ac:dyDescent="0.25">
      <c r="A366" s="4">
        <f t="shared" si="17"/>
        <v>45791</v>
      </c>
      <c r="B366" t="s">
        <v>374</v>
      </c>
      <c r="C366" s="2">
        <v>4.72</v>
      </c>
      <c r="D366" s="2">
        <v>4.53</v>
      </c>
      <c r="E366" s="2">
        <v>2.7</v>
      </c>
      <c r="F366" s="5">
        <v>1.3305</v>
      </c>
      <c r="G366" s="5">
        <v>1.1866000000000001</v>
      </c>
      <c r="J366" s="2">
        <f t="shared" si="15"/>
        <v>0.1899999999999995</v>
      </c>
      <c r="K366" s="2">
        <f t="shared" si="16"/>
        <v>2.0199999999999996</v>
      </c>
    </row>
    <row r="367" spans="1:11" x14ac:dyDescent="0.25">
      <c r="A367" s="4">
        <f t="shared" si="17"/>
        <v>45792</v>
      </c>
      <c r="B367" t="s">
        <v>375</v>
      </c>
      <c r="C367" s="2">
        <v>4.6500000000000004</v>
      </c>
      <c r="D367" s="2">
        <v>4.45</v>
      </c>
      <c r="E367" s="2">
        <v>2.62</v>
      </c>
      <c r="F367" s="5">
        <v>1.3279000000000001</v>
      </c>
      <c r="G367" s="5">
        <v>1.1870000000000001</v>
      </c>
      <c r="J367" s="2">
        <f t="shared" si="15"/>
        <v>0.20000000000000018</v>
      </c>
      <c r="K367" s="2">
        <f t="shared" si="16"/>
        <v>2.0300000000000002</v>
      </c>
    </row>
    <row r="368" spans="1:11" x14ac:dyDescent="0.25">
      <c r="A368" s="4">
        <f t="shared" si="17"/>
        <v>45793</v>
      </c>
      <c r="B368" t="s">
        <v>376</v>
      </c>
      <c r="C368" s="2">
        <v>4.6500000000000004</v>
      </c>
      <c r="D368" s="2">
        <v>4.43</v>
      </c>
      <c r="E368" s="2">
        <v>2.59</v>
      </c>
      <c r="F368" s="5">
        <v>1.3265</v>
      </c>
      <c r="G368" s="5">
        <v>1.1893</v>
      </c>
      <c r="J368" s="2">
        <f t="shared" si="15"/>
        <v>0.22000000000000064</v>
      </c>
      <c r="K368" s="2">
        <f t="shared" si="16"/>
        <v>2.0600000000000005</v>
      </c>
    </row>
    <row r="369" spans="1:11" x14ac:dyDescent="0.25">
      <c r="A369" s="4">
        <f t="shared" si="17"/>
        <v>45796</v>
      </c>
      <c r="B369" t="s">
        <v>377</v>
      </c>
      <c r="C369" s="2">
        <v>4.6500000000000004</v>
      </c>
      <c r="D369" s="2">
        <v>4.46</v>
      </c>
      <c r="E369" s="2">
        <v>2.57</v>
      </c>
      <c r="F369" s="5">
        <v>1.3367</v>
      </c>
      <c r="G369" s="5">
        <v>1.1878</v>
      </c>
      <c r="J369" s="2">
        <f t="shared" si="15"/>
        <v>0.19000000000000039</v>
      </c>
      <c r="K369" s="2">
        <f t="shared" si="16"/>
        <v>2.0800000000000005</v>
      </c>
    </row>
    <row r="370" spans="1:11" x14ac:dyDescent="0.25">
      <c r="A370" s="4">
        <f t="shared" si="17"/>
        <v>45797</v>
      </c>
      <c r="B370" t="s">
        <v>378</v>
      </c>
      <c r="C370" s="2">
        <v>4.7</v>
      </c>
      <c r="D370" s="2">
        <v>4.4800000000000004</v>
      </c>
      <c r="E370" s="2">
        <v>2.6</v>
      </c>
      <c r="F370" s="5">
        <v>1.3369</v>
      </c>
      <c r="G370" s="5">
        <v>1.1863999999999999</v>
      </c>
      <c r="J370" s="2">
        <f t="shared" si="15"/>
        <v>0.21999999999999975</v>
      </c>
      <c r="K370" s="2">
        <f t="shared" si="16"/>
        <v>2.1</v>
      </c>
    </row>
    <row r="371" spans="1:11" x14ac:dyDescent="0.25">
      <c r="A371" s="4">
        <f t="shared" si="17"/>
        <v>45798</v>
      </c>
      <c r="B371" t="s">
        <v>379</v>
      </c>
      <c r="C371" s="2">
        <v>4.75</v>
      </c>
      <c r="D371" s="2">
        <v>4.58</v>
      </c>
      <c r="E371" s="2">
        <v>2.67</v>
      </c>
      <c r="F371" s="5">
        <v>1.3436999999999999</v>
      </c>
      <c r="G371" s="5">
        <v>1.1848000000000001</v>
      </c>
      <c r="J371" s="2">
        <f t="shared" si="15"/>
        <v>0.16999999999999993</v>
      </c>
      <c r="K371" s="2">
        <f t="shared" si="16"/>
        <v>2.08</v>
      </c>
    </row>
    <row r="372" spans="1:11" x14ac:dyDescent="0.25">
      <c r="A372" s="4">
        <f t="shared" si="17"/>
        <v>45799</v>
      </c>
      <c r="B372" t="s">
        <v>380</v>
      </c>
      <c r="C372" s="2">
        <v>4.75</v>
      </c>
      <c r="D372" s="2">
        <v>4.54</v>
      </c>
      <c r="E372" s="2">
        <v>2.63</v>
      </c>
      <c r="F372" s="5">
        <v>1.3424</v>
      </c>
      <c r="G372" s="5">
        <v>1.1902999999999999</v>
      </c>
      <c r="J372" s="2">
        <f t="shared" si="15"/>
        <v>0.20999999999999996</v>
      </c>
      <c r="K372" s="2">
        <f t="shared" si="16"/>
        <v>2.12</v>
      </c>
    </row>
    <row r="373" spans="1:11" x14ac:dyDescent="0.25">
      <c r="A373" s="4">
        <f t="shared" si="17"/>
        <v>45800</v>
      </c>
      <c r="B373" t="s">
        <v>381</v>
      </c>
      <c r="C373" s="2">
        <v>4.68</v>
      </c>
      <c r="D373" s="2">
        <v>4.51</v>
      </c>
      <c r="E373" s="2">
        <v>2.57</v>
      </c>
      <c r="F373" s="5">
        <v>1.3495999999999999</v>
      </c>
      <c r="G373" s="5">
        <v>1.1896</v>
      </c>
      <c r="J373" s="2">
        <f t="shared" si="15"/>
        <v>0.16999999999999993</v>
      </c>
      <c r="K373" s="2">
        <f t="shared" si="16"/>
        <v>2.11</v>
      </c>
    </row>
    <row r="374" spans="1:11" x14ac:dyDescent="0.25">
      <c r="A374" s="4">
        <f t="shared" si="17"/>
        <v>45803</v>
      </c>
      <c r="B374" t="s">
        <v>382</v>
      </c>
      <c r="C374" s="2" t="e">
        <v>#N/A</v>
      </c>
      <c r="D374" s="2" t="e">
        <v>#N/A</v>
      </c>
      <c r="E374" s="2">
        <v>2.56</v>
      </c>
      <c r="F374" s="5" t="e">
        <v>#N/A</v>
      </c>
      <c r="G374" s="5" t="e">
        <v>#N/A</v>
      </c>
      <c r="J374" s="2" t="e">
        <f t="shared" si="15"/>
        <v>#N/A</v>
      </c>
      <c r="K374" s="2" t="e">
        <f t="shared" si="16"/>
        <v>#N/A</v>
      </c>
    </row>
    <row r="375" spans="1:11" x14ac:dyDescent="0.25">
      <c r="A375" s="4">
        <f t="shared" si="17"/>
        <v>45804</v>
      </c>
      <c r="B375" t="s">
        <v>383</v>
      </c>
      <c r="C375" s="2">
        <v>4.67</v>
      </c>
      <c r="D375" s="2">
        <v>4.43</v>
      </c>
      <c r="E375" s="2">
        <v>2.5299999999999998</v>
      </c>
      <c r="F375" s="5">
        <v>1.3521000000000001</v>
      </c>
      <c r="G375" s="5">
        <v>1.1920999999999999</v>
      </c>
      <c r="J375" s="2">
        <f t="shared" si="15"/>
        <v>0.24000000000000021</v>
      </c>
      <c r="K375" s="2">
        <f t="shared" si="16"/>
        <v>2.14</v>
      </c>
    </row>
    <row r="376" spans="1:11" x14ac:dyDescent="0.25">
      <c r="A376" s="4">
        <f t="shared" si="17"/>
        <v>45805</v>
      </c>
      <c r="B376" t="s">
        <v>384</v>
      </c>
      <c r="C376" s="2">
        <v>4.72</v>
      </c>
      <c r="D376" s="2">
        <v>4.47</v>
      </c>
      <c r="E376" s="2">
        <v>2.54</v>
      </c>
      <c r="F376" s="5">
        <v>1.3471</v>
      </c>
      <c r="G376" s="5">
        <v>1.1919</v>
      </c>
      <c r="J376" s="2">
        <f t="shared" si="15"/>
        <v>0.25</v>
      </c>
      <c r="K376" s="2">
        <f t="shared" si="16"/>
        <v>2.1799999999999997</v>
      </c>
    </row>
    <row r="377" spans="1:11" x14ac:dyDescent="0.25">
      <c r="A377" s="4">
        <f t="shared" si="17"/>
        <v>45806</v>
      </c>
      <c r="B377" t="s">
        <v>385</v>
      </c>
      <c r="C377" s="2">
        <v>4.6500000000000004</v>
      </c>
      <c r="D377" s="2">
        <v>4.43</v>
      </c>
      <c r="E377" s="2">
        <v>2.5099999999999998</v>
      </c>
      <c r="F377" s="5">
        <v>1.3483000000000001</v>
      </c>
      <c r="G377" s="5">
        <v>1.1879</v>
      </c>
      <c r="J377" s="2">
        <f t="shared" si="15"/>
        <v>0.22000000000000064</v>
      </c>
      <c r="K377" s="2">
        <f t="shared" si="16"/>
        <v>2.1400000000000006</v>
      </c>
    </row>
    <row r="378" spans="1:11" x14ac:dyDescent="0.25">
      <c r="A378" s="4">
        <f t="shared" si="17"/>
        <v>45807</v>
      </c>
      <c r="B378" t="s">
        <v>386</v>
      </c>
      <c r="C378" s="2">
        <v>4.6399999999999997</v>
      </c>
      <c r="D378" s="2">
        <v>4.41</v>
      </c>
      <c r="E378" s="2">
        <v>2.5</v>
      </c>
      <c r="F378" s="5">
        <v>1.3482000000000001</v>
      </c>
      <c r="G378" s="5">
        <v>1.1876</v>
      </c>
      <c r="J378" s="2">
        <f t="shared" si="15"/>
        <v>0.22999999999999954</v>
      </c>
      <c r="K378" s="2">
        <f t="shared" si="16"/>
        <v>2.1399999999999997</v>
      </c>
    </row>
    <row r="379" spans="1:11" x14ac:dyDescent="0.25">
      <c r="A379" s="4">
        <f t="shared" si="17"/>
        <v>45810</v>
      </c>
      <c r="B379" t="s">
        <v>387</v>
      </c>
      <c r="C379" s="2">
        <v>4.66</v>
      </c>
      <c r="D379" s="2">
        <v>4.46</v>
      </c>
      <c r="E379" s="2">
        <v>2.5099999999999998</v>
      </c>
      <c r="F379" s="5">
        <v>1.3552999999999999</v>
      </c>
      <c r="G379" s="5">
        <v>1.1852</v>
      </c>
      <c r="J379" s="2">
        <f t="shared" si="15"/>
        <v>0.20000000000000018</v>
      </c>
      <c r="K379" s="2">
        <f t="shared" si="16"/>
        <v>2.1500000000000004</v>
      </c>
    </row>
    <row r="380" spans="1:11" x14ac:dyDescent="0.25">
      <c r="A380" s="4">
        <f t="shared" si="17"/>
        <v>45811</v>
      </c>
      <c r="B380" t="s">
        <v>388</v>
      </c>
      <c r="C380" s="2">
        <v>4.6399999999999997</v>
      </c>
      <c r="D380" s="2">
        <v>4.46</v>
      </c>
      <c r="E380" s="2">
        <v>2.5099999999999998</v>
      </c>
      <c r="F380" s="5">
        <v>1.3529</v>
      </c>
      <c r="G380" s="5">
        <v>1.1875</v>
      </c>
      <c r="J380" s="2">
        <f t="shared" si="15"/>
        <v>0.17999999999999972</v>
      </c>
      <c r="K380" s="2">
        <f t="shared" si="16"/>
        <v>2.13</v>
      </c>
    </row>
    <row r="381" spans="1:11" x14ac:dyDescent="0.25">
      <c r="A381" s="4">
        <f t="shared" si="17"/>
        <v>45812</v>
      </c>
      <c r="B381" t="s">
        <v>389</v>
      </c>
      <c r="C381" s="2">
        <v>4.59</v>
      </c>
      <c r="D381" s="2">
        <v>4.37</v>
      </c>
      <c r="E381" s="2">
        <v>2.5099999999999998</v>
      </c>
      <c r="F381" s="5">
        <v>1.3576999999999999</v>
      </c>
      <c r="G381" s="5">
        <v>1.1876</v>
      </c>
      <c r="J381" s="2">
        <f t="shared" si="15"/>
        <v>0.21999999999999975</v>
      </c>
      <c r="K381" s="2">
        <f t="shared" si="16"/>
        <v>2.08</v>
      </c>
    </row>
    <row r="382" spans="1:11" x14ac:dyDescent="0.25">
      <c r="A382" s="4">
        <f t="shared" si="17"/>
        <v>45813</v>
      </c>
      <c r="B382" t="s">
        <v>390</v>
      </c>
      <c r="C382" s="2">
        <v>4.6100000000000003</v>
      </c>
      <c r="D382" s="2">
        <v>4.4000000000000004</v>
      </c>
      <c r="E382" s="2">
        <v>2.59</v>
      </c>
      <c r="F382" s="5">
        <v>1.3591</v>
      </c>
      <c r="G382" s="5">
        <v>1.1861999999999999</v>
      </c>
      <c r="J382" s="2">
        <f t="shared" si="15"/>
        <v>0.20999999999999996</v>
      </c>
      <c r="K382" s="2">
        <f t="shared" si="16"/>
        <v>2.0200000000000005</v>
      </c>
    </row>
    <row r="383" spans="1:11" x14ac:dyDescent="0.25">
      <c r="A383" s="4">
        <f t="shared" si="17"/>
        <v>45814</v>
      </c>
      <c r="B383" t="s">
        <v>391</v>
      </c>
      <c r="C383" s="2">
        <v>4.6399999999999997</v>
      </c>
      <c r="D383" s="2">
        <v>4.51</v>
      </c>
      <c r="E383" s="2">
        <v>2.58</v>
      </c>
      <c r="F383" s="5">
        <v>1.3527</v>
      </c>
      <c r="G383" s="5">
        <v>1.1876</v>
      </c>
      <c r="J383" s="2">
        <f t="shared" si="15"/>
        <v>0.12999999999999989</v>
      </c>
      <c r="K383" s="2">
        <f t="shared" si="16"/>
        <v>2.0599999999999996</v>
      </c>
    </row>
    <row r="384" spans="1:11" x14ac:dyDescent="0.25">
      <c r="A384" s="4">
        <f t="shared" si="17"/>
        <v>45817</v>
      </c>
      <c r="B384" t="s">
        <v>392</v>
      </c>
      <c r="C384" s="2">
        <v>4.62</v>
      </c>
      <c r="D384" s="2">
        <v>4.49</v>
      </c>
      <c r="E384" s="2">
        <v>2.56</v>
      </c>
      <c r="F384" s="5">
        <v>1.3545</v>
      </c>
      <c r="G384" s="5">
        <v>1.1874</v>
      </c>
      <c r="J384" s="2">
        <f t="shared" si="15"/>
        <v>0.12999999999999989</v>
      </c>
      <c r="K384" s="2">
        <f t="shared" si="16"/>
        <v>2.06</v>
      </c>
    </row>
    <row r="385" spans="1:14" x14ac:dyDescent="0.25">
      <c r="A385" s="4">
        <f t="shared" si="17"/>
        <v>45818</v>
      </c>
      <c r="B385" t="s">
        <v>393</v>
      </c>
      <c r="C385" s="2">
        <v>4.55</v>
      </c>
      <c r="D385" s="2">
        <v>4.47</v>
      </c>
      <c r="E385" s="2">
        <v>2.52</v>
      </c>
      <c r="F385" s="5">
        <v>1.3514999999999999</v>
      </c>
      <c r="G385" s="5">
        <v>1.1830000000000001</v>
      </c>
      <c r="J385" s="2">
        <f t="shared" si="15"/>
        <v>8.0000000000000071E-2</v>
      </c>
      <c r="K385" s="2">
        <f t="shared" si="16"/>
        <v>2.0299999999999998</v>
      </c>
    </row>
    <row r="386" spans="1:14" x14ac:dyDescent="0.25">
      <c r="A386" s="4">
        <f t="shared" si="17"/>
        <v>45819</v>
      </c>
      <c r="B386" t="s">
        <v>394</v>
      </c>
      <c r="C386" s="2">
        <v>4.55</v>
      </c>
      <c r="D386" s="2">
        <v>4.41</v>
      </c>
      <c r="E386" s="2">
        <v>2.5299999999999998</v>
      </c>
      <c r="F386" s="5">
        <v>1.3537999999999999</v>
      </c>
      <c r="G386" s="5">
        <v>1.1792</v>
      </c>
      <c r="J386" s="2">
        <f t="shared" si="15"/>
        <v>0.13999999999999968</v>
      </c>
      <c r="K386" s="2">
        <f t="shared" si="16"/>
        <v>2.02</v>
      </c>
    </row>
    <row r="387" spans="1:14" x14ac:dyDescent="0.25">
      <c r="A387" s="4">
        <f t="shared" si="17"/>
        <v>45820</v>
      </c>
      <c r="B387" t="s">
        <v>395</v>
      </c>
      <c r="C387" s="2">
        <v>4.49</v>
      </c>
      <c r="D387" s="2">
        <v>4.3600000000000003</v>
      </c>
      <c r="E387" s="2">
        <v>2.48</v>
      </c>
      <c r="F387" s="5">
        <v>1.3594999999999999</v>
      </c>
      <c r="G387" s="5">
        <v>1.1737</v>
      </c>
      <c r="J387" s="2">
        <f t="shared" si="15"/>
        <v>0.12999999999999989</v>
      </c>
      <c r="K387" s="2">
        <f t="shared" si="16"/>
        <v>2.0100000000000002</v>
      </c>
    </row>
    <row r="388" spans="1:14" x14ac:dyDescent="0.25">
      <c r="A388" s="4">
        <f t="shared" si="17"/>
        <v>45821</v>
      </c>
      <c r="B388" t="s">
        <v>396</v>
      </c>
      <c r="C388" s="2">
        <v>4.5599999999999996</v>
      </c>
      <c r="D388" s="2">
        <v>4.41</v>
      </c>
      <c r="E388" s="2">
        <v>2.5299999999999998</v>
      </c>
      <c r="F388" s="5">
        <v>1.3575999999999999</v>
      </c>
      <c r="G388" s="5">
        <v>1.1758999999999999</v>
      </c>
      <c r="J388" s="2">
        <f t="shared" si="15"/>
        <v>0.14999999999999947</v>
      </c>
      <c r="K388" s="2">
        <f t="shared" si="16"/>
        <v>2.0299999999999998</v>
      </c>
    </row>
    <row r="389" spans="1:14" x14ac:dyDescent="0.25">
      <c r="A389" s="4">
        <f t="shared" si="17"/>
        <v>45824</v>
      </c>
      <c r="B389" t="s">
        <v>397</v>
      </c>
      <c r="C389" s="2">
        <v>4.54</v>
      </c>
      <c r="D389" s="2">
        <v>4.46</v>
      </c>
      <c r="E389" s="2">
        <v>2.5499999999999998</v>
      </c>
      <c r="F389" s="5">
        <v>1.3595999999999999</v>
      </c>
      <c r="G389" s="5">
        <v>1.173</v>
      </c>
      <c r="J389" s="2">
        <f t="shared" si="15"/>
        <v>8.0000000000000071E-2</v>
      </c>
      <c r="K389" s="2">
        <f t="shared" si="16"/>
        <v>1.9900000000000002</v>
      </c>
    </row>
    <row r="390" spans="1:14" x14ac:dyDescent="0.25">
      <c r="A390" s="4">
        <f t="shared" si="17"/>
        <v>45825</v>
      </c>
      <c r="B390" t="s">
        <v>398</v>
      </c>
      <c r="C390" s="2">
        <v>4.54</v>
      </c>
      <c r="D390" s="2">
        <v>4.3899999999999997</v>
      </c>
      <c r="E390" s="2">
        <v>2.52</v>
      </c>
      <c r="F390" s="5">
        <v>1.3512</v>
      </c>
      <c r="G390" s="5">
        <v>1.1722999999999999</v>
      </c>
      <c r="J390" s="2">
        <f t="shared" si="15"/>
        <v>0.15000000000000036</v>
      </c>
      <c r="K390" s="2">
        <f t="shared" si="16"/>
        <v>2.02</v>
      </c>
    </row>
    <row r="391" spans="1:14" x14ac:dyDescent="0.25">
      <c r="A391" s="4">
        <f t="shared" si="17"/>
        <v>45826</v>
      </c>
      <c r="B391" t="s">
        <v>399</v>
      </c>
      <c r="C391" s="2">
        <v>4.5</v>
      </c>
      <c r="D391" s="2">
        <v>4.38</v>
      </c>
      <c r="E391" s="2">
        <v>2.5099999999999998</v>
      </c>
      <c r="F391" s="5">
        <v>1.3452</v>
      </c>
      <c r="G391" s="5">
        <v>1.169</v>
      </c>
      <c r="J391" s="2">
        <f t="shared" si="15"/>
        <v>0.12000000000000011</v>
      </c>
      <c r="K391" s="2">
        <f t="shared" si="16"/>
        <v>1.9900000000000002</v>
      </c>
    </row>
    <row r="392" spans="1:14" x14ac:dyDescent="0.25">
      <c r="A392" s="4">
        <f t="shared" si="17"/>
        <v>45827</v>
      </c>
      <c r="B392" t="s">
        <v>400</v>
      </c>
      <c r="C392" s="2">
        <v>4.54</v>
      </c>
      <c r="D392" s="2" t="e">
        <v>#N/A</v>
      </c>
      <c r="E392" s="2">
        <v>2.5099999999999998</v>
      </c>
      <c r="F392" s="5">
        <v>1.3427</v>
      </c>
      <c r="G392" s="5">
        <v>1.1707000000000001</v>
      </c>
      <c r="J392" s="2" t="e">
        <f t="shared" si="15"/>
        <v>#N/A</v>
      </c>
      <c r="K392" s="2">
        <f t="shared" si="16"/>
        <v>2.0300000000000002</v>
      </c>
    </row>
    <row r="393" spans="1:14" x14ac:dyDescent="0.25">
      <c r="A393" s="4">
        <f t="shared" si="17"/>
        <v>45828</v>
      </c>
      <c r="B393" t="s">
        <v>401</v>
      </c>
      <c r="C393" s="2">
        <v>4.5199999999999996</v>
      </c>
      <c r="D393" s="2">
        <v>4.38</v>
      </c>
      <c r="E393" s="2">
        <v>2.52</v>
      </c>
      <c r="F393" s="5">
        <v>1.3465</v>
      </c>
      <c r="G393" s="5">
        <v>1.1695</v>
      </c>
      <c r="J393" s="2">
        <f t="shared" ref="J393:J400" si="18">C393-D393</f>
        <v>0.13999999999999968</v>
      </c>
      <c r="K393" s="2">
        <f t="shared" ref="K393:K400" si="19">C393-E393</f>
        <v>1.9999999999999996</v>
      </c>
    </row>
    <row r="394" spans="1:14" x14ac:dyDescent="0.25">
      <c r="A394" s="4">
        <f t="shared" si="17"/>
        <v>45831</v>
      </c>
      <c r="B394" t="s">
        <v>402</v>
      </c>
      <c r="C394" s="2">
        <v>4.49</v>
      </c>
      <c r="D394" s="2">
        <v>4.34</v>
      </c>
      <c r="E394" s="2">
        <v>2.52</v>
      </c>
      <c r="F394" s="5">
        <v>1.3489</v>
      </c>
      <c r="G394" s="5">
        <v>1.1698</v>
      </c>
      <c r="J394" s="2">
        <f t="shared" si="18"/>
        <v>0.15000000000000036</v>
      </c>
      <c r="K394" s="2">
        <f t="shared" si="19"/>
        <v>1.9700000000000002</v>
      </c>
      <c r="M394" s="2">
        <f t="shared" ref="M394:N402" si="20">AVERAGE(J$394:J$402)</f>
        <v>0.20444444444444462</v>
      </c>
      <c r="N394" s="2">
        <f t="shared" si="20"/>
        <v>1.9255555555555557</v>
      </c>
    </row>
    <row r="395" spans="1:14" x14ac:dyDescent="0.25">
      <c r="A395" s="4">
        <f t="shared" si="17"/>
        <v>45832</v>
      </c>
      <c r="B395" t="s">
        <v>403</v>
      </c>
      <c r="C395" s="2">
        <v>4.47</v>
      </c>
      <c r="D395" s="2">
        <v>4.3</v>
      </c>
      <c r="E395" s="2">
        <v>2.54</v>
      </c>
      <c r="F395" s="5">
        <v>1.3623000000000001</v>
      </c>
      <c r="G395" s="5">
        <v>1.1726000000000001</v>
      </c>
      <c r="J395" s="2">
        <f t="shared" si="18"/>
        <v>0.16999999999999993</v>
      </c>
      <c r="K395" s="2">
        <f t="shared" si="19"/>
        <v>1.9299999999999997</v>
      </c>
      <c r="M395" s="2">
        <f t="shared" si="20"/>
        <v>0.20444444444444462</v>
      </c>
      <c r="N395" s="2">
        <f t="shared" si="20"/>
        <v>1.9255555555555557</v>
      </c>
    </row>
    <row r="396" spans="1:14" x14ac:dyDescent="0.25">
      <c r="A396" s="4">
        <f t="shared" si="17"/>
        <v>45833</v>
      </c>
      <c r="B396" t="s">
        <v>404</v>
      </c>
      <c r="C396" s="2">
        <v>4.46</v>
      </c>
      <c r="D396" s="2">
        <v>4.29</v>
      </c>
      <c r="E396" s="2">
        <v>2.56</v>
      </c>
      <c r="F396" s="5">
        <v>1.3624000000000001</v>
      </c>
      <c r="G396" s="5">
        <v>1.1724000000000001</v>
      </c>
      <c r="J396" s="2">
        <f t="shared" si="18"/>
        <v>0.16999999999999993</v>
      </c>
      <c r="K396" s="2">
        <f t="shared" si="19"/>
        <v>1.9</v>
      </c>
      <c r="M396" s="2">
        <f t="shared" si="20"/>
        <v>0.20444444444444462</v>
      </c>
      <c r="N396" s="2">
        <f t="shared" si="20"/>
        <v>1.9255555555555557</v>
      </c>
    </row>
    <row r="397" spans="1:14" x14ac:dyDescent="0.25">
      <c r="A397" s="4">
        <f t="shared" si="17"/>
        <v>45834</v>
      </c>
      <c r="B397" t="s">
        <v>405</v>
      </c>
      <c r="C397" s="2">
        <v>4.47</v>
      </c>
      <c r="D397" s="2">
        <v>4.26</v>
      </c>
      <c r="E397" s="2">
        <v>2.56</v>
      </c>
      <c r="F397" s="5">
        <v>1.3733</v>
      </c>
      <c r="G397" s="5">
        <v>1.1729000000000001</v>
      </c>
      <c r="J397" s="2">
        <f t="shared" si="18"/>
        <v>0.20999999999999996</v>
      </c>
      <c r="K397" s="2">
        <f t="shared" si="19"/>
        <v>1.9099999999999997</v>
      </c>
      <c r="M397" s="2">
        <f t="shared" si="20"/>
        <v>0.20444444444444462</v>
      </c>
      <c r="N397" s="2">
        <f t="shared" si="20"/>
        <v>1.9255555555555557</v>
      </c>
    </row>
    <row r="398" spans="1:14" x14ac:dyDescent="0.25">
      <c r="A398" s="4">
        <f t="shared" si="17"/>
        <v>45835</v>
      </c>
      <c r="B398" t="s">
        <v>406</v>
      </c>
      <c r="C398" s="2">
        <v>4.5</v>
      </c>
      <c r="D398" s="2">
        <v>4.29</v>
      </c>
      <c r="E398" s="2">
        <v>2.59</v>
      </c>
      <c r="F398" s="5">
        <v>1.3714999999999999</v>
      </c>
      <c r="G398" s="5">
        <v>1.1704000000000001</v>
      </c>
      <c r="J398" s="2">
        <f t="shared" si="18"/>
        <v>0.20999999999999996</v>
      </c>
      <c r="K398" s="2">
        <f t="shared" si="19"/>
        <v>1.9100000000000001</v>
      </c>
      <c r="M398" s="2">
        <f t="shared" si="20"/>
        <v>0.20444444444444462</v>
      </c>
      <c r="N398" s="2">
        <f t="shared" si="20"/>
        <v>1.9255555555555557</v>
      </c>
    </row>
    <row r="399" spans="1:14" x14ac:dyDescent="0.25">
      <c r="A399" s="4">
        <f t="shared" ref="A399:A462" si="21">+A394+7</f>
        <v>45838</v>
      </c>
      <c r="B399" t="s">
        <v>407</v>
      </c>
      <c r="C399" s="2">
        <v>4.4800000000000004</v>
      </c>
      <c r="D399" s="2">
        <v>4.24</v>
      </c>
      <c r="E399" s="2">
        <v>2.59</v>
      </c>
      <c r="F399" s="5">
        <v>1.3703000000000001</v>
      </c>
      <c r="G399" s="5">
        <v>1.1674</v>
      </c>
      <c r="J399" s="2">
        <f t="shared" si="18"/>
        <v>0.24000000000000021</v>
      </c>
      <c r="K399" s="2">
        <f t="shared" si="19"/>
        <v>1.8900000000000006</v>
      </c>
      <c r="M399" s="2">
        <f t="shared" si="20"/>
        <v>0.20444444444444462</v>
      </c>
      <c r="N399" s="2">
        <f t="shared" si="20"/>
        <v>1.9255555555555557</v>
      </c>
    </row>
    <row r="400" spans="1:14" x14ac:dyDescent="0.25">
      <c r="A400" s="4">
        <f t="shared" si="21"/>
        <v>45839</v>
      </c>
      <c r="B400" t="s">
        <v>408</v>
      </c>
      <c r="C400" s="2">
        <v>4.4400000000000004</v>
      </c>
      <c r="D400" s="2">
        <v>4.26</v>
      </c>
      <c r="E400" s="2">
        <v>2.57</v>
      </c>
      <c r="F400" s="5">
        <v>1.3717999999999999</v>
      </c>
      <c r="G400" s="5">
        <v>1.1646000000000001</v>
      </c>
      <c r="J400" s="2">
        <f t="shared" si="18"/>
        <v>0.1800000000000006</v>
      </c>
      <c r="K400" s="2">
        <f t="shared" si="19"/>
        <v>1.8700000000000006</v>
      </c>
      <c r="M400" s="2">
        <f t="shared" si="20"/>
        <v>0.20444444444444462</v>
      </c>
      <c r="N400" s="2">
        <f t="shared" si="20"/>
        <v>1.9255555555555557</v>
      </c>
    </row>
    <row r="401" spans="1:14" x14ac:dyDescent="0.25">
      <c r="A401" s="4">
        <f t="shared" si="21"/>
        <v>45840</v>
      </c>
      <c r="B401" t="s">
        <v>409</v>
      </c>
      <c r="C401" s="2">
        <v>4.6100000000000003</v>
      </c>
      <c r="D401" s="2">
        <v>4.3</v>
      </c>
      <c r="E401" s="2">
        <v>2.63</v>
      </c>
      <c r="F401" s="5">
        <v>1.3593999999999999</v>
      </c>
      <c r="G401" s="5">
        <v>1.1552</v>
      </c>
      <c r="J401" s="2">
        <f>C401-D401</f>
        <v>0.3100000000000005</v>
      </c>
      <c r="K401" s="2">
        <f>C401-E401</f>
        <v>1.9800000000000004</v>
      </c>
      <c r="M401" s="2">
        <f t="shared" si="20"/>
        <v>0.20444444444444462</v>
      </c>
      <c r="N401" s="2">
        <f t="shared" si="20"/>
        <v>1.9255555555555557</v>
      </c>
    </row>
    <row r="402" spans="1:14" x14ac:dyDescent="0.25">
      <c r="A402" s="4">
        <f t="shared" si="21"/>
        <v>45841</v>
      </c>
      <c r="B402" t="s">
        <v>424</v>
      </c>
      <c r="C402" s="2">
        <v>4.55</v>
      </c>
      <c r="D402" s="2">
        <v>4.3499999999999996</v>
      </c>
      <c r="E402" s="2">
        <v>2.58</v>
      </c>
      <c r="F402" s="5">
        <v>1.3646</v>
      </c>
      <c r="G402" s="5">
        <v>1.161</v>
      </c>
      <c r="J402" s="2">
        <f>C402-D402</f>
        <v>0.20000000000000018</v>
      </c>
      <c r="K402" s="2">
        <f>C402-E402</f>
        <v>1.9699999999999998</v>
      </c>
      <c r="M402" s="2">
        <f t="shared" si="20"/>
        <v>0.20444444444444462</v>
      </c>
      <c r="N402" s="2">
        <f t="shared" si="20"/>
        <v>1.9255555555555557</v>
      </c>
    </row>
    <row r="403" spans="1:14" x14ac:dyDescent="0.25">
      <c r="A403" s="4">
        <f t="shared" si="21"/>
        <v>45842</v>
      </c>
      <c r="B403" t="s">
        <v>430</v>
      </c>
      <c r="C403" s="2">
        <v>4.55</v>
      </c>
      <c r="D403" s="2" t="e">
        <v>#N/A</v>
      </c>
      <c r="E403" s="2">
        <v>2.56</v>
      </c>
      <c r="F403" s="5">
        <v>1.3643000000000001</v>
      </c>
      <c r="G403" s="5">
        <v>1.1583000000000001</v>
      </c>
      <c r="J403" s="2" t="e">
        <f t="shared" ref="J403:J466" si="22">C403-D403</f>
        <v>#N/A</v>
      </c>
      <c r="K403" s="2">
        <f t="shared" ref="K403:K466" si="23">C403-E403</f>
        <v>1.9899999999999998</v>
      </c>
      <c r="M403" s="2">
        <f>AVERAGE(J$394:J$402)</f>
        <v>0.20444444444444462</v>
      </c>
      <c r="N403" s="2">
        <f>AVERAGE(K$394:K$402)</f>
        <v>1.9255555555555557</v>
      </c>
    </row>
    <row r="404" spans="1:14" x14ac:dyDescent="0.25">
      <c r="A404" s="4">
        <f t="shared" si="21"/>
        <v>45845</v>
      </c>
      <c r="B404" t="s">
        <v>431</v>
      </c>
      <c r="C404" s="2">
        <v>4.58</v>
      </c>
      <c r="D404" s="2">
        <v>4.4000000000000004</v>
      </c>
      <c r="E404" s="2">
        <v>2.6</v>
      </c>
      <c r="F404" s="5">
        <v>1.3635999999999999</v>
      </c>
      <c r="G404" s="5">
        <v>1.1616</v>
      </c>
      <c r="J404" s="2">
        <f t="shared" si="22"/>
        <v>0.17999999999999972</v>
      </c>
      <c r="K404" s="2">
        <f t="shared" si="23"/>
        <v>1.98</v>
      </c>
    </row>
    <row r="405" spans="1:14" x14ac:dyDescent="0.25">
      <c r="A405" s="4">
        <f t="shared" si="21"/>
        <v>45846</v>
      </c>
      <c r="B405" t="s">
        <v>432</v>
      </c>
      <c r="C405" s="2">
        <v>4.63</v>
      </c>
      <c r="D405" s="2">
        <v>4.42</v>
      </c>
      <c r="E405" s="2">
        <v>2.64</v>
      </c>
      <c r="F405" s="5">
        <v>1.3545</v>
      </c>
      <c r="G405" s="5">
        <v>1.1584000000000001</v>
      </c>
      <c r="J405" s="2">
        <f t="shared" si="22"/>
        <v>0.20999999999999996</v>
      </c>
      <c r="K405" s="2">
        <f t="shared" si="23"/>
        <v>1.9899999999999998</v>
      </c>
    </row>
    <row r="406" spans="1:14" x14ac:dyDescent="0.25">
      <c r="A406" s="4">
        <f t="shared" si="21"/>
        <v>45847</v>
      </c>
      <c r="B406" t="s">
        <v>433</v>
      </c>
      <c r="C406" s="2">
        <v>4.5999999999999996</v>
      </c>
      <c r="D406" s="2">
        <v>4.34</v>
      </c>
      <c r="E406" s="2">
        <v>2.62</v>
      </c>
      <c r="F406" s="5">
        <v>1.3588</v>
      </c>
      <c r="G406" s="5">
        <v>1.1598999999999999</v>
      </c>
      <c r="J406" s="2">
        <f t="shared" si="22"/>
        <v>0.25999999999999979</v>
      </c>
      <c r="K406" s="2">
        <f t="shared" si="23"/>
        <v>1.9799999999999995</v>
      </c>
    </row>
    <row r="407" spans="1:14" x14ac:dyDescent="0.25">
      <c r="A407" s="4">
        <f t="shared" si="21"/>
        <v>45848</v>
      </c>
      <c r="B407" t="s">
        <v>434</v>
      </c>
      <c r="C407" s="2">
        <v>4.5999999999999996</v>
      </c>
      <c r="D407" s="2">
        <v>4.3499999999999996</v>
      </c>
      <c r="E407" s="2">
        <v>2.65</v>
      </c>
      <c r="F407" s="5">
        <v>1.3554999999999999</v>
      </c>
      <c r="G407" s="5">
        <v>1.1605000000000001</v>
      </c>
      <c r="J407" s="2">
        <f t="shared" si="22"/>
        <v>0.25</v>
      </c>
      <c r="K407" s="2">
        <f t="shared" si="23"/>
        <v>1.9499999999999997</v>
      </c>
    </row>
    <row r="408" spans="1:14" x14ac:dyDescent="0.25">
      <c r="A408" s="4">
        <f t="shared" si="21"/>
        <v>45849</v>
      </c>
      <c r="B408" t="s">
        <v>435</v>
      </c>
      <c r="C408" s="2">
        <v>4.63</v>
      </c>
      <c r="D408" s="2">
        <v>4.43</v>
      </c>
      <c r="E408" s="2">
        <v>2.69</v>
      </c>
      <c r="F408" s="5">
        <v>1.3505</v>
      </c>
      <c r="G408" s="5">
        <v>1.1551</v>
      </c>
      <c r="J408" s="2">
        <f t="shared" si="22"/>
        <v>0.20000000000000018</v>
      </c>
      <c r="K408" s="2">
        <f t="shared" si="23"/>
        <v>1.94</v>
      </c>
    </row>
    <row r="409" spans="1:14" x14ac:dyDescent="0.25">
      <c r="A409" s="4">
        <f t="shared" si="21"/>
        <v>45852</v>
      </c>
      <c r="B409" t="s">
        <v>436</v>
      </c>
      <c r="C409" s="2">
        <v>4.59</v>
      </c>
      <c r="D409" s="2">
        <v>4.43</v>
      </c>
      <c r="E409" s="2">
        <v>2.72</v>
      </c>
      <c r="F409" s="5">
        <v>1.3447</v>
      </c>
      <c r="G409" s="5">
        <v>1.151</v>
      </c>
      <c r="J409" s="2">
        <f t="shared" si="22"/>
        <v>0.16000000000000014</v>
      </c>
      <c r="K409" s="2">
        <f t="shared" si="23"/>
        <v>1.8699999999999997</v>
      </c>
    </row>
    <row r="410" spans="1:14" x14ac:dyDescent="0.25">
      <c r="A410" s="4">
        <f t="shared" si="21"/>
        <v>45853</v>
      </c>
      <c r="B410" t="s">
        <v>437</v>
      </c>
      <c r="C410" s="2">
        <v>4.63</v>
      </c>
      <c r="D410" s="2">
        <v>4.5</v>
      </c>
      <c r="E410" s="2">
        <v>2.7</v>
      </c>
      <c r="F410" s="5">
        <v>1.3396999999999999</v>
      </c>
      <c r="G410" s="5">
        <v>1.153</v>
      </c>
      <c r="J410" s="2">
        <f t="shared" si="22"/>
        <v>0.12999999999999989</v>
      </c>
      <c r="K410" s="2">
        <f t="shared" si="23"/>
        <v>1.9299999999999997</v>
      </c>
    </row>
    <row r="411" spans="1:14" x14ac:dyDescent="0.25">
      <c r="A411" s="4">
        <f t="shared" si="21"/>
        <v>45854</v>
      </c>
      <c r="B411" t="s">
        <v>438</v>
      </c>
      <c r="C411" s="2">
        <v>4.6399999999999997</v>
      </c>
      <c r="D411" s="2">
        <v>4.46</v>
      </c>
      <c r="E411" s="2">
        <v>2.68</v>
      </c>
      <c r="F411" s="5">
        <v>1.3391999999999999</v>
      </c>
      <c r="G411" s="5">
        <v>1.1552</v>
      </c>
      <c r="J411" s="2">
        <f t="shared" si="22"/>
        <v>0.17999999999999972</v>
      </c>
      <c r="K411" s="2">
        <f t="shared" si="23"/>
        <v>1.9599999999999995</v>
      </c>
    </row>
    <row r="412" spans="1:14" x14ac:dyDescent="0.25">
      <c r="A412" s="4">
        <f t="shared" si="21"/>
        <v>45855</v>
      </c>
      <c r="B412" t="s">
        <v>439</v>
      </c>
      <c r="C412" s="2">
        <v>4.67</v>
      </c>
      <c r="D412" s="2">
        <v>4.47</v>
      </c>
      <c r="E412" s="2">
        <v>2.69</v>
      </c>
      <c r="F412" s="5">
        <v>1.341</v>
      </c>
      <c r="G412" s="5">
        <v>1.1572</v>
      </c>
      <c r="J412" s="2">
        <f t="shared" si="22"/>
        <v>0.20000000000000018</v>
      </c>
      <c r="K412" s="2">
        <f t="shared" si="23"/>
        <v>1.98</v>
      </c>
    </row>
    <row r="413" spans="1:14" x14ac:dyDescent="0.25">
      <c r="A413" s="4">
        <f t="shared" si="21"/>
        <v>45856</v>
      </c>
      <c r="B413" t="s">
        <v>440</v>
      </c>
      <c r="C413" s="2">
        <v>4.67</v>
      </c>
      <c r="D413" s="2">
        <v>4.4400000000000004</v>
      </c>
      <c r="E413" s="2">
        <v>2.68</v>
      </c>
      <c r="F413" s="5">
        <v>1.3442000000000001</v>
      </c>
      <c r="G413" s="5">
        <v>1.1540999999999999</v>
      </c>
      <c r="J413" s="2">
        <f t="shared" si="22"/>
        <v>0.22999999999999954</v>
      </c>
      <c r="K413" s="2">
        <f t="shared" si="23"/>
        <v>1.9899999999999998</v>
      </c>
    </row>
    <row r="414" spans="1:14" x14ac:dyDescent="0.25">
      <c r="A414" s="4">
        <f t="shared" si="21"/>
        <v>45859</v>
      </c>
      <c r="B414" t="s">
        <v>441</v>
      </c>
      <c r="C414" s="2">
        <v>4.5999999999999996</v>
      </c>
      <c r="D414" s="2">
        <v>4.38</v>
      </c>
      <c r="E414" s="2">
        <v>2.61</v>
      </c>
      <c r="F414" s="5">
        <v>1.3492999999999999</v>
      </c>
      <c r="G414" s="5">
        <v>1.1536</v>
      </c>
      <c r="J414" s="2">
        <f t="shared" si="22"/>
        <v>0.21999999999999975</v>
      </c>
      <c r="K414" s="2">
        <f t="shared" si="23"/>
        <v>1.9899999999999998</v>
      </c>
    </row>
    <row r="415" spans="1:14" x14ac:dyDescent="0.25">
      <c r="A415" s="4">
        <f t="shared" si="21"/>
        <v>45860</v>
      </c>
      <c r="B415" t="s">
        <v>442</v>
      </c>
      <c r="C415" s="2">
        <v>4.57</v>
      </c>
      <c r="D415" s="2">
        <v>4.3499999999999996</v>
      </c>
      <c r="E415" s="2">
        <v>2.6</v>
      </c>
      <c r="F415" s="5">
        <v>1.3501000000000001</v>
      </c>
      <c r="G415" s="5">
        <v>1.1517999999999999</v>
      </c>
      <c r="J415" s="2">
        <f t="shared" si="22"/>
        <v>0.22000000000000064</v>
      </c>
      <c r="K415" s="2">
        <f t="shared" si="23"/>
        <v>1.9700000000000002</v>
      </c>
    </row>
    <row r="416" spans="1:14" x14ac:dyDescent="0.25">
      <c r="A416" s="4">
        <f t="shared" si="21"/>
        <v>45861</v>
      </c>
      <c r="B416" t="s">
        <v>443</v>
      </c>
      <c r="C416" s="2">
        <v>4.6399999999999997</v>
      </c>
      <c r="D416" s="2">
        <v>4.4000000000000004</v>
      </c>
      <c r="E416" s="2">
        <v>2.67</v>
      </c>
      <c r="F416" s="5">
        <v>1.3560000000000001</v>
      </c>
      <c r="G416" s="5">
        <v>1.1556999999999999</v>
      </c>
      <c r="J416" s="2">
        <f t="shared" si="22"/>
        <v>0.23999999999999932</v>
      </c>
      <c r="K416" s="2">
        <f t="shared" si="23"/>
        <v>1.9699999999999998</v>
      </c>
    </row>
    <row r="417" spans="1:11" x14ac:dyDescent="0.25">
      <c r="A417" s="4">
        <f t="shared" si="21"/>
        <v>45862</v>
      </c>
      <c r="B417" t="s">
        <v>444</v>
      </c>
      <c r="C417" s="2">
        <v>4.62</v>
      </c>
      <c r="D417" s="2">
        <v>4.43</v>
      </c>
      <c r="E417" s="2">
        <v>2.7</v>
      </c>
      <c r="F417" s="5">
        <v>1.3542000000000001</v>
      </c>
      <c r="G417" s="5">
        <v>1.1509</v>
      </c>
      <c r="J417" s="2">
        <f t="shared" si="22"/>
        <v>0.19000000000000039</v>
      </c>
      <c r="K417" s="2">
        <f t="shared" si="23"/>
        <v>1.92</v>
      </c>
    </row>
    <row r="418" spans="1:11" x14ac:dyDescent="0.25">
      <c r="A418" s="4">
        <f t="shared" si="21"/>
        <v>45863</v>
      </c>
      <c r="B418" t="s">
        <v>445</v>
      </c>
      <c r="C418" s="2">
        <v>4.63</v>
      </c>
      <c r="D418" s="2">
        <v>4.4000000000000004</v>
      </c>
      <c r="E418" s="2">
        <v>2.71</v>
      </c>
      <c r="F418" s="5">
        <v>1.343</v>
      </c>
      <c r="G418" s="5">
        <v>1.145</v>
      </c>
      <c r="J418" s="2">
        <f t="shared" si="22"/>
        <v>0.22999999999999954</v>
      </c>
      <c r="K418" s="2">
        <f t="shared" si="23"/>
        <v>1.92</v>
      </c>
    </row>
    <row r="419" spans="1:11" x14ac:dyDescent="0.25">
      <c r="A419" s="4">
        <f t="shared" si="21"/>
        <v>45866</v>
      </c>
      <c r="B419" t="s">
        <v>446</v>
      </c>
      <c r="C419" s="2">
        <v>4.6500000000000004</v>
      </c>
      <c r="D419" s="2">
        <v>4.42</v>
      </c>
      <c r="E419" s="2">
        <v>2.69</v>
      </c>
      <c r="F419" s="5">
        <v>1.3411999999999999</v>
      </c>
      <c r="G419" s="5">
        <v>1.1525000000000001</v>
      </c>
      <c r="J419" s="2">
        <f t="shared" si="22"/>
        <v>0.23000000000000043</v>
      </c>
      <c r="K419" s="2">
        <f t="shared" si="23"/>
        <v>1.9600000000000004</v>
      </c>
    </row>
    <row r="420" spans="1:11" x14ac:dyDescent="0.25">
      <c r="A420" s="4">
        <f t="shared" si="21"/>
        <v>45867</v>
      </c>
      <c r="B420" t="s">
        <v>447</v>
      </c>
      <c r="C420" s="2">
        <v>4.62</v>
      </c>
      <c r="D420" s="2">
        <v>4.34</v>
      </c>
      <c r="E420" s="2">
        <v>2.68</v>
      </c>
      <c r="F420" s="5">
        <v>1.3328</v>
      </c>
      <c r="G420" s="5">
        <v>1.1567000000000001</v>
      </c>
      <c r="J420" s="2">
        <f t="shared" si="22"/>
        <v>0.28000000000000025</v>
      </c>
      <c r="K420" s="2">
        <f t="shared" si="23"/>
        <v>1.94</v>
      </c>
    </row>
    <row r="421" spans="1:11" x14ac:dyDescent="0.25">
      <c r="A421" s="4">
        <f t="shared" si="21"/>
        <v>45868</v>
      </c>
      <c r="B421" t="s">
        <v>448</v>
      </c>
      <c r="C421" s="2">
        <v>4.5999999999999996</v>
      </c>
      <c r="D421" s="2">
        <v>4.38</v>
      </c>
      <c r="E421" s="2">
        <v>2.71</v>
      </c>
      <c r="F421" s="5">
        <v>1.3290999999999999</v>
      </c>
      <c r="G421" s="5">
        <v>1.1577</v>
      </c>
      <c r="J421" s="2">
        <f t="shared" si="22"/>
        <v>0.21999999999999975</v>
      </c>
      <c r="K421" s="2">
        <f t="shared" si="23"/>
        <v>1.8899999999999997</v>
      </c>
    </row>
    <row r="422" spans="1:11" x14ac:dyDescent="0.25">
      <c r="A422" s="4">
        <f t="shared" si="21"/>
        <v>45869</v>
      </c>
      <c r="B422" t="s">
        <v>449</v>
      </c>
      <c r="C422" s="2">
        <v>4.57</v>
      </c>
      <c r="D422" s="2">
        <v>4.37</v>
      </c>
      <c r="E422" s="2">
        <v>2.7</v>
      </c>
      <c r="F422" s="5">
        <v>1.3231999999999999</v>
      </c>
      <c r="G422" s="5">
        <v>1.1560999999999999</v>
      </c>
      <c r="J422" s="2">
        <f t="shared" si="22"/>
        <v>0.20000000000000018</v>
      </c>
      <c r="K422" s="2">
        <f t="shared" si="23"/>
        <v>1.87</v>
      </c>
    </row>
    <row r="423" spans="1:11" x14ac:dyDescent="0.25">
      <c r="A423" s="4">
        <f t="shared" si="21"/>
        <v>45870</v>
      </c>
      <c r="B423" t="s">
        <v>450</v>
      </c>
      <c r="C423" s="2">
        <v>4.53</v>
      </c>
      <c r="D423" s="2">
        <v>4.2300000000000004</v>
      </c>
      <c r="E423" s="2">
        <v>2.67</v>
      </c>
      <c r="F423" s="5">
        <v>1.3263</v>
      </c>
      <c r="G423" s="5">
        <v>1.1477999999999999</v>
      </c>
      <c r="J423" s="2">
        <f t="shared" si="22"/>
        <v>0.29999999999999982</v>
      </c>
      <c r="K423" s="2">
        <f t="shared" si="23"/>
        <v>1.8600000000000003</v>
      </c>
    </row>
    <row r="424" spans="1:11" x14ac:dyDescent="0.25">
      <c r="A424" s="4">
        <f t="shared" si="21"/>
        <v>45873</v>
      </c>
      <c r="B424" t="s">
        <v>451</v>
      </c>
      <c r="C424" s="2">
        <v>4.51</v>
      </c>
      <c r="D424" s="2">
        <v>4.22</v>
      </c>
      <c r="E424" s="2">
        <v>2.62</v>
      </c>
      <c r="F424" s="5">
        <v>1.3293999999999999</v>
      </c>
      <c r="G424" s="5">
        <v>1.1496</v>
      </c>
      <c r="J424" s="2">
        <f t="shared" si="22"/>
        <v>0.29000000000000004</v>
      </c>
      <c r="K424" s="2">
        <f t="shared" si="23"/>
        <v>1.8899999999999997</v>
      </c>
    </row>
    <row r="425" spans="1:11" x14ac:dyDescent="0.25">
      <c r="A425" s="4">
        <f t="shared" si="21"/>
        <v>45874</v>
      </c>
      <c r="B425" t="s">
        <v>452</v>
      </c>
      <c r="C425" s="2">
        <v>4.5199999999999996</v>
      </c>
      <c r="D425" s="2">
        <v>4.22</v>
      </c>
      <c r="E425" s="2">
        <v>2.62</v>
      </c>
      <c r="F425" s="5">
        <v>1.329</v>
      </c>
      <c r="G425" s="5">
        <v>1.1491</v>
      </c>
      <c r="J425" s="2">
        <f t="shared" si="22"/>
        <v>0.29999999999999982</v>
      </c>
      <c r="K425" s="2">
        <f t="shared" si="23"/>
        <v>1.8999999999999995</v>
      </c>
    </row>
    <row r="426" spans="1:11" x14ac:dyDescent="0.25">
      <c r="A426" s="4">
        <f t="shared" si="21"/>
        <v>45875</v>
      </c>
      <c r="B426" t="s">
        <v>453</v>
      </c>
      <c r="C426" s="2">
        <v>4.5199999999999996</v>
      </c>
      <c r="D426" s="2">
        <v>4.22</v>
      </c>
      <c r="E426" s="2">
        <v>2.65</v>
      </c>
      <c r="F426" s="5">
        <v>1.3331</v>
      </c>
      <c r="G426" s="5">
        <v>1.1465000000000001</v>
      </c>
      <c r="J426" s="2">
        <f t="shared" si="22"/>
        <v>0.29999999999999982</v>
      </c>
      <c r="K426" s="2">
        <f t="shared" si="23"/>
        <v>1.8699999999999997</v>
      </c>
    </row>
    <row r="427" spans="1:11" x14ac:dyDescent="0.25">
      <c r="A427" s="4">
        <f t="shared" si="21"/>
        <v>45876</v>
      </c>
      <c r="B427" t="s">
        <v>454</v>
      </c>
      <c r="C427" s="2">
        <v>4.5599999999999996</v>
      </c>
      <c r="D427" s="2">
        <v>4.2300000000000004</v>
      </c>
      <c r="E427" s="2">
        <v>2.63</v>
      </c>
      <c r="F427" s="5">
        <v>1.3404</v>
      </c>
      <c r="G427" s="5">
        <v>1.1531</v>
      </c>
      <c r="J427" s="2">
        <f t="shared" si="22"/>
        <v>0.32999999999999918</v>
      </c>
      <c r="K427" s="2">
        <f t="shared" si="23"/>
        <v>1.9299999999999997</v>
      </c>
    </row>
    <row r="428" spans="1:11" x14ac:dyDescent="0.25">
      <c r="A428" s="4">
        <f t="shared" si="21"/>
        <v>45877</v>
      </c>
      <c r="B428" t="s">
        <v>455</v>
      </c>
      <c r="C428" s="2">
        <v>4.5999999999999996</v>
      </c>
      <c r="D428" s="2">
        <v>4.2699999999999996</v>
      </c>
      <c r="E428" s="2">
        <v>2.69</v>
      </c>
      <c r="F428" s="5">
        <v>1.3439000000000001</v>
      </c>
      <c r="G428" s="5">
        <v>1.1529</v>
      </c>
      <c r="J428" s="2">
        <f t="shared" si="22"/>
        <v>0.33000000000000007</v>
      </c>
      <c r="K428" s="2">
        <f t="shared" si="23"/>
        <v>1.9099999999999997</v>
      </c>
    </row>
    <row r="429" spans="1:11" x14ac:dyDescent="0.25">
      <c r="A429" s="4">
        <f t="shared" si="21"/>
        <v>45880</v>
      </c>
      <c r="B429" t="s">
        <v>456</v>
      </c>
      <c r="C429" s="2">
        <v>4.5599999999999996</v>
      </c>
      <c r="D429" s="2">
        <v>4.2699999999999996</v>
      </c>
      <c r="E429" s="2">
        <v>2.69</v>
      </c>
      <c r="F429" s="5">
        <v>1.3408</v>
      </c>
      <c r="G429" s="5">
        <v>1.1561999999999999</v>
      </c>
      <c r="J429" s="2">
        <f t="shared" si="22"/>
        <v>0.29000000000000004</v>
      </c>
      <c r="K429" s="2">
        <f t="shared" si="23"/>
        <v>1.8699999999999997</v>
      </c>
    </row>
    <row r="430" spans="1:11" x14ac:dyDescent="0.25">
      <c r="A430" s="4">
        <f t="shared" si="21"/>
        <v>45881</v>
      </c>
      <c r="B430" t="s">
        <v>457</v>
      </c>
      <c r="C430" s="2">
        <v>4.62</v>
      </c>
      <c r="D430" s="2">
        <v>4.29</v>
      </c>
      <c r="E430" s="2">
        <v>2.74</v>
      </c>
      <c r="F430" s="5">
        <v>1.3489</v>
      </c>
      <c r="G430" s="5">
        <v>1.157</v>
      </c>
      <c r="J430" s="2">
        <f t="shared" si="22"/>
        <v>0.33000000000000007</v>
      </c>
      <c r="K430" s="2">
        <f t="shared" si="23"/>
        <v>1.88</v>
      </c>
    </row>
    <row r="431" spans="1:11" x14ac:dyDescent="0.25">
      <c r="A431" s="4">
        <f t="shared" si="21"/>
        <v>45882</v>
      </c>
      <c r="B431" t="s">
        <v>458</v>
      </c>
      <c r="C431" s="2">
        <v>4.59</v>
      </c>
      <c r="D431" s="2">
        <v>4.24</v>
      </c>
      <c r="E431" s="2">
        <v>2.68</v>
      </c>
      <c r="F431" s="5">
        <v>1.3572</v>
      </c>
      <c r="G431" s="5">
        <v>1.1579999999999999</v>
      </c>
      <c r="J431" s="2">
        <f t="shared" si="22"/>
        <v>0.34999999999999964</v>
      </c>
      <c r="K431" s="2">
        <f t="shared" si="23"/>
        <v>1.9099999999999997</v>
      </c>
    </row>
    <row r="432" spans="1:11" x14ac:dyDescent="0.25">
      <c r="A432" s="4">
        <f t="shared" si="21"/>
        <v>45883</v>
      </c>
      <c r="B432" t="s">
        <v>459</v>
      </c>
      <c r="C432" s="2">
        <v>4.6399999999999997</v>
      </c>
      <c r="D432" s="2">
        <v>4.29</v>
      </c>
      <c r="E432" s="2">
        <v>2.71</v>
      </c>
      <c r="F432" s="5">
        <v>1.3555999999999999</v>
      </c>
      <c r="G432" s="5">
        <v>1.1625000000000001</v>
      </c>
      <c r="J432" s="2">
        <f t="shared" si="22"/>
        <v>0.34999999999999964</v>
      </c>
      <c r="K432" s="2">
        <f t="shared" si="23"/>
        <v>1.9299999999999997</v>
      </c>
    </row>
    <row r="433" spans="1:11" x14ac:dyDescent="0.25">
      <c r="A433" s="4">
        <f t="shared" si="21"/>
        <v>45884</v>
      </c>
      <c r="B433" t="s">
        <v>460</v>
      </c>
      <c r="C433" s="2">
        <v>4.7</v>
      </c>
      <c r="D433" s="2">
        <v>4.33</v>
      </c>
      <c r="E433" s="2">
        <v>2.79</v>
      </c>
      <c r="F433" s="5">
        <v>1.3560000000000001</v>
      </c>
      <c r="G433" s="5">
        <v>1.1577999999999999</v>
      </c>
      <c r="J433" s="2">
        <f t="shared" si="22"/>
        <v>0.37000000000000011</v>
      </c>
      <c r="K433" s="2">
        <f t="shared" si="23"/>
        <v>1.9100000000000001</v>
      </c>
    </row>
    <row r="434" spans="1:11" x14ac:dyDescent="0.25">
      <c r="A434" s="4">
        <f t="shared" si="21"/>
        <v>45887</v>
      </c>
      <c r="B434" t="s">
        <v>461</v>
      </c>
      <c r="C434" s="2">
        <v>4.7300000000000004</v>
      </c>
      <c r="D434" s="2">
        <v>4.34</v>
      </c>
      <c r="E434" s="2">
        <v>2.76</v>
      </c>
      <c r="F434" s="5">
        <v>1.3515999999999999</v>
      </c>
      <c r="G434" s="5">
        <v>1.1588000000000001</v>
      </c>
      <c r="J434" s="2">
        <f t="shared" si="22"/>
        <v>0.39000000000000057</v>
      </c>
      <c r="K434" s="2">
        <f t="shared" si="23"/>
        <v>1.9700000000000006</v>
      </c>
    </row>
    <row r="435" spans="1:11" x14ac:dyDescent="0.25">
      <c r="A435" s="4">
        <f t="shared" si="21"/>
        <v>45888</v>
      </c>
      <c r="B435" t="s">
        <v>462</v>
      </c>
      <c r="C435" s="2">
        <v>4.72</v>
      </c>
      <c r="D435" s="2">
        <v>4.3</v>
      </c>
      <c r="E435" s="2">
        <v>2.75</v>
      </c>
      <c r="F435" s="5">
        <v>1.3503000000000001</v>
      </c>
      <c r="G435" s="5">
        <v>1.1568000000000001</v>
      </c>
      <c r="J435" s="2">
        <f t="shared" si="22"/>
        <v>0.41999999999999993</v>
      </c>
      <c r="K435" s="2">
        <f t="shared" si="23"/>
        <v>1.9699999999999998</v>
      </c>
    </row>
    <row r="436" spans="1:11" x14ac:dyDescent="0.25">
      <c r="A436" s="4">
        <f t="shared" si="21"/>
        <v>45889</v>
      </c>
      <c r="B436" t="s">
        <v>463</v>
      </c>
      <c r="C436" s="2">
        <v>4.67</v>
      </c>
      <c r="D436" s="2">
        <v>4.29</v>
      </c>
      <c r="E436" s="2">
        <v>2.72</v>
      </c>
      <c r="F436" s="5">
        <v>1.3472</v>
      </c>
      <c r="G436" s="5">
        <v>1.1551</v>
      </c>
      <c r="J436" s="2">
        <f t="shared" si="22"/>
        <v>0.37999999999999989</v>
      </c>
      <c r="K436" s="2">
        <f t="shared" si="23"/>
        <v>1.9499999999999997</v>
      </c>
    </row>
    <row r="437" spans="1:11" x14ac:dyDescent="0.25">
      <c r="A437" s="4">
        <f t="shared" si="21"/>
        <v>45890</v>
      </c>
      <c r="B437" t="s">
        <v>464</v>
      </c>
      <c r="C437" s="2">
        <v>4.7300000000000004</v>
      </c>
      <c r="D437" s="2">
        <v>4.33</v>
      </c>
      <c r="E437" s="2">
        <v>2.75</v>
      </c>
      <c r="F437" s="5">
        <v>1.3427</v>
      </c>
      <c r="G437" s="5">
        <v>1.1559999999999999</v>
      </c>
      <c r="J437" s="2">
        <f t="shared" si="22"/>
        <v>0.40000000000000036</v>
      </c>
      <c r="K437" s="2">
        <f t="shared" si="23"/>
        <v>1.9800000000000004</v>
      </c>
    </row>
    <row r="438" spans="1:11" x14ac:dyDescent="0.25">
      <c r="A438" s="4">
        <f t="shared" si="21"/>
        <v>45891</v>
      </c>
      <c r="B438" t="s">
        <v>465</v>
      </c>
      <c r="C438" s="2">
        <v>4.6900000000000004</v>
      </c>
      <c r="D438" s="2">
        <v>4.26</v>
      </c>
      <c r="E438" s="2">
        <v>2.73</v>
      </c>
      <c r="F438" s="5">
        <v>1.3525</v>
      </c>
      <c r="G438" s="5">
        <v>1.1541999999999999</v>
      </c>
      <c r="J438" s="2">
        <f t="shared" si="22"/>
        <v>0.4300000000000006</v>
      </c>
      <c r="K438" s="2">
        <f t="shared" si="23"/>
        <v>1.9600000000000004</v>
      </c>
    </row>
    <row r="439" spans="1:11" x14ac:dyDescent="0.25">
      <c r="A439" s="4">
        <f t="shared" si="21"/>
        <v>45894</v>
      </c>
      <c r="B439" t="s">
        <v>466</v>
      </c>
      <c r="C439" s="2" t="e">
        <v>#N/A</v>
      </c>
      <c r="D439" s="2">
        <v>4.28</v>
      </c>
      <c r="E439" s="2">
        <v>2.74</v>
      </c>
      <c r="F439" s="5" t="e">
        <v>#N/A</v>
      </c>
      <c r="G439" s="5" t="e">
        <v>#N/A</v>
      </c>
      <c r="J439" s="2" t="e">
        <f t="shared" si="22"/>
        <v>#N/A</v>
      </c>
      <c r="K439" s="2" t="e">
        <f t="shared" si="23"/>
        <v>#N/A</v>
      </c>
    </row>
    <row r="440" spans="1:11" x14ac:dyDescent="0.25">
      <c r="A440" s="4">
        <f t="shared" si="21"/>
        <v>45895</v>
      </c>
      <c r="B440" t="s">
        <v>467</v>
      </c>
      <c r="C440" s="2">
        <v>4.7300000000000004</v>
      </c>
      <c r="D440" s="2">
        <v>4.26</v>
      </c>
      <c r="E440" s="2">
        <v>2.72</v>
      </c>
      <c r="F440" s="5">
        <v>1.3479000000000001</v>
      </c>
      <c r="G440" s="5">
        <v>1.1564000000000001</v>
      </c>
      <c r="J440" s="2">
        <f t="shared" si="22"/>
        <v>0.47000000000000064</v>
      </c>
      <c r="K440" s="2">
        <f t="shared" si="23"/>
        <v>2.0100000000000002</v>
      </c>
    </row>
    <row r="441" spans="1:11" x14ac:dyDescent="0.25">
      <c r="A441" s="4">
        <f t="shared" si="21"/>
        <v>45896</v>
      </c>
      <c r="B441" t="s">
        <v>468</v>
      </c>
      <c r="C441" s="2">
        <v>4.74</v>
      </c>
      <c r="D441" s="2">
        <v>4.24</v>
      </c>
      <c r="E441" s="2">
        <v>2.7</v>
      </c>
      <c r="F441" s="5">
        <v>1.3460000000000001</v>
      </c>
      <c r="G441" s="5">
        <v>1.1611</v>
      </c>
      <c r="J441" s="2">
        <f t="shared" si="22"/>
        <v>0.5</v>
      </c>
      <c r="K441" s="2">
        <f t="shared" si="23"/>
        <v>2.04</v>
      </c>
    </row>
    <row r="442" spans="1:11" x14ac:dyDescent="0.25">
      <c r="A442" s="4">
        <f t="shared" si="21"/>
        <v>45897</v>
      </c>
      <c r="B442" t="s">
        <v>469</v>
      </c>
      <c r="C442" s="2">
        <v>4.7</v>
      </c>
      <c r="D442" s="2">
        <v>4.22</v>
      </c>
      <c r="E442" s="2">
        <v>2.7</v>
      </c>
      <c r="F442" s="5">
        <v>1.3511</v>
      </c>
      <c r="G442" s="5">
        <v>1.1577</v>
      </c>
      <c r="J442" s="2">
        <f t="shared" si="22"/>
        <v>0.48000000000000043</v>
      </c>
      <c r="K442" s="2">
        <f t="shared" si="23"/>
        <v>2</v>
      </c>
    </row>
    <row r="443" spans="1:11" x14ac:dyDescent="0.25">
      <c r="A443" s="4">
        <f t="shared" si="21"/>
        <v>45898</v>
      </c>
      <c r="B443" t="s">
        <v>470</v>
      </c>
      <c r="C443" s="2">
        <v>4.71</v>
      </c>
      <c r="D443" s="2">
        <v>4.2300000000000004</v>
      </c>
      <c r="E443" s="2">
        <v>2.72</v>
      </c>
      <c r="F443" s="5">
        <v>1.3509</v>
      </c>
      <c r="G443" s="5">
        <v>1.1543000000000001</v>
      </c>
      <c r="J443" s="2">
        <f t="shared" si="22"/>
        <v>0.47999999999999954</v>
      </c>
      <c r="K443" s="2">
        <f t="shared" si="23"/>
        <v>1.9899999999999998</v>
      </c>
    </row>
    <row r="444" spans="1:11" x14ac:dyDescent="0.25">
      <c r="A444" s="4">
        <f t="shared" si="21"/>
        <v>45901</v>
      </c>
      <c r="B444" t="s">
        <v>471</v>
      </c>
      <c r="C444" s="2">
        <v>4.75</v>
      </c>
      <c r="D444" s="2" t="e">
        <v>#N/A</v>
      </c>
      <c r="E444" s="2">
        <v>2.75</v>
      </c>
      <c r="F444" s="5">
        <v>1.3548</v>
      </c>
      <c r="G444" s="5">
        <v>1.1568000000000001</v>
      </c>
      <c r="J444" s="2" t="e">
        <f t="shared" si="22"/>
        <v>#N/A</v>
      </c>
      <c r="K444" s="2">
        <f t="shared" si="23"/>
        <v>2</v>
      </c>
    </row>
    <row r="445" spans="1:11" x14ac:dyDescent="0.25">
      <c r="A445" s="4">
        <f t="shared" si="21"/>
        <v>45902</v>
      </c>
      <c r="B445" t="s">
        <v>472</v>
      </c>
      <c r="C445" s="2">
        <v>4.8</v>
      </c>
      <c r="D445" s="2">
        <v>4.28</v>
      </c>
      <c r="E445" s="2">
        <v>2.78</v>
      </c>
      <c r="F445" s="5">
        <v>1.3396999999999999</v>
      </c>
      <c r="G445" s="5">
        <v>1.1487000000000001</v>
      </c>
      <c r="J445" s="2">
        <f t="shared" si="22"/>
        <v>0.51999999999999957</v>
      </c>
      <c r="K445" s="2">
        <f t="shared" si="23"/>
        <v>2.02</v>
      </c>
    </row>
    <row r="446" spans="1:11" x14ac:dyDescent="0.25">
      <c r="A446" s="4">
        <f t="shared" si="21"/>
        <v>45903</v>
      </c>
      <c r="B446" t="s">
        <v>473</v>
      </c>
      <c r="C446" s="2">
        <v>4.74</v>
      </c>
      <c r="D446" s="2">
        <v>4.22</v>
      </c>
      <c r="E446" s="2">
        <v>2.74</v>
      </c>
      <c r="F446" s="5">
        <v>1.3433999999999999</v>
      </c>
      <c r="G446" s="5">
        <v>1.1516999999999999</v>
      </c>
      <c r="J446" s="2">
        <f t="shared" si="22"/>
        <v>0.52000000000000046</v>
      </c>
      <c r="K446" s="2">
        <f t="shared" si="23"/>
        <v>2</v>
      </c>
    </row>
    <row r="447" spans="1:11" x14ac:dyDescent="0.25">
      <c r="A447" s="4">
        <f t="shared" si="21"/>
        <v>45904</v>
      </c>
      <c r="B447" t="s">
        <v>474</v>
      </c>
      <c r="C447" s="2">
        <v>4.74</v>
      </c>
      <c r="D447" s="2">
        <v>4.17</v>
      </c>
      <c r="E447" s="2">
        <v>2.72</v>
      </c>
      <c r="F447" s="5">
        <v>1.3427</v>
      </c>
      <c r="G447" s="5">
        <v>1.1539999999999999</v>
      </c>
      <c r="J447" s="2">
        <f t="shared" si="22"/>
        <v>0.57000000000000028</v>
      </c>
      <c r="K447" s="2">
        <f t="shared" si="23"/>
        <v>2.02</v>
      </c>
    </row>
    <row r="448" spans="1:11" x14ac:dyDescent="0.25">
      <c r="A448" s="4">
        <f t="shared" si="21"/>
        <v>45905</v>
      </c>
      <c r="B448" t="s">
        <v>475</v>
      </c>
      <c r="C448" s="2">
        <v>4.66</v>
      </c>
      <c r="D448" s="2">
        <v>4.0999999999999996</v>
      </c>
      <c r="E448" s="2">
        <v>2.67</v>
      </c>
      <c r="F448" s="5">
        <v>1.3520000000000001</v>
      </c>
      <c r="G448" s="5">
        <v>1.1519999999999999</v>
      </c>
      <c r="J448" s="2">
        <f t="shared" si="22"/>
        <v>0.5600000000000005</v>
      </c>
      <c r="K448" s="2">
        <f t="shared" si="23"/>
        <v>1.9900000000000002</v>
      </c>
    </row>
    <row r="449" spans="1:11" x14ac:dyDescent="0.25">
      <c r="A449" s="4">
        <f t="shared" si="21"/>
        <v>45908</v>
      </c>
      <c r="B449" t="s">
        <v>476</v>
      </c>
      <c r="C449" s="2">
        <v>4.6100000000000003</v>
      </c>
      <c r="D449" s="2">
        <v>4.05</v>
      </c>
      <c r="E449" s="2">
        <v>2.65</v>
      </c>
      <c r="F449" s="5">
        <v>1.3534999999999999</v>
      </c>
      <c r="G449" s="5">
        <v>1.1524000000000001</v>
      </c>
      <c r="J449" s="2">
        <f t="shared" si="22"/>
        <v>0.5600000000000005</v>
      </c>
      <c r="K449" s="2">
        <f t="shared" si="23"/>
        <v>1.9600000000000004</v>
      </c>
    </row>
    <row r="450" spans="1:11" x14ac:dyDescent="0.25">
      <c r="A450" s="4">
        <f t="shared" si="21"/>
        <v>45909</v>
      </c>
      <c r="B450" t="s">
        <v>477</v>
      </c>
      <c r="C450" s="2">
        <v>4.62</v>
      </c>
      <c r="D450" s="2">
        <v>4.08</v>
      </c>
      <c r="E450" s="2">
        <v>2.66</v>
      </c>
      <c r="F450" s="5">
        <v>1.3540000000000001</v>
      </c>
      <c r="G450" s="5">
        <v>1.1541999999999999</v>
      </c>
      <c r="J450" s="2">
        <f t="shared" si="22"/>
        <v>0.54</v>
      </c>
      <c r="K450" s="2">
        <f t="shared" si="23"/>
        <v>1.96</v>
      </c>
    </row>
    <row r="451" spans="1:11" x14ac:dyDescent="0.25">
      <c r="A451" s="4">
        <f t="shared" si="21"/>
        <v>45910</v>
      </c>
      <c r="B451" t="s">
        <v>478</v>
      </c>
      <c r="C451" s="2">
        <v>4.63</v>
      </c>
      <c r="D451" s="2">
        <v>4.04</v>
      </c>
      <c r="E451" s="2">
        <v>2.65</v>
      </c>
      <c r="F451" s="5">
        <v>1.3551</v>
      </c>
      <c r="G451" s="5">
        <v>1.1554</v>
      </c>
      <c r="J451" s="2">
        <f t="shared" si="22"/>
        <v>0.58999999999999986</v>
      </c>
      <c r="K451" s="2">
        <f t="shared" si="23"/>
        <v>1.98</v>
      </c>
    </row>
    <row r="452" spans="1:11" x14ac:dyDescent="0.25">
      <c r="A452" s="4">
        <f t="shared" si="21"/>
        <v>45911</v>
      </c>
      <c r="B452" t="s">
        <v>479</v>
      </c>
      <c r="C452" s="2">
        <v>4.5999999999999996</v>
      </c>
      <c r="D452" s="2">
        <v>4.01</v>
      </c>
      <c r="E452" s="2">
        <v>2.66</v>
      </c>
      <c r="F452" s="5">
        <v>1.3556999999999999</v>
      </c>
      <c r="G452" s="5">
        <v>1.1559999999999999</v>
      </c>
      <c r="J452" s="2">
        <f t="shared" si="22"/>
        <v>0.58999999999999986</v>
      </c>
      <c r="K452" s="2">
        <f t="shared" si="23"/>
        <v>1.9399999999999995</v>
      </c>
    </row>
    <row r="453" spans="1:11" x14ac:dyDescent="0.25">
      <c r="A453" s="4">
        <f t="shared" si="21"/>
        <v>45912</v>
      </c>
      <c r="B453" t="s">
        <v>480</v>
      </c>
      <c r="C453" s="2">
        <v>4.66</v>
      </c>
      <c r="D453" s="2">
        <v>4.0599999999999996</v>
      </c>
      <c r="E453" s="2">
        <v>2.71</v>
      </c>
      <c r="F453" s="5">
        <v>1.3559000000000001</v>
      </c>
      <c r="G453" s="5">
        <v>1.1564000000000001</v>
      </c>
      <c r="J453" s="2">
        <f t="shared" si="22"/>
        <v>0.60000000000000053</v>
      </c>
      <c r="K453" s="2">
        <f t="shared" si="23"/>
        <v>1.9500000000000002</v>
      </c>
    </row>
    <row r="454" spans="1:11" x14ac:dyDescent="0.25">
      <c r="A454" s="4">
        <f t="shared" si="21"/>
        <v>45915</v>
      </c>
      <c r="B454" t="s">
        <v>481</v>
      </c>
      <c r="C454" s="2">
        <v>4.63</v>
      </c>
      <c r="D454" s="2">
        <v>4.05</v>
      </c>
      <c r="E454" s="2">
        <v>2.68</v>
      </c>
      <c r="F454" s="5">
        <v>1.359</v>
      </c>
      <c r="G454" s="5">
        <v>1.1558999999999999</v>
      </c>
      <c r="J454" s="2">
        <f t="shared" si="22"/>
        <v>0.58000000000000007</v>
      </c>
      <c r="K454" s="2">
        <f t="shared" si="23"/>
        <v>1.9499999999999997</v>
      </c>
    </row>
    <row r="455" spans="1:11" x14ac:dyDescent="0.25">
      <c r="A455" s="4">
        <f t="shared" si="21"/>
        <v>45916</v>
      </c>
      <c r="B455" t="s">
        <v>482</v>
      </c>
      <c r="C455" s="2">
        <v>4.6399999999999997</v>
      </c>
      <c r="D455" s="2">
        <v>4.04</v>
      </c>
      <c r="E455" s="2">
        <v>2.7</v>
      </c>
      <c r="F455" s="5">
        <v>1.3656999999999999</v>
      </c>
      <c r="G455" s="5">
        <v>1.1523000000000001</v>
      </c>
      <c r="J455" s="2">
        <f t="shared" si="22"/>
        <v>0.59999999999999964</v>
      </c>
      <c r="K455" s="2">
        <f t="shared" si="23"/>
        <v>1.9399999999999995</v>
      </c>
    </row>
    <row r="456" spans="1:11" x14ac:dyDescent="0.25">
      <c r="A456" s="4">
        <f t="shared" si="21"/>
        <v>45917</v>
      </c>
      <c r="B456" t="s">
        <v>483</v>
      </c>
      <c r="C456" s="2">
        <v>4.62</v>
      </c>
      <c r="D456" s="2">
        <v>4.0599999999999996</v>
      </c>
      <c r="E456" s="2">
        <v>2.69</v>
      </c>
      <c r="F456" s="5">
        <v>1.3658999999999999</v>
      </c>
      <c r="G456" s="5">
        <v>1.1527000000000001</v>
      </c>
      <c r="J456" s="2">
        <f t="shared" si="22"/>
        <v>0.5600000000000005</v>
      </c>
      <c r="K456" s="2">
        <f t="shared" si="23"/>
        <v>1.9300000000000002</v>
      </c>
    </row>
    <row r="457" spans="1:11" x14ac:dyDescent="0.25">
      <c r="A457" s="4">
        <f t="shared" si="21"/>
        <v>45918</v>
      </c>
      <c r="B457" t="s">
        <v>484</v>
      </c>
      <c r="C457" s="2">
        <v>4.66</v>
      </c>
      <c r="D457" s="2">
        <v>4.1100000000000003</v>
      </c>
      <c r="E457" s="2">
        <v>2.73</v>
      </c>
      <c r="F457" s="5">
        <v>1.3552</v>
      </c>
      <c r="G457" s="5">
        <v>1.1508</v>
      </c>
      <c r="J457" s="2">
        <f t="shared" si="22"/>
        <v>0.54999999999999982</v>
      </c>
      <c r="K457" s="2">
        <f t="shared" si="23"/>
        <v>1.9300000000000002</v>
      </c>
    </row>
    <row r="458" spans="1:11" x14ac:dyDescent="0.25">
      <c r="A458" s="4">
        <f t="shared" si="21"/>
        <v>45919</v>
      </c>
      <c r="B458" t="s">
        <v>485</v>
      </c>
      <c r="C458" s="2">
        <v>4.71</v>
      </c>
      <c r="D458" s="2">
        <v>4.1399999999999997</v>
      </c>
      <c r="E458" s="2">
        <v>2.75</v>
      </c>
      <c r="F458" s="5">
        <v>1.3483000000000001</v>
      </c>
      <c r="G458" s="5">
        <v>1.1468</v>
      </c>
      <c r="J458" s="2">
        <f t="shared" si="22"/>
        <v>0.57000000000000028</v>
      </c>
      <c r="K458" s="2">
        <f t="shared" si="23"/>
        <v>1.96</v>
      </c>
    </row>
    <row r="459" spans="1:11" x14ac:dyDescent="0.25">
      <c r="A459" s="4">
        <f t="shared" si="21"/>
        <v>45922</v>
      </c>
      <c r="B459" t="s">
        <v>486</v>
      </c>
      <c r="C459" s="2">
        <v>4.71</v>
      </c>
      <c r="D459" s="2">
        <v>4.1500000000000004</v>
      </c>
      <c r="E459" s="2">
        <v>2.74</v>
      </c>
      <c r="F459" s="5">
        <v>1.3494999999999999</v>
      </c>
      <c r="G459" s="5">
        <v>1.1466000000000001</v>
      </c>
      <c r="J459" s="2">
        <f t="shared" si="22"/>
        <v>0.55999999999999961</v>
      </c>
      <c r="K459" s="2">
        <f t="shared" si="23"/>
        <v>1.9699999999999998</v>
      </c>
    </row>
    <row r="460" spans="1:11" x14ac:dyDescent="0.25">
      <c r="A460" s="4">
        <f t="shared" si="21"/>
        <v>45923</v>
      </c>
      <c r="B460" t="s">
        <v>487</v>
      </c>
      <c r="C460" s="2">
        <v>4.68</v>
      </c>
      <c r="D460" s="2">
        <v>4.12</v>
      </c>
      <c r="E460" s="2">
        <v>2.75</v>
      </c>
      <c r="F460" s="5">
        <v>1.3525</v>
      </c>
      <c r="G460" s="5">
        <v>1.1466000000000001</v>
      </c>
      <c r="J460" s="2">
        <f t="shared" si="22"/>
        <v>0.55999999999999961</v>
      </c>
      <c r="K460" s="2">
        <f t="shared" si="23"/>
        <v>1.9299999999999997</v>
      </c>
    </row>
    <row r="461" spans="1:11" x14ac:dyDescent="0.25">
      <c r="A461" s="4">
        <f t="shared" si="21"/>
        <v>45924</v>
      </c>
      <c r="B461" t="s">
        <v>488</v>
      </c>
      <c r="C461" s="2">
        <v>4.67</v>
      </c>
      <c r="D461" s="2">
        <v>4.16</v>
      </c>
      <c r="E461" s="2">
        <v>2.75</v>
      </c>
      <c r="F461" s="5">
        <v>1.3451</v>
      </c>
      <c r="G461" s="5">
        <v>1.1454</v>
      </c>
      <c r="J461" s="2">
        <f t="shared" si="22"/>
        <v>0.50999999999999979</v>
      </c>
      <c r="K461" s="2">
        <f t="shared" si="23"/>
        <v>1.92</v>
      </c>
    </row>
    <row r="462" spans="1:11" x14ac:dyDescent="0.25">
      <c r="A462" s="4">
        <f t="shared" si="21"/>
        <v>45925</v>
      </c>
      <c r="B462" t="s">
        <v>489</v>
      </c>
      <c r="C462" s="2">
        <v>4.7699999999999996</v>
      </c>
      <c r="D462" s="2">
        <v>4.18</v>
      </c>
      <c r="E462" s="2">
        <v>2.77</v>
      </c>
      <c r="F462" s="5">
        <v>1.3348</v>
      </c>
      <c r="G462" s="5">
        <v>1.1432</v>
      </c>
      <c r="J462" s="2">
        <f t="shared" si="22"/>
        <v>0.58999999999999986</v>
      </c>
      <c r="K462" s="2">
        <f t="shared" si="23"/>
        <v>1.9999999999999996</v>
      </c>
    </row>
    <row r="463" spans="1:11" x14ac:dyDescent="0.25">
      <c r="A463" s="4">
        <f t="shared" ref="A463:A526" si="24">+A458+7</f>
        <v>45926</v>
      </c>
      <c r="B463" t="s">
        <v>490</v>
      </c>
      <c r="C463" s="2">
        <v>4.75</v>
      </c>
      <c r="D463" s="2">
        <v>4.2</v>
      </c>
      <c r="E463" s="2">
        <v>2.75</v>
      </c>
      <c r="F463" s="5">
        <v>1.3402000000000001</v>
      </c>
      <c r="G463" s="5">
        <v>1.1463000000000001</v>
      </c>
      <c r="J463" s="2">
        <f t="shared" si="22"/>
        <v>0.54999999999999982</v>
      </c>
      <c r="K463" s="2">
        <f t="shared" si="23"/>
        <v>2</v>
      </c>
    </row>
    <row r="464" spans="1:11" x14ac:dyDescent="0.25">
      <c r="A464" s="4">
        <f t="shared" si="24"/>
        <v>45929</v>
      </c>
      <c r="B464" t="s">
        <v>491</v>
      </c>
      <c r="C464" s="2">
        <v>4.7</v>
      </c>
      <c r="D464" s="2">
        <v>4.1500000000000004</v>
      </c>
      <c r="E464" s="2">
        <v>2.71</v>
      </c>
      <c r="F464" s="5">
        <v>1.3419000000000001</v>
      </c>
      <c r="G464" s="5">
        <v>1.1438999999999999</v>
      </c>
      <c r="J464" s="2">
        <f t="shared" si="22"/>
        <v>0.54999999999999982</v>
      </c>
      <c r="K464" s="2">
        <f t="shared" si="23"/>
        <v>1.9900000000000002</v>
      </c>
    </row>
    <row r="465" spans="1:11" x14ac:dyDescent="0.25">
      <c r="A465" s="4">
        <f t="shared" si="24"/>
        <v>45930</v>
      </c>
      <c r="B465" t="s">
        <v>492</v>
      </c>
      <c r="C465" s="2">
        <v>4.7</v>
      </c>
      <c r="D465" s="2">
        <v>4.16</v>
      </c>
      <c r="E465" s="2">
        <v>2.72</v>
      </c>
      <c r="F465" s="5">
        <v>1.3462000000000001</v>
      </c>
      <c r="G465" s="5">
        <v>1.1457999999999999</v>
      </c>
      <c r="J465" s="2">
        <f t="shared" si="22"/>
        <v>0.54</v>
      </c>
      <c r="K465" s="2">
        <f t="shared" si="23"/>
        <v>1.98</v>
      </c>
    </row>
    <row r="466" spans="1:11" x14ac:dyDescent="0.25">
      <c r="A466" s="4">
        <f t="shared" si="24"/>
        <v>45931</v>
      </c>
      <c r="B466" t="s">
        <v>493</v>
      </c>
      <c r="C466" s="2">
        <v>4.7</v>
      </c>
      <c r="D466" s="2">
        <v>4.12</v>
      </c>
      <c r="E466" s="2">
        <v>2.71</v>
      </c>
      <c r="F466" s="5">
        <v>1.3507</v>
      </c>
      <c r="G466" s="5">
        <v>1.1497999999999999</v>
      </c>
      <c r="J466" s="2">
        <f t="shared" si="22"/>
        <v>0.58000000000000007</v>
      </c>
      <c r="K466" s="2">
        <f t="shared" si="23"/>
        <v>1.9900000000000002</v>
      </c>
    </row>
    <row r="467" spans="1:11" x14ac:dyDescent="0.25">
      <c r="A467" s="4">
        <f t="shared" si="24"/>
        <v>45932</v>
      </c>
      <c r="B467" t="s">
        <v>494</v>
      </c>
      <c r="C467" s="2">
        <v>4.7</v>
      </c>
      <c r="D467" s="2">
        <v>4.0999999999999996</v>
      </c>
      <c r="E467" s="2">
        <v>2.7</v>
      </c>
      <c r="F467" s="5">
        <v>1.3421000000000001</v>
      </c>
      <c r="G467" s="5">
        <v>1.1457999999999999</v>
      </c>
      <c r="J467" s="2">
        <f t="shared" ref="J467:J530" si="25">C467-D467</f>
        <v>0.60000000000000053</v>
      </c>
      <c r="K467" s="2">
        <f t="shared" ref="K467:K530" si="26">C467-E467</f>
        <v>2</v>
      </c>
    </row>
    <row r="468" spans="1:11" x14ac:dyDescent="0.25">
      <c r="A468" s="4">
        <f t="shared" si="24"/>
        <v>45933</v>
      </c>
      <c r="B468" t="s">
        <v>495</v>
      </c>
      <c r="C468" s="2">
        <v>4.7</v>
      </c>
      <c r="D468" s="2">
        <v>4.13</v>
      </c>
      <c r="E468" s="2">
        <v>2.71</v>
      </c>
      <c r="F468" s="5">
        <v>1.3472</v>
      </c>
      <c r="G468" s="5">
        <v>1.1475</v>
      </c>
      <c r="J468" s="2">
        <f t="shared" si="25"/>
        <v>0.57000000000000028</v>
      </c>
      <c r="K468" s="2">
        <f t="shared" si="26"/>
        <v>1.9900000000000002</v>
      </c>
    </row>
    <row r="469" spans="1:11" x14ac:dyDescent="0.25">
      <c r="A469" s="4">
        <f t="shared" si="24"/>
        <v>45936</v>
      </c>
      <c r="B469" t="s">
        <v>496</v>
      </c>
      <c r="C469" s="2">
        <v>4.74</v>
      </c>
      <c r="D469" s="2">
        <v>4.18</v>
      </c>
      <c r="E469" s="2">
        <v>2.72</v>
      </c>
      <c r="F469" s="5">
        <v>1.3480000000000001</v>
      </c>
      <c r="G469" s="5">
        <v>1.1505000000000001</v>
      </c>
      <c r="J469" s="2">
        <f t="shared" si="25"/>
        <v>0.5600000000000005</v>
      </c>
      <c r="K469" s="2">
        <f t="shared" si="26"/>
        <v>2.02</v>
      </c>
    </row>
    <row r="470" spans="1:11" x14ac:dyDescent="0.25">
      <c r="A470" s="4">
        <f t="shared" si="24"/>
        <v>45937</v>
      </c>
      <c r="B470" t="s">
        <v>497</v>
      </c>
      <c r="C470" s="2">
        <v>4.72</v>
      </c>
      <c r="D470" s="2">
        <v>4.1399999999999997</v>
      </c>
      <c r="E470" s="2">
        <v>2.72</v>
      </c>
      <c r="F470" s="5">
        <v>1.3431</v>
      </c>
      <c r="G470" s="5">
        <v>1.1515</v>
      </c>
      <c r="J470" s="2">
        <f t="shared" si="25"/>
        <v>0.58000000000000007</v>
      </c>
      <c r="K470" s="2">
        <f t="shared" si="26"/>
        <v>1.9999999999999996</v>
      </c>
    </row>
    <row r="471" spans="1:11" x14ac:dyDescent="0.25">
      <c r="A471" s="4">
        <f t="shared" si="24"/>
        <v>45938</v>
      </c>
      <c r="B471" t="s">
        <v>498</v>
      </c>
      <c r="C471" s="2">
        <v>4.7</v>
      </c>
      <c r="D471" s="2">
        <v>4.13</v>
      </c>
      <c r="E471" s="2">
        <v>2.68</v>
      </c>
      <c r="F471" s="5">
        <v>1.3421000000000001</v>
      </c>
      <c r="G471" s="5">
        <v>1.1547000000000001</v>
      </c>
      <c r="J471" s="2">
        <f t="shared" si="25"/>
        <v>0.57000000000000028</v>
      </c>
      <c r="K471" s="2">
        <f t="shared" si="26"/>
        <v>2.02</v>
      </c>
    </row>
    <row r="472" spans="1:11" x14ac:dyDescent="0.25">
      <c r="A472" s="4">
        <f t="shared" si="24"/>
        <v>45939</v>
      </c>
      <c r="B472" t="s">
        <v>499</v>
      </c>
      <c r="C472" s="2">
        <v>4.75</v>
      </c>
      <c r="D472" s="2">
        <v>4.1399999999999997</v>
      </c>
      <c r="E472" s="2">
        <v>2.7</v>
      </c>
      <c r="F472" s="5">
        <v>1.3332999999999999</v>
      </c>
      <c r="G472" s="5">
        <v>1.1513</v>
      </c>
      <c r="J472" s="2">
        <f t="shared" si="25"/>
        <v>0.61000000000000032</v>
      </c>
      <c r="K472" s="2">
        <f t="shared" si="26"/>
        <v>2.0499999999999998</v>
      </c>
    </row>
    <row r="473" spans="1:11" x14ac:dyDescent="0.25">
      <c r="A473" s="4">
        <f t="shared" si="24"/>
        <v>45940</v>
      </c>
      <c r="B473" t="s">
        <v>500</v>
      </c>
      <c r="C473" s="2">
        <v>4.67</v>
      </c>
      <c r="D473" s="2">
        <v>4.05</v>
      </c>
      <c r="E473" s="2">
        <v>2.64</v>
      </c>
      <c r="F473" s="5">
        <v>1.3302</v>
      </c>
      <c r="G473" s="5">
        <v>1.1489</v>
      </c>
      <c r="J473" s="2">
        <f t="shared" si="25"/>
        <v>0.62000000000000011</v>
      </c>
      <c r="K473" s="2">
        <f t="shared" si="26"/>
        <v>2.0299999999999998</v>
      </c>
    </row>
    <row r="474" spans="1:11" x14ac:dyDescent="0.25">
      <c r="A474" s="4">
        <f t="shared" si="24"/>
        <v>45943</v>
      </c>
      <c r="B474" t="s">
        <v>501</v>
      </c>
      <c r="C474" s="2">
        <v>4.6500000000000004</v>
      </c>
      <c r="D474" s="2" t="e">
        <v>#N/A</v>
      </c>
      <c r="E474" s="2">
        <v>2.63</v>
      </c>
      <c r="F474" s="5">
        <v>1.3327</v>
      </c>
      <c r="G474" s="5">
        <v>1.1526000000000001</v>
      </c>
      <c r="J474" s="2" t="e">
        <f t="shared" si="25"/>
        <v>#N/A</v>
      </c>
      <c r="K474" s="2">
        <f t="shared" si="26"/>
        <v>2.0200000000000005</v>
      </c>
    </row>
    <row r="475" spans="1:11" x14ac:dyDescent="0.25">
      <c r="A475" s="4">
        <f t="shared" si="24"/>
        <v>45944</v>
      </c>
      <c r="B475" t="s">
        <v>502</v>
      </c>
      <c r="C475" s="2">
        <v>4.57</v>
      </c>
      <c r="D475" s="2">
        <v>4.03</v>
      </c>
      <c r="E475" s="2">
        <v>2.6</v>
      </c>
      <c r="F475" s="5">
        <v>1.3297000000000001</v>
      </c>
      <c r="G475" s="5">
        <v>1.1469</v>
      </c>
      <c r="J475" s="2">
        <f t="shared" si="25"/>
        <v>0.54</v>
      </c>
      <c r="K475" s="2">
        <f t="shared" si="26"/>
        <v>1.9700000000000002</v>
      </c>
    </row>
    <row r="476" spans="1:11" x14ac:dyDescent="0.25">
      <c r="A476" s="4">
        <f t="shared" si="24"/>
        <v>45945</v>
      </c>
      <c r="B476" t="s">
        <v>503</v>
      </c>
      <c r="C476" s="2">
        <v>4.55</v>
      </c>
      <c r="D476" s="2">
        <v>4.05</v>
      </c>
      <c r="E476" s="2">
        <v>2.57</v>
      </c>
      <c r="F476" s="5">
        <v>1.3365</v>
      </c>
      <c r="G476" s="5">
        <v>1.1496999999999999</v>
      </c>
      <c r="J476" s="2">
        <f t="shared" si="25"/>
        <v>0.5</v>
      </c>
      <c r="K476" s="2">
        <f t="shared" si="26"/>
        <v>1.98</v>
      </c>
    </row>
    <row r="477" spans="1:11" x14ac:dyDescent="0.25">
      <c r="A477" s="4">
        <f t="shared" si="24"/>
        <v>45946</v>
      </c>
      <c r="B477" t="s">
        <v>504</v>
      </c>
      <c r="C477" s="2">
        <v>4.4800000000000004</v>
      </c>
      <c r="D477" s="2">
        <v>3.99</v>
      </c>
      <c r="E477" s="2">
        <v>2.57</v>
      </c>
      <c r="F477" s="5">
        <v>1.3433999999999999</v>
      </c>
      <c r="G477" s="5">
        <v>1.1505000000000001</v>
      </c>
      <c r="J477" s="2">
        <f t="shared" si="25"/>
        <v>0.49000000000000021</v>
      </c>
      <c r="K477" s="2">
        <f t="shared" si="26"/>
        <v>1.9100000000000006</v>
      </c>
    </row>
    <row r="478" spans="1:11" x14ac:dyDescent="0.25">
      <c r="A478" s="4">
        <f t="shared" si="24"/>
        <v>45947</v>
      </c>
      <c r="B478" t="s">
        <v>505</v>
      </c>
      <c r="C478" s="2">
        <v>4.54</v>
      </c>
      <c r="D478" s="2">
        <v>4.0199999999999996</v>
      </c>
      <c r="E478" s="2">
        <v>2.58</v>
      </c>
      <c r="F478" s="5">
        <v>1.3391999999999999</v>
      </c>
      <c r="G478" s="5">
        <v>1.1478999999999999</v>
      </c>
      <c r="J478" s="2">
        <f t="shared" si="25"/>
        <v>0.52000000000000046</v>
      </c>
      <c r="K478" s="2">
        <f t="shared" si="26"/>
        <v>1.96</v>
      </c>
    </row>
    <row r="479" spans="1:11" x14ac:dyDescent="0.25">
      <c r="A479" s="4">
        <f t="shared" si="24"/>
        <v>45950</v>
      </c>
      <c r="B479" t="s">
        <v>506</v>
      </c>
      <c r="C479" s="2">
        <v>4.53</v>
      </c>
      <c r="D479" s="2">
        <v>4</v>
      </c>
      <c r="E479" s="2">
        <v>2.58</v>
      </c>
      <c r="F479" s="5">
        <v>1.3415999999999999</v>
      </c>
      <c r="G479" s="5">
        <v>1.1512</v>
      </c>
      <c r="J479" s="2">
        <f t="shared" si="25"/>
        <v>0.53000000000000025</v>
      </c>
      <c r="K479" s="2">
        <f t="shared" si="26"/>
        <v>1.9500000000000002</v>
      </c>
    </row>
    <row r="480" spans="1:11" x14ac:dyDescent="0.25">
      <c r="A480" s="4">
        <f t="shared" si="24"/>
        <v>45951</v>
      </c>
      <c r="B480" t="s">
        <v>507</v>
      </c>
      <c r="C480" s="2">
        <v>4.4800000000000004</v>
      </c>
      <c r="D480" s="2">
        <v>3.98</v>
      </c>
      <c r="E480" s="2">
        <v>2.5499999999999998</v>
      </c>
      <c r="F480" s="5">
        <v>1.3372999999999999</v>
      </c>
      <c r="G480" s="5">
        <v>1.1523000000000001</v>
      </c>
      <c r="J480" s="2">
        <f t="shared" si="25"/>
        <v>0.50000000000000044</v>
      </c>
      <c r="K480" s="2">
        <f t="shared" si="26"/>
        <v>1.9300000000000006</v>
      </c>
    </row>
    <row r="481" spans="1:11" x14ac:dyDescent="0.25">
      <c r="A481" s="4">
        <f t="shared" si="24"/>
        <v>45952</v>
      </c>
      <c r="B481" t="s">
        <v>508</v>
      </c>
      <c r="C481" s="2">
        <v>4.43</v>
      </c>
      <c r="D481" s="2">
        <v>3.97</v>
      </c>
      <c r="E481" s="2">
        <v>2.56</v>
      </c>
      <c r="F481" s="5">
        <v>1.3354999999999999</v>
      </c>
      <c r="G481" s="5">
        <v>1.1500999999999999</v>
      </c>
      <c r="J481" s="2">
        <f t="shared" si="25"/>
        <v>0.45999999999999952</v>
      </c>
      <c r="K481" s="2">
        <f t="shared" si="26"/>
        <v>1.8699999999999997</v>
      </c>
    </row>
    <row r="482" spans="1:11" x14ac:dyDescent="0.25">
      <c r="A482" s="4">
        <f t="shared" si="24"/>
        <v>45953</v>
      </c>
      <c r="B482" t="s">
        <v>509</v>
      </c>
      <c r="C482" s="2">
        <v>4.42</v>
      </c>
      <c r="D482" s="2">
        <v>4.01</v>
      </c>
      <c r="E482" s="2">
        <v>2.59</v>
      </c>
      <c r="F482" s="5">
        <v>1.3322000000000001</v>
      </c>
      <c r="G482" s="5">
        <v>1.1471</v>
      </c>
      <c r="J482" s="2">
        <f t="shared" si="25"/>
        <v>0.41000000000000014</v>
      </c>
      <c r="K482" s="2">
        <f t="shared" si="26"/>
        <v>1.83</v>
      </c>
    </row>
    <row r="483" spans="1:11" x14ac:dyDescent="0.25">
      <c r="A483" s="4">
        <f t="shared" si="24"/>
        <v>45954</v>
      </c>
      <c r="B483" t="s">
        <v>510</v>
      </c>
      <c r="C483" s="2">
        <v>4.4400000000000004</v>
      </c>
      <c r="D483" s="2">
        <v>4.0199999999999996</v>
      </c>
      <c r="E483" s="2">
        <v>2.63</v>
      </c>
      <c r="F483" s="5">
        <v>1.3301000000000001</v>
      </c>
      <c r="G483" s="5">
        <v>1.1439999999999999</v>
      </c>
      <c r="J483" s="2">
        <f t="shared" si="25"/>
        <v>0.42000000000000082</v>
      </c>
      <c r="K483" s="2">
        <f t="shared" si="26"/>
        <v>1.8100000000000005</v>
      </c>
    </row>
    <row r="484" spans="1:11" x14ac:dyDescent="0.25">
      <c r="A484" s="4">
        <f t="shared" si="24"/>
        <v>45957</v>
      </c>
      <c r="B484" t="s">
        <v>511</v>
      </c>
      <c r="C484" s="2">
        <v>4.4000000000000004</v>
      </c>
      <c r="D484" s="2">
        <v>4.01</v>
      </c>
      <c r="E484" s="2">
        <v>2.62</v>
      </c>
      <c r="F484" s="5">
        <v>1.3329</v>
      </c>
      <c r="G484" s="5">
        <v>1.1455</v>
      </c>
      <c r="J484" s="2">
        <f t="shared" si="25"/>
        <v>0.39000000000000057</v>
      </c>
      <c r="K484" s="2">
        <f t="shared" si="26"/>
        <v>1.7800000000000002</v>
      </c>
    </row>
    <row r="485" spans="1:11" x14ac:dyDescent="0.25">
      <c r="A485" s="4">
        <f t="shared" si="24"/>
        <v>45958</v>
      </c>
      <c r="B485" t="s">
        <v>512</v>
      </c>
      <c r="C485" s="2">
        <v>4.4000000000000004</v>
      </c>
      <c r="D485" s="2">
        <v>3.99</v>
      </c>
      <c r="E485" s="2">
        <v>2.62</v>
      </c>
      <c r="F485" s="5">
        <v>1.3278000000000001</v>
      </c>
      <c r="G485" s="5">
        <v>1.1389</v>
      </c>
      <c r="J485" s="2">
        <f t="shared" si="25"/>
        <v>0.41000000000000014</v>
      </c>
      <c r="K485" s="2">
        <f t="shared" si="26"/>
        <v>1.7800000000000002</v>
      </c>
    </row>
    <row r="486" spans="1:11" x14ac:dyDescent="0.25">
      <c r="A486" s="4">
        <f t="shared" si="24"/>
        <v>45959</v>
      </c>
      <c r="B486" t="s">
        <v>513</v>
      </c>
      <c r="C486" s="2">
        <v>4.4000000000000004</v>
      </c>
      <c r="D486" s="2">
        <v>4.08</v>
      </c>
      <c r="E486" s="2">
        <v>2.63</v>
      </c>
      <c r="F486" s="5">
        <v>1.3241000000000001</v>
      </c>
      <c r="G486" s="5">
        <v>1.1353</v>
      </c>
      <c r="J486" s="2">
        <f t="shared" si="25"/>
        <v>0.32000000000000028</v>
      </c>
      <c r="K486" s="2">
        <f t="shared" si="26"/>
        <v>1.7700000000000005</v>
      </c>
    </row>
    <row r="487" spans="1:11" x14ac:dyDescent="0.25">
      <c r="A487" s="4">
        <f t="shared" si="24"/>
        <v>45960</v>
      </c>
      <c r="B487" t="s">
        <v>514</v>
      </c>
      <c r="C487" s="2">
        <v>4.41</v>
      </c>
      <c r="D487" s="2">
        <v>4.1100000000000003</v>
      </c>
      <c r="E487" s="2">
        <v>2.63</v>
      </c>
      <c r="F487" s="5">
        <v>1.3147</v>
      </c>
      <c r="G487" s="5">
        <v>1.1368</v>
      </c>
      <c r="J487" s="2">
        <f t="shared" si="25"/>
        <v>0.29999999999999982</v>
      </c>
      <c r="K487" s="2">
        <f t="shared" si="26"/>
        <v>1.7800000000000002</v>
      </c>
    </row>
    <row r="488" spans="1:11" x14ac:dyDescent="0.25">
      <c r="A488" s="4">
        <f t="shared" si="24"/>
        <v>45961</v>
      </c>
      <c r="B488" t="s">
        <v>515</v>
      </c>
      <c r="C488" s="2">
        <v>4.4000000000000004</v>
      </c>
      <c r="D488" s="2">
        <v>4.1100000000000003</v>
      </c>
      <c r="E488" s="2">
        <v>2.63</v>
      </c>
      <c r="F488" s="5">
        <v>1.3139000000000001</v>
      </c>
      <c r="G488" s="5">
        <v>1.1384000000000001</v>
      </c>
      <c r="J488" s="2">
        <f t="shared" si="25"/>
        <v>0.29000000000000004</v>
      </c>
      <c r="K488" s="2">
        <f t="shared" si="26"/>
        <v>1.7700000000000005</v>
      </c>
    </row>
    <row r="489" spans="1:11" x14ac:dyDescent="0.25">
      <c r="A489" s="4">
        <f t="shared" si="24"/>
        <v>45964</v>
      </c>
      <c r="B489" t="s">
        <v>516</v>
      </c>
      <c r="C489" s="2">
        <v>4.43</v>
      </c>
      <c r="D489" s="2">
        <v>4.13</v>
      </c>
      <c r="E489" s="2">
        <v>2.66</v>
      </c>
      <c r="F489" s="5">
        <v>1.3146</v>
      </c>
      <c r="G489" s="5">
        <v>1.1407</v>
      </c>
      <c r="J489" s="2">
        <f t="shared" si="25"/>
        <v>0.29999999999999982</v>
      </c>
      <c r="K489" s="2">
        <f t="shared" si="26"/>
        <v>1.7699999999999996</v>
      </c>
    </row>
    <row r="490" spans="1:11" x14ac:dyDescent="0.25">
      <c r="A490" s="4">
        <f t="shared" si="24"/>
        <v>45965</v>
      </c>
      <c r="B490" t="s">
        <v>517</v>
      </c>
      <c r="C490" s="2">
        <v>4.42</v>
      </c>
      <c r="D490" s="2">
        <v>4.0999999999999996</v>
      </c>
      <c r="E490" s="2">
        <v>2.65</v>
      </c>
      <c r="F490" s="5">
        <v>1.3046</v>
      </c>
      <c r="G490" s="5">
        <v>1.1353</v>
      </c>
      <c r="J490" s="2">
        <f t="shared" si="25"/>
        <v>0.32000000000000028</v>
      </c>
      <c r="K490" s="2">
        <f t="shared" si="26"/>
        <v>1.77</v>
      </c>
    </row>
    <row r="491" spans="1:11" x14ac:dyDescent="0.25">
      <c r="A491" s="4">
        <f t="shared" si="24"/>
        <v>45966</v>
      </c>
      <c r="B491" t="s">
        <v>518</v>
      </c>
      <c r="C491" s="2">
        <v>4.46</v>
      </c>
      <c r="D491" s="2">
        <v>4.17</v>
      </c>
      <c r="E491" s="2">
        <v>2.68</v>
      </c>
      <c r="F491" s="5">
        <v>1.3042</v>
      </c>
      <c r="G491" s="5">
        <v>1.1361000000000001</v>
      </c>
      <c r="J491" s="2">
        <f t="shared" si="25"/>
        <v>0.29000000000000004</v>
      </c>
      <c r="K491" s="2">
        <f t="shared" si="26"/>
        <v>1.7799999999999998</v>
      </c>
    </row>
    <row r="492" spans="1:11" x14ac:dyDescent="0.25">
      <c r="A492" s="4">
        <f t="shared" si="24"/>
        <v>45967</v>
      </c>
      <c r="B492" t="s">
        <v>519</v>
      </c>
      <c r="C492" s="2">
        <v>4.4400000000000004</v>
      </c>
      <c r="D492" s="2">
        <v>4.1100000000000003</v>
      </c>
      <c r="E492" s="2">
        <v>2.66</v>
      </c>
      <c r="F492" s="5">
        <v>1.3102</v>
      </c>
      <c r="G492" s="5">
        <v>1.1354</v>
      </c>
      <c r="J492" s="2">
        <f t="shared" si="25"/>
        <v>0.33000000000000007</v>
      </c>
      <c r="K492" s="2">
        <f t="shared" si="26"/>
        <v>1.7800000000000002</v>
      </c>
    </row>
    <row r="493" spans="1:11" x14ac:dyDescent="0.25">
      <c r="A493" s="4">
        <f t="shared" si="24"/>
        <v>45968</v>
      </c>
      <c r="B493" t="s">
        <v>520</v>
      </c>
      <c r="C493" s="2">
        <v>4.4800000000000004</v>
      </c>
      <c r="D493" s="2">
        <v>4.1100000000000003</v>
      </c>
      <c r="E493" s="2">
        <v>2.67</v>
      </c>
      <c r="F493" s="5">
        <v>1.3151999999999999</v>
      </c>
      <c r="G493" s="5">
        <v>1.1365000000000001</v>
      </c>
      <c r="J493" s="2">
        <f t="shared" si="25"/>
        <v>0.37000000000000011</v>
      </c>
      <c r="K493" s="2">
        <f t="shared" si="26"/>
        <v>1.8100000000000005</v>
      </c>
    </row>
    <row r="494" spans="1:11" x14ac:dyDescent="0.25">
      <c r="A494" s="4">
        <f t="shared" si="24"/>
        <v>45971</v>
      </c>
      <c r="B494" t="s">
        <v>521</v>
      </c>
      <c r="C494" s="2">
        <v>4.46</v>
      </c>
      <c r="D494" s="2">
        <v>4.13</v>
      </c>
      <c r="E494" s="2">
        <v>2.67</v>
      </c>
      <c r="F494" s="5">
        <v>1.3148</v>
      </c>
      <c r="G494" s="5">
        <v>1.1388</v>
      </c>
      <c r="J494" s="2">
        <f t="shared" si="25"/>
        <v>0.33000000000000007</v>
      </c>
      <c r="K494" s="2">
        <f t="shared" si="26"/>
        <v>1.79</v>
      </c>
    </row>
    <row r="495" spans="1:11" x14ac:dyDescent="0.25">
      <c r="A495" s="4">
        <f t="shared" si="24"/>
        <v>45972</v>
      </c>
      <c r="B495" t="s">
        <v>522</v>
      </c>
      <c r="C495" s="2">
        <v>4.38</v>
      </c>
      <c r="D495" s="2" t="e">
        <v>#N/A</v>
      </c>
      <c r="E495" s="2">
        <v>2.65</v>
      </c>
      <c r="F495" s="5">
        <v>1.3172999999999999</v>
      </c>
      <c r="G495" s="5">
        <v>1.1359999999999999</v>
      </c>
      <c r="J495" s="2" t="e">
        <f t="shared" si="25"/>
        <v>#N/A</v>
      </c>
      <c r="K495" s="2">
        <f t="shared" si="26"/>
        <v>1.73</v>
      </c>
    </row>
    <row r="496" spans="1:11" x14ac:dyDescent="0.25">
      <c r="A496" s="4">
        <f t="shared" si="24"/>
        <v>45973</v>
      </c>
      <c r="B496" t="s">
        <v>523</v>
      </c>
      <c r="C496" s="2">
        <v>4.4000000000000004</v>
      </c>
      <c r="D496" s="2">
        <v>4.08</v>
      </c>
      <c r="E496" s="2">
        <v>2.65</v>
      </c>
      <c r="F496" s="5">
        <v>1.3129999999999999</v>
      </c>
      <c r="G496" s="5">
        <v>1.1325000000000001</v>
      </c>
      <c r="J496" s="2">
        <f t="shared" si="25"/>
        <v>0.32000000000000028</v>
      </c>
      <c r="K496" s="2">
        <f t="shared" si="26"/>
        <v>1.7500000000000004</v>
      </c>
    </row>
    <row r="497" spans="1:11" x14ac:dyDescent="0.25">
      <c r="A497" s="4">
        <f t="shared" si="24"/>
        <v>45974</v>
      </c>
      <c r="B497" t="s">
        <v>524</v>
      </c>
      <c r="C497" s="2">
        <v>4.4400000000000004</v>
      </c>
      <c r="D497" s="2">
        <v>4.1100000000000003</v>
      </c>
      <c r="E497" s="2">
        <v>2.69</v>
      </c>
      <c r="F497" s="5">
        <v>1.3199000000000001</v>
      </c>
      <c r="G497" s="5">
        <v>1.1339999999999999</v>
      </c>
      <c r="J497" s="2">
        <f t="shared" si="25"/>
        <v>0.33000000000000007</v>
      </c>
      <c r="K497" s="2">
        <f t="shared" si="26"/>
        <v>1.7500000000000004</v>
      </c>
    </row>
    <row r="498" spans="1:11" x14ac:dyDescent="0.25">
      <c r="A498" s="4">
        <f t="shared" si="24"/>
        <v>45975</v>
      </c>
      <c r="B498" t="s">
        <v>525</v>
      </c>
      <c r="C498" s="2">
        <v>4.59</v>
      </c>
      <c r="D498" s="2">
        <v>4.1399999999999997</v>
      </c>
      <c r="E498" s="2">
        <v>2.72</v>
      </c>
      <c r="F498" s="5">
        <v>1.3140000000000001</v>
      </c>
      <c r="G498" s="5">
        <v>1.1314</v>
      </c>
      <c r="J498" s="2">
        <f t="shared" si="25"/>
        <v>0.45000000000000018</v>
      </c>
      <c r="K498" s="2">
        <f t="shared" si="26"/>
        <v>1.8699999999999997</v>
      </c>
    </row>
    <row r="499" spans="1:11" x14ac:dyDescent="0.25">
      <c r="A499" s="4">
        <f t="shared" si="24"/>
        <v>45978</v>
      </c>
      <c r="B499" t="s">
        <v>526</v>
      </c>
      <c r="C499" s="2">
        <v>4.54</v>
      </c>
      <c r="D499" s="2">
        <v>4.13</v>
      </c>
      <c r="E499" s="2">
        <v>2.72</v>
      </c>
      <c r="F499" s="5">
        <v>1.3177000000000001</v>
      </c>
      <c r="G499" s="5">
        <v>1.1362000000000001</v>
      </c>
      <c r="J499" s="2">
        <f t="shared" si="25"/>
        <v>0.41000000000000014</v>
      </c>
      <c r="K499" s="2">
        <f t="shared" si="26"/>
        <v>1.8199999999999998</v>
      </c>
    </row>
    <row r="500" spans="1:11" x14ac:dyDescent="0.25">
      <c r="A500" s="4">
        <f t="shared" si="24"/>
        <v>45979</v>
      </c>
      <c r="B500" t="s">
        <v>527</v>
      </c>
      <c r="C500" s="2">
        <v>4.5599999999999996</v>
      </c>
      <c r="D500" s="2">
        <v>4.12</v>
      </c>
      <c r="E500" s="2">
        <v>2.71</v>
      </c>
      <c r="F500" s="5">
        <v>1.3144</v>
      </c>
      <c r="G500" s="5">
        <v>1.1348</v>
      </c>
      <c r="J500" s="2">
        <f t="shared" si="25"/>
        <v>0.4399999999999995</v>
      </c>
      <c r="K500" s="2">
        <f t="shared" si="26"/>
        <v>1.8499999999999996</v>
      </c>
    </row>
    <row r="501" spans="1:11" x14ac:dyDescent="0.25">
      <c r="A501" s="4">
        <f t="shared" si="24"/>
        <v>45980</v>
      </c>
      <c r="B501" t="s">
        <v>528</v>
      </c>
      <c r="C501" s="2">
        <v>4.6100000000000003</v>
      </c>
      <c r="D501" s="2">
        <v>4.13</v>
      </c>
      <c r="E501" s="2">
        <v>2.72</v>
      </c>
      <c r="F501" s="5">
        <v>1.3080000000000001</v>
      </c>
      <c r="G501" s="5">
        <v>1.1328</v>
      </c>
      <c r="J501" s="2">
        <f t="shared" si="25"/>
        <v>0.48000000000000043</v>
      </c>
      <c r="K501" s="2">
        <f t="shared" si="26"/>
        <v>1.8900000000000001</v>
      </c>
    </row>
    <row r="502" spans="1:11" x14ac:dyDescent="0.25">
      <c r="A502" s="4">
        <f t="shared" si="24"/>
        <v>45981</v>
      </c>
      <c r="B502" t="s">
        <v>529</v>
      </c>
      <c r="C502" s="2">
        <v>4.6399999999999997</v>
      </c>
      <c r="D502" s="2">
        <v>4.0999999999999996</v>
      </c>
      <c r="E502" s="2">
        <v>2.72</v>
      </c>
      <c r="F502" s="5">
        <v>1.3096000000000001</v>
      </c>
      <c r="G502" s="5">
        <v>1.1359999999999999</v>
      </c>
      <c r="J502" s="2">
        <f t="shared" si="25"/>
        <v>0.54</v>
      </c>
      <c r="K502" s="2">
        <f t="shared" si="26"/>
        <v>1.9199999999999995</v>
      </c>
    </row>
    <row r="503" spans="1:11" x14ac:dyDescent="0.25">
      <c r="A503" s="4">
        <f t="shared" si="24"/>
        <v>45982</v>
      </c>
      <c r="B503" t="s">
        <v>530</v>
      </c>
      <c r="C503" s="2">
        <v>4.55</v>
      </c>
      <c r="D503" s="2">
        <v>4.0599999999999996</v>
      </c>
      <c r="E503" s="2">
        <v>2.7</v>
      </c>
      <c r="F503" s="5">
        <v>1.3085</v>
      </c>
      <c r="G503" s="5">
        <v>1.1375</v>
      </c>
      <c r="J503" s="2">
        <f t="shared" si="25"/>
        <v>0.49000000000000021</v>
      </c>
      <c r="K503" s="2">
        <f t="shared" si="26"/>
        <v>1.8499999999999996</v>
      </c>
    </row>
    <row r="504" spans="1:11" x14ac:dyDescent="0.25">
      <c r="A504" s="4">
        <f t="shared" si="24"/>
        <v>45985</v>
      </c>
      <c r="B504" t="s">
        <v>531</v>
      </c>
      <c r="C504" s="2">
        <v>4.53</v>
      </c>
      <c r="D504" s="2">
        <v>4.04</v>
      </c>
      <c r="E504" s="2">
        <v>2.69</v>
      </c>
      <c r="F504" s="5">
        <v>1.3098000000000001</v>
      </c>
      <c r="G504" s="5">
        <v>1.1359999999999999</v>
      </c>
      <c r="J504" s="2">
        <f t="shared" si="25"/>
        <v>0.49000000000000021</v>
      </c>
      <c r="K504" s="2">
        <f t="shared" si="26"/>
        <v>1.8400000000000003</v>
      </c>
    </row>
    <row r="505" spans="1:11" x14ac:dyDescent="0.25">
      <c r="A505" s="4">
        <f t="shared" si="24"/>
        <v>45986</v>
      </c>
      <c r="B505" t="s">
        <v>532</v>
      </c>
      <c r="C505" s="2">
        <v>4.53</v>
      </c>
      <c r="D505" s="2">
        <v>4.01</v>
      </c>
      <c r="E505" s="2">
        <v>2.68</v>
      </c>
      <c r="F505" s="5">
        <v>1.3177000000000001</v>
      </c>
      <c r="G505" s="5">
        <v>1.1395999999999999</v>
      </c>
      <c r="J505" s="2">
        <f t="shared" si="25"/>
        <v>0.52000000000000046</v>
      </c>
      <c r="K505" s="2">
        <f t="shared" si="26"/>
        <v>1.85</v>
      </c>
    </row>
    <row r="506" spans="1:11" x14ac:dyDescent="0.25">
      <c r="A506" s="4">
        <f t="shared" si="24"/>
        <v>45987</v>
      </c>
      <c r="B506" t="s">
        <v>533</v>
      </c>
      <c r="C506" s="2">
        <v>4.42</v>
      </c>
      <c r="D506" s="2">
        <v>4</v>
      </c>
      <c r="E506" s="2">
        <v>2.67</v>
      </c>
      <c r="F506" s="5">
        <v>1.3226</v>
      </c>
      <c r="G506" s="5">
        <v>1.1412</v>
      </c>
      <c r="J506" s="2">
        <f t="shared" si="25"/>
        <v>0.41999999999999993</v>
      </c>
      <c r="K506" s="2">
        <f t="shared" si="26"/>
        <v>1.75</v>
      </c>
    </row>
    <row r="507" spans="1:11" x14ac:dyDescent="0.25">
      <c r="A507" s="4">
        <f t="shared" si="24"/>
        <v>45988</v>
      </c>
      <c r="B507" t="s">
        <v>534</v>
      </c>
      <c r="C507" s="2">
        <v>4.45</v>
      </c>
      <c r="D507" s="2" t="e">
        <v>#N/A</v>
      </c>
      <c r="E507" s="2">
        <v>2.68</v>
      </c>
      <c r="F507" s="5">
        <v>1.3251999999999999</v>
      </c>
      <c r="G507" s="5">
        <v>1.143</v>
      </c>
      <c r="J507" s="2" t="e">
        <f t="shared" si="25"/>
        <v>#N/A</v>
      </c>
      <c r="K507" s="2">
        <f t="shared" si="26"/>
        <v>1.77</v>
      </c>
    </row>
    <row r="508" spans="1:11" x14ac:dyDescent="0.25">
      <c r="A508" s="4">
        <f t="shared" si="24"/>
        <v>45989</v>
      </c>
      <c r="B508" t="s">
        <v>535</v>
      </c>
      <c r="C508" s="2">
        <v>4.4400000000000004</v>
      </c>
      <c r="D508" s="2">
        <v>4.0199999999999996</v>
      </c>
      <c r="E508" s="2">
        <v>2.69</v>
      </c>
      <c r="F508" s="5">
        <v>1.3251999999999999</v>
      </c>
      <c r="G508" s="5">
        <v>1.1416999999999999</v>
      </c>
      <c r="J508" s="2">
        <f t="shared" si="25"/>
        <v>0.42000000000000082</v>
      </c>
      <c r="K508" s="2">
        <f t="shared" si="26"/>
        <v>1.7500000000000004</v>
      </c>
    </row>
    <row r="509" spans="1:11" x14ac:dyDescent="0.25">
      <c r="A509" s="4">
        <f t="shared" si="24"/>
        <v>45992</v>
      </c>
      <c r="B509" t="s">
        <v>536</v>
      </c>
      <c r="C509" s="2">
        <v>4.4800000000000004</v>
      </c>
      <c r="D509" s="2">
        <v>4.09</v>
      </c>
      <c r="E509" s="2">
        <v>2.75</v>
      </c>
      <c r="F509" s="5">
        <v>1.3251999999999999</v>
      </c>
      <c r="G509" s="5">
        <v>1.1395999999999999</v>
      </c>
      <c r="J509" s="2">
        <f t="shared" si="25"/>
        <v>0.39000000000000057</v>
      </c>
      <c r="K509" s="2">
        <f t="shared" si="26"/>
        <v>1.7300000000000004</v>
      </c>
    </row>
    <row r="510" spans="1:11" x14ac:dyDescent="0.25">
      <c r="A510" s="4">
        <f t="shared" si="24"/>
        <v>45993</v>
      </c>
      <c r="B510" t="s">
        <v>537</v>
      </c>
      <c r="C510" s="2">
        <v>4.46</v>
      </c>
      <c r="D510" s="2">
        <v>4.09</v>
      </c>
      <c r="E510" s="2">
        <v>2.75</v>
      </c>
      <c r="F510" s="5">
        <v>1.3201000000000001</v>
      </c>
      <c r="G510" s="5">
        <v>1.1374</v>
      </c>
      <c r="J510" s="2">
        <f t="shared" si="25"/>
        <v>0.37000000000000011</v>
      </c>
      <c r="K510" s="2">
        <f t="shared" si="26"/>
        <v>1.71</v>
      </c>
    </row>
    <row r="511" spans="1:11" x14ac:dyDescent="0.25">
      <c r="A511" s="4">
        <f t="shared" si="24"/>
        <v>45994</v>
      </c>
      <c r="B511" t="s">
        <v>538</v>
      </c>
      <c r="C511" s="2">
        <v>4.4400000000000004</v>
      </c>
      <c r="D511" s="2">
        <v>4.0599999999999996</v>
      </c>
      <c r="E511" s="2">
        <v>2.74</v>
      </c>
      <c r="F511" s="5">
        <v>1.3331</v>
      </c>
      <c r="G511" s="5">
        <v>1.1434</v>
      </c>
      <c r="J511" s="2">
        <f t="shared" si="25"/>
        <v>0.38000000000000078</v>
      </c>
      <c r="K511" s="2">
        <f t="shared" si="26"/>
        <v>1.7000000000000002</v>
      </c>
    </row>
    <row r="512" spans="1:11" x14ac:dyDescent="0.25">
      <c r="A512" s="4">
        <f t="shared" si="24"/>
        <v>45995</v>
      </c>
      <c r="B512" t="s">
        <v>539</v>
      </c>
      <c r="C512" s="2">
        <v>4.43</v>
      </c>
      <c r="D512" s="2">
        <v>4.1100000000000003</v>
      </c>
      <c r="E512" s="2">
        <v>2.77</v>
      </c>
      <c r="F512" s="5">
        <v>1.3372999999999999</v>
      </c>
      <c r="G512" s="5">
        <v>1.1456</v>
      </c>
      <c r="J512" s="2">
        <f t="shared" si="25"/>
        <v>0.3199999999999994</v>
      </c>
      <c r="K512" s="2">
        <f t="shared" si="26"/>
        <v>1.6599999999999997</v>
      </c>
    </row>
    <row r="513" spans="1:11" x14ac:dyDescent="0.25">
      <c r="A513" s="4">
        <f t="shared" si="24"/>
        <v>45996</v>
      </c>
      <c r="B513" t="s">
        <v>540</v>
      </c>
      <c r="C513" s="2">
        <v>4.4800000000000004</v>
      </c>
      <c r="D513" s="2">
        <v>4.1399999999999997</v>
      </c>
      <c r="E513" s="2">
        <v>2.8</v>
      </c>
      <c r="F513" s="5">
        <v>1.3343</v>
      </c>
      <c r="G513" s="5">
        <v>1.1454</v>
      </c>
      <c r="J513" s="2">
        <f t="shared" si="25"/>
        <v>0.34000000000000075</v>
      </c>
      <c r="K513" s="2">
        <f t="shared" si="26"/>
        <v>1.6800000000000006</v>
      </c>
    </row>
    <row r="514" spans="1:11" x14ac:dyDescent="0.25">
      <c r="A514" s="4">
        <f t="shared" si="24"/>
        <v>45999</v>
      </c>
      <c r="B514" t="s">
        <v>541</v>
      </c>
      <c r="C514" s="2">
        <v>4.53</v>
      </c>
      <c r="D514" s="2">
        <v>4.17</v>
      </c>
      <c r="E514" s="2">
        <v>2.86</v>
      </c>
      <c r="F514" s="5">
        <v>1.3311999999999999</v>
      </c>
      <c r="G514" s="5">
        <v>1.1452</v>
      </c>
      <c r="J514" s="2">
        <f t="shared" si="25"/>
        <v>0.36000000000000032</v>
      </c>
      <c r="K514" s="2">
        <f t="shared" si="26"/>
        <v>1.6700000000000004</v>
      </c>
    </row>
    <row r="515" spans="1:11" x14ac:dyDescent="0.25">
      <c r="A515" s="4">
        <f t="shared" si="24"/>
        <v>46000</v>
      </c>
      <c r="B515" t="s">
        <v>542</v>
      </c>
      <c r="C515" s="2">
        <v>4.51</v>
      </c>
      <c r="D515" s="2">
        <v>4.18</v>
      </c>
      <c r="E515" s="2">
        <v>2.86</v>
      </c>
      <c r="F515" s="5">
        <v>1.3297000000000001</v>
      </c>
      <c r="G515" s="5">
        <v>1.1434</v>
      </c>
      <c r="J515" s="2">
        <f t="shared" si="25"/>
        <v>0.33000000000000007</v>
      </c>
      <c r="K515" s="2">
        <f t="shared" si="26"/>
        <v>1.65</v>
      </c>
    </row>
    <row r="516" spans="1:11" x14ac:dyDescent="0.25">
      <c r="A516" s="4">
        <f t="shared" si="24"/>
        <v>46001</v>
      </c>
      <c r="B516" t="s">
        <v>543</v>
      </c>
      <c r="C516" s="2">
        <v>4.51</v>
      </c>
      <c r="D516" s="2">
        <v>4.13</v>
      </c>
      <c r="E516" s="2">
        <v>2.85</v>
      </c>
      <c r="F516" s="5">
        <v>1.3321000000000001</v>
      </c>
      <c r="G516" s="5">
        <v>1.1442000000000001</v>
      </c>
      <c r="J516" s="2">
        <f t="shared" si="25"/>
        <v>0.37999999999999989</v>
      </c>
      <c r="K516" s="2">
        <f t="shared" si="26"/>
        <v>1.6599999999999997</v>
      </c>
    </row>
    <row r="517" spans="1:11" x14ac:dyDescent="0.25">
      <c r="A517" s="4">
        <f t="shared" si="24"/>
        <v>46002</v>
      </c>
      <c r="B517" t="s">
        <v>544</v>
      </c>
      <c r="C517" s="2">
        <v>4.51</v>
      </c>
      <c r="D517" s="2">
        <v>4.1399999999999997</v>
      </c>
      <c r="E517" s="2">
        <v>2.85</v>
      </c>
      <c r="F517" s="5">
        <v>1.3434999999999999</v>
      </c>
      <c r="G517" s="5">
        <v>1.1428</v>
      </c>
      <c r="J517" s="2">
        <f t="shared" si="25"/>
        <v>0.37000000000000011</v>
      </c>
      <c r="K517" s="2">
        <f t="shared" si="26"/>
        <v>1.6599999999999997</v>
      </c>
    </row>
    <row r="518" spans="1:11" x14ac:dyDescent="0.25">
      <c r="A518" s="4">
        <f t="shared" si="24"/>
        <v>46003</v>
      </c>
      <c r="B518" t="s">
        <v>545</v>
      </c>
      <c r="C518" s="2">
        <v>4.5199999999999996</v>
      </c>
      <c r="D518" s="2">
        <v>4.1900000000000004</v>
      </c>
      <c r="E518" s="2">
        <v>2.86</v>
      </c>
      <c r="F518" s="5">
        <v>1.3354999999999999</v>
      </c>
      <c r="G518" s="5">
        <v>1.1376999999999999</v>
      </c>
      <c r="J518" s="2">
        <f t="shared" si="25"/>
        <v>0.32999999999999918</v>
      </c>
      <c r="K518" s="2">
        <f t="shared" si="26"/>
        <v>1.6599999999999997</v>
      </c>
    </row>
    <row r="519" spans="1:11" x14ac:dyDescent="0.25">
      <c r="A519" s="4">
        <f t="shared" si="24"/>
        <v>46006</v>
      </c>
      <c r="B519" t="s">
        <v>546</v>
      </c>
      <c r="C519" s="2">
        <v>4.5</v>
      </c>
      <c r="D519" s="2">
        <v>4.18</v>
      </c>
      <c r="E519" s="2">
        <v>2.85</v>
      </c>
      <c r="F519" s="5">
        <v>1.3393999999999999</v>
      </c>
      <c r="G519" s="5">
        <v>1.1387</v>
      </c>
      <c r="J519" s="2">
        <f t="shared" si="25"/>
        <v>0.32000000000000028</v>
      </c>
      <c r="K519" s="2">
        <f t="shared" si="26"/>
        <v>1.65</v>
      </c>
    </row>
    <row r="520" spans="1:11" x14ac:dyDescent="0.25">
      <c r="A520" s="4">
        <f t="shared" si="24"/>
        <v>46007</v>
      </c>
      <c r="B520" t="s">
        <v>547</v>
      </c>
      <c r="C520" s="2">
        <v>4.5199999999999996</v>
      </c>
      <c r="D520" s="2">
        <v>4.1500000000000004</v>
      </c>
      <c r="E520" s="2">
        <v>2.84</v>
      </c>
      <c r="F520" s="5">
        <v>1.3416999999999999</v>
      </c>
      <c r="G520" s="5">
        <v>1.1398999999999999</v>
      </c>
      <c r="J520" s="2">
        <f t="shared" si="25"/>
        <v>0.36999999999999922</v>
      </c>
      <c r="K520" s="2">
        <f t="shared" si="26"/>
        <v>1.6799999999999997</v>
      </c>
    </row>
    <row r="521" spans="1:11" x14ac:dyDescent="0.25">
      <c r="A521" s="4">
        <f t="shared" si="24"/>
        <v>46008</v>
      </c>
      <c r="B521" t="s">
        <v>548</v>
      </c>
      <c r="C521" s="2">
        <v>4.4800000000000004</v>
      </c>
      <c r="D521" s="2">
        <v>4.16</v>
      </c>
      <c r="E521" s="2">
        <v>2.86</v>
      </c>
      <c r="F521" s="5">
        <v>1.34</v>
      </c>
      <c r="G521" s="5">
        <v>1.1400999999999999</v>
      </c>
      <c r="J521" s="2">
        <f t="shared" si="25"/>
        <v>0.32000000000000028</v>
      </c>
      <c r="K521" s="2">
        <f t="shared" si="26"/>
        <v>1.6200000000000006</v>
      </c>
    </row>
    <row r="522" spans="1:11" x14ac:dyDescent="0.25">
      <c r="A522" s="4">
        <f t="shared" si="24"/>
        <v>46009</v>
      </c>
      <c r="B522" t="s">
        <v>549</v>
      </c>
      <c r="C522" s="2">
        <v>4.4800000000000004</v>
      </c>
      <c r="D522" s="2">
        <v>4.12</v>
      </c>
      <c r="E522" s="2">
        <v>2.85</v>
      </c>
      <c r="F522" s="5">
        <v>1.3394999999999999</v>
      </c>
      <c r="G522" s="5">
        <v>1.1422000000000001</v>
      </c>
      <c r="J522" s="2">
        <f t="shared" si="25"/>
        <v>0.36000000000000032</v>
      </c>
      <c r="K522" s="2">
        <f t="shared" si="26"/>
        <v>1.6300000000000003</v>
      </c>
    </row>
    <row r="523" spans="1:11" x14ac:dyDescent="0.25">
      <c r="A523" s="4">
        <f t="shared" si="24"/>
        <v>46010</v>
      </c>
      <c r="B523" t="s">
        <v>550</v>
      </c>
      <c r="C523" s="2">
        <v>4.54</v>
      </c>
      <c r="D523" s="2">
        <v>4.16</v>
      </c>
      <c r="E523" s="2">
        <v>2.9</v>
      </c>
      <c r="F523" s="5">
        <v>1.3362000000000001</v>
      </c>
      <c r="G523" s="5">
        <v>1.1411</v>
      </c>
      <c r="J523" s="2">
        <f t="shared" si="25"/>
        <v>0.37999999999999989</v>
      </c>
      <c r="K523" s="2">
        <f t="shared" si="26"/>
        <v>1.6400000000000001</v>
      </c>
    </row>
    <row r="524" spans="1:11" x14ac:dyDescent="0.25">
      <c r="A524" s="4">
        <f t="shared" si="24"/>
        <v>46013</v>
      </c>
      <c r="B524" t="s">
        <v>551</v>
      </c>
      <c r="C524" s="2">
        <v>4.5199999999999996</v>
      </c>
      <c r="D524" s="2">
        <v>4.17</v>
      </c>
      <c r="E524" s="2">
        <v>2.9</v>
      </c>
      <c r="F524" s="5">
        <v>1.3453999999999999</v>
      </c>
      <c r="G524" s="5">
        <v>1.1436999999999999</v>
      </c>
      <c r="J524" s="2">
        <f t="shared" si="25"/>
        <v>0.34999999999999964</v>
      </c>
      <c r="K524" s="2">
        <f t="shared" si="26"/>
        <v>1.6199999999999997</v>
      </c>
    </row>
    <row r="525" spans="1:11" x14ac:dyDescent="0.25">
      <c r="A525" s="4">
        <f t="shared" si="24"/>
        <v>46014</v>
      </c>
      <c r="B525" t="s">
        <v>552</v>
      </c>
      <c r="C525" s="2">
        <v>4.5199999999999996</v>
      </c>
      <c r="D525" s="2">
        <v>4.18</v>
      </c>
      <c r="E525" s="2">
        <v>2.86</v>
      </c>
      <c r="F525" s="5">
        <v>1.3484</v>
      </c>
      <c r="G525" s="5">
        <v>1.1451</v>
      </c>
      <c r="J525" s="2">
        <f t="shared" si="25"/>
        <v>0.33999999999999986</v>
      </c>
      <c r="K525" s="2">
        <f t="shared" si="26"/>
        <v>1.6599999999999997</v>
      </c>
    </row>
    <row r="526" spans="1:11" x14ac:dyDescent="0.25">
      <c r="A526" s="4">
        <f t="shared" si="24"/>
        <v>46015</v>
      </c>
      <c r="B526" t="s">
        <v>553</v>
      </c>
      <c r="C526" s="2">
        <v>4.51</v>
      </c>
      <c r="D526" s="2">
        <v>4.1500000000000004</v>
      </c>
      <c r="E526" s="2">
        <v>2.87</v>
      </c>
      <c r="F526" s="5">
        <v>1.3507</v>
      </c>
      <c r="G526" s="5">
        <v>1.1468</v>
      </c>
      <c r="J526" s="2">
        <f t="shared" si="25"/>
        <v>0.35999999999999943</v>
      </c>
      <c r="K526" s="2">
        <f t="shared" si="26"/>
        <v>1.6399999999999997</v>
      </c>
    </row>
    <row r="527" spans="1:11" x14ac:dyDescent="0.25">
      <c r="A527" s="4">
        <f t="shared" ref="A527:A561" si="27">+A522+7</f>
        <v>46016</v>
      </c>
      <c r="B527" t="s">
        <v>554</v>
      </c>
      <c r="C527" s="2" t="e">
        <v>#N/A</v>
      </c>
      <c r="D527" s="2" t="e">
        <v>#N/A</v>
      </c>
      <c r="E527" s="2">
        <v>2.86</v>
      </c>
      <c r="F527" s="5" t="e">
        <v>#N/A</v>
      </c>
      <c r="G527" s="5" t="e">
        <v>#N/A</v>
      </c>
      <c r="J527" s="2" t="e">
        <f t="shared" si="25"/>
        <v>#N/A</v>
      </c>
      <c r="K527" s="2" t="e">
        <f t="shared" si="26"/>
        <v>#N/A</v>
      </c>
    </row>
    <row r="528" spans="1:11" x14ac:dyDescent="0.25">
      <c r="A528" s="4">
        <f t="shared" si="27"/>
        <v>46017</v>
      </c>
      <c r="B528" t="s">
        <v>555</v>
      </c>
      <c r="C528" s="2" t="e">
        <v>#N/A</v>
      </c>
      <c r="D528" s="2">
        <v>4.1399999999999997</v>
      </c>
      <c r="E528" s="2">
        <v>2.86</v>
      </c>
      <c r="F528" s="5" t="e">
        <v>#N/A</v>
      </c>
      <c r="G528" s="5" t="e">
        <v>#N/A</v>
      </c>
      <c r="J528" s="2" t="e">
        <f t="shared" si="25"/>
        <v>#N/A</v>
      </c>
      <c r="K528" s="2" t="e">
        <f t="shared" si="26"/>
        <v>#N/A</v>
      </c>
    </row>
    <row r="529" spans="1:11" x14ac:dyDescent="0.25">
      <c r="A529" s="4">
        <f t="shared" si="27"/>
        <v>46020</v>
      </c>
      <c r="B529" t="s">
        <v>556</v>
      </c>
      <c r="C529" s="2">
        <v>4.49</v>
      </c>
      <c r="D529" s="2">
        <v>4.12</v>
      </c>
      <c r="E529" s="2">
        <v>2.83</v>
      </c>
      <c r="F529" s="5">
        <v>1.35</v>
      </c>
      <c r="G529" s="5">
        <v>1.1472</v>
      </c>
      <c r="J529" s="2">
        <f t="shared" si="25"/>
        <v>0.37000000000000011</v>
      </c>
      <c r="K529" s="2">
        <f t="shared" si="26"/>
        <v>1.6600000000000001</v>
      </c>
    </row>
    <row r="530" spans="1:11" x14ac:dyDescent="0.25">
      <c r="A530" s="4">
        <f t="shared" si="27"/>
        <v>46021</v>
      </c>
      <c r="B530" t="s">
        <v>557</v>
      </c>
      <c r="C530" s="2">
        <v>4.51</v>
      </c>
      <c r="D530" s="2">
        <v>4.1399999999999997</v>
      </c>
      <c r="E530" s="2">
        <v>2.85</v>
      </c>
      <c r="F530" s="5">
        <v>1.3472999999999999</v>
      </c>
      <c r="G530" s="5">
        <v>1.1456999999999999</v>
      </c>
      <c r="J530" s="2">
        <f t="shared" si="25"/>
        <v>0.37000000000000011</v>
      </c>
      <c r="K530" s="2">
        <f t="shared" si="26"/>
        <v>1.6599999999999997</v>
      </c>
    </row>
    <row r="531" spans="1:11" x14ac:dyDescent="0.25">
      <c r="A531" s="4">
        <f t="shared" si="27"/>
        <v>46022</v>
      </c>
      <c r="B531" t="s">
        <v>558</v>
      </c>
      <c r="C531" s="2">
        <v>4.47</v>
      </c>
      <c r="D531" s="2">
        <v>4.18</v>
      </c>
      <c r="E531" s="2">
        <v>2.86</v>
      </c>
      <c r="F531" s="5">
        <v>1.3451</v>
      </c>
      <c r="G531" s="5">
        <v>1.1454</v>
      </c>
      <c r="J531" s="2">
        <f t="shared" ref="J531:J561" si="28">C531-D531</f>
        <v>0.29000000000000004</v>
      </c>
      <c r="K531" s="2">
        <f t="shared" ref="K531:K561" si="29">C531-E531</f>
        <v>1.6099999999999999</v>
      </c>
    </row>
    <row r="532" spans="1:11" x14ac:dyDescent="0.25">
      <c r="A532" s="4">
        <f t="shared" si="27"/>
        <v>46023</v>
      </c>
      <c r="B532" t="s">
        <v>559</v>
      </c>
      <c r="C532" s="2" t="e">
        <v>#N/A</v>
      </c>
      <c r="D532" s="2" t="e">
        <v>#N/A</v>
      </c>
      <c r="E532" s="2">
        <v>2.86</v>
      </c>
      <c r="F532" s="5" t="e">
        <v>#N/A</v>
      </c>
      <c r="G532" s="5" t="e">
        <v>#N/A</v>
      </c>
      <c r="J532" s="2" t="e">
        <f t="shared" si="28"/>
        <v>#N/A</v>
      </c>
      <c r="K532" s="2" t="e">
        <f t="shared" si="29"/>
        <v>#N/A</v>
      </c>
    </row>
    <row r="533" spans="1:11" x14ac:dyDescent="0.25">
      <c r="A533" s="4">
        <f t="shared" si="27"/>
        <v>46024</v>
      </c>
      <c r="B533" t="s">
        <v>560</v>
      </c>
      <c r="C533" s="2">
        <v>4.54</v>
      </c>
      <c r="D533" s="2">
        <v>4.1900000000000004</v>
      </c>
      <c r="E533" s="2">
        <v>2.9</v>
      </c>
      <c r="F533" s="5">
        <v>1.3496999999999999</v>
      </c>
      <c r="G533" s="5">
        <v>1.1486000000000001</v>
      </c>
      <c r="J533" s="2">
        <f t="shared" si="28"/>
        <v>0.34999999999999964</v>
      </c>
      <c r="K533" s="2">
        <f t="shared" si="29"/>
        <v>1.6400000000000001</v>
      </c>
    </row>
    <row r="534" spans="1:11" x14ac:dyDescent="0.25">
      <c r="A534" s="4">
        <f t="shared" si="27"/>
        <v>46027</v>
      </c>
      <c r="B534" t="s">
        <v>561</v>
      </c>
      <c r="C534" s="2">
        <v>4.51</v>
      </c>
      <c r="D534" s="2">
        <v>4.17</v>
      </c>
      <c r="E534" s="2">
        <v>2.88</v>
      </c>
      <c r="F534" s="5">
        <v>1.3503000000000001</v>
      </c>
      <c r="G534" s="5">
        <v>1.1536999999999999</v>
      </c>
      <c r="J534" s="2">
        <f t="shared" si="28"/>
        <v>0.33999999999999986</v>
      </c>
      <c r="K534" s="2">
        <f t="shared" si="29"/>
        <v>1.63</v>
      </c>
    </row>
    <row r="535" spans="1:11" x14ac:dyDescent="0.25">
      <c r="A535" s="4">
        <f t="shared" si="27"/>
        <v>46028</v>
      </c>
      <c r="B535" t="s">
        <v>562</v>
      </c>
      <c r="C535" s="2">
        <v>4.4800000000000004</v>
      </c>
      <c r="D535" s="2">
        <v>4.18</v>
      </c>
      <c r="E535" s="2">
        <v>2.84</v>
      </c>
      <c r="F535" s="5">
        <v>1.3507</v>
      </c>
      <c r="G535" s="5">
        <v>1.1549</v>
      </c>
      <c r="J535" s="2">
        <f t="shared" si="28"/>
        <v>0.30000000000000071</v>
      </c>
      <c r="K535" s="2">
        <f t="shared" si="29"/>
        <v>1.6400000000000006</v>
      </c>
    </row>
    <row r="536" spans="1:11" x14ac:dyDescent="0.25">
      <c r="A536" s="4">
        <f t="shared" si="27"/>
        <v>46029</v>
      </c>
      <c r="B536" t="s">
        <v>563</v>
      </c>
      <c r="C536" s="2">
        <v>4.41</v>
      </c>
      <c r="D536" s="2">
        <v>4.1500000000000004</v>
      </c>
      <c r="E536" s="2">
        <v>2.81</v>
      </c>
      <c r="F536" s="5">
        <v>1.3481000000000001</v>
      </c>
      <c r="G536" s="5">
        <v>1.1532</v>
      </c>
      <c r="J536" s="2">
        <f t="shared" si="28"/>
        <v>0.25999999999999979</v>
      </c>
      <c r="K536" s="2">
        <f t="shared" si="29"/>
        <v>1.6</v>
      </c>
    </row>
    <row r="537" spans="1:11" x14ac:dyDescent="0.25">
      <c r="A537" s="4">
        <f t="shared" si="27"/>
        <v>46030</v>
      </c>
      <c r="B537" t="s">
        <v>564</v>
      </c>
      <c r="C537" s="2">
        <v>4.4000000000000004</v>
      </c>
      <c r="D537" s="2">
        <v>4.1900000000000004</v>
      </c>
      <c r="E537" s="2">
        <v>2.83</v>
      </c>
      <c r="F537" s="5">
        <v>1.3442000000000001</v>
      </c>
      <c r="G537" s="5">
        <v>1.1520999999999999</v>
      </c>
      <c r="J537" s="2">
        <f t="shared" si="28"/>
        <v>0.20999999999999996</v>
      </c>
      <c r="K537" s="2">
        <f t="shared" si="29"/>
        <v>1.5700000000000003</v>
      </c>
    </row>
    <row r="538" spans="1:11" x14ac:dyDescent="0.25">
      <c r="A538" s="4">
        <f t="shared" si="27"/>
        <v>46031</v>
      </c>
      <c r="B538" t="s">
        <v>565</v>
      </c>
      <c r="C538" s="2">
        <v>4.38</v>
      </c>
      <c r="D538" s="2">
        <v>4.18</v>
      </c>
      <c r="E538" s="2">
        <v>2.83</v>
      </c>
      <c r="F538" s="5">
        <v>1.3419000000000001</v>
      </c>
      <c r="G538" s="5">
        <v>1.1527000000000001</v>
      </c>
      <c r="J538" s="2">
        <f t="shared" si="28"/>
        <v>0.20000000000000018</v>
      </c>
      <c r="K538" s="2">
        <f t="shared" si="29"/>
        <v>1.5499999999999998</v>
      </c>
    </row>
    <row r="539" spans="1:11" x14ac:dyDescent="0.25">
      <c r="A539" s="4">
        <f t="shared" si="27"/>
        <v>46034</v>
      </c>
      <c r="B539" t="s">
        <v>566</v>
      </c>
      <c r="C539" s="2">
        <v>4.37</v>
      </c>
      <c r="D539" s="2">
        <v>4.1900000000000004</v>
      </c>
      <c r="E539" s="2">
        <v>2.81</v>
      </c>
      <c r="F539" s="5">
        <v>1.3474999999999999</v>
      </c>
      <c r="G539" s="5">
        <v>1.1535</v>
      </c>
      <c r="J539" s="2">
        <f t="shared" si="28"/>
        <v>0.17999999999999972</v>
      </c>
      <c r="K539" s="2">
        <f t="shared" si="29"/>
        <v>1.56</v>
      </c>
    </row>
    <row r="540" spans="1:11" x14ac:dyDescent="0.25">
      <c r="A540" s="4">
        <f t="shared" si="27"/>
        <v>46035</v>
      </c>
      <c r="B540" t="s">
        <v>567</v>
      </c>
      <c r="C540" s="2">
        <v>4.4000000000000004</v>
      </c>
      <c r="D540" s="2">
        <v>4.18</v>
      </c>
      <c r="E540" s="2">
        <v>2.81</v>
      </c>
      <c r="F540" s="5">
        <v>1.3442000000000001</v>
      </c>
      <c r="G540" s="5">
        <v>1.1536</v>
      </c>
      <c r="J540" s="2">
        <f t="shared" si="28"/>
        <v>0.22000000000000064</v>
      </c>
      <c r="K540" s="2">
        <f t="shared" si="29"/>
        <v>1.5900000000000003</v>
      </c>
    </row>
    <row r="541" spans="1:11" x14ac:dyDescent="0.25">
      <c r="A541" s="4">
        <f t="shared" si="27"/>
        <v>46036</v>
      </c>
      <c r="B541" t="s">
        <v>568</v>
      </c>
      <c r="C541" s="2">
        <v>4.34</v>
      </c>
      <c r="D541" s="2">
        <v>4.1500000000000004</v>
      </c>
      <c r="E541" s="2">
        <v>2.82</v>
      </c>
      <c r="F541" s="5">
        <v>1.3456999999999999</v>
      </c>
      <c r="G541" s="5">
        <v>1.1540999999999999</v>
      </c>
      <c r="J541" s="2">
        <f t="shared" si="28"/>
        <v>0.1899999999999995</v>
      </c>
      <c r="K541" s="2">
        <f t="shared" si="29"/>
        <v>1.52</v>
      </c>
    </row>
    <row r="542" spans="1:11" x14ac:dyDescent="0.25">
      <c r="A542" s="4">
        <f t="shared" si="27"/>
        <v>46037</v>
      </c>
      <c r="B542" t="s">
        <v>569</v>
      </c>
      <c r="C542" s="2">
        <v>4.37</v>
      </c>
      <c r="D542" s="2">
        <v>4.17</v>
      </c>
      <c r="E542" s="2">
        <v>2.82</v>
      </c>
      <c r="F542" s="5">
        <v>1.3387</v>
      </c>
      <c r="G542" s="5">
        <v>1.1537999999999999</v>
      </c>
      <c r="J542" s="2">
        <f t="shared" si="28"/>
        <v>0.20000000000000018</v>
      </c>
      <c r="K542" s="2">
        <f t="shared" si="29"/>
        <v>1.5500000000000003</v>
      </c>
    </row>
    <row r="543" spans="1:11" x14ac:dyDescent="0.25">
      <c r="A543" s="4">
        <f t="shared" si="27"/>
        <v>46038</v>
      </c>
      <c r="B543" t="s">
        <v>570</v>
      </c>
      <c r="C543" s="2">
        <v>4.4000000000000004</v>
      </c>
      <c r="D543" s="2">
        <v>4.24</v>
      </c>
      <c r="E543" s="2">
        <v>2.84</v>
      </c>
      <c r="F543" s="5">
        <v>1.3378000000000001</v>
      </c>
      <c r="G543" s="5">
        <v>1.1538999999999999</v>
      </c>
      <c r="J543" s="2">
        <f t="shared" si="28"/>
        <v>0.16000000000000014</v>
      </c>
      <c r="K543" s="2">
        <f t="shared" si="29"/>
        <v>1.5600000000000005</v>
      </c>
    </row>
    <row r="544" spans="1:11" x14ac:dyDescent="0.25">
      <c r="A544" s="4">
        <f t="shared" si="27"/>
        <v>46041</v>
      </c>
      <c r="B544" t="s">
        <v>571</v>
      </c>
      <c r="C544" s="2">
        <v>4.41</v>
      </c>
      <c r="D544" s="2" t="e">
        <v>#N/A</v>
      </c>
      <c r="E544" s="2">
        <v>2.84</v>
      </c>
      <c r="F544" s="5">
        <v>1.3422000000000001</v>
      </c>
      <c r="G544" s="5">
        <v>1.1531</v>
      </c>
      <c r="J544" s="2" t="e">
        <f t="shared" si="28"/>
        <v>#N/A</v>
      </c>
      <c r="K544" s="2">
        <f t="shared" si="29"/>
        <v>1.5700000000000003</v>
      </c>
    </row>
    <row r="545" spans="1:14" x14ac:dyDescent="0.25">
      <c r="A545" s="4">
        <f t="shared" si="27"/>
        <v>46042</v>
      </c>
      <c r="B545" t="s">
        <v>572</v>
      </c>
      <c r="C545" s="2">
        <v>4.46</v>
      </c>
      <c r="D545" s="2">
        <v>4.3</v>
      </c>
      <c r="E545" s="2">
        <v>2.86</v>
      </c>
      <c r="F545" s="5">
        <v>1.3456999999999999</v>
      </c>
      <c r="G545" s="5">
        <v>1.1475</v>
      </c>
      <c r="J545" s="2">
        <f t="shared" si="28"/>
        <v>0.16000000000000014</v>
      </c>
      <c r="K545" s="2">
        <f t="shared" si="29"/>
        <v>1.6</v>
      </c>
    </row>
    <row r="546" spans="1:14" x14ac:dyDescent="0.25">
      <c r="A546" s="4">
        <f t="shared" si="27"/>
        <v>46043</v>
      </c>
      <c r="B546" t="s">
        <v>573</v>
      </c>
      <c r="C546" s="2">
        <v>4.45</v>
      </c>
      <c r="D546" s="2">
        <v>4.26</v>
      </c>
      <c r="E546" s="2">
        <v>2.89</v>
      </c>
      <c r="F546" s="5">
        <v>1.3428</v>
      </c>
      <c r="G546" s="5">
        <v>1.1475</v>
      </c>
      <c r="J546" s="2">
        <f t="shared" si="28"/>
        <v>0.19000000000000039</v>
      </c>
      <c r="K546" s="2">
        <f t="shared" si="29"/>
        <v>1.56</v>
      </c>
    </row>
    <row r="547" spans="1:14" x14ac:dyDescent="0.25">
      <c r="A547" s="4">
        <f t="shared" si="27"/>
        <v>46044</v>
      </c>
      <c r="B547" t="s">
        <v>574</v>
      </c>
      <c r="C547" s="2">
        <v>4.4400000000000004</v>
      </c>
      <c r="D547" s="2">
        <v>4.26</v>
      </c>
      <c r="E547" s="2">
        <v>2.89</v>
      </c>
      <c r="F547" s="5">
        <v>1.3478000000000001</v>
      </c>
      <c r="G547" s="5">
        <v>1.1486000000000001</v>
      </c>
      <c r="J547" s="2">
        <f t="shared" si="28"/>
        <v>0.1800000000000006</v>
      </c>
      <c r="K547" s="2">
        <f t="shared" si="29"/>
        <v>1.5500000000000003</v>
      </c>
    </row>
    <row r="548" spans="1:14" x14ac:dyDescent="0.25">
      <c r="A548" s="4">
        <f t="shared" si="27"/>
        <v>46045</v>
      </c>
      <c r="B548" t="s">
        <v>575</v>
      </c>
      <c r="C548" s="2">
        <v>4.53</v>
      </c>
      <c r="D548" s="2">
        <v>4.24</v>
      </c>
      <c r="E548" s="2">
        <v>2.9</v>
      </c>
      <c r="F548" s="5">
        <v>1.3564000000000001</v>
      </c>
      <c r="G548" s="5">
        <v>1.1536</v>
      </c>
      <c r="J548" s="2">
        <f t="shared" si="28"/>
        <v>0.29000000000000004</v>
      </c>
      <c r="K548" s="2">
        <f t="shared" si="29"/>
        <v>1.6300000000000003</v>
      </c>
    </row>
    <row r="549" spans="1:14" x14ac:dyDescent="0.25">
      <c r="A549" s="4">
        <f t="shared" si="27"/>
        <v>46048</v>
      </c>
      <c r="B549" t="s">
        <v>576</v>
      </c>
      <c r="C549" s="2">
        <v>4.5</v>
      </c>
      <c r="D549" s="2">
        <v>4.22</v>
      </c>
      <c r="E549" s="2">
        <v>2.87</v>
      </c>
      <c r="F549" s="5">
        <v>1.3708</v>
      </c>
      <c r="G549" s="5">
        <v>1.1523000000000001</v>
      </c>
      <c r="J549" s="2">
        <f t="shared" si="28"/>
        <v>0.28000000000000025</v>
      </c>
      <c r="K549" s="2">
        <f t="shared" si="29"/>
        <v>1.63</v>
      </c>
    </row>
    <row r="550" spans="1:14" x14ac:dyDescent="0.25">
      <c r="A550" s="4">
        <f t="shared" si="27"/>
        <v>46049</v>
      </c>
      <c r="B550" t="s">
        <v>577</v>
      </c>
      <c r="C550" s="2">
        <v>4.53</v>
      </c>
      <c r="D550" s="2">
        <v>4.24</v>
      </c>
      <c r="E550" s="2">
        <v>2.87</v>
      </c>
      <c r="F550" s="5">
        <v>1.3751</v>
      </c>
      <c r="G550" s="5">
        <v>1.1507000000000001</v>
      </c>
      <c r="J550" s="2">
        <f t="shared" si="28"/>
        <v>0.29000000000000004</v>
      </c>
      <c r="K550" s="2">
        <f t="shared" si="29"/>
        <v>1.6600000000000001</v>
      </c>
    </row>
    <row r="551" spans="1:14" x14ac:dyDescent="0.25">
      <c r="A551" s="4">
        <f t="shared" si="27"/>
        <v>46050</v>
      </c>
      <c r="B551" t="s">
        <v>578</v>
      </c>
      <c r="C551" s="2">
        <v>4.55</v>
      </c>
      <c r="D551" s="2">
        <v>4.26</v>
      </c>
      <c r="E551" s="2">
        <v>2.86</v>
      </c>
      <c r="F551" s="5">
        <v>1.379</v>
      </c>
      <c r="G551" s="5">
        <v>1.1546000000000001</v>
      </c>
      <c r="J551" s="2">
        <f t="shared" si="28"/>
        <v>0.29000000000000004</v>
      </c>
      <c r="K551" s="2">
        <f t="shared" si="29"/>
        <v>1.69</v>
      </c>
    </row>
    <row r="552" spans="1:14" x14ac:dyDescent="0.25">
      <c r="A552" s="4">
        <f t="shared" si="27"/>
        <v>46051</v>
      </c>
      <c r="B552" t="s">
        <v>579</v>
      </c>
      <c r="C552" s="2">
        <v>4.51</v>
      </c>
      <c r="D552" s="2">
        <v>4.24</v>
      </c>
      <c r="E552" s="2">
        <v>2.84</v>
      </c>
      <c r="F552" s="5">
        <v>1.3764000000000001</v>
      </c>
      <c r="G552" s="5">
        <v>1.1536999999999999</v>
      </c>
      <c r="J552" s="2">
        <f t="shared" si="28"/>
        <v>0.26999999999999957</v>
      </c>
      <c r="K552" s="2">
        <f t="shared" si="29"/>
        <v>1.67</v>
      </c>
    </row>
    <row r="553" spans="1:14" x14ac:dyDescent="0.25">
      <c r="A553" s="4">
        <f t="shared" si="27"/>
        <v>46052</v>
      </c>
      <c r="B553" t="s">
        <v>580</v>
      </c>
      <c r="C553" s="2">
        <v>4.53</v>
      </c>
      <c r="D553" s="2">
        <v>4.26</v>
      </c>
      <c r="E553" s="2">
        <v>2.85</v>
      </c>
      <c r="F553" s="5">
        <v>1.3720000000000001</v>
      </c>
      <c r="G553" s="5">
        <v>1.1534</v>
      </c>
      <c r="J553" s="2">
        <f t="shared" si="28"/>
        <v>0.27000000000000046</v>
      </c>
      <c r="K553" s="2">
        <f t="shared" si="29"/>
        <v>1.6800000000000002</v>
      </c>
    </row>
    <row r="554" spans="1:14" x14ac:dyDescent="0.25">
      <c r="A554" s="4">
        <f t="shared" si="27"/>
        <v>46055</v>
      </c>
      <c r="B554" t="s">
        <v>581</v>
      </c>
      <c r="C554" s="2">
        <v>4.51</v>
      </c>
      <c r="D554" s="2">
        <v>4.29</v>
      </c>
      <c r="E554" s="2">
        <v>2.87</v>
      </c>
      <c r="F554" s="5">
        <v>1.3628</v>
      </c>
      <c r="G554" s="5">
        <v>1.1556999999999999</v>
      </c>
      <c r="J554" s="2">
        <f t="shared" si="28"/>
        <v>0.21999999999999975</v>
      </c>
      <c r="K554" s="2">
        <f t="shared" si="29"/>
        <v>1.6399999999999997</v>
      </c>
      <c r="M554" s="2">
        <f t="shared" ref="M554:M562" si="30">AVERAGE(J$533:J$543,J$545:J$553)</f>
        <v>0.2415000000000001</v>
      </c>
      <c r="N554" s="2">
        <f t="shared" ref="N554:N562" si="31">AVERAGE(K$533:K$553)</f>
        <v>1.6023809523809522</v>
      </c>
    </row>
    <row r="555" spans="1:14" x14ac:dyDescent="0.25">
      <c r="A555" s="4">
        <f t="shared" si="27"/>
        <v>46056</v>
      </c>
      <c r="B555" t="s">
        <v>582</v>
      </c>
      <c r="C555" s="2">
        <v>4.5199999999999996</v>
      </c>
      <c r="D555" s="2">
        <v>4.28</v>
      </c>
      <c r="E555" s="2">
        <v>2.88</v>
      </c>
      <c r="F555" s="5">
        <v>1.3703000000000001</v>
      </c>
      <c r="G555" s="5">
        <v>1.1599999999999999</v>
      </c>
      <c r="J555" s="2">
        <f t="shared" si="28"/>
        <v>0.23999999999999932</v>
      </c>
      <c r="K555" s="2">
        <f t="shared" si="29"/>
        <v>1.6399999999999997</v>
      </c>
      <c r="M555" s="2">
        <f t="shared" si="30"/>
        <v>0.2415000000000001</v>
      </c>
      <c r="N555" s="2">
        <f t="shared" si="31"/>
        <v>1.6023809523809522</v>
      </c>
    </row>
    <row r="556" spans="1:14" x14ac:dyDescent="0.25">
      <c r="A556" s="4">
        <f t="shared" si="27"/>
        <v>46057</v>
      </c>
      <c r="B556" t="s">
        <v>583</v>
      </c>
      <c r="C556" s="2">
        <v>4.5599999999999996</v>
      </c>
      <c r="D556" s="2">
        <v>4.29</v>
      </c>
      <c r="E556" s="2">
        <v>2.87</v>
      </c>
      <c r="F556" s="5">
        <v>1.3664000000000001</v>
      </c>
      <c r="G556" s="5">
        <v>1.1583000000000001</v>
      </c>
      <c r="J556" s="2">
        <f t="shared" si="28"/>
        <v>0.26999999999999957</v>
      </c>
      <c r="K556" s="2">
        <f t="shared" si="29"/>
        <v>1.6899999999999995</v>
      </c>
      <c r="M556" s="2">
        <f t="shared" si="30"/>
        <v>0.2415000000000001</v>
      </c>
      <c r="N556" s="2">
        <f t="shared" si="31"/>
        <v>1.6023809523809522</v>
      </c>
    </row>
    <row r="557" spans="1:14" x14ac:dyDescent="0.25">
      <c r="A557" s="4">
        <f t="shared" si="27"/>
        <v>46058</v>
      </c>
      <c r="B557" t="s">
        <v>584</v>
      </c>
      <c r="C557" s="2">
        <v>4.57</v>
      </c>
      <c r="D557" s="2">
        <v>4.21</v>
      </c>
      <c r="E557" s="2">
        <v>2.84</v>
      </c>
      <c r="F557" s="5">
        <v>1.3528</v>
      </c>
      <c r="G557" s="5">
        <v>1.1473</v>
      </c>
      <c r="J557" s="2">
        <f t="shared" si="28"/>
        <v>0.36000000000000032</v>
      </c>
      <c r="K557" s="2">
        <f t="shared" si="29"/>
        <v>1.7300000000000004</v>
      </c>
      <c r="M557" s="2">
        <f t="shared" si="30"/>
        <v>0.2415000000000001</v>
      </c>
      <c r="N557" s="2">
        <f t="shared" si="31"/>
        <v>1.6023809523809522</v>
      </c>
    </row>
    <row r="558" spans="1:14" x14ac:dyDescent="0.25">
      <c r="A558" s="4">
        <f t="shared" si="27"/>
        <v>46059</v>
      </c>
      <c r="B558" t="s">
        <v>585</v>
      </c>
      <c r="C558" s="2">
        <v>4.5199999999999996</v>
      </c>
      <c r="D558" s="2">
        <v>4.22</v>
      </c>
      <c r="E558" s="2">
        <v>2.84</v>
      </c>
      <c r="F558" s="5">
        <v>1.3614999999999999</v>
      </c>
      <c r="G558" s="5">
        <v>1.1518999999999999</v>
      </c>
      <c r="J558" s="2">
        <f t="shared" si="28"/>
        <v>0.29999999999999982</v>
      </c>
      <c r="K558" s="2">
        <f t="shared" si="29"/>
        <v>1.6799999999999997</v>
      </c>
      <c r="M558" s="2">
        <f t="shared" si="30"/>
        <v>0.2415000000000001</v>
      </c>
      <c r="N558" s="2">
        <f t="shared" si="31"/>
        <v>1.6023809523809522</v>
      </c>
    </row>
    <row r="559" spans="1:14" x14ac:dyDescent="0.25">
      <c r="A559" s="4">
        <f t="shared" si="27"/>
        <v>46062</v>
      </c>
      <c r="B559" t="s">
        <v>586</v>
      </c>
      <c r="C559" s="2">
        <v>4.53</v>
      </c>
      <c r="D559" s="2">
        <v>4.22</v>
      </c>
      <c r="E559" s="2">
        <v>2.84</v>
      </c>
      <c r="F559" s="5">
        <v>1.3677999999999999</v>
      </c>
      <c r="G559" s="5">
        <v>1.1482000000000001</v>
      </c>
      <c r="J559" s="2">
        <f t="shared" si="28"/>
        <v>0.3100000000000005</v>
      </c>
      <c r="K559" s="2">
        <f t="shared" si="29"/>
        <v>1.6900000000000004</v>
      </c>
      <c r="M559" s="2">
        <f t="shared" si="30"/>
        <v>0.2415000000000001</v>
      </c>
      <c r="N559" s="2">
        <f t="shared" si="31"/>
        <v>1.6023809523809522</v>
      </c>
    </row>
    <row r="560" spans="1:14" x14ac:dyDescent="0.25">
      <c r="A560" s="4">
        <f t="shared" si="27"/>
        <v>46063</v>
      </c>
      <c r="B560" t="s">
        <v>587</v>
      </c>
      <c r="C560" s="2">
        <v>4.51</v>
      </c>
      <c r="D560" s="2">
        <v>4.16</v>
      </c>
      <c r="E560" s="2">
        <v>2.8</v>
      </c>
      <c r="F560" s="5">
        <v>1.3673999999999999</v>
      </c>
      <c r="G560" s="5">
        <v>1.1476999999999999</v>
      </c>
      <c r="J560" s="2">
        <f t="shared" si="28"/>
        <v>0.34999999999999964</v>
      </c>
      <c r="K560" s="2">
        <f t="shared" si="29"/>
        <v>1.71</v>
      </c>
      <c r="M560" s="2">
        <f t="shared" si="30"/>
        <v>0.2415000000000001</v>
      </c>
      <c r="N560" s="2">
        <f t="shared" si="31"/>
        <v>1.6023809523809522</v>
      </c>
    </row>
    <row r="561" spans="1:14" x14ac:dyDescent="0.25">
      <c r="A561" s="4">
        <f t="shared" si="27"/>
        <v>46064</v>
      </c>
      <c r="B561" t="s">
        <v>588</v>
      </c>
      <c r="C561" s="2">
        <v>4.55</v>
      </c>
      <c r="D561" s="2">
        <v>4.18</v>
      </c>
      <c r="E561" s="2">
        <v>2.8</v>
      </c>
      <c r="J561" s="2">
        <f t="shared" si="28"/>
        <v>0.37000000000000011</v>
      </c>
      <c r="K561" s="2">
        <f t="shared" si="29"/>
        <v>1.75</v>
      </c>
      <c r="M561" s="2">
        <f t="shared" si="30"/>
        <v>0.2415000000000001</v>
      </c>
      <c r="N561" s="2">
        <f t="shared" si="31"/>
        <v>1.6023809523809522</v>
      </c>
    </row>
    <row r="562" spans="1:14" x14ac:dyDescent="0.25">
      <c r="M562" s="2">
        <f t="shared" si="30"/>
        <v>0.2415000000000001</v>
      </c>
      <c r="N562" s="2">
        <f t="shared" si="31"/>
        <v>1.6023809523809522</v>
      </c>
    </row>
    <row r="563" spans="1:14" x14ac:dyDescent="0.25">
      <c r="M563" s="2">
        <f>AVERAGE(J$533:J$543,J$545:J$553)</f>
        <v>0.2415000000000001</v>
      </c>
      <c r="N563" s="2">
        <f>AVERAGE(K$533:K$553)</f>
        <v>1.6023809523809522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HAVER</vt:lpstr>
      <vt:lpstr>Chart - Yields &amp; spreads</vt:lpstr>
      <vt:lpstr>Chart - Yields &amp; RXD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2025-07-03T11:18:54Z</dcterms:created>
  <dcterms:modified xsi:type="dcterms:W3CDTF">2026-02-12T10:05:40Z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2025-07-03T11:20:49Z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15eb0f6d-b1d8-4312-b159-ef19a2a66959</vt:lpwstr>
  </property>
  <property fmtid="{D5CDD505-2E9C-101B-9397-08002B2CF9AE}" pid="8" name="MSIP_Label_3b83b38b-8e91-4f17-8371-95d3d41e26c0_ContentBits">
    <vt:lpwstr>0</vt:lpwstr>
  </property>
</Properties>
</file>