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D8B551D1-F694-4546-AA90-06ED28190DBF}" xr6:coauthVersionLast="47" xr6:coauthVersionMax="47" xr10:uidLastSave="{00000000-0000-0000-0000-000000000000}"/>
  <bookViews>
    <workbookView xWindow="-120" yWindow="-120" windowWidth="29040" windowHeight="15840" activeTab="2" xr2:uid="{84A8CFF9-B573-4204-9859-1A029B81B450}"/>
  </bookViews>
  <sheets>
    <sheet name="Chart1" sheetId="3" r:id="rId1"/>
    <sheet name="Chart2" sheetId="5" r:id="rId2"/>
    <sheet name="Chart1 (2)" sheetId="6" r:id="rId3"/>
    <sheet name="Chart Data" sheetId="1" r:id="rId4"/>
    <sheet name="Aggregates (per cent of GDP)" sheetId="2" r:id="rId5"/>
    <sheet name="T5.3" sheetId="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23Graph_ACFSINDIV" hidden="1">[1]Data!#REF!</definedName>
    <definedName name="__123Graph_AChart1" hidden="1">[2]table!$B$14:$B$16</definedName>
    <definedName name="__123Graph_ACurrent" hidden="1">[2]table!$B$14:$B$16</definedName>
    <definedName name="__123Graph_APDNUMBERS" hidden="1">'[3]SUMMARY TABLE'!$U$6:$U$49</definedName>
    <definedName name="__123Graph_APDTRENDS" hidden="1">'[3]SUMMARY TABLE'!$S$23:$S$46</definedName>
    <definedName name="__123Graph_BCFSINDIV" hidden="1">[1]Data!#REF!</definedName>
    <definedName name="__123Graph_BCFSUK" hidden="1">[1]Data!#REF!</definedName>
    <definedName name="__123Graph_BChart1" hidden="1">[2]table!#REF!</definedName>
    <definedName name="__123Graph_BLBFFIN_NEW" hidden="1">'[4]FC Page 1'!#REF!</definedName>
    <definedName name="__123Graph_BPDTRENDS" hidden="1">'[3]SUMMARY TABLE'!$T$23:$T$46</definedName>
    <definedName name="__123Graph_C" hidden="1">[2]table!$C$14:$C$16</definedName>
    <definedName name="__123Graph_CCFSINDIV" hidden="1">[1]Data!#REF!</definedName>
    <definedName name="__123Graph_CCFSUK" hidden="1">[1]Data!#REF!</definedName>
    <definedName name="__123Graph_CChart1" hidden="1">[2]table!$C$14:$C$16</definedName>
    <definedName name="__123Graph_CCurrent" hidden="1">[2]table!$C$14:$C$16</definedName>
    <definedName name="__123Graph_D" hidden="1">[2]table!$D$14:$D$16</definedName>
    <definedName name="__123Graph_DCFSINDIV" hidden="1">[1]Data!#REF!</definedName>
    <definedName name="__123Graph_DCFSUK" hidden="1">[1]Data!#REF!</definedName>
    <definedName name="__123Graph_DChart1" hidden="1">[2]table!$D$14:$D$16</definedName>
    <definedName name="__123Graph_DCurrent" hidden="1">[2]table!$D$14:$D$16</definedName>
    <definedName name="__123Graph_DEFF2" hidden="1">'[4]T3 Page 1'!#REF!</definedName>
    <definedName name="__123Graph_E" hidden="1">[2]table!#REF!</definedName>
    <definedName name="__123Graph_ECFSINDIV" hidden="1">[1]Data!#REF!</definedName>
    <definedName name="__123Graph_ECFSUK" hidden="1">[1]Data!#REF!</definedName>
    <definedName name="__123Graph_EChart1" hidden="1">[2]table!#REF!</definedName>
    <definedName name="__123Graph_ECurrent" hidden="1">[2]table!#REF!</definedName>
    <definedName name="__123Graph_F" hidden="1">[2]table!$F$14:$F$16</definedName>
    <definedName name="__123Graph_FCFSUK" hidden="1">[1]Data!#REF!</definedName>
    <definedName name="__123Graph_FChart1" hidden="1">[2]table!$F$14:$F$16</definedName>
    <definedName name="__123Graph_FCurrent" hidden="1">[2]table!$F$14:$F$16</definedName>
    <definedName name="__123Graph_XChart1" hidden="1">[2]table!$A$14:$A$16</definedName>
    <definedName name="__123Graph_XCurrent" hidden="1">[2]table!$A$14:$A$16</definedName>
    <definedName name="__123Graph_XPDNUMBERS" hidden="1">'[3]SUMMARY TABLE'!$Q$6:$Q$49</definedName>
    <definedName name="__123Graph_XPDTRENDS" hidden="1">'[3]SUMMARY TABLE'!$P$23:$P$46</definedName>
    <definedName name="_1__123Graph_ACHART_15" hidden="1">[5]USGC!$B$34:$B$53</definedName>
    <definedName name="_1__123Graph_XTOB" hidden="1">'[6]Forecast data'!#REF!</definedName>
    <definedName name="_10__123Graph_XCHART_15" hidden="1">[5]USGC!$A$34:$A$53</definedName>
    <definedName name="_2__123Graph_BCHART_10" hidden="1">[5]USGC!$L$34:$L$53</definedName>
    <definedName name="_2__123Graph_XTOB" hidden="1">'[6]Forecast data'!#REF!</definedName>
    <definedName name="_3__123Graph_BCHART_13" hidden="1">[5]USGC!$R$34:$R$53</definedName>
    <definedName name="_4__123Graph_BCHART_15" hidden="1">[5]USGC!$C$34:$C$53</definedName>
    <definedName name="_5__123Graph_CCHART_10" hidden="1">[5]USGC!$F$34:$F$53</definedName>
    <definedName name="_586Home_" hidden="1">'[7]Forecast data'!#REF!</definedName>
    <definedName name="_6__123Graph_CCHART_13" hidden="1">[5]USGC!$O$34:$O$53</definedName>
    <definedName name="_7__123Graph_CCHART_15" hidden="1">[5]USGC!$D$34:$D$53</definedName>
    <definedName name="_8__123Graph_XCHART_10" hidden="1">[5]USGC!$A$34:$A$53</definedName>
    <definedName name="_9__123Graph_XCHART_13" hidden="1">[5]USGC!$A$34:$A$53</definedName>
    <definedName name="_Order1" hidden="1">255</definedName>
    <definedName name="_Order2" hidden="1">255</definedName>
    <definedName name="_Regression_Int" hidden="1">1</definedName>
    <definedName name="blankkk" hidden="1">'[7]Forecast data'!#REF!</definedName>
    <definedName name="blankold" hidden="1">'[4]T3 Page 1'!#REF!</definedName>
    <definedName name="H" hidden="1">'[8]Model inputs'!#REF!</definedName>
    <definedName name="HTML_CodePage" hidden="1">1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pp" hidden="1">'[4]T3 Page 1'!#REF!</definedName>
    <definedName name="SAPBEXdnldView" hidden="1">"461Z8W8GZ2NCOWL40KSCH2RT2"</definedName>
    <definedName name="SAPBEXsysID" hidden="1">"BWP"</definedName>
    <definedName name="sencount" hidden="1">2</definedName>
    <definedName name="testname" hidden="1">'[4]T3 Page 1'!#REF!</definedName>
    <definedName name="Unused" hidden="1">'[9]SUMMARY TABLE'!$S$23:$S$46</definedName>
    <definedName name="Unused4" hidden="1">'[9]SUMMARY TABLE'!$T$23:$T$46</definedName>
    <definedName name="Unused5" hidden="1">'[9]SUMMARY TABLE'!$P$23:$P$46</definedName>
    <definedName name="Unused7" hidden="1">'[9]SUMMARY TABLE'!$P$23:$P$46</definedName>
    <definedName name="Unusued2" hidden="1">'[9]SUMMARY TABLE'!$S$23:$S$46</definedName>
    <definedName name="Unusued3" hidden="1">'[9]SUMMARY TABLE'!$T$23:$T$46</definedName>
    <definedName name="Unusued5" hidden="1">'[9]SUMMARY TABLE'!$Q$6:$Q$49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" i="1"/>
  <c r="H10" i="1"/>
  <c r="K11" i="1"/>
  <c r="I13" i="1"/>
  <c r="J13" i="1"/>
  <c r="H18" i="1"/>
  <c r="K19" i="1"/>
  <c r="I21" i="1"/>
  <c r="J21" i="1"/>
  <c r="K27" i="1"/>
  <c r="H28" i="1"/>
  <c r="J29" i="1"/>
  <c r="K29" i="1"/>
  <c r="I4" i="1"/>
  <c r="A27" i="1"/>
  <c r="C27" i="1"/>
  <c r="H27" i="1" s="1"/>
  <c r="D27" i="1"/>
  <c r="I27" i="1" s="1"/>
  <c r="E27" i="1"/>
  <c r="J27" i="1" s="1"/>
  <c r="F27" i="1"/>
  <c r="A28" i="1"/>
  <c r="C28" i="1"/>
  <c r="D28" i="1"/>
  <c r="I28" i="1" s="1"/>
  <c r="E28" i="1"/>
  <c r="J28" i="1" s="1"/>
  <c r="F28" i="1"/>
  <c r="K28" i="1" s="1"/>
  <c r="A29" i="1"/>
  <c r="C29" i="1"/>
  <c r="H30" i="1" s="1"/>
  <c r="D29" i="1"/>
  <c r="I29" i="1" s="1"/>
  <c r="E29" i="1"/>
  <c r="F29" i="1"/>
  <c r="A30" i="1"/>
  <c r="C30" i="1"/>
  <c r="H31" i="1" s="1"/>
  <c r="D30" i="1"/>
  <c r="I30" i="1" s="1"/>
  <c r="E30" i="1"/>
  <c r="J30" i="1" s="1"/>
  <c r="F30" i="1"/>
  <c r="K31" i="1" s="1"/>
  <c r="A31" i="1"/>
  <c r="C31" i="1"/>
  <c r="D31" i="1"/>
  <c r="E31" i="1"/>
  <c r="F31" i="1"/>
  <c r="A26" i="1"/>
  <c r="C26" i="1"/>
  <c r="H26" i="1" s="1"/>
  <c r="D26" i="1"/>
  <c r="I26" i="1" s="1"/>
  <c r="E26" i="1"/>
  <c r="J26" i="1" s="1"/>
  <c r="F26" i="1"/>
  <c r="A4" i="1"/>
  <c r="C4" i="1"/>
  <c r="H4" i="1" s="1"/>
  <c r="D4" i="1"/>
  <c r="I5" i="1" s="1"/>
  <c r="E4" i="1"/>
  <c r="J4" i="1" s="1"/>
  <c r="F4" i="1"/>
  <c r="K4" i="1" s="1"/>
  <c r="A5" i="1"/>
  <c r="C5" i="1"/>
  <c r="H5" i="1" s="1"/>
  <c r="D5" i="1"/>
  <c r="E5" i="1"/>
  <c r="J5" i="1" s="1"/>
  <c r="F5" i="1"/>
  <c r="K5" i="1" s="1"/>
  <c r="A6" i="1"/>
  <c r="C6" i="1"/>
  <c r="H6" i="1" s="1"/>
  <c r="D6" i="1"/>
  <c r="I6" i="1" s="1"/>
  <c r="E6" i="1"/>
  <c r="J7" i="1" s="1"/>
  <c r="F6" i="1"/>
  <c r="K7" i="1" s="1"/>
  <c r="A7" i="1"/>
  <c r="C7" i="1"/>
  <c r="D7" i="1"/>
  <c r="E7" i="1"/>
  <c r="J8" i="1" s="1"/>
  <c r="F7" i="1"/>
  <c r="A8" i="1"/>
  <c r="C8" i="1"/>
  <c r="H8" i="1" s="1"/>
  <c r="D8" i="1"/>
  <c r="I8" i="1" s="1"/>
  <c r="E8" i="1"/>
  <c r="F8" i="1"/>
  <c r="K8" i="1" s="1"/>
  <c r="A9" i="1"/>
  <c r="C9" i="1"/>
  <c r="H9" i="1" s="1"/>
  <c r="D9" i="1"/>
  <c r="I9" i="1" s="1"/>
  <c r="E9" i="1"/>
  <c r="J9" i="1" s="1"/>
  <c r="F9" i="1"/>
  <c r="K9" i="1" s="1"/>
  <c r="A10" i="1"/>
  <c r="C10" i="1"/>
  <c r="D10" i="1"/>
  <c r="I10" i="1" s="1"/>
  <c r="E10" i="1"/>
  <c r="J10" i="1" s="1"/>
  <c r="F10" i="1"/>
  <c r="K10" i="1" s="1"/>
  <c r="A11" i="1"/>
  <c r="C11" i="1"/>
  <c r="H12" i="1" s="1"/>
  <c r="D11" i="1"/>
  <c r="I11" i="1" s="1"/>
  <c r="E11" i="1"/>
  <c r="J11" i="1" s="1"/>
  <c r="F11" i="1"/>
  <c r="A12" i="1"/>
  <c r="C12" i="1"/>
  <c r="D12" i="1"/>
  <c r="I12" i="1" s="1"/>
  <c r="E12" i="1"/>
  <c r="J12" i="1" s="1"/>
  <c r="F12" i="1"/>
  <c r="K13" i="1" s="1"/>
  <c r="A13" i="1"/>
  <c r="C13" i="1"/>
  <c r="H13" i="1" s="1"/>
  <c r="D13" i="1"/>
  <c r="E13" i="1"/>
  <c r="F13" i="1"/>
  <c r="A14" i="1"/>
  <c r="C14" i="1"/>
  <c r="H14" i="1" s="1"/>
  <c r="D14" i="1"/>
  <c r="I14" i="1" s="1"/>
  <c r="E14" i="1"/>
  <c r="J15" i="1" s="1"/>
  <c r="F14" i="1"/>
  <c r="K15" i="1" s="1"/>
  <c r="A15" i="1"/>
  <c r="C15" i="1"/>
  <c r="D15" i="1"/>
  <c r="E15" i="1"/>
  <c r="J16" i="1" s="1"/>
  <c r="F15" i="1"/>
  <c r="A16" i="1"/>
  <c r="C16" i="1"/>
  <c r="H16" i="1" s="1"/>
  <c r="D16" i="1"/>
  <c r="I16" i="1" s="1"/>
  <c r="E16" i="1"/>
  <c r="F16" i="1"/>
  <c r="K16" i="1" s="1"/>
  <c r="A17" i="1"/>
  <c r="C17" i="1"/>
  <c r="H17" i="1" s="1"/>
  <c r="D17" i="1"/>
  <c r="I17" i="1" s="1"/>
  <c r="E17" i="1"/>
  <c r="J17" i="1" s="1"/>
  <c r="F17" i="1"/>
  <c r="K17" i="1" s="1"/>
  <c r="A18" i="1"/>
  <c r="C18" i="1"/>
  <c r="D18" i="1"/>
  <c r="I18" i="1" s="1"/>
  <c r="E18" i="1"/>
  <c r="J18" i="1" s="1"/>
  <c r="F18" i="1"/>
  <c r="K18" i="1" s="1"/>
  <c r="A19" i="1"/>
  <c r="C19" i="1"/>
  <c r="H20" i="1" s="1"/>
  <c r="D19" i="1"/>
  <c r="I19" i="1" s="1"/>
  <c r="E19" i="1"/>
  <c r="J19" i="1" s="1"/>
  <c r="F19" i="1"/>
  <c r="A20" i="1"/>
  <c r="C20" i="1"/>
  <c r="D20" i="1"/>
  <c r="I20" i="1" s="1"/>
  <c r="E20" i="1"/>
  <c r="J20" i="1" s="1"/>
  <c r="F20" i="1"/>
  <c r="K21" i="1" s="1"/>
  <c r="A21" i="1"/>
  <c r="C21" i="1"/>
  <c r="H21" i="1" s="1"/>
  <c r="D21" i="1"/>
  <c r="E21" i="1"/>
  <c r="F21" i="1"/>
  <c r="A22" i="1"/>
  <c r="C22" i="1"/>
  <c r="H22" i="1" s="1"/>
  <c r="D22" i="1"/>
  <c r="I22" i="1" s="1"/>
  <c r="E22" i="1"/>
  <c r="J22" i="1" s="1"/>
  <c r="F22" i="1"/>
  <c r="K23" i="1" s="1"/>
  <c r="A23" i="1"/>
  <c r="C23" i="1"/>
  <c r="D23" i="1"/>
  <c r="E23" i="1"/>
  <c r="J24" i="1" s="1"/>
  <c r="F23" i="1"/>
  <c r="A24" i="1"/>
  <c r="C24" i="1"/>
  <c r="H24" i="1" s="1"/>
  <c r="D24" i="1"/>
  <c r="I24" i="1" s="1"/>
  <c r="E24" i="1"/>
  <c r="F24" i="1"/>
  <c r="K24" i="1" s="1"/>
  <c r="A25" i="1"/>
  <c r="C25" i="1"/>
  <c r="H25" i="1" s="1"/>
  <c r="D25" i="1"/>
  <c r="I25" i="1" s="1"/>
  <c r="E25" i="1"/>
  <c r="J25" i="1" s="1"/>
  <c r="F25" i="1"/>
  <c r="K25" i="1" s="1"/>
  <c r="F3" i="1"/>
  <c r="E3" i="1"/>
  <c r="D3" i="1"/>
  <c r="C3" i="1"/>
  <c r="A3" i="1"/>
  <c r="K30" i="1" l="1"/>
  <c r="K26" i="1"/>
  <c r="K22" i="1"/>
  <c r="K20" i="1"/>
  <c r="K14" i="1"/>
  <c r="K12" i="1"/>
  <c r="K6" i="1"/>
  <c r="J31" i="1"/>
  <c r="I31" i="1"/>
  <c r="I23" i="1"/>
  <c r="J6" i="1"/>
  <c r="J23" i="1"/>
  <c r="I15" i="1"/>
  <c r="I7" i="1"/>
  <c r="H29" i="1"/>
  <c r="H23" i="1"/>
  <c r="H19" i="1"/>
  <c r="H15" i="1"/>
  <c r="H11" i="1"/>
  <c r="H7" i="1"/>
  <c r="J14" i="1"/>
</calcChain>
</file>

<file path=xl/sharedStrings.xml><?xml version="1.0" encoding="utf-8"?>
<sst xmlns="http://schemas.openxmlformats.org/spreadsheetml/2006/main" count="381" uniqueCount="135">
  <si>
    <t>Public sector net debt</t>
  </si>
  <si>
    <t>Public sector net debt (ex BoE)</t>
  </si>
  <si>
    <t>Public sector net financial liabilities</t>
  </si>
  <si>
    <t>23-24</t>
  </si>
  <si>
    <t>24-25</t>
  </si>
  <si>
    <t>25-26</t>
  </si>
  <si>
    <t>26-27</t>
  </si>
  <si>
    <t>27-28</t>
  </si>
  <si>
    <t>28-29</t>
  </si>
  <si>
    <r>
      <t>Per cent of GDP</t>
    </r>
    <r>
      <rPr>
        <vertAlign val="superscript"/>
        <sz val="14"/>
        <rFont val="Calibri"/>
        <family val="2"/>
      </rPr>
      <t>1</t>
    </r>
  </si>
  <si>
    <t>Receipts and expenditure</t>
  </si>
  <si>
    <t>Deficit</t>
  </si>
  <si>
    <t>Fiscal targets</t>
  </si>
  <si>
    <t>Financing</t>
  </si>
  <si>
    <t>Other Debt and Deficit measures</t>
  </si>
  <si>
    <t>Economic indicators</t>
  </si>
  <si>
    <t>Public sector current receipts</t>
  </si>
  <si>
    <t>Total managed expenditure</t>
  </si>
  <si>
    <t>Public sector current expenditure</t>
  </si>
  <si>
    <t>Public sector net investment</t>
  </si>
  <si>
    <t>Depreciation</t>
  </si>
  <si>
    <t>Public sector gross investment</t>
  </si>
  <si>
    <t>National account taxes</t>
  </si>
  <si>
    <t>Cyclically-adjusted current budget deficit</t>
  </si>
  <si>
    <t>Current budget deficit</t>
  </si>
  <si>
    <t>Primary balance</t>
  </si>
  <si>
    <t>Cyclically-adjusted primary balance</t>
  </si>
  <si>
    <t>Cyclically-adjusted net borrowing</t>
  </si>
  <si>
    <t>Public sector net borrowing</t>
  </si>
  <si>
    <r>
      <t>Public sector net debt (ex BOE)</t>
    </r>
    <r>
      <rPr>
        <vertAlign val="superscript"/>
        <sz val="10"/>
        <rFont val="Calibri"/>
        <family val="2"/>
      </rPr>
      <t>2</t>
    </r>
  </si>
  <si>
    <t>Central government net cash requirement</t>
  </si>
  <si>
    <t>Public sector net cash requirement</t>
  </si>
  <si>
    <t>Central government debt interest, net of APF</t>
  </si>
  <si>
    <r>
      <t>Public sector net debt</t>
    </r>
    <r>
      <rPr>
        <vertAlign val="superscript"/>
        <sz val="10"/>
        <rFont val="Calibri"/>
        <family val="2"/>
      </rPr>
      <t>2</t>
    </r>
  </si>
  <si>
    <t>Public sector net worth (inverted)</t>
  </si>
  <si>
    <t>General government net borrowing</t>
  </si>
  <si>
    <t>Cyclically-adjusted general government net borrowing</t>
  </si>
  <si>
    <t>General Government Gross Debt</t>
  </si>
  <si>
    <t>Nominal GDP (£ billion)</t>
  </si>
  <si>
    <t>Nominal GDP, centred end-March (£ billion)</t>
  </si>
  <si>
    <t>Output gap (per cent of GDP)</t>
  </si>
  <si>
    <t>Forecast</t>
  </si>
  <si>
    <t>1948</t>
  </si>
  <si>
    <t>-</t>
  </si>
  <si>
    <t>1949</t>
  </si>
  <si>
    <t>1950</t>
  </si>
  <si>
    <t>1951</t>
  </si>
  <si>
    <t>1952</t>
  </si>
  <si>
    <t>1953</t>
  </si>
  <si>
    <t>1954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</si>
  <si>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</si>
  <si>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</si>
  <si>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</si>
  <si>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</si>
  <si>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</si>
  <si>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</si>
  <si>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</si>
  <si>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</si>
  <si>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</si>
  <si>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</si>
  <si>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</si>
  <si>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</si>
  <si>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</si>
  <si>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</si>
  <si>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</si>
  <si>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</si>
  <si>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</si>
  <si>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</si>
  <si>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</si>
  <si>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</si>
  <si>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</si>
  <si>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</si>
  <si>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</si>
  <si>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</si>
  <si>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</si>
  <si>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</si>
  <si>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</si>
  <si>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</si>
  <si>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</si>
  <si>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</si>
  <si>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</si>
  <si>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</si>
  <si>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</si>
  <si>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</si>
  <si>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</si>
  <si>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</si>
  <si>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</si>
  <si>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</si>
  <si>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</si>
  <si>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</si>
  <si>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</si>
  <si>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</si>
  <si>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</si>
  <si>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</si>
  <si>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</si>
  <si>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</si>
  <si>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</si>
  <si>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</si>
  <si>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</si>
  <si>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</si>
  <si>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</si>
  <si>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</si>
  <si>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</si>
  <si>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</si>
  <si>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</si>
  <si>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</si>
  <si>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</si>
  <si>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</si>
  <si>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</si>
  <si>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</si>
  <si>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</si>
  <si>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</si>
  <si>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</si>
  <si>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</si>
  <si>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</si>
  <si>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</si>
  <si>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</si>
  <si>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</si>
  <si>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</si>
  <si>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</si>
  <si>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</si>
  <si>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</si>
  <si>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</si>
  <si>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</si>
  <si>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Notes:</t>
  </si>
  <si>
    <r>
      <t xml:space="preserve">1 </t>
    </r>
    <r>
      <rPr>
        <sz val="10"/>
        <rFont val="Calibri"/>
        <family val="2"/>
      </rPr>
      <t>Outturn data presented as a per cent of GDP is consistent with the latest available ONS GDP data (GDP first quarterly estimate published 15th August 2024). Calendar year GDP used for 1948-1954.</t>
    </r>
  </si>
  <si>
    <r>
      <t xml:space="preserve">2 </t>
    </r>
    <r>
      <rPr>
        <sz val="10"/>
        <rFont val="Calibri"/>
        <family val="2"/>
      </rPr>
      <t>Debt at end March; GDP centred on end-March.</t>
    </r>
  </si>
  <si>
    <t>Outturn fiscal data consistent with the ONS/HM Treasury Public Sector Finances Statistical Bulletin released on 21 August 2024.</t>
  </si>
  <si>
    <r>
      <t xml:space="preserve">Forecast years from 2024-25 are consistent with the OBR </t>
    </r>
    <r>
      <rPr>
        <i/>
        <sz val="10"/>
        <color indexed="8"/>
        <rFont val="Calibri"/>
        <family val="2"/>
      </rPr>
      <t>Economic and fiscal outlook</t>
    </r>
    <r>
      <rPr>
        <sz val="10"/>
        <color indexed="8"/>
        <rFont val="Calibri"/>
        <family val="2"/>
      </rPr>
      <t xml:space="preserve"> forecast published March 2024.</t>
    </r>
  </si>
  <si>
    <t>A full list of sources is available in the glossary.</t>
  </si>
  <si>
    <t>Cyclically adjusted aggregates are OBR estimates based on internal calculations of the size of the output gap. For more information see Working paper No. 3: Cyclically-adjusting the public finances (https://obr.uk/download/working-paper-no-3-cyclically-adjusting-the-public-finances/)</t>
  </si>
  <si>
    <t>Levels</t>
  </si>
  <si>
    <t>Back to contents</t>
  </si>
  <si>
    <t>Table 5.3: Dashboard of balance sheet and fiscal affordability indicators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</si>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</sst>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4"/>
      <name val="Calibri"/>
      <family val="2"/>
    </font>
    <font>
      <vertAlign val="superscript"/>
      <sz val="14"/>
      <name val="Calibri"/>
      <family val="2"/>
    </font>
    <font>
      <sz val="10"/>
      <name val="Calibri"/>
      <family val="2"/>
    </font>
    <font>
      <sz val="12"/>
      <name val="Calibri"/>
      <family val="2"/>
    </font>
    <font>
      <sz val="11"/>
      <color indexed="8"/>
      <name val="Calibri"/>
      <family val="2"/>
    </font>
    <font>
      <vertAlign val="superscript"/>
      <sz val="10"/>
      <name val="Calibri"/>
      <family val="2"/>
    </font>
    <font>
      <sz val="10"/>
      <color indexed="8"/>
      <name val="Calibri"/>
      <family val="2"/>
    </font>
    <font>
      <sz val="10"/>
      <color theme="1"/>
      <name val="Calibri"/>
      <family val="2"/>
    </font>
    <font>
      <sz val="10"/>
      <color rgb="FF477391"/>
      <name val="Calibri"/>
      <family val="2"/>
    </font>
    <font>
      <sz val="10"/>
      <color indexed="45"/>
      <name val="Calibri"/>
      <family val="2"/>
    </font>
    <font>
      <sz val="10"/>
      <color theme="8"/>
      <name val="Calibri"/>
      <family val="2"/>
    </font>
    <font>
      <sz val="8"/>
      <name val="Calibri"/>
      <family val="2"/>
    </font>
    <font>
      <i/>
      <sz val="10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8"/>
      <name val="Calibri"/>
      <family val="2"/>
    </font>
    <font>
      <sz val="10"/>
      <color theme="1"/>
      <name val="Calibri"/>
      <family val="2"/>
      <scheme val="minor"/>
    </font>
    <font>
      <sz val="13"/>
      <color theme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6">
    <border>
      <left/>
      <right/>
      <top/>
      <bottom/>
      <diagonal/>
    </border>
    <border>
      <left style="medium">
        <color indexed="45"/>
      </left>
      <right/>
      <top style="medium">
        <color indexed="45"/>
      </top>
      <bottom style="medium">
        <color indexed="45"/>
      </bottom>
      <diagonal/>
    </border>
    <border>
      <left/>
      <right/>
      <top/>
      <bottom style="medium">
        <color indexed="45"/>
      </bottom>
      <diagonal/>
    </border>
    <border>
      <left/>
      <right style="medium">
        <color indexed="45"/>
      </right>
      <top/>
      <bottom style="medium">
        <color indexed="45"/>
      </bottom>
      <diagonal/>
    </border>
    <border>
      <left style="medium">
        <color indexed="45"/>
      </left>
      <right style="medium">
        <color indexed="45"/>
      </right>
      <top/>
      <bottom/>
      <diagonal/>
    </border>
    <border>
      <left style="medium">
        <color indexed="45"/>
      </left>
      <right/>
      <top/>
      <bottom style="medium">
        <color indexed="45"/>
      </bottom>
      <diagonal/>
    </border>
    <border>
      <left/>
      <right style="medium">
        <color theme="8"/>
      </right>
      <top/>
      <bottom style="medium">
        <color indexed="45"/>
      </bottom>
      <diagonal/>
    </border>
    <border>
      <left style="medium">
        <color indexed="45"/>
      </left>
      <right/>
      <top/>
      <bottom/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theme="8"/>
      </bottom>
      <diagonal/>
    </border>
    <border>
      <left/>
      <right style="medium">
        <color theme="8"/>
      </right>
      <top/>
      <bottom/>
      <diagonal/>
    </border>
    <border>
      <left/>
      <right/>
      <top style="thin">
        <color indexed="45"/>
      </top>
      <bottom style="thin">
        <color indexed="45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medium">
        <color indexed="45"/>
      </right>
      <top style="thin">
        <color indexed="45"/>
      </top>
      <bottom style="thin">
        <color indexed="45"/>
      </bottom>
      <diagonal/>
    </border>
    <border>
      <left style="medium">
        <color indexed="45"/>
      </left>
      <right/>
      <top style="thin">
        <color indexed="45"/>
      </top>
      <bottom style="thin">
        <color indexed="45"/>
      </bottom>
      <diagonal/>
    </border>
    <border>
      <left/>
      <right style="medium">
        <color theme="8"/>
      </right>
      <top style="thin">
        <color indexed="45"/>
      </top>
      <bottom style="thin">
        <color indexed="45"/>
      </bottom>
      <diagonal/>
    </border>
    <border>
      <left style="medium">
        <color indexed="45"/>
      </left>
      <right/>
      <top/>
      <bottom style="thin">
        <color indexed="45"/>
      </bottom>
      <diagonal/>
    </border>
    <border>
      <left/>
      <right/>
      <top style="thin">
        <color theme="8"/>
      </top>
      <bottom style="thin">
        <color indexed="45"/>
      </bottom>
      <diagonal/>
    </border>
    <border>
      <left/>
      <right style="medium">
        <color theme="8"/>
      </right>
      <top/>
      <bottom style="thin">
        <color indexed="45"/>
      </bottom>
      <diagonal/>
    </border>
    <border>
      <left style="medium">
        <color indexed="45"/>
      </left>
      <right style="thin">
        <color indexed="45"/>
      </right>
      <top/>
      <bottom/>
      <diagonal/>
    </border>
    <border>
      <left/>
      <right style="medium">
        <color indexed="45"/>
      </right>
      <top/>
      <bottom/>
      <diagonal/>
    </border>
    <border>
      <left/>
      <right/>
      <top style="thin">
        <color theme="8"/>
      </top>
      <bottom/>
      <diagonal/>
    </border>
    <border>
      <left/>
      <right style="medium">
        <color theme="8"/>
      </right>
      <top style="thin">
        <color indexed="45"/>
      </top>
      <bottom/>
      <diagonal/>
    </border>
    <border>
      <left style="medium">
        <color theme="8"/>
      </left>
      <right/>
      <top/>
      <bottom/>
      <diagonal/>
    </border>
    <border>
      <left style="thin">
        <color indexed="45"/>
      </left>
      <right/>
      <top/>
      <bottom/>
      <diagonal/>
    </border>
    <border>
      <left style="medium">
        <color indexed="45"/>
      </left>
      <right style="thin">
        <color indexed="45"/>
      </right>
      <top/>
      <bottom style="dotted">
        <color indexed="45"/>
      </bottom>
      <diagonal/>
    </border>
    <border>
      <left style="thin">
        <color indexed="45"/>
      </left>
      <right/>
      <top/>
      <bottom style="dotted">
        <color indexed="45"/>
      </bottom>
      <diagonal/>
    </border>
    <border>
      <left/>
      <right/>
      <top/>
      <bottom style="dotted">
        <color indexed="45"/>
      </bottom>
      <diagonal/>
    </border>
    <border>
      <left/>
      <right/>
      <top/>
      <bottom style="dotted">
        <color theme="1"/>
      </bottom>
      <diagonal/>
    </border>
    <border>
      <left/>
      <right style="medium">
        <color indexed="45"/>
      </right>
      <top/>
      <bottom style="dotted">
        <color theme="1"/>
      </bottom>
      <diagonal/>
    </border>
    <border>
      <left style="medium">
        <color indexed="45"/>
      </left>
      <right/>
      <top/>
      <bottom style="dashed">
        <color indexed="45"/>
      </bottom>
      <diagonal/>
    </border>
    <border>
      <left/>
      <right/>
      <top style="dotted">
        <color rgb="FF477391"/>
      </top>
      <bottom/>
      <diagonal/>
    </border>
    <border>
      <left/>
      <right style="medium">
        <color theme="8"/>
      </right>
      <top/>
      <bottom style="dotted">
        <color indexed="45"/>
      </bottom>
      <diagonal/>
    </border>
    <border>
      <left style="medium">
        <color indexed="45"/>
      </left>
      <right style="thin">
        <color indexed="45"/>
      </right>
      <top/>
      <bottom style="thin">
        <color indexed="45"/>
      </bottom>
      <diagonal/>
    </border>
    <border>
      <left style="thin">
        <color indexed="45"/>
      </left>
      <right/>
      <top/>
      <bottom style="thin">
        <color indexed="45"/>
      </bottom>
      <diagonal/>
    </border>
    <border>
      <left/>
      <right style="medium">
        <color indexed="45"/>
      </right>
      <top/>
      <bottom style="thin">
        <color indexed="45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8" fillId="0" borderId="0"/>
    <xf numFmtId="0" fontId="17" fillId="0" borderId="0" applyNumberFormat="0" applyFill="0" applyBorder="0" applyAlignment="0" applyProtection="0"/>
    <xf numFmtId="0" fontId="8" fillId="0" borderId="0"/>
  </cellStyleXfs>
  <cellXfs count="124">
    <xf numFmtId="0" fontId="0" fillId="0" borderId="0" xfId="0"/>
    <xf numFmtId="0" fontId="3" fillId="2" borderId="0" xfId="1" applyFont="1" applyFill="1"/>
    <xf numFmtId="164" fontId="4" fillId="3" borderId="1" xfId="2" applyNumberFormat="1" applyFont="1" applyFill="1" applyBorder="1" applyAlignment="1">
      <alignment horizontal="centerContinuous" vertical="top" wrapText="1"/>
    </xf>
    <xf numFmtId="2" fontId="6" fillId="4" borderId="4" xfId="1" applyNumberFormat="1" applyFont="1" applyFill="1" applyBorder="1" applyAlignment="1">
      <alignment horizontal="right" wrapText="1"/>
    </xf>
    <xf numFmtId="164" fontId="4" fillId="3" borderId="5" xfId="2" applyNumberFormat="1" applyFont="1" applyFill="1" applyBorder="1" applyAlignment="1">
      <alignment vertical="top" wrapText="1"/>
    </xf>
    <xf numFmtId="164" fontId="4" fillId="3" borderId="2" xfId="2" applyNumberFormat="1" applyFont="1" applyFill="1" applyBorder="1" applyAlignment="1">
      <alignment vertical="top" wrapText="1"/>
    </xf>
    <xf numFmtId="164" fontId="4" fillId="3" borderId="6" xfId="2" applyNumberFormat="1" applyFont="1" applyFill="1" applyBorder="1" applyAlignment="1">
      <alignment vertical="top" wrapText="1"/>
    </xf>
    <xf numFmtId="0" fontId="3" fillId="5" borderId="0" xfId="1" applyFont="1" applyFill="1"/>
    <xf numFmtId="0" fontId="3" fillId="2" borderId="0" xfId="1" applyFont="1" applyFill="1" applyAlignment="1">
      <alignment vertical="center"/>
    </xf>
    <xf numFmtId="164" fontId="7" fillId="3" borderId="7" xfId="2" applyNumberFormat="1" applyFont="1" applyFill="1" applyBorder="1" applyAlignment="1">
      <alignment vertical="center" wrapText="1"/>
    </xf>
    <xf numFmtId="0" fontId="3" fillId="3" borderId="8" xfId="3" applyFont="1" applyFill="1" applyBorder="1" applyAlignment="1">
      <alignment horizontal="centerContinuous" vertical="center" wrapText="1"/>
    </xf>
    <xf numFmtId="0" fontId="3" fillId="3" borderId="9" xfId="3" applyFont="1" applyFill="1" applyBorder="1" applyAlignment="1">
      <alignment horizontal="centerContinuous" vertical="center" wrapText="1"/>
    </xf>
    <xf numFmtId="0" fontId="3" fillId="3" borderId="0" xfId="1" applyFont="1" applyFill="1" applyAlignment="1">
      <alignment vertical="center" wrapText="1"/>
    </xf>
    <xf numFmtId="164" fontId="7" fillId="3" borderId="8" xfId="2" applyNumberFormat="1" applyFont="1" applyFill="1" applyBorder="1" applyAlignment="1">
      <alignment horizontal="centerContinuous" vertical="center" wrapText="1"/>
    </xf>
    <xf numFmtId="0" fontId="3" fillId="3" borderId="0" xfId="3" applyFont="1" applyFill="1" applyAlignment="1">
      <alignment horizontal="centerContinuous" vertical="center" wrapText="1"/>
    </xf>
    <xf numFmtId="0" fontId="3" fillId="3" borderId="7" xfId="1" applyFont="1" applyFill="1" applyBorder="1" applyAlignment="1">
      <alignment vertical="center" wrapText="1"/>
    </xf>
    <xf numFmtId="0" fontId="3" fillId="3" borderId="10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164" fontId="6" fillId="6" borderId="16" xfId="2" applyNumberFormat="1" applyFont="1" applyFill="1" applyBorder="1" applyAlignment="1">
      <alignment horizontal="center" wrapText="1"/>
    </xf>
    <xf numFmtId="2" fontId="6" fillId="3" borderId="0" xfId="1" applyNumberFormat="1" applyFont="1" applyFill="1" applyAlignment="1">
      <alignment horizontal="center" wrapText="1"/>
    </xf>
    <xf numFmtId="2" fontId="6" fillId="6" borderId="0" xfId="1" applyNumberFormat="1" applyFont="1" applyFill="1" applyAlignment="1">
      <alignment horizontal="center" wrapText="1"/>
    </xf>
    <xf numFmtId="2" fontId="6" fillId="6" borderId="8" xfId="1" applyNumberFormat="1" applyFont="1" applyFill="1" applyBorder="1" applyAlignment="1">
      <alignment horizontal="center" wrapText="1"/>
    </xf>
    <xf numFmtId="2" fontId="10" fillId="6" borderId="17" xfId="1" applyNumberFormat="1" applyFont="1" applyFill="1" applyBorder="1" applyAlignment="1">
      <alignment horizontal="center" wrapText="1"/>
    </xf>
    <xf numFmtId="0" fontId="10" fillId="6" borderId="8" xfId="1" applyFont="1" applyFill="1" applyBorder="1" applyAlignment="1">
      <alignment horizontal="center" wrapText="1"/>
    </xf>
    <xf numFmtId="2" fontId="10" fillId="6" borderId="0" xfId="1" applyNumberFormat="1" applyFont="1" applyFill="1" applyAlignment="1">
      <alignment horizontal="center" wrapText="1"/>
    </xf>
    <xf numFmtId="2" fontId="10" fillId="3" borderId="0" xfId="1" applyNumberFormat="1" applyFont="1" applyFill="1" applyAlignment="1">
      <alignment horizontal="center" wrapText="1"/>
    </xf>
    <xf numFmtId="2" fontId="6" fillId="5" borderId="4" xfId="1" applyNumberFormat="1" applyFont="1" applyFill="1" applyBorder="1" applyAlignment="1">
      <alignment horizontal="right" wrapText="1"/>
    </xf>
    <xf numFmtId="2" fontId="10" fillId="6" borderId="16" xfId="1" applyNumberFormat="1" applyFont="1" applyFill="1" applyBorder="1" applyAlignment="1">
      <alignment horizontal="center" wrapText="1"/>
    </xf>
    <xf numFmtId="2" fontId="10" fillId="6" borderId="18" xfId="1" applyNumberFormat="1" applyFont="1" applyFill="1" applyBorder="1" applyAlignment="1">
      <alignment horizontal="center" wrapText="1"/>
    </xf>
    <xf numFmtId="0" fontId="3" fillId="5" borderId="0" xfId="1" applyFont="1" applyFill="1" applyAlignment="1">
      <alignment horizontal="center"/>
    </xf>
    <xf numFmtId="0" fontId="6" fillId="4" borderId="19" xfId="3" quotePrefix="1" applyFont="1" applyFill="1" applyBorder="1" applyAlignment="1">
      <alignment horizontal="right"/>
    </xf>
    <xf numFmtId="164" fontId="10" fillId="2" borderId="0" xfId="1" applyNumberFormat="1" applyFont="1" applyFill="1" applyAlignment="1">
      <alignment horizontal="center" vertical="center" wrapText="1"/>
    </xf>
    <xf numFmtId="164" fontId="10" fillId="2" borderId="20" xfId="1" applyNumberFormat="1" applyFont="1" applyFill="1" applyBorder="1" applyAlignment="1">
      <alignment horizontal="center" vertical="center" wrapText="1"/>
    </xf>
    <xf numFmtId="2" fontId="6" fillId="4" borderId="20" xfId="1" applyNumberFormat="1" applyFont="1" applyFill="1" applyBorder="1" applyAlignment="1">
      <alignment horizontal="right" vertical="center" wrapText="1"/>
    </xf>
    <xf numFmtId="164" fontId="6" fillId="2" borderId="0" xfId="1" applyNumberFormat="1" applyFont="1" applyFill="1" applyAlignment="1">
      <alignment horizontal="center" vertical="center" wrapText="1"/>
    </xf>
    <xf numFmtId="164" fontId="6" fillId="2" borderId="21" xfId="1" applyNumberFormat="1" applyFont="1" applyFill="1" applyBorder="1" applyAlignment="1">
      <alignment horizontal="center" vertical="center" wrapText="1"/>
    </xf>
    <xf numFmtId="164" fontId="10" fillId="2" borderId="22" xfId="1" applyNumberFormat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right"/>
    </xf>
    <xf numFmtId="164" fontId="10" fillId="2" borderId="10" xfId="1" applyNumberFormat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right"/>
    </xf>
    <xf numFmtId="0" fontId="6" fillId="4" borderId="19" xfId="3" applyFont="1" applyFill="1" applyBorder="1" applyAlignment="1">
      <alignment horizontal="right"/>
    </xf>
    <xf numFmtId="0" fontId="3" fillId="2" borderId="0" xfId="1" applyFont="1" applyFill="1" applyAlignment="1">
      <alignment horizontal="right"/>
    </xf>
    <xf numFmtId="164" fontId="6" fillId="2" borderId="19" xfId="2" applyNumberFormat="1" applyFont="1" applyFill="1" applyBorder="1" applyAlignment="1">
      <alignment horizontal="right"/>
    </xf>
    <xf numFmtId="164" fontId="6" fillId="2" borderId="20" xfId="1" applyNumberFormat="1" applyFont="1" applyFill="1" applyBorder="1" applyAlignment="1">
      <alignment horizontal="center" vertical="center" wrapText="1"/>
    </xf>
    <xf numFmtId="2" fontId="6" fillId="4" borderId="19" xfId="1" applyNumberFormat="1" applyFont="1" applyFill="1" applyBorder="1" applyAlignment="1">
      <alignment horizontal="right" vertical="center"/>
    </xf>
    <xf numFmtId="164" fontId="6" fillId="4" borderId="20" xfId="1" applyNumberFormat="1" applyFont="1" applyFill="1" applyBorder="1" applyAlignment="1">
      <alignment horizontal="center" vertical="center"/>
    </xf>
    <xf numFmtId="0" fontId="3" fillId="4" borderId="0" xfId="1" applyFont="1" applyFill="1"/>
    <xf numFmtId="2" fontId="6" fillId="5" borderId="19" xfId="1" applyNumberFormat="1" applyFont="1" applyFill="1" applyBorder="1" applyAlignment="1">
      <alignment horizontal="right" vertical="center"/>
    </xf>
    <xf numFmtId="164" fontId="6" fillId="4" borderId="7" xfId="2" applyNumberFormat="1" applyFont="1" applyFill="1" applyBorder="1" applyAlignment="1">
      <alignment horizontal="center" vertical="center"/>
    </xf>
    <xf numFmtId="164" fontId="6" fillId="4" borderId="0" xfId="2" applyNumberFormat="1" applyFont="1" applyFill="1" applyAlignment="1">
      <alignment horizontal="center" vertical="center"/>
    </xf>
    <xf numFmtId="164" fontId="6" fillId="4" borderId="10" xfId="2" applyNumberFormat="1" applyFont="1" applyFill="1" applyBorder="1" applyAlignment="1">
      <alignment horizontal="center" vertical="center"/>
    </xf>
    <xf numFmtId="164" fontId="6" fillId="2" borderId="7" xfId="1" applyNumberFormat="1" applyFont="1" applyFill="1" applyBorder="1" applyAlignment="1">
      <alignment horizontal="center" vertical="center" wrapText="1"/>
    </xf>
    <xf numFmtId="164" fontId="6" fillId="2" borderId="10" xfId="1" applyNumberFormat="1" applyFont="1" applyFill="1" applyBorder="1" applyAlignment="1">
      <alignment horizontal="center" vertical="center" wrapText="1"/>
    </xf>
    <xf numFmtId="2" fontId="11" fillId="5" borderId="19" xfId="1" applyNumberFormat="1" applyFont="1" applyFill="1" applyBorder="1" applyAlignment="1">
      <alignment horizontal="right" vertical="center"/>
    </xf>
    <xf numFmtId="164" fontId="6" fillId="2" borderId="23" xfId="1" applyNumberFormat="1" applyFont="1" applyFill="1" applyBorder="1" applyAlignment="1">
      <alignment horizontal="center" vertical="center" wrapText="1"/>
    </xf>
    <xf numFmtId="0" fontId="3" fillId="5" borderId="23" xfId="1" applyFont="1" applyFill="1" applyBorder="1"/>
    <xf numFmtId="164" fontId="11" fillId="2" borderId="0" xfId="1" applyNumberFormat="1" applyFont="1" applyFill="1" applyAlignment="1">
      <alignment horizontal="center" vertical="center" wrapText="1"/>
    </xf>
    <xf numFmtId="164" fontId="11" fillId="2" borderId="10" xfId="1" applyNumberFormat="1" applyFont="1" applyFill="1" applyBorder="1" applyAlignment="1">
      <alignment horizontal="center" vertical="center" wrapText="1"/>
    </xf>
    <xf numFmtId="164" fontId="6" fillId="5" borderId="24" xfId="1" applyNumberFormat="1" applyFont="1" applyFill="1" applyBorder="1" applyAlignment="1">
      <alignment horizontal="center" vertical="center"/>
    </xf>
    <xf numFmtId="164" fontId="6" fillId="5" borderId="0" xfId="1" applyNumberFormat="1" applyFont="1" applyFill="1" applyAlignment="1">
      <alignment horizontal="center" vertical="center"/>
    </xf>
    <xf numFmtId="164" fontId="6" fillId="5" borderId="20" xfId="1" applyNumberFormat="1" applyFont="1" applyFill="1" applyBorder="1" applyAlignment="1">
      <alignment horizontal="center" vertical="center"/>
    </xf>
    <xf numFmtId="2" fontId="6" fillId="5" borderId="25" xfId="1" applyNumberFormat="1" applyFont="1" applyFill="1" applyBorder="1" applyAlignment="1">
      <alignment horizontal="right" vertical="center"/>
    </xf>
    <xf numFmtId="164" fontId="6" fillId="5" borderId="26" xfId="1" applyNumberFormat="1" applyFont="1" applyFill="1" applyBorder="1" applyAlignment="1">
      <alignment horizontal="center" vertical="center"/>
    </xf>
    <xf numFmtId="164" fontId="6" fillId="5" borderId="27" xfId="1" applyNumberFormat="1" applyFont="1" applyFill="1" applyBorder="1" applyAlignment="1">
      <alignment horizontal="center" vertical="center"/>
    </xf>
    <xf numFmtId="164" fontId="6" fillId="5" borderId="28" xfId="1" applyNumberFormat="1" applyFont="1" applyFill="1" applyBorder="1" applyAlignment="1">
      <alignment horizontal="center" vertical="center"/>
    </xf>
    <xf numFmtId="164" fontId="6" fillId="5" borderId="29" xfId="1" applyNumberFormat="1" applyFont="1" applyFill="1" applyBorder="1" applyAlignment="1">
      <alignment horizontal="center" vertical="center"/>
    </xf>
    <xf numFmtId="164" fontId="6" fillId="2" borderId="30" xfId="1" applyNumberFormat="1" applyFont="1" applyFill="1" applyBorder="1" applyAlignment="1">
      <alignment horizontal="center" vertical="center" wrapText="1"/>
    </xf>
    <xf numFmtId="164" fontId="12" fillId="2" borderId="31" xfId="1" applyNumberFormat="1" applyFont="1" applyFill="1" applyBorder="1" applyAlignment="1">
      <alignment horizontal="center" vertical="center" wrapText="1"/>
    </xf>
    <xf numFmtId="164" fontId="6" fillId="2" borderId="32" xfId="1" applyNumberFormat="1" applyFont="1" applyFill="1" applyBorder="1" applyAlignment="1">
      <alignment horizontal="center" vertical="center" wrapText="1"/>
    </xf>
    <xf numFmtId="2" fontId="13" fillId="5" borderId="19" xfId="1" applyNumberFormat="1" applyFont="1" applyFill="1" applyBorder="1" applyAlignment="1">
      <alignment horizontal="right" vertical="center"/>
    </xf>
    <xf numFmtId="164" fontId="13" fillId="5" borderId="24" xfId="1" applyNumberFormat="1" applyFont="1" applyFill="1" applyBorder="1" applyAlignment="1">
      <alignment horizontal="center" vertical="center"/>
    </xf>
    <xf numFmtId="164" fontId="13" fillId="5" borderId="0" xfId="1" applyNumberFormat="1" applyFont="1" applyFill="1" applyAlignment="1">
      <alignment horizontal="center" vertical="center"/>
    </xf>
    <xf numFmtId="164" fontId="13" fillId="5" borderId="20" xfId="1" applyNumberFormat="1" applyFont="1" applyFill="1" applyBorder="1" applyAlignment="1">
      <alignment horizontal="center" vertical="center"/>
    </xf>
    <xf numFmtId="164" fontId="14" fillId="2" borderId="7" xfId="1" applyNumberFormat="1" applyFont="1" applyFill="1" applyBorder="1" applyAlignment="1">
      <alignment horizontal="center" vertical="center" wrapText="1"/>
    </xf>
    <xf numFmtId="164" fontId="14" fillId="2" borderId="0" xfId="1" applyNumberFormat="1" applyFont="1" applyFill="1" applyAlignment="1">
      <alignment horizontal="center" vertical="center" wrapText="1"/>
    </xf>
    <xf numFmtId="164" fontId="14" fillId="2" borderId="10" xfId="1" applyNumberFormat="1" applyFont="1" applyFill="1" applyBorder="1" applyAlignment="1">
      <alignment horizontal="center" vertical="center" wrapText="1"/>
    </xf>
    <xf numFmtId="165" fontId="6" fillId="5" borderId="20" xfId="1" applyNumberFormat="1" applyFont="1" applyFill="1" applyBorder="1" applyAlignment="1">
      <alignment horizontal="center" vertical="center"/>
    </xf>
    <xf numFmtId="2" fontId="13" fillId="5" borderId="33" xfId="1" applyNumberFormat="1" applyFont="1" applyFill="1" applyBorder="1" applyAlignment="1">
      <alignment horizontal="right" vertical="center"/>
    </xf>
    <xf numFmtId="164" fontId="13" fillId="5" borderId="34" xfId="1" applyNumberFormat="1" applyFont="1" applyFill="1" applyBorder="1" applyAlignment="1">
      <alignment horizontal="center" vertical="center"/>
    </xf>
    <xf numFmtId="164" fontId="13" fillId="5" borderId="8" xfId="1" applyNumberFormat="1" applyFont="1" applyFill="1" applyBorder="1" applyAlignment="1">
      <alignment horizontal="center" vertical="center"/>
    </xf>
    <xf numFmtId="164" fontId="13" fillId="5" borderId="35" xfId="1" applyNumberFormat="1" applyFont="1" applyFill="1" applyBorder="1" applyAlignment="1">
      <alignment horizontal="center" vertical="center"/>
    </xf>
    <xf numFmtId="164" fontId="14" fillId="2" borderId="16" xfId="1" applyNumberFormat="1" applyFont="1" applyFill="1" applyBorder="1" applyAlignment="1">
      <alignment horizontal="center" vertical="center" wrapText="1"/>
    </xf>
    <xf numFmtId="164" fontId="14" fillId="2" borderId="8" xfId="1" applyNumberFormat="1" applyFont="1" applyFill="1" applyBorder="1" applyAlignment="1">
      <alignment horizontal="center" vertical="center" wrapText="1"/>
    </xf>
    <xf numFmtId="164" fontId="14" fillId="2" borderId="18" xfId="1" applyNumberFormat="1" applyFont="1" applyFill="1" applyBorder="1" applyAlignment="1">
      <alignment horizontal="center" vertical="center" wrapText="1"/>
    </xf>
    <xf numFmtId="0" fontId="3" fillId="4" borderId="0" xfId="1" applyFont="1" applyFill="1" applyAlignment="1">
      <alignment vertical="center"/>
    </xf>
    <xf numFmtId="2" fontId="6" fillId="4" borderId="7" xfId="2" applyNumberFormat="1" applyFont="1" applyFill="1" applyBorder="1" applyAlignment="1">
      <alignment vertical="center" wrapText="1"/>
    </xf>
    <xf numFmtId="0" fontId="9" fillId="4" borderId="20" xfId="3" applyFont="1" applyFill="1" applyBorder="1" applyAlignment="1">
      <alignment horizontal="left" vertical="center"/>
    </xf>
    <xf numFmtId="0" fontId="15" fillId="4" borderId="0" xfId="3" applyFont="1" applyFill="1" applyAlignment="1">
      <alignment vertical="center" wrapText="1"/>
    </xf>
    <xf numFmtId="0" fontId="15" fillId="4" borderId="10" xfId="3" applyFont="1" applyFill="1" applyBorder="1" applyAlignment="1">
      <alignment vertical="center" wrapText="1"/>
    </xf>
    <xf numFmtId="0" fontId="9" fillId="4" borderId="0" xfId="3" applyFont="1" applyFill="1" applyAlignment="1">
      <alignment vertical="center"/>
    </xf>
    <xf numFmtId="0" fontId="15" fillId="4" borderId="20" xfId="3" applyFont="1" applyFill="1" applyBorder="1" applyAlignment="1">
      <alignment vertical="center" wrapText="1"/>
    </xf>
    <xf numFmtId="166" fontId="6" fillId="5" borderId="20" xfId="1" applyNumberFormat="1" applyFont="1" applyFill="1" applyBorder="1" applyAlignment="1">
      <alignment horizontal="center" vertical="center"/>
    </xf>
    <xf numFmtId="0" fontId="6" fillId="5" borderId="20" xfId="3" applyFont="1" applyFill="1" applyBorder="1" applyAlignment="1">
      <alignment vertical="center"/>
    </xf>
    <xf numFmtId="0" fontId="10" fillId="4" borderId="20" xfId="1" applyFont="1" applyFill="1" applyBorder="1" applyAlignment="1">
      <alignment horizontal="left" vertical="center"/>
    </xf>
    <xf numFmtId="0" fontId="6" fillId="4" borderId="0" xfId="3" applyFont="1" applyFill="1" applyAlignment="1">
      <alignment vertical="center"/>
    </xf>
    <xf numFmtId="0" fontId="10" fillId="4" borderId="5" xfId="1" applyFont="1" applyFill="1" applyBorder="1" applyAlignment="1">
      <alignment vertical="center"/>
    </xf>
    <xf numFmtId="0" fontId="6" fillId="2" borderId="2" xfId="3" applyFont="1" applyFill="1" applyBorder="1" applyAlignment="1">
      <alignment vertical="center"/>
    </xf>
    <xf numFmtId="0" fontId="15" fillId="2" borderId="2" xfId="3" applyFont="1" applyFill="1" applyBorder="1" applyAlignment="1">
      <alignment vertical="center" wrapText="1"/>
    </xf>
    <xf numFmtId="0" fontId="15" fillId="4" borderId="2" xfId="3" applyFont="1" applyFill="1" applyBorder="1" applyAlignment="1">
      <alignment vertical="center" wrapText="1"/>
    </xf>
    <xf numFmtId="0" fontId="15" fillId="2" borderId="3" xfId="3" applyFont="1" applyFill="1" applyBorder="1" applyAlignment="1">
      <alignment vertical="center" wrapText="1"/>
    </xf>
    <xf numFmtId="164" fontId="6" fillId="4" borderId="0" xfId="1" applyNumberFormat="1" applyFont="1" applyFill="1" applyAlignment="1">
      <alignment horizontal="center" vertical="center"/>
    </xf>
    <xf numFmtId="16" fontId="3" fillId="4" borderId="0" xfId="1" applyNumberFormat="1" applyFont="1" applyFill="1"/>
    <xf numFmtId="2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18" fillId="0" borderId="0" xfId="4" applyFont="1" applyAlignment="1">
      <alignment horizontal="center" vertical="center" wrapText="1"/>
    </xf>
    <xf numFmtId="0" fontId="11" fillId="0" borderId="0" xfId="0" applyFont="1"/>
    <xf numFmtId="0" fontId="19" fillId="0" borderId="0" xfId="0" applyFont="1"/>
    <xf numFmtId="0" fontId="20" fillId="0" borderId="0" xfId="0" applyFont="1"/>
    <xf numFmtId="0" fontId="6" fillId="0" borderId="0" xfId="5" applyFont="1"/>
    <xf numFmtId="0" fontId="1" fillId="0" borderId="0" xfId="0" applyFont="1"/>
    <xf numFmtId="0" fontId="0" fillId="0" borderId="0" xfId="0" applyAlignment="1">
      <alignment horizontal="right" wrapText="1"/>
    </xf>
    <xf numFmtId="0" fontId="3" fillId="3" borderId="14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 wrapText="1"/>
    </xf>
    <xf numFmtId="0" fontId="9" fillId="4" borderId="0" xfId="3" applyFont="1" applyFill="1" applyAlignment="1">
      <alignment horizontal="left" vertical="center"/>
    </xf>
    <xf numFmtId="0" fontId="6" fillId="5" borderId="0" xfId="3" applyFont="1" applyFill="1" applyAlignment="1">
      <alignment vertical="center"/>
    </xf>
    <xf numFmtId="0" fontId="10" fillId="4" borderId="0" xfId="1" applyFont="1" applyFill="1" applyAlignment="1">
      <alignment horizontal="left" vertical="center"/>
    </xf>
    <xf numFmtId="164" fontId="4" fillId="3" borderId="2" xfId="2" applyNumberFormat="1" applyFont="1" applyFill="1" applyBorder="1" applyAlignment="1">
      <alignment horizontal="center" vertical="top" wrapText="1"/>
    </xf>
    <xf numFmtId="164" fontId="4" fillId="3" borderId="3" xfId="2" applyNumberFormat="1" applyFont="1" applyFill="1" applyBorder="1" applyAlignment="1">
      <alignment horizontal="center" vertical="top" wrapText="1"/>
    </xf>
    <xf numFmtId="0" fontId="3" fillId="3" borderId="9" xfId="3" applyFont="1" applyFill="1" applyBorder="1" applyAlignment="1">
      <alignment horizontal="center" vertical="center" wrapText="1"/>
    </xf>
    <xf numFmtId="0" fontId="3" fillId="3" borderId="11" xfId="3" applyFont="1" applyFill="1" applyBorder="1" applyAlignment="1">
      <alignment horizontal="center" vertical="center" wrapText="1"/>
    </xf>
    <xf numFmtId="0" fontId="3" fillId="3" borderId="12" xfId="3" applyFont="1" applyFill="1" applyBorder="1" applyAlignment="1">
      <alignment horizontal="center" vertical="center" wrapText="1"/>
    </xf>
    <xf numFmtId="0" fontId="3" fillId="3" borderId="13" xfId="3" applyFont="1" applyFill="1" applyBorder="1" applyAlignment="1">
      <alignment horizontal="center" vertical="center" wrapText="1"/>
    </xf>
  </cellXfs>
  <cellStyles count="6">
    <cellStyle name="%" xfId="2" xr:uid="{A28E24B8-CBF5-4E4A-825E-4D197C48CE8D}"/>
    <cellStyle name="Hyperlink" xfId="4" builtinId="8"/>
    <cellStyle name="Normal" xfId="0" builtinId="0"/>
    <cellStyle name="Normal 2" xfId="3" xr:uid="{BB8DB891-FD98-4DF0-8B4E-4736DCDE963B}"/>
    <cellStyle name="Normal_Fiscal Tables" xfId="1" xr:uid="{873D6727-639F-4185-813E-7009F8002584}"/>
    <cellStyle name="Normal_Govt Fiscal Targets Tables" xfId="5" xr:uid="{671CF6BB-2F86-447A-A071-EECD280282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tyles" Target="styles.xml"/><Relationship Id="rId2" Type="http://schemas.openxmlformats.org/officeDocument/2006/relationships/chartsheet" Target="chartsheets/sheet2.xml"/><Relationship Id="rId16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2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calcChain" Target="calcChain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8437059774307871E-2"/>
          <c:y val="0.14725688325786473"/>
          <c:w val="0.86323507866601412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Data'!$C$2</c:f>
              <c:strCache>
                <c:ptCount val="1"/>
                <c:pt idx="0">
                  <c:v>Public sector net debt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'Chart Data'!$A$3:$A$31</c:f>
              <c:strCache>
                <c:ptCount val="29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</c:strCache>
            </c:strRef>
          </c:cat>
          <c:val>
            <c:numRef>
              <c:f>'Chart Data'!$C$3:$C$31</c:f>
              <c:numCache>
                <c:formatCode>0.0</c:formatCode>
                <c:ptCount val="29"/>
                <c:pt idx="0">
                  <c:v>28.279102445878891</c:v>
                </c:pt>
                <c:pt idx="1">
                  <c:v>28.112244897959187</c:v>
                </c:pt>
                <c:pt idx="2">
                  <c:v>29.796492859172023</c:v>
                </c:pt>
                <c:pt idx="3">
                  <c:v>30.93456021303167</c:v>
                </c:pt>
                <c:pt idx="4">
                  <c:v>33.463197742885889</c:v>
                </c:pt>
                <c:pt idx="5">
                  <c:v>34.311233253177605</c:v>
                </c:pt>
                <c:pt idx="6">
                  <c:v>35.122258534472579</c:v>
                </c:pt>
                <c:pt idx="7">
                  <c:v>35.619526684815547</c:v>
                </c:pt>
                <c:pt idx="8">
                  <c:v>50.601601098425</c:v>
                </c:pt>
                <c:pt idx="9">
                  <c:v>64.719804612805063</c:v>
                </c:pt>
                <c:pt idx="10">
                  <c:v>70.87252587450584</c:v>
                </c:pt>
                <c:pt idx="11">
                  <c:v>74.265558846563778</c:v>
                </c:pt>
                <c:pt idx="12">
                  <c:v>77.471553502551188</c:v>
                </c:pt>
                <c:pt idx="13">
                  <c:v>79.217787377962253</c:v>
                </c:pt>
                <c:pt idx="14">
                  <c:v>81.624307423349421</c:v>
                </c:pt>
                <c:pt idx="15">
                  <c:v>81.327844707894386</c:v>
                </c:pt>
                <c:pt idx="16">
                  <c:v>83.504912110836969</c:v>
                </c:pt>
                <c:pt idx="17">
                  <c:v>82.275414057470584</c:v>
                </c:pt>
                <c:pt idx="18">
                  <c:v>80.290127102312184</c:v>
                </c:pt>
                <c:pt idx="19">
                  <c:v>85.19258923043634</c:v>
                </c:pt>
                <c:pt idx="20">
                  <c:v>96.486233225877328</c:v>
                </c:pt>
                <c:pt idx="21">
                  <c:v>96.60320712423804</c:v>
                </c:pt>
                <c:pt idx="22">
                  <c:v>95.7</c:v>
                </c:pt>
                <c:pt idx="23">
                  <c:v>98.1</c:v>
                </c:pt>
                <c:pt idx="24">
                  <c:v>98.777579475392969</c:v>
                </c:pt>
                <c:pt idx="25">
                  <c:v>96.357306720094442</c:v>
                </c:pt>
                <c:pt idx="26">
                  <c:v>95.479821529204358</c:v>
                </c:pt>
                <c:pt idx="27">
                  <c:v>95.061624897069535</c:v>
                </c:pt>
                <c:pt idx="28">
                  <c:v>94.298719514612415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Data'!$D$2</c:f>
              <c:strCache>
                <c:ptCount val="1"/>
                <c:pt idx="0">
                  <c:v>Public sector net debt (ex BoE)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f>'Chart Data'!$A$3:$A$31</c:f>
              <c:strCache>
                <c:ptCount val="29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</c:strCache>
            </c:strRef>
          </c:cat>
          <c:val>
            <c:numRef>
              <c:f>'Chart Data'!$D$3:$D$31</c:f>
              <c:numCache>
                <c:formatCode>0.0</c:formatCode>
                <c:ptCount val="29"/>
                <c:pt idx="0">
                  <c:v>28.384490405304525</c:v>
                </c:pt>
                <c:pt idx="1">
                  <c:v>28.214285714285715</c:v>
                </c:pt>
                <c:pt idx="2">
                  <c:v>29.885268975491343</c:v>
                </c:pt>
                <c:pt idx="3">
                  <c:v>31.041626676068123</c:v>
                </c:pt>
                <c:pt idx="4">
                  <c:v>33.572103788913942</c:v>
                </c:pt>
                <c:pt idx="5">
                  <c:v>34.46238406046033</c:v>
                </c:pt>
                <c:pt idx="6">
                  <c:v>35.253507632135033</c:v>
                </c:pt>
                <c:pt idx="7">
                  <c:v>35.751404340030831</c:v>
                </c:pt>
                <c:pt idx="8">
                  <c:v>50.633741343025122</c:v>
                </c:pt>
                <c:pt idx="9">
                  <c:v>63.932765447847316</c:v>
                </c:pt>
                <c:pt idx="10">
                  <c:v>70.593571806718785</c:v>
                </c:pt>
                <c:pt idx="11">
                  <c:v>74.583536976734592</c:v>
                </c:pt>
                <c:pt idx="12">
                  <c:v>76.201342114425628</c:v>
                </c:pt>
                <c:pt idx="13">
                  <c:v>76.9569005573059</c:v>
                </c:pt>
                <c:pt idx="14">
                  <c:v>79.18540738829023</c:v>
                </c:pt>
                <c:pt idx="15">
                  <c:v>78.897719698806839</c:v>
                </c:pt>
                <c:pt idx="16">
                  <c:v>77.424315774943082</c:v>
                </c:pt>
                <c:pt idx="17">
                  <c:v>73.735588459062456</c:v>
                </c:pt>
                <c:pt idx="18">
                  <c:v>72.319403695903333</c:v>
                </c:pt>
                <c:pt idx="19">
                  <c:v>77.133323351171356</c:v>
                </c:pt>
                <c:pt idx="20">
                  <c:v>86.537211314714597</c:v>
                </c:pt>
                <c:pt idx="21">
                  <c:v>83.186433113912756</c:v>
                </c:pt>
                <c:pt idx="22">
                  <c:v>84.868662550680384</c:v>
                </c:pt>
                <c:pt idx="23">
                  <c:v>89.3</c:v>
                </c:pt>
                <c:pt idx="24">
                  <c:v>91.690627283912079</c:v>
                </c:pt>
                <c:pt idx="25">
                  <c:v>92.763531041871346</c:v>
                </c:pt>
                <c:pt idx="26">
                  <c:v>93.161001763025126</c:v>
                </c:pt>
                <c:pt idx="27">
                  <c:v>93.192661565826455</c:v>
                </c:pt>
                <c:pt idx="28">
                  <c:v>92.918594679221826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Data'!$E$2</c:f>
              <c:strCache>
                <c:ptCount val="1"/>
                <c:pt idx="0">
                  <c:v>Public sector net financial liabilities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strRef>
              <c:f>'Chart Data'!$A$3:$A$31</c:f>
              <c:strCache>
                <c:ptCount val="29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</c:strCache>
            </c:strRef>
          </c:cat>
          <c:val>
            <c:numRef>
              <c:f>'Chart Data'!$E$3:$E$31</c:f>
              <c:numCache>
                <c:formatCode>0.0</c:formatCode>
                <c:ptCount val="29"/>
                <c:pt idx="0">
                  <c:v>26.9</c:v>
                </c:pt>
                <c:pt idx="1">
                  <c:v>28.4</c:v>
                </c:pt>
                <c:pt idx="2">
                  <c:v>31.3</c:v>
                </c:pt>
                <c:pt idx="3">
                  <c:v>31.3</c:v>
                </c:pt>
                <c:pt idx="4">
                  <c:v>33.4</c:v>
                </c:pt>
                <c:pt idx="5">
                  <c:v>32.4</c:v>
                </c:pt>
                <c:pt idx="6">
                  <c:v>32.4</c:v>
                </c:pt>
                <c:pt idx="7">
                  <c:v>34.200000000000003</c:v>
                </c:pt>
                <c:pt idx="8">
                  <c:v>47.5</c:v>
                </c:pt>
                <c:pt idx="9">
                  <c:v>54.6</c:v>
                </c:pt>
                <c:pt idx="10">
                  <c:v>58.9</c:v>
                </c:pt>
                <c:pt idx="11">
                  <c:v>65</c:v>
                </c:pt>
                <c:pt idx="12">
                  <c:v>69.7</c:v>
                </c:pt>
                <c:pt idx="13">
                  <c:v>70.7</c:v>
                </c:pt>
                <c:pt idx="14">
                  <c:v>72.900000000000006</c:v>
                </c:pt>
                <c:pt idx="15">
                  <c:v>74</c:v>
                </c:pt>
                <c:pt idx="16">
                  <c:v>74.2</c:v>
                </c:pt>
                <c:pt idx="17">
                  <c:v>70.2</c:v>
                </c:pt>
                <c:pt idx="18">
                  <c:v>66.900000000000006</c:v>
                </c:pt>
                <c:pt idx="19">
                  <c:v>74.5</c:v>
                </c:pt>
                <c:pt idx="20">
                  <c:v>83</c:v>
                </c:pt>
                <c:pt idx="21">
                  <c:v>80.5</c:v>
                </c:pt>
                <c:pt idx="22">
                  <c:v>81.400000000000006</c:v>
                </c:pt>
                <c:pt idx="23">
                  <c:v>83.2</c:v>
                </c:pt>
                <c:pt idx="24">
                  <c:v>83.564071277616264</c:v>
                </c:pt>
                <c:pt idx="25">
                  <c:v>83.171161821328127</c:v>
                </c:pt>
                <c:pt idx="26">
                  <c:v>82.127309142783844</c:v>
                </c:pt>
                <c:pt idx="27">
                  <c:v>80.610489515476331</c:v>
                </c:pt>
                <c:pt idx="28">
                  <c:v>78.712156857643805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Data'!$F$2</c:f>
              <c:strCache>
                <c:ptCount val="1"/>
                <c:pt idx="0">
                  <c:v>Public sector net worth (inverted)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strRef>
              <c:f>'Chart Data'!$A$3:$A$31</c:f>
              <c:strCache>
                <c:ptCount val="29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</c:strCache>
            </c:strRef>
          </c:cat>
          <c:val>
            <c:numRef>
              <c:f>'Chart Data'!$F$3:$F$31</c:f>
              <c:numCache>
                <c:formatCode>0.0</c:formatCode>
                <c:ptCount val="29"/>
                <c:pt idx="0">
                  <c:v>32.412418214552318</c:v>
                </c:pt>
                <c:pt idx="1">
                  <c:v>34.163435374149664</c:v>
                </c:pt>
                <c:pt idx="2">
                  <c:v>36.648475633377238</c:v>
                </c:pt>
                <c:pt idx="3">
                  <c:v>37.496587256490713</c:v>
                </c:pt>
                <c:pt idx="4">
                  <c:v>37.345262659601808</c:v>
                </c:pt>
                <c:pt idx="5">
                  <c:v>34.945860529027826</c:v>
                </c:pt>
                <c:pt idx="6">
                  <c:v>35.138599047131557</c:v>
                </c:pt>
                <c:pt idx="7">
                  <c:v>37.4332212373264</c:v>
                </c:pt>
                <c:pt idx="8">
                  <c:v>46.925464201552757</c:v>
                </c:pt>
                <c:pt idx="9">
                  <c:v>54.074312867586642</c:v>
                </c:pt>
                <c:pt idx="10">
                  <c:v>49.525323268347144</c:v>
                </c:pt>
                <c:pt idx="11">
                  <c:v>54.641597427910234</c:v>
                </c:pt>
                <c:pt idx="12">
                  <c:v>58.717052474473846</c:v>
                </c:pt>
                <c:pt idx="13">
                  <c:v>56.327202914321063</c:v>
                </c:pt>
                <c:pt idx="14">
                  <c:v>53.461687456011759</c:v>
                </c:pt>
                <c:pt idx="15">
                  <c:v>51.956784446386507</c:v>
                </c:pt>
                <c:pt idx="16">
                  <c:v>61.421654116626904</c:v>
                </c:pt>
                <c:pt idx="17">
                  <c:v>63.019839644173928</c:v>
                </c:pt>
                <c:pt idx="18">
                  <c:v>58.859183434631703</c:v>
                </c:pt>
                <c:pt idx="19">
                  <c:v>67.135562296904851</c:v>
                </c:pt>
                <c:pt idx="20">
                  <c:v>73.502871720835557</c:v>
                </c:pt>
                <c:pt idx="21">
                  <c:v>67.397726004888796</c:v>
                </c:pt>
                <c:pt idx="22">
                  <c:v>69.62644823950005</c:v>
                </c:pt>
                <c:pt idx="23">
                  <c:v>71.448627196103914</c:v>
                </c:pt>
                <c:pt idx="24">
                  <c:v>70.24924369836431</c:v>
                </c:pt>
                <c:pt idx="25">
                  <c:v>69.481721782745211</c:v>
                </c:pt>
                <c:pt idx="26">
                  <c:v>67.879920957104716</c:v>
                </c:pt>
                <c:pt idx="27">
                  <c:v>65.961559354474147</c:v>
                </c:pt>
                <c:pt idx="28">
                  <c:v>63.915276523706687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ax val="1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0627228376114011"/>
          <c:y val="0.60902441019235198"/>
          <c:w val="0.45250541987336335"/>
          <c:h val="0.22157138289725115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5026610694829"/>
          <c:w val="1"/>
          <c:h val="0.80768960445111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Data'!$H$2</c:f>
              <c:strCache>
                <c:ptCount val="1"/>
                <c:pt idx="0">
                  <c:v>Public sector net debt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Data'!$H$27:$H$31</c:f>
              <c:numCache>
                <c:formatCode>0.0</c:formatCode>
                <c:ptCount val="5"/>
                <c:pt idx="0">
                  <c:v>0.67757947539297447</c:v>
                </c:pt>
                <c:pt idx="1">
                  <c:v>-2.4202727552985266</c:v>
                </c:pt>
                <c:pt idx="2">
                  <c:v>-0.87748519089008425</c:v>
                </c:pt>
                <c:pt idx="3">
                  <c:v>-0.41819663213482272</c:v>
                </c:pt>
                <c:pt idx="4">
                  <c:v>-0.76290538245712014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ser>
          <c:idx val="1"/>
          <c:order val="1"/>
          <c:tx>
            <c:strRef>
              <c:f>'Chart Data'!$I$2</c:f>
              <c:strCache>
                <c:ptCount val="1"/>
                <c:pt idx="0">
                  <c:v>Public sector net debt (ex BoE)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Data'!$I$27:$I$31</c:f>
              <c:numCache>
                <c:formatCode>0.0</c:formatCode>
                <c:ptCount val="5"/>
                <c:pt idx="0">
                  <c:v>2.3906272839120817</c:v>
                </c:pt>
                <c:pt idx="1">
                  <c:v>1.0729037579592671</c:v>
                </c:pt>
                <c:pt idx="2">
                  <c:v>0.39747072115378046</c:v>
                </c:pt>
                <c:pt idx="3">
                  <c:v>3.1659802801328851E-2</c:v>
                </c:pt>
                <c:pt idx="4">
                  <c:v>-0.27406688660462919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6-4E4B-91F4-0D9ED376BC7E}"/>
            </c:ext>
          </c:extLst>
        </c:ser>
        <c:ser>
          <c:idx val="2"/>
          <c:order val="2"/>
          <c:tx>
            <c:strRef>
              <c:f>'Chart Data'!$J$2</c:f>
              <c:strCache>
                <c:ptCount val="1"/>
                <c:pt idx="0">
                  <c:v>Public sector net financial liabilities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Data'!$J$27:$J$31</c:f>
              <c:numCache>
                <c:formatCode>0.0</c:formatCode>
                <c:ptCount val="5"/>
                <c:pt idx="0">
                  <c:v>0.36407127761626157</c:v>
                </c:pt>
                <c:pt idx="1">
                  <c:v>-0.39290945628813745</c:v>
                </c:pt>
                <c:pt idx="2">
                  <c:v>-1.0438526785442832</c:v>
                </c:pt>
                <c:pt idx="3">
                  <c:v>-1.5168196273075125</c:v>
                </c:pt>
                <c:pt idx="4">
                  <c:v>-1.8983326578325261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D6-4E4B-91F4-0D9ED376BC7E}"/>
            </c:ext>
          </c:extLst>
        </c:ser>
        <c:ser>
          <c:idx val="3"/>
          <c:order val="3"/>
          <c:tx>
            <c:strRef>
              <c:f>'Chart Data'!$K$2</c:f>
              <c:strCache>
                <c:ptCount val="1"/>
                <c:pt idx="0">
                  <c:v>Public sector net worth (inverted)</c:v>
                </c:pt>
              </c:strCache>
            </c:strRef>
          </c:tx>
          <c:spPr>
            <a:solidFill>
              <a:srgbClr val="7B7C77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Data'!$K$27:$K$31</c:f>
              <c:numCache>
                <c:formatCode>0.0</c:formatCode>
                <c:ptCount val="5"/>
                <c:pt idx="0">
                  <c:v>-1.1993834977396034</c:v>
                </c:pt>
                <c:pt idx="1">
                  <c:v>-0.7675219156190991</c:v>
                </c:pt>
                <c:pt idx="2">
                  <c:v>-1.6018008256404954</c:v>
                </c:pt>
                <c:pt idx="3">
                  <c:v>-1.9183616026305685</c:v>
                </c:pt>
                <c:pt idx="4">
                  <c:v>-2.0462828307674599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1831325244037119"/>
          <c:y val="0.13683158803966766"/>
          <c:w val="0.47425276421192231"/>
          <c:h val="0.2093029925200002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8437059774307871E-2"/>
          <c:y val="0.14725688325786473"/>
          <c:w val="0.86775485267731378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Data'!$C$2</c:f>
              <c:strCache>
                <c:ptCount val="1"/>
                <c:pt idx="0">
                  <c:v>Public sector net debt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'Chart Data'!$B$3:$B$31</c:f>
              <c:strCache>
                <c:ptCount val="29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</c:strCache>
            </c:strRef>
          </c:cat>
          <c:val>
            <c:numRef>
              <c:f>'Chart Data'!$C$3:$C$31</c:f>
              <c:numCache>
                <c:formatCode>0.0</c:formatCode>
                <c:ptCount val="29"/>
                <c:pt idx="0">
                  <c:v>28.279102445878891</c:v>
                </c:pt>
                <c:pt idx="1">
                  <c:v>28.112244897959187</c:v>
                </c:pt>
                <c:pt idx="2">
                  <c:v>29.796492859172023</c:v>
                </c:pt>
                <c:pt idx="3">
                  <c:v>30.93456021303167</c:v>
                </c:pt>
                <c:pt idx="4">
                  <c:v>33.463197742885889</c:v>
                </c:pt>
                <c:pt idx="5">
                  <c:v>34.311233253177605</c:v>
                </c:pt>
                <c:pt idx="6">
                  <c:v>35.122258534472579</c:v>
                </c:pt>
                <c:pt idx="7">
                  <c:v>35.619526684815547</c:v>
                </c:pt>
                <c:pt idx="8">
                  <c:v>50.601601098425</c:v>
                </c:pt>
                <c:pt idx="9">
                  <c:v>64.719804612805063</c:v>
                </c:pt>
                <c:pt idx="10">
                  <c:v>70.87252587450584</c:v>
                </c:pt>
                <c:pt idx="11">
                  <c:v>74.265558846563778</c:v>
                </c:pt>
                <c:pt idx="12">
                  <c:v>77.471553502551188</c:v>
                </c:pt>
                <c:pt idx="13">
                  <c:v>79.217787377962253</c:v>
                </c:pt>
                <c:pt idx="14">
                  <c:v>81.624307423349421</c:v>
                </c:pt>
                <c:pt idx="15">
                  <c:v>81.327844707894386</c:v>
                </c:pt>
                <c:pt idx="16">
                  <c:v>83.504912110836969</c:v>
                </c:pt>
                <c:pt idx="17">
                  <c:v>82.275414057470584</c:v>
                </c:pt>
                <c:pt idx="18">
                  <c:v>80.290127102312184</c:v>
                </c:pt>
                <c:pt idx="19">
                  <c:v>85.19258923043634</c:v>
                </c:pt>
                <c:pt idx="20">
                  <c:v>96.486233225877328</c:v>
                </c:pt>
                <c:pt idx="21">
                  <c:v>96.60320712423804</c:v>
                </c:pt>
                <c:pt idx="22">
                  <c:v>95.7</c:v>
                </c:pt>
                <c:pt idx="23">
                  <c:v>98.1</c:v>
                </c:pt>
                <c:pt idx="24">
                  <c:v>98.777579475392969</c:v>
                </c:pt>
                <c:pt idx="25">
                  <c:v>96.357306720094442</c:v>
                </c:pt>
                <c:pt idx="26">
                  <c:v>95.479821529204358</c:v>
                </c:pt>
                <c:pt idx="27">
                  <c:v>95.061624897069535</c:v>
                </c:pt>
                <c:pt idx="28">
                  <c:v>94.298719514612415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9-4499-AA1C-ADC9451D9AA0}"/>
            </c:ext>
          </c:extLst>
        </c:ser>
        <c:ser>
          <c:idx val="1"/>
          <c:order val="1"/>
          <c:tx>
            <c:strRef>
              <c:f>'Chart Data'!$D$2</c:f>
              <c:strCache>
                <c:ptCount val="1"/>
                <c:pt idx="0">
                  <c:v>Public sector net debt (ex BoE)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f>'Chart Data'!$B$3:$B$31</c:f>
              <c:strCache>
                <c:ptCount val="29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</c:strCache>
            </c:strRef>
          </c:cat>
          <c:val>
            <c:numRef>
              <c:f>'Chart Data'!$D$3:$D$31</c:f>
              <c:numCache>
                <c:formatCode>0.0</c:formatCode>
                <c:ptCount val="29"/>
                <c:pt idx="0">
                  <c:v>28.384490405304525</c:v>
                </c:pt>
                <c:pt idx="1">
                  <c:v>28.214285714285715</c:v>
                </c:pt>
                <c:pt idx="2">
                  <c:v>29.885268975491343</c:v>
                </c:pt>
                <c:pt idx="3">
                  <c:v>31.041626676068123</c:v>
                </c:pt>
                <c:pt idx="4">
                  <c:v>33.572103788913942</c:v>
                </c:pt>
                <c:pt idx="5">
                  <c:v>34.46238406046033</c:v>
                </c:pt>
                <c:pt idx="6">
                  <c:v>35.253507632135033</c:v>
                </c:pt>
                <c:pt idx="7">
                  <c:v>35.751404340030831</c:v>
                </c:pt>
                <c:pt idx="8">
                  <c:v>50.633741343025122</c:v>
                </c:pt>
                <c:pt idx="9">
                  <c:v>63.932765447847316</c:v>
                </c:pt>
                <c:pt idx="10">
                  <c:v>70.593571806718785</c:v>
                </c:pt>
                <c:pt idx="11">
                  <c:v>74.583536976734592</c:v>
                </c:pt>
                <c:pt idx="12">
                  <c:v>76.201342114425628</c:v>
                </c:pt>
                <c:pt idx="13">
                  <c:v>76.9569005573059</c:v>
                </c:pt>
                <c:pt idx="14">
                  <c:v>79.18540738829023</c:v>
                </c:pt>
                <c:pt idx="15">
                  <c:v>78.897719698806839</c:v>
                </c:pt>
                <c:pt idx="16">
                  <c:v>77.424315774943082</c:v>
                </c:pt>
                <c:pt idx="17">
                  <c:v>73.735588459062456</c:v>
                </c:pt>
                <c:pt idx="18">
                  <c:v>72.319403695903333</c:v>
                </c:pt>
                <c:pt idx="19">
                  <c:v>77.133323351171356</c:v>
                </c:pt>
                <c:pt idx="20">
                  <c:v>86.537211314714597</c:v>
                </c:pt>
                <c:pt idx="21">
                  <c:v>83.186433113912756</c:v>
                </c:pt>
                <c:pt idx="22">
                  <c:v>84.868662550680384</c:v>
                </c:pt>
                <c:pt idx="23">
                  <c:v>89.3</c:v>
                </c:pt>
                <c:pt idx="24">
                  <c:v>91.690627283912079</c:v>
                </c:pt>
                <c:pt idx="25">
                  <c:v>92.763531041871346</c:v>
                </c:pt>
                <c:pt idx="26">
                  <c:v>93.161001763025126</c:v>
                </c:pt>
                <c:pt idx="27">
                  <c:v>93.192661565826455</c:v>
                </c:pt>
                <c:pt idx="28">
                  <c:v>92.918594679221826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09-4499-AA1C-ADC9451D9AA0}"/>
            </c:ext>
          </c:extLst>
        </c:ser>
        <c:ser>
          <c:idx val="2"/>
          <c:order val="2"/>
          <c:tx>
            <c:strRef>
              <c:f>'Chart Data'!$E$2</c:f>
              <c:strCache>
                <c:ptCount val="1"/>
                <c:pt idx="0">
                  <c:v>Public sector net financial liabilities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strRef>
              <c:f>'Chart Data'!$B$3:$B$31</c:f>
              <c:strCache>
                <c:ptCount val="29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</c:strCache>
            </c:strRef>
          </c:cat>
          <c:val>
            <c:numRef>
              <c:f>'Chart Data'!$E$3:$E$31</c:f>
              <c:numCache>
                <c:formatCode>0.0</c:formatCode>
                <c:ptCount val="29"/>
                <c:pt idx="0">
                  <c:v>26.9</c:v>
                </c:pt>
                <c:pt idx="1">
                  <c:v>28.4</c:v>
                </c:pt>
                <c:pt idx="2">
                  <c:v>31.3</c:v>
                </c:pt>
                <c:pt idx="3">
                  <c:v>31.3</c:v>
                </c:pt>
                <c:pt idx="4">
                  <c:v>33.4</c:v>
                </c:pt>
                <c:pt idx="5">
                  <c:v>32.4</c:v>
                </c:pt>
                <c:pt idx="6">
                  <c:v>32.4</c:v>
                </c:pt>
                <c:pt idx="7">
                  <c:v>34.200000000000003</c:v>
                </c:pt>
                <c:pt idx="8">
                  <c:v>47.5</c:v>
                </c:pt>
                <c:pt idx="9">
                  <c:v>54.6</c:v>
                </c:pt>
                <c:pt idx="10">
                  <c:v>58.9</c:v>
                </c:pt>
                <c:pt idx="11">
                  <c:v>65</c:v>
                </c:pt>
                <c:pt idx="12">
                  <c:v>69.7</c:v>
                </c:pt>
                <c:pt idx="13">
                  <c:v>70.7</c:v>
                </c:pt>
                <c:pt idx="14">
                  <c:v>72.900000000000006</c:v>
                </c:pt>
                <c:pt idx="15">
                  <c:v>74</c:v>
                </c:pt>
                <c:pt idx="16">
                  <c:v>74.2</c:v>
                </c:pt>
                <c:pt idx="17">
                  <c:v>70.2</c:v>
                </c:pt>
                <c:pt idx="18">
                  <c:v>66.900000000000006</c:v>
                </c:pt>
                <c:pt idx="19">
                  <c:v>74.5</c:v>
                </c:pt>
                <c:pt idx="20">
                  <c:v>83</c:v>
                </c:pt>
                <c:pt idx="21">
                  <c:v>80.5</c:v>
                </c:pt>
                <c:pt idx="22">
                  <c:v>81.400000000000006</c:v>
                </c:pt>
                <c:pt idx="23">
                  <c:v>83.2</c:v>
                </c:pt>
                <c:pt idx="24">
                  <c:v>83.564071277616264</c:v>
                </c:pt>
                <c:pt idx="25">
                  <c:v>83.171161821328127</c:v>
                </c:pt>
                <c:pt idx="26">
                  <c:v>82.127309142783844</c:v>
                </c:pt>
                <c:pt idx="27">
                  <c:v>80.610489515476331</c:v>
                </c:pt>
                <c:pt idx="28">
                  <c:v>78.712156857643805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09-4499-AA1C-ADC9451D9AA0}"/>
            </c:ext>
          </c:extLst>
        </c:ser>
        <c:ser>
          <c:idx val="3"/>
          <c:order val="3"/>
          <c:tx>
            <c:strRef>
              <c:f>'Chart Data'!$F$2</c:f>
              <c:strCache>
                <c:ptCount val="1"/>
                <c:pt idx="0">
                  <c:v>Public sector net worth (inverted)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strRef>
              <c:f>'Chart Data'!$B$3:$B$31</c:f>
              <c:strCache>
                <c:ptCount val="29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</c:strCache>
            </c:strRef>
          </c:cat>
          <c:val>
            <c:numRef>
              <c:f>'Chart Data'!$F$3:$F$31</c:f>
              <c:numCache>
                <c:formatCode>0.0</c:formatCode>
                <c:ptCount val="29"/>
                <c:pt idx="0">
                  <c:v>32.412418214552318</c:v>
                </c:pt>
                <c:pt idx="1">
                  <c:v>34.163435374149664</c:v>
                </c:pt>
                <c:pt idx="2">
                  <c:v>36.648475633377238</c:v>
                </c:pt>
                <c:pt idx="3">
                  <c:v>37.496587256490713</c:v>
                </c:pt>
                <c:pt idx="4">
                  <c:v>37.345262659601808</c:v>
                </c:pt>
                <c:pt idx="5">
                  <c:v>34.945860529027826</c:v>
                </c:pt>
                <c:pt idx="6">
                  <c:v>35.138599047131557</c:v>
                </c:pt>
                <c:pt idx="7">
                  <c:v>37.4332212373264</c:v>
                </c:pt>
                <c:pt idx="8">
                  <c:v>46.925464201552757</c:v>
                </c:pt>
                <c:pt idx="9">
                  <c:v>54.074312867586642</c:v>
                </c:pt>
                <c:pt idx="10">
                  <c:v>49.525323268347144</c:v>
                </c:pt>
                <c:pt idx="11">
                  <c:v>54.641597427910234</c:v>
                </c:pt>
                <c:pt idx="12">
                  <c:v>58.717052474473846</c:v>
                </c:pt>
                <c:pt idx="13">
                  <c:v>56.327202914321063</c:v>
                </c:pt>
                <c:pt idx="14">
                  <c:v>53.461687456011759</c:v>
                </c:pt>
                <c:pt idx="15">
                  <c:v>51.956784446386507</c:v>
                </c:pt>
                <c:pt idx="16">
                  <c:v>61.421654116626904</c:v>
                </c:pt>
                <c:pt idx="17">
                  <c:v>63.019839644173928</c:v>
                </c:pt>
                <c:pt idx="18">
                  <c:v>58.859183434631703</c:v>
                </c:pt>
                <c:pt idx="19">
                  <c:v>67.135562296904851</c:v>
                </c:pt>
                <c:pt idx="20">
                  <c:v>73.502871720835557</c:v>
                </c:pt>
                <c:pt idx="21">
                  <c:v>67.397726004888796</c:v>
                </c:pt>
                <c:pt idx="22">
                  <c:v>69.62644823950005</c:v>
                </c:pt>
                <c:pt idx="23">
                  <c:v>71.448627196103914</c:v>
                </c:pt>
                <c:pt idx="24">
                  <c:v>70.24924369836431</c:v>
                </c:pt>
                <c:pt idx="25">
                  <c:v>69.481721782745211</c:v>
                </c:pt>
                <c:pt idx="26">
                  <c:v>67.879920957104716</c:v>
                </c:pt>
                <c:pt idx="27">
                  <c:v>65.961559354474147</c:v>
                </c:pt>
                <c:pt idx="28">
                  <c:v>63.915276523706687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09-4499-AA1C-ADC9451D9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noMultiLvlLbl val="0"/>
      </c:catAx>
      <c:valAx>
        <c:axId val="263608576"/>
        <c:scaling>
          <c:orientation val="minMax"/>
          <c:max val="1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6874920295979943E-2"/>
          <c:y val="0.66001591160878259"/>
          <c:w val="0.4675713332443614"/>
          <c:h val="0.2026856416319065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490853410142005E-2"/>
          <c:y val="0.13319127909345868"/>
          <c:w val="0.93450914658985795"/>
          <c:h val="0.766606281746096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Data'!$H$2</c:f>
              <c:strCache>
                <c:ptCount val="1"/>
                <c:pt idx="0">
                  <c:v>Public sector net debt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Data'!$H$27:$H$31</c:f>
              <c:numCache>
                <c:formatCode>0.0</c:formatCode>
                <c:ptCount val="5"/>
                <c:pt idx="0">
                  <c:v>0.67757947539297447</c:v>
                </c:pt>
                <c:pt idx="1">
                  <c:v>-2.4202727552985266</c:v>
                </c:pt>
                <c:pt idx="2">
                  <c:v>-0.87748519089008425</c:v>
                </c:pt>
                <c:pt idx="3">
                  <c:v>-0.41819663213482272</c:v>
                </c:pt>
                <c:pt idx="4">
                  <c:v>-0.76290538245712014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1-4726-A76B-35C811121970}"/>
            </c:ext>
          </c:extLst>
        </c:ser>
        <c:ser>
          <c:idx val="1"/>
          <c:order val="1"/>
          <c:tx>
            <c:strRef>
              <c:f>'Chart Data'!$I$2</c:f>
              <c:strCache>
                <c:ptCount val="1"/>
                <c:pt idx="0">
                  <c:v>Public sector net debt (ex BoE)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Data'!$I$27:$I$31</c:f>
              <c:numCache>
                <c:formatCode>0.0</c:formatCode>
                <c:ptCount val="5"/>
                <c:pt idx="0">
                  <c:v>2.3906272839120817</c:v>
                </c:pt>
                <c:pt idx="1">
                  <c:v>1.0729037579592671</c:v>
                </c:pt>
                <c:pt idx="2">
                  <c:v>0.39747072115378046</c:v>
                </c:pt>
                <c:pt idx="3">
                  <c:v>3.1659802801328851E-2</c:v>
                </c:pt>
                <c:pt idx="4">
                  <c:v>-0.27406688660462919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F1-4726-A76B-35C811121970}"/>
            </c:ext>
          </c:extLst>
        </c:ser>
        <c:ser>
          <c:idx val="2"/>
          <c:order val="2"/>
          <c:tx>
            <c:strRef>
              <c:f>'Chart Data'!$J$2</c:f>
              <c:strCache>
                <c:ptCount val="1"/>
                <c:pt idx="0">
                  <c:v>Public sector net financial liabilities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Data'!$J$27:$J$31</c:f>
              <c:numCache>
                <c:formatCode>0.0</c:formatCode>
                <c:ptCount val="5"/>
                <c:pt idx="0">
                  <c:v>0.36407127761626157</c:v>
                </c:pt>
                <c:pt idx="1">
                  <c:v>-0.39290945628813745</c:v>
                </c:pt>
                <c:pt idx="2">
                  <c:v>-1.0438526785442832</c:v>
                </c:pt>
                <c:pt idx="3">
                  <c:v>-1.5168196273075125</c:v>
                </c:pt>
                <c:pt idx="4">
                  <c:v>-1.8983326578325261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F1-4726-A76B-35C811121970}"/>
            </c:ext>
          </c:extLst>
        </c:ser>
        <c:ser>
          <c:idx val="3"/>
          <c:order val="3"/>
          <c:tx>
            <c:strRef>
              <c:f>'Chart Data'!$K$2</c:f>
              <c:strCache>
                <c:ptCount val="1"/>
                <c:pt idx="0">
                  <c:v>Public sector net worth (inverted)</c:v>
                </c:pt>
              </c:strCache>
            </c:strRef>
          </c:tx>
          <c:spPr>
            <a:solidFill>
              <a:srgbClr val="7B7C77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cat>
            <c:strRef>
              <c:f>'Chart Data'!$A$27:$A$31</c:f>
              <c:strCache>
                <c:ptCount val="5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</c:strCache>
            </c:strRef>
          </c:cat>
          <c:val>
            <c:numRef>
              <c:f>'Chart Data'!$K$27:$K$31</c:f>
              <c:numCache>
                <c:formatCode>0.0</c:formatCode>
                <c:ptCount val="5"/>
                <c:pt idx="0">
                  <c:v>-1.1993834977396034</c:v>
                </c:pt>
                <c:pt idx="1">
                  <c:v>-0.7675219156190991</c:v>
                </c:pt>
                <c:pt idx="2">
                  <c:v>-1.6018008256404954</c:v>
                </c:pt>
                <c:pt idx="3">
                  <c:v>-1.9183616026305685</c:v>
                </c:pt>
                <c:pt idx="4">
                  <c:v>-2.0462828307674599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F1-4726-A76B-35C811121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ADDDEC-08F8-4079-824D-B2866508D07D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029D81-3B2B-40EE-AC4F-428786E9FE98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946A00-B1E4-4C5E-9131-1A706357D7F9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24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C26888-B552-5A11-51C8-33E0367897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940212-BDF8-A97A-0091-D214B6264D4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OBR forecasts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various balance sheet indicators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8725579-A3B6-0283-5C75-E20409FFEDEF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OBR</a:t>
          </a:r>
        </a:p>
      </cdr:txBody>
    </cdr:sp>
  </cdr:relSizeAnchor>
  <cdr:relSizeAnchor xmlns:cdr="http://schemas.openxmlformats.org/drawingml/2006/chartDrawing">
    <cdr:from>
      <cdr:x>0.78828</cdr:x>
      <cdr:y>0.1325</cdr:y>
    </cdr:from>
    <cdr:to>
      <cdr:x>0.78828</cdr:x>
      <cdr:y>0.65179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5A17CB3-1281-F145-EAC8-481645CA42B0}"/>
            </a:ext>
          </a:extLst>
        </cdr:cNvPr>
        <cdr:cNvCxnSpPr/>
      </cdr:nvCxnSpPr>
      <cdr:spPr>
        <a:xfrm xmlns:a="http://schemas.openxmlformats.org/drawingml/2006/main">
          <a:off x="6644904" y="891045"/>
          <a:ext cx="0" cy="3492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0.82293</cdr:x>
      <cdr:y>0.45491</cdr:y>
    </cdr:from>
    <cdr:to>
      <cdr:x>0.97358</cdr:x>
      <cdr:y>0.53417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2F24AD5-65D3-E07E-3850-8700DA36B89E}"/>
            </a:ext>
          </a:extLst>
        </cdr:cNvPr>
        <cdr:cNvSpPr txBox="1"/>
      </cdr:nvSpPr>
      <cdr:spPr>
        <a:xfrm xmlns:a="http://schemas.openxmlformats.org/drawingml/2006/main">
          <a:off x="6937000" y="3059083"/>
          <a:ext cx="1269933" cy="5329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0.00226</cdr:x>
      <cdr:y>0.07265</cdr:y>
    </cdr:from>
    <cdr:to>
      <cdr:x>0.15141</cdr:x>
      <cdr:y>0.1236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A448AA7-F633-0024-0763-9A2845914AD2}"/>
            </a:ext>
          </a:extLst>
        </cdr:cNvPr>
        <cdr:cNvSpPr txBox="1"/>
      </cdr:nvSpPr>
      <cdr:spPr>
        <a:xfrm xmlns:a="http://schemas.openxmlformats.org/drawingml/2006/main">
          <a:off x="19050" y="488560"/>
          <a:ext cx="12573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GDP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12B68-FF07-C68C-C230-B30C413C67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19B26D-E7E6-53E2-DCD6-1406128E0D5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OBR forecasts for various balance sheet indicators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FE292CB3-7354-C457-1502-3DF50CE69F34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OBR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520D6B0-5136-C75B-BFAE-0887E01C188A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Year-to-year change, % of GDP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9293A3-0070-6D9A-49DF-94F822C1D1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0.5774</cdr:x>
      <cdr:y>0.46034</cdr:y>
    </cdr:from>
    <cdr:to>
      <cdr:x>0.97345</cdr:x>
      <cdr:y>0.83569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E058DEE5-5437-7C2B-C6DB-DD0E5E27B509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940212-BDF8-A97A-0091-D214B6264D4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OBR forecasts for various balance sheet indicators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8725579-A3B6-0283-5C75-E20409FFEDEF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OBR</a:t>
          </a:r>
        </a:p>
      </cdr:txBody>
    </cdr:sp>
  </cdr:relSizeAnchor>
  <cdr:relSizeAnchor xmlns:cdr="http://schemas.openxmlformats.org/drawingml/2006/chartDrawing">
    <cdr:from>
      <cdr:x>0.00226</cdr:x>
      <cdr:y>0.07265</cdr:y>
    </cdr:from>
    <cdr:to>
      <cdr:x>0.15141</cdr:x>
      <cdr:y>0.1236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A448AA7-F633-0024-0763-9A2845914AD2}"/>
            </a:ext>
          </a:extLst>
        </cdr:cNvPr>
        <cdr:cNvSpPr txBox="1"/>
      </cdr:nvSpPr>
      <cdr:spPr>
        <a:xfrm xmlns:a="http://schemas.openxmlformats.org/drawingml/2006/main">
          <a:off x="19050" y="488560"/>
          <a:ext cx="12573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GDP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0.00694</cdr:y>
    </cdr:from>
    <cdr:to>
      <cdr:x>1</cdr:x>
      <cdr:y>0.12644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520D6B0-5136-C75B-BFAE-0887E01C188A}"/>
            </a:ext>
          </a:extLst>
        </cdr:cNvPr>
        <cdr:cNvSpPr txBox="1"/>
      </cdr:nvSpPr>
      <cdr:spPr>
        <a:xfrm xmlns:a="http://schemas.openxmlformats.org/drawingml/2006/main">
          <a:off x="0" y="19050"/>
          <a:ext cx="4572000" cy="327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2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Year-to-year change, % of GDP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28575</xdr:colOff>
      <xdr:row>24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4602C5-C9D6-400D-8878-705E40871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85825"/>
          <a:ext cx="5476875" cy="3590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enevij\Local%20Settings\Temporary%20Internet%20Files\OLK6D\FertAssCha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ON\99I2K\Shuttle\MONTH\MREC%2000-01%20GA%20(Karen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PD\PD109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earch-camb\mresearch\RPW\Winter%2004-05\Margins\MRGWinter04-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CEL\CGBR\PROF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lndsv02\OBR\WINDOWS\TEMP\PD\PD10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EngChart"/>
      <sheetName val="WalChart"/>
      <sheetName val="ScoChart"/>
      <sheetName val="NIChart"/>
      <sheetName val="UKChart"/>
      <sheetName val="FertAssCha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REP2000"/>
      <sheetName val="#REF"/>
    </sheetNames>
    <sheetDataSet>
      <sheetData sheetId="0">
        <row r="1">
          <cell r="D1" t="str">
            <v>Monthly Income Tax (including CGT) Receipts 2000 - 01     (£millions)</v>
          </cell>
        </row>
        <row r="14">
          <cell r="A14" t="str">
            <v>OCT</v>
          </cell>
          <cell r="B14">
            <v>398.0929999999999</v>
          </cell>
          <cell r="C14">
            <v>260.85900000000026</v>
          </cell>
          <cell r="D14">
            <v>162.05819444444447</v>
          </cell>
          <cell r="F14">
            <v>25.414028000000009</v>
          </cell>
        </row>
        <row r="15">
          <cell r="A15" t="str">
            <v>NOV</v>
          </cell>
          <cell r="B15">
            <v>0.93100000000000027</v>
          </cell>
          <cell r="C15">
            <v>25.221999999999998</v>
          </cell>
          <cell r="D15">
            <v>-140.25550555555554</v>
          </cell>
          <cell r="F15">
            <v>28.918267500000002</v>
          </cell>
        </row>
        <row r="16">
          <cell r="A16" t="str">
            <v>DEC</v>
          </cell>
          <cell r="B16">
            <v>187.64399999999998</v>
          </cell>
          <cell r="C16">
            <v>6.0650000000000261</v>
          </cell>
          <cell r="D16">
            <v>49.75579444444444</v>
          </cell>
          <cell r="F16">
            <v>15.492161599999999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"/>
      <sheetName val="ET TABLE"/>
      <sheetName val="HMT"/>
      <sheetName val="QsYs"/>
      <sheetName val="Formatting"/>
      <sheetName val="SUMMARY_TABLE"/>
      <sheetName val="ET_TABLE"/>
      <sheetName val="GDP forecast"/>
      <sheetName val="SUMMARY_TABLE1"/>
      <sheetName val="ET_TABLE1"/>
    </sheetNames>
    <sheetDataSet>
      <sheetData sheetId="0" refreshError="1">
        <row r="17">
          <cell r="Q17">
            <v>1266</v>
          </cell>
        </row>
        <row r="23">
          <cell r="P23" t="str">
            <v>Number of PD forms NI only</v>
          </cell>
        </row>
        <row r="25">
          <cell r="P25" t="str">
            <v>Non-liab</v>
          </cell>
          <cell r="Q25" t="str">
            <v>Liab</v>
          </cell>
        </row>
        <row r="26">
          <cell r="P26">
            <v>1798</v>
          </cell>
          <cell r="Q26">
            <v>1221</v>
          </cell>
        </row>
        <row r="27">
          <cell r="P27">
            <v>1875</v>
          </cell>
          <cell r="Q27">
            <v>1352</v>
          </cell>
        </row>
        <row r="28">
          <cell r="P28">
            <v>1755</v>
          </cell>
          <cell r="Q28">
            <v>1296</v>
          </cell>
        </row>
        <row r="29">
          <cell r="P29">
            <v>1778</v>
          </cell>
          <cell r="Q29">
            <v>1175</v>
          </cell>
        </row>
        <row r="30">
          <cell r="P30">
            <v>2150</v>
          </cell>
          <cell r="Q30">
            <v>1155</v>
          </cell>
        </row>
        <row r="31">
          <cell r="P31">
            <v>2032</v>
          </cell>
          <cell r="Q31">
            <v>1366</v>
          </cell>
        </row>
        <row r="32">
          <cell r="P32">
            <v>2151</v>
          </cell>
          <cell r="Q32">
            <v>1364</v>
          </cell>
        </row>
        <row r="33">
          <cell r="P33">
            <v>1971</v>
          </cell>
          <cell r="Q33">
            <v>1265</v>
          </cell>
        </row>
        <row r="34">
          <cell r="P34">
            <v>1811</v>
          </cell>
          <cell r="Q34">
            <v>1039</v>
          </cell>
        </row>
        <row r="35">
          <cell r="P35">
            <v>1937</v>
          </cell>
          <cell r="Q35">
            <v>1221</v>
          </cell>
        </row>
        <row r="36">
          <cell r="P36">
            <v>1728</v>
          </cell>
          <cell r="Q36">
            <v>1087</v>
          </cell>
        </row>
        <row r="37">
          <cell r="P37">
            <v>1515</v>
          </cell>
          <cell r="Q37">
            <v>1035</v>
          </cell>
        </row>
        <row r="38">
          <cell r="P38" t="str">
            <v xml:space="preserve"> _________</v>
          </cell>
          <cell r="Q38" t="str">
            <v xml:space="preserve"> _______</v>
          </cell>
        </row>
        <row r="39">
          <cell r="P39">
            <v>18828</v>
          </cell>
          <cell r="Q39">
            <v>12003</v>
          </cell>
        </row>
        <row r="43">
          <cell r="P43" t="str">
            <v>Number of PD forms NI only</v>
          </cell>
        </row>
        <row r="45">
          <cell r="P45" t="str">
            <v>Non-liab</v>
          </cell>
          <cell r="Q45" t="str">
            <v>Liab</v>
          </cell>
        </row>
        <row r="46">
          <cell r="P46">
            <v>1867</v>
          </cell>
          <cell r="Q46">
            <v>1209</v>
          </cell>
        </row>
        <row r="47">
          <cell r="Q47">
            <v>1094</v>
          </cell>
        </row>
        <row r="48">
          <cell r="Q48">
            <v>1410</v>
          </cell>
        </row>
        <row r="49">
          <cell r="Q49">
            <v>1476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CHGSPD19.FIN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Differences"/>
      <sheetName val="margus"/>
      <sheetName val="margasia"/>
      <sheetName val="margeur"/>
      <sheetName val="Graphics"/>
      <sheetName val="RPW Graphics"/>
      <sheetName val="USGC Chart 2"/>
      <sheetName val="USGC Chart 3"/>
      <sheetName val="USGC Chart"/>
      <sheetName val="Singapore Chart"/>
      <sheetName val="Rott - ARA Chart"/>
      <sheetName val="NYHB Resid vs Gas"/>
      <sheetName val="USGC Resid vs Gas"/>
      <sheetName val="Notional Cracking Margins Chart"/>
      <sheetName val="Comparison Graphs"/>
      <sheetName val="RPW Annual"/>
      <sheetName val="Chart3"/>
      <sheetName val="USGC"/>
      <sheetName val="NYHB"/>
      <sheetName val="Singapore"/>
      <sheetName val="Rotterdam - ARA Barges"/>
      <sheetName val="Prices in 3 Markets "/>
      <sheetName val="Price Comparison Charts"/>
      <sheetName val="Inter-Product in 3 Markets"/>
      <sheetName val="Crude Forecast"/>
      <sheetName val="FOB Med"/>
      <sheetName val="Chart1"/>
      <sheetName val="Y-T-D"/>
      <sheetName val="Y-T-D Daily"/>
      <sheetName val="Prices"/>
      <sheetName val="Mogas-Dist Margins"/>
      <sheetName val="NGLs"/>
      <sheetName val="Maya2"/>
      <sheetName val="Q5"/>
      <sheetName val="SUMMARY TABLE"/>
      <sheetName val="RPW_Graphics"/>
      <sheetName val="USGC_Chart_2"/>
      <sheetName val="USGC_Chart_3"/>
      <sheetName val="USGC_Chart"/>
      <sheetName val="Singapore_Chart"/>
      <sheetName val="Rott_-_ARA_Chart"/>
      <sheetName val="NYHB_Resid_vs_Gas"/>
      <sheetName val="USGC_Resid_vs_Gas"/>
      <sheetName val="Notional_Cracking_Margins_Chart"/>
      <sheetName val="Comparison_Graphs"/>
      <sheetName val="RPW_Annual"/>
      <sheetName val="Rotterdam_-_ARA_Barges"/>
      <sheetName val="Prices_in_3_Markets_"/>
      <sheetName val="Price_Comparison_Charts"/>
      <sheetName val="Inter-Product_in_3_Markets"/>
      <sheetName val="Crude_Forecast"/>
      <sheetName val="FOB_Med"/>
      <sheetName val="Y-T-D_Daily"/>
      <sheetName val="Mogas-Dist_Margins"/>
      <sheetName val="RPW_Graphics1"/>
      <sheetName val="USGC_Chart_21"/>
      <sheetName val="USGC_Chart_31"/>
      <sheetName val="USGC_Chart1"/>
      <sheetName val="Singapore_Chart1"/>
      <sheetName val="Rott_-_ARA_Chart1"/>
      <sheetName val="NYHB_Resid_vs_Gas1"/>
      <sheetName val="USGC_Resid_vs_Gas1"/>
      <sheetName val="Notional_Cracking_Margins_Char1"/>
      <sheetName val="Comparison_Graphs1"/>
      <sheetName val="RPW_Annual1"/>
      <sheetName val="Rotterdam_-_ARA_Barges1"/>
      <sheetName val="Prices_in_3_Markets_1"/>
      <sheetName val="Price_Comparison_Charts1"/>
      <sheetName val="Inter-Product_in_3_Markets1"/>
      <sheetName val="Crude_Forecast1"/>
      <sheetName val="FOB_Med1"/>
      <sheetName val="Y-T-D_Daily1"/>
      <sheetName val="Mogas-Dist_Margins1"/>
      <sheetName val="RPW_Graphics2"/>
      <sheetName val="USGC_Chart_22"/>
      <sheetName val="USGC_Chart_32"/>
      <sheetName val="USGC_Chart2"/>
      <sheetName val="Singapore_Chart2"/>
      <sheetName val="Rott_-_ARA_Chart2"/>
      <sheetName val="NYHB_Resid_vs_Gas2"/>
      <sheetName val="USGC_Resid_vs_Gas2"/>
      <sheetName val="Notional_Cracking_Margins_Char2"/>
      <sheetName val="Comparison_Graphs2"/>
      <sheetName val="RPW_Annual2"/>
      <sheetName val="Rotterdam_-_ARA_Barges2"/>
      <sheetName val="Prices_in_3_Markets_2"/>
      <sheetName val="Price_Comparison_Charts2"/>
      <sheetName val="Inter-Product_in_3_Markets2"/>
      <sheetName val="Crude_Forecast2"/>
      <sheetName val="FOB_Med2"/>
      <sheetName val="Y-T-D_Daily2"/>
      <sheetName val="Mogas-Dist_Margins2"/>
      <sheetName val="RPW_Graphics3"/>
      <sheetName val="USGC_Chart_23"/>
      <sheetName val="USGC_Chart_33"/>
      <sheetName val="USGC_Chart3"/>
      <sheetName val="Singapore_Chart3"/>
      <sheetName val="Rott_-_ARA_Chart3"/>
      <sheetName val="NYHB_Resid_vs_Gas3"/>
      <sheetName val="USGC_Resid_vs_Gas3"/>
      <sheetName val="Notional_Cracking_Margins_Char3"/>
      <sheetName val="Comparison_Graphs3"/>
      <sheetName val="RPW_Annual3"/>
      <sheetName val="Rotterdam_-_ARA_Barges3"/>
      <sheetName val="Prices_in_3_Markets_3"/>
      <sheetName val="Price_Comparison_Charts3"/>
      <sheetName val="Inter-Product_in_3_Markets3"/>
      <sheetName val="Crude_Forecast3"/>
      <sheetName val="FOB_Med3"/>
      <sheetName val="Y-T-D_Daily3"/>
      <sheetName val="Mogas-Dist_Margins3"/>
      <sheetName val="Accuracy Calc"/>
      <sheetName val="Accuracy_Calc"/>
      <sheetName val="RPW_Graphics4"/>
      <sheetName val="USGC_Chart_24"/>
      <sheetName val="USGC_Chart_34"/>
      <sheetName val="USGC_Chart4"/>
      <sheetName val="Singapore_Chart4"/>
      <sheetName val="Rott_-_ARA_Chart4"/>
      <sheetName val="NYHB_Resid_vs_Gas4"/>
      <sheetName val="USGC_Resid_vs_Gas4"/>
      <sheetName val="Notional_Cracking_Margins_Char4"/>
      <sheetName val="Comparison_Graphs4"/>
      <sheetName val="RPW_Annual4"/>
      <sheetName val="Rotterdam_-_ARA_Barges4"/>
      <sheetName val="Prices_in_3_Markets_4"/>
      <sheetName val="Price_Comparison_Charts4"/>
      <sheetName val="Inter-Product_in_3_Markets4"/>
      <sheetName val="Crude_Forecast4"/>
      <sheetName val="FOB_Med4"/>
      <sheetName val="Y-T-D_Daily4"/>
      <sheetName val="Mogas-Dist_Margins4"/>
      <sheetName val="SUMMARY_TABLE"/>
      <sheetName val="RPW_Graphics5"/>
      <sheetName val="USGC_Chart_25"/>
      <sheetName val="USGC_Chart_35"/>
      <sheetName val="USGC_Chart5"/>
      <sheetName val="Singapore_Chart5"/>
      <sheetName val="Rott_-_ARA_Chart5"/>
      <sheetName val="NYHB_Resid_vs_Gas5"/>
      <sheetName val="USGC_Resid_vs_Gas5"/>
      <sheetName val="Notional_Cracking_Margins_Char5"/>
      <sheetName val="Comparison_Graphs5"/>
      <sheetName val="RPW_Annual5"/>
      <sheetName val="Rotterdam_-_ARA_Barges5"/>
      <sheetName val="Prices_in_3_Markets_5"/>
      <sheetName val="Price_Comparison_Charts5"/>
      <sheetName val="Inter-Product_in_3_Markets5"/>
      <sheetName val="Crude_Forecast5"/>
      <sheetName val="FOB_Med5"/>
      <sheetName val="Y-T-D_Daily5"/>
      <sheetName val="Mogas-Dist_Margins5"/>
      <sheetName val="SUMMARY_TABLE1"/>
      <sheetName val="Accuracy_Calc1"/>
      <sheetName val="RPW_Graphics6"/>
      <sheetName val="USGC_Chart_26"/>
      <sheetName val="USGC_Chart_36"/>
      <sheetName val="USGC_Chart6"/>
      <sheetName val="Singapore_Chart6"/>
      <sheetName val="Rott_-_ARA_Chart6"/>
      <sheetName val="NYHB_Resid_vs_Gas6"/>
      <sheetName val="USGC_Resid_vs_Gas6"/>
      <sheetName val="Notional_Cracking_Margins_Char6"/>
      <sheetName val="Comparison_Graphs6"/>
      <sheetName val="RPW_Annual6"/>
      <sheetName val="Rotterdam_-_ARA_Barges6"/>
      <sheetName val="Prices_in_3_Markets_6"/>
      <sheetName val="Price_Comparison_Charts6"/>
      <sheetName val="Inter-Product_in_3_Markets6"/>
      <sheetName val="Crude_Forecast6"/>
      <sheetName val="FOB_Med6"/>
      <sheetName val="Y-T-D_Daily6"/>
      <sheetName val="Mogas-Dist_Margins6"/>
      <sheetName val="SUMMARY_TABLE2"/>
      <sheetName val="Accuracy_Calc2"/>
      <sheetName val="fig_XX_YY"/>
      <sheetName val="LKP_INDEX"/>
      <sheetName val="Data for lists"/>
      <sheetName val="Data_for_lists"/>
      <sheetName val="Data_for_lists1"/>
      <sheetName val="Data_for_lists2"/>
      <sheetName val="Sec1.0"/>
      <sheetName val="Scenario inputs"/>
      <sheetName val="RUL Selection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4">
          <cell r="A34" t="str">
            <v>Q1 93</v>
          </cell>
          <cell r="C34">
            <v>2.46</v>
          </cell>
          <cell r="F34">
            <v>3.1</v>
          </cell>
          <cell r="L34">
            <v>2.4</v>
          </cell>
          <cell r="O34">
            <v>-6.16</v>
          </cell>
          <cell r="R34">
            <v>-8.82</v>
          </cell>
        </row>
        <row r="35">
          <cell r="A35" t="str">
            <v>Q2 93</v>
          </cell>
          <cell r="C35">
            <v>4.3600000000000003</v>
          </cell>
          <cell r="F35">
            <v>2.89</v>
          </cell>
          <cell r="L35">
            <v>2.08</v>
          </cell>
          <cell r="O35">
            <v>-5.0599999999999996</v>
          </cell>
          <cell r="R35">
            <v>-9.01</v>
          </cell>
        </row>
        <row r="36">
          <cell r="A36" t="str">
            <v>Q3 93</v>
          </cell>
          <cell r="C36">
            <v>3.15</v>
          </cell>
          <cell r="F36">
            <v>3.59</v>
          </cell>
          <cell r="L36">
            <v>2.7</v>
          </cell>
          <cell r="O36">
            <v>-4.67</v>
          </cell>
          <cell r="R36">
            <v>-8.06</v>
          </cell>
        </row>
        <row r="37">
          <cell r="A37" t="str">
            <v>Q4 93</v>
          </cell>
          <cell r="C37">
            <v>1.1200000000000001</v>
          </cell>
          <cell r="F37">
            <v>4.91</v>
          </cell>
          <cell r="L37">
            <v>3.17</v>
          </cell>
          <cell r="O37">
            <v>-4.79</v>
          </cell>
          <cell r="R37">
            <v>-8</v>
          </cell>
        </row>
        <row r="38">
          <cell r="A38" t="str">
            <v>Q1 94</v>
          </cell>
          <cell r="C38">
            <v>3.6</v>
          </cell>
          <cell r="F38">
            <v>5.59</v>
          </cell>
          <cell r="L38">
            <v>3.98</v>
          </cell>
          <cell r="O38">
            <v>-2.82</v>
          </cell>
          <cell r="R38">
            <v>-5.55</v>
          </cell>
        </row>
        <row r="39">
          <cell r="A39" t="str">
            <v>Q2 94</v>
          </cell>
          <cell r="C39">
            <v>3.49</v>
          </cell>
          <cell r="F39">
            <v>2.37</v>
          </cell>
          <cell r="L39">
            <v>1.47</v>
          </cell>
          <cell r="O39">
            <v>-4.22</v>
          </cell>
          <cell r="R39">
            <v>-6.01</v>
          </cell>
        </row>
        <row r="40">
          <cell r="A40" t="str">
            <v>Q3 94</v>
          </cell>
          <cell r="C40">
            <v>2.93</v>
          </cell>
          <cell r="F40">
            <v>2.46</v>
          </cell>
          <cell r="L40">
            <v>1.21</v>
          </cell>
          <cell r="O40">
            <v>-4.43</v>
          </cell>
          <cell r="R40">
            <v>-6.05</v>
          </cell>
        </row>
        <row r="41">
          <cell r="A41" t="str">
            <v>Q4 94</v>
          </cell>
          <cell r="C41">
            <v>1.55</v>
          </cell>
          <cell r="F41">
            <v>3.35</v>
          </cell>
          <cell r="L41">
            <v>1.86</v>
          </cell>
          <cell r="O41">
            <v>-3.6</v>
          </cell>
          <cell r="R41">
            <v>-4.4800000000000004</v>
          </cell>
        </row>
        <row r="42">
          <cell r="A42" t="str">
            <v>Q1 95</v>
          </cell>
          <cell r="C42">
            <v>2.14</v>
          </cell>
          <cell r="F42">
            <v>0.99</v>
          </cell>
          <cell r="L42">
            <v>0.44</v>
          </cell>
          <cell r="O42">
            <v>-3.9</v>
          </cell>
          <cell r="R42">
            <v>-4.47</v>
          </cell>
        </row>
        <row r="43">
          <cell r="A43" t="str">
            <v>Q2 95</v>
          </cell>
          <cell r="C43">
            <v>5.3</v>
          </cell>
          <cell r="F43">
            <v>1.42</v>
          </cell>
          <cell r="L43">
            <v>0.77</v>
          </cell>
          <cell r="O43">
            <v>-3.43</v>
          </cell>
          <cell r="R43">
            <v>-4.18</v>
          </cell>
        </row>
        <row r="44">
          <cell r="A44" t="str">
            <v>Q3 95</v>
          </cell>
          <cell r="C44">
            <v>3.44</v>
          </cell>
          <cell r="F44">
            <v>3.34</v>
          </cell>
          <cell r="L44">
            <v>2.25</v>
          </cell>
          <cell r="O44">
            <v>-4.04</v>
          </cell>
          <cell r="R44">
            <v>-5.19</v>
          </cell>
        </row>
        <row r="45">
          <cell r="A45" t="str">
            <v>Q4 95</v>
          </cell>
          <cell r="C45">
            <v>1.1599999999999999</v>
          </cell>
          <cell r="F45">
            <v>3.91</v>
          </cell>
          <cell r="L45">
            <v>2.76</v>
          </cell>
          <cell r="O45">
            <v>-3.65</v>
          </cell>
          <cell r="R45">
            <v>-4.82</v>
          </cell>
        </row>
        <row r="46">
          <cell r="A46" t="str">
            <v>Q1 96</v>
          </cell>
          <cell r="C46">
            <v>2.5299999999999998</v>
          </cell>
          <cell r="F46">
            <v>3.51</v>
          </cell>
          <cell r="L46">
            <v>2.74</v>
          </cell>
          <cell r="O46">
            <v>-3.35</v>
          </cell>
          <cell r="R46">
            <v>-5.24</v>
          </cell>
        </row>
        <row r="47">
          <cell r="A47" t="str">
            <v>Q2 96</v>
          </cell>
          <cell r="C47">
            <v>3.98</v>
          </cell>
          <cell r="F47">
            <v>1.49</v>
          </cell>
          <cell r="L47">
            <v>0.55000000000000004</v>
          </cell>
          <cell r="O47">
            <v>-4.62</v>
          </cell>
          <cell r="R47">
            <v>-7</v>
          </cell>
        </row>
        <row r="48">
          <cell r="A48" t="str">
            <v>Q3 96</v>
          </cell>
          <cell r="C48">
            <v>2.2400000000000002</v>
          </cell>
          <cell r="F48">
            <v>3.98</v>
          </cell>
          <cell r="L48">
            <v>3.13</v>
          </cell>
          <cell r="O48">
            <v>-5.45</v>
          </cell>
          <cell r="R48">
            <v>-7.22</v>
          </cell>
        </row>
        <row r="49">
          <cell r="A49" t="str">
            <v>Q4 96</v>
          </cell>
          <cell r="C49">
            <v>2.46</v>
          </cell>
          <cell r="F49">
            <v>4.29</v>
          </cell>
          <cell r="L49">
            <v>3.53</v>
          </cell>
          <cell r="O49">
            <v>-5.88</v>
          </cell>
          <cell r="R49">
            <v>-7.22</v>
          </cell>
        </row>
        <row r="50">
          <cell r="A50" t="str">
            <v>Q1 97</v>
          </cell>
          <cell r="C50">
            <v>3.8</v>
          </cell>
          <cell r="F50">
            <v>3.28</v>
          </cell>
          <cell r="L50">
            <v>2.04</v>
          </cell>
          <cell r="O50">
            <v>-7.38</v>
          </cell>
          <cell r="R50">
            <v>-9.26</v>
          </cell>
        </row>
        <row r="51">
          <cell r="A51" t="str">
            <v>Q2 97</v>
          </cell>
          <cell r="C51">
            <v>4.159230769230768</v>
          </cell>
          <cell r="F51">
            <v>2.3984615384615373</v>
          </cell>
          <cell r="L51">
            <v>1.841153846153845</v>
          </cell>
          <cell r="O51">
            <v>-4.7346153846153847</v>
          </cell>
          <cell r="R51">
            <v>-6.411538461538461</v>
          </cell>
        </row>
        <row r="52">
          <cell r="A52" t="str">
            <v>Q3 97</v>
          </cell>
          <cell r="C52">
            <v>5.4119230769230757</v>
          </cell>
          <cell r="F52">
            <v>3.1099999999999994</v>
          </cell>
          <cell r="L52">
            <v>1.9873076923076918</v>
          </cell>
          <cell r="O52">
            <v>-3.7192307692307689</v>
          </cell>
          <cell r="R52">
            <v>-4.8346153846153843</v>
          </cell>
        </row>
        <row r="53">
          <cell r="A53" t="str">
            <v>Q4 97</v>
          </cell>
          <cell r="C53">
            <v>1.9378571428571427</v>
          </cell>
          <cell r="F53">
            <v>2.485357142857143</v>
          </cell>
          <cell r="L53">
            <v>2.1553571428571421</v>
          </cell>
          <cell r="O53">
            <v>-3.0128571428571425</v>
          </cell>
          <cell r="R53">
            <v>-5.366428571428572</v>
          </cell>
        </row>
      </sheetData>
      <sheetData sheetId="19" refreshError="1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Proportions"/>
      <sheetName val="Comparison"/>
      <sheetName val="CGBR table"/>
      <sheetName val="BIS table"/>
      <sheetName val="Tob accs"/>
      <sheetName val="Accruals"/>
      <sheetName val="Acc adj"/>
      <sheetName val="Assumptions"/>
      <sheetName val="table"/>
      <sheetName val="CHGSPD19.FIN"/>
      <sheetName val="T3 Page 1"/>
      <sheetName val="HIS19FIN(A)"/>
      <sheetName val="FC Page 1"/>
      <sheetName val="USGC"/>
      <sheetName val="T&amp;S"/>
      <sheetName val="Matrix"/>
      <sheetName val="AME"/>
      <sheetName val="4.6 ten year bonds"/>
      <sheetName val="Full Data"/>
      <sheetName val="Lists"/>
      <sheetName val="CDEL"/>
      <sheetName val="Menus"/>
      <sheetName val="Ch4 Exp"/>
      <sheetName val="LIVE"/>
      <sheetName val="Data (monthly)"/>
      <sheetName val="Download"/>
      <sheetName val="Dint 13"/>
      <sheetName val="Determinants"/>
      <sheetName val="CT Forecast"/>
      <sheetName val="RDEL"/>
      <sheetName val="Outturns"/>
      <sheetName val="Ratings and Bandings"/>
      <sheetName val="Date ref"/>
      <sheetName val="Nominal Descriptions"/>
      <sheetName val="Population"/>
      <sheetName val="Data Cal 1213"/>
      <sheetName val="Qtrly Data"/>
      <sheetName val="Receipts"/>
      <sheetName val="Control"/>
      <sheetName val="UK99"/>
      <sheetName val="RawData"/>
      <sheetName val="HMT Scorecard (Inputs)"/>
      <sheetName val="INPUT - HMT Final scorecard"/>
      <sheetName val="TableB1"/>
      <sheetName val="Team Report"/>
      <sheetName val="Risks by 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  <sheetName val="Forecast data"/>
      <sheetName val="Data"/>
      <sheetName val="weekly"/>
      <sheetName val="SUMMARY TABLE"/>
      <sheetName val="USGC"/>
      <sheetName val="BR1 Form"/>
      <sheetName val="Section A"/>
      <sheetName val="CTB Form"/>
      <sheetName val="Part 1"/>
      <sheetName val="151120 ASC bill diff regional"/>
      <sheetName val="Table5.1 LRL North E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"/>
      <sheetName val="ET TABLE"/>
      <sheetName val="HMT"/>
      <sheetName val="SUMMARY_TABLE"/>
      <sheetName val="ET_TABLE"/>
      <sheetName val="Annex B T37 Providers"/>
    </sheetNames>
    <sheetDataSet>
      <sheetData sheetId="0" refreshError="1">
        <row r="17">
          <cell r="Q17">
            <v>1266</v>
          </cell>
        </row>
        <row r="23">
          <cell r="P23" t="str">
            <v>Number of PD forms NI only</v>
          </cell>
        </row>
        <row r="25">
          <cell r="P25" t="str">
            <v>Non-liab</v>
          </cell>
          <cell r="Q25" t="str">
            <v>Liab</v>
          </cell>
        </row>
        <row r="26">
          <cell r="P26">
            <v>1798</v>
          </cell>
          <cell r="Q26">
            <v>1221</v>
          </cell>
        </row>
        <row r="27">
          <cell r="P27">
            <v>1875</v>
          </cell>
          <cell r="Q27">
            <v>1352</v>
          </cell>
        </row>
        <row r="28">
          <cell r="P28">
            <v>1755</v>
          </cell>
          <cell r="Q28">
            <v>1296</v>
          </cell>
        </row>
        <row r="29">
          <cell r="P29">
            <v>1778</v>
          </cell>
          <cell r="Q29">
            <v>1175</v>
          </cell>
        </row>
        <row r="30">
          <cell r="P30">
            <v>2150</v>
          </cell>
          <cell r="Q30">
            <v>1155</v>
          </cell>
        </row>
        <row r="31">
          <cell r="P31">
            <v>2032</v>
          </cell>
          <cell r="Q31">
            <v>1366</v>
          </cell>
        </row>
        <row r="32">
          <cell r="P32">
            <v>2151</v>
          </cell>
          <cell r="Q32">
            <v>1364</v>
          </cell>
        </row>
        <row r="33">
          <cell r="P33">
            <v>1971</v>
          </cell>
          <cell r="Q33">
            <v>1265</v>
          </cell>
        </row>
        <row r="34">
          <cell r="P34">
            <v>1811</v>
          </cell>
          <cell r="Q34">
            <v>1039</v>
          </cell>
        </row>
        <row r="35">
          <cell r="P35">
            <v>1937</v>
          </cell>
          <cell r="Q35">
            <v>1221</v>
          </cell>
        </row>
        <row r="36">
          <cell r="P36">
            <v>1728</v>
          </cell>
          <cell r="Q36">
            <v>1087</v>
          </cell>
        </row>
        <row r="37">
          <cell r="P37">
            <v>1515</v>
          </cell>
          <cell r="Q37">
            <v>1035</v>
          </cell>
        </row>
        <row r="38">
          <cell r="P38" t="str">
            <v xml:space="preserve"> _________</v>
          </cell>
          <cell r="Q38" t="str">
            <v xml:space="preserve"> _______</v>
          </cell>
        </row>
        <row r="39">
          <cell r="P39">
            <v>18828</v>
          </cell>
          <cell r="Q39">
            <v>12003</v>
          </cell>
        </row>
        <row r="43">
          <cell r="P43" t="str">
            <v>Number of PD forms NI only</v>
          </cell>
        </row>
        <row r="45">
          <cell r="P45" t="str">
            <v>Non-liab</v>
          </cell>
          <cell r="Q45" t="str">
            <v>Liab</v>
          </cell>
        </row>
        <row r="46">
          <cell r="P46">
            <v>1867</v>
          </cell>
          <cell r="Q46">
            <v>1209</v>
          </cell>
        </row>
        <row r="47">
          <cell r="Q47">
            <v>1094</v>
          </cell>
        </row>
        <row r="48">
          <cell r="Q48">
            <v>1410</v>
          </cell>
        </row>
        <row r="49">
          <cell r="Q49">
            <v>1476</v>
          </cell>
        </row>
      </sheetData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29DC-3051-4CC6-B45E-7340E8D21525}">
  <dimension ref="A1:K40"/>
  <sheetViews>
    <sheetView workbookViewId="0">
      <pane ySplit="2" topLeftCell="A3" activePane="bottomLeft" state="frozen"/>
      <selection pane="bottomLeft" activeCell="I9" sqref="I9"/>
    </sheetView>
  </sheetViews>
  <sheetFormatPr defaultRowHeight="15" x14ac:dyDescent="0.25"/>
  <cols>
    <col min="3" max="6" width="14.7109375" customWidth="1"/>
    <col min="7" max="7" width="2.7109375" customWidth="1"/>
    <col min="8" max="11" width="14.7109375" customWidth="1"/>
  </cols>
  <sheetData>
    <row r="1" spans="1:11" s="110" customFormat="1" x14ac:dyDescent="0.25">
      <c r="C1" s="110" t="s">
        <v>131</v>
      </c>
      <c r="H1" s="110" t="s">
        <v>134</v>
      </c>
    </row>
    <row r="2" spans="1:11" s="103" customFormat="1" ht="45" x14ac:dyDescent="0.25">
      <c r="C2" s="111" t="s">
        <v>0</v>
      </c>
      <c r="D2" s="111" t="s">
        <v>1</v>
      </c>
      <c r="E2" s="111" t="s">
        <v>2</v>
      </c>
      <c r="F2" s="111" t="s">
        <v>34</v>
      </c>
      <c r="G2" s="111"/>
      <c r="H2" s="111" t="s">
        <v>0</v>
      </c>
      <c r="I2" s="111" t="s">
        <v>1</v>
      </c>
      <c r="J2" s="111" t="s">
        <v>2</v>
      </c>
      <c r="K2" s="111" t="s">
        <v>34</v>
      </c>
    </row>
    <row r="3" spans="1:11" x14ac:dyDescent="0.25">
      <c r="A3" s="102" t="str">
        <f>'Aggregates (per cent of GDP)'!B57</f>
        <v>2000-01</v>
      </c>
      <c r="B3" s="102" t="str">
        <f>LEFT(A3,4)</f>
        <v>2000</v>
      </c>
      <c r="C3" s="104">
        <f>'Aggregates (per cent of GDP)'!X57</f>
        <v>28.279102445878891</v>
      </c>
      <c r="D3" s="104">
        <f>'Aggregates (per cent of GDP)'!R57</f>
        <v>28.384490405304525</v>
      </c>
      <c r="E3" s="104">
        <f>'Aggregates (per cent of GDP)'!Y57</f>
        <v>26.9</v>
      </c>
      <c r="F3" s="104">
        <f>'Aggregates (per cent of GDP)'!Z57</f>
        <v>32.412418214552318</v>
      </c>
      <c r="H3" s="104"/>
      <c r="I3" s="104"/>
      <c r="J3" s="104"/>
      <c r="K3" s="104"/>
    </row>
    <row r="4" spans="1:11" x14ac:dyDescent="0.25">
      <c r="A4" s="102" t="str">
        <f>'Aggregates (per cent of GDP)'!B58</f>
        <v>2001-02</v>
      </c>
      <c r="B4" s="102" t="str">
        <f t="shared" ref="B4:B31" si="0">LEFT(A4,4)</f>
        <v>2001</v>
      </c>
      <c r="C4" s="104">
        <f>'Aggregates (per cent of GDP)'!X58</f>
        <v>28.112244897959187</v>
      </c>
      <c r="D4" s="104">
        <f>'Aggregates (per cent of GDP)'!R58</f>
        <v>28.214285714285715</v>
      </c>
      <c r="E4" s="104">
        <f>'Aggregates (per cent of GDP)'!Y58</f>
        <v>28.4</v>
      </c>
      <c r="F4" s="104">
        <f>'Aggregates (per cent of GDP)'!Z58</f>
        <v>34.163435374149664</v>
      </c>
      <c r="H4" s="104">
        <f>C4-C3</f>
        <v>-0.16685754791970453</v>
      </c>
      <c r="I4" s="104">
        <f t="shared" ref="I4:K4" si="1">D4-D3</f>
        <v>-0.17020469101881019</v>
      </c>
      <c r="J4" s="104">
        <f t="shared" si="1"/>
        <v>1.5</v>
      </c>
      <c r="K4" s="104">
        <f t="shared" si="1"/>
        <v>1.7510171595973461</v>
      </c>
    </row>
    <row r="5" spans="1:11" x14ac:dyDescent="0.25">
      <c r="A5" s="102" t="str">
        <f>'Aggregates (per cent of GDP)'!B59</f>
        <v>2002-03</v>
      </c>
      <c r="B5" s="102" t="str">
        <f t="shared" si="0"/>
        <v>2002</v>
      </c>
      <c r="C5" s="104">
        <f>'Aggregates (per cent of GDP)'!X59</f>
        <v>29.796492859172023</v>
      </c>
      <c r="D5" s="104">
        <f>'Aggregates (per cent of GDP)'!R59</f>
        <v>29.885268975491343</v>
      </c>
      <c r="E5" s="104">
        <f>'Aggregates (per cent of GDP)'!Y59</f>
        <v>31.3</v>
      </c>
      <c r="F5" s="104">
        <f>'Aggregates (per cent of GDP)'!Z59</f>
        <v>36.648475633377238</v>
      </c>
      <c r="H5" s="104">
        <f t="shared" ref="H5:H31" si="2">C5-C4</f>
        <v>1.6842479612128365</v>
      </c>
      <c r="I5" s="104">
        <f t="shared" ref="I5:I31" si="3">D5-D4</f>
        <v>1.6709832612056275</v>
      </c>
      <c r="J5" s="104">
        <f t="shared" ref="J5:J31" si="4">E5-E4</f>
        <v>2.9000000000000021</v>
      </c>
      <c r="K5" s="104">
        <f t="shared" ref="K5:K31" si="5">F5-F4</f>
        <v>2.4850402592275742</v>
      </c>
    </row>
    <row r="6" spans="1:11" x14ac:dyDescent="0.25">
      <c r="A6" s="102" t="str">
        <f>'Aggregates (per cent of GDP)'!B60</f>
        <v>2003-04</v>
      </c>
      <c r="B6" s="102" t="str">
        <f t="shared" si="0"/>
        <v>2003</v>
      </c>
      <c r="C6" s="104">
        <f>'Aggregates (per cent of GDP)'!X60</f>
        <v>30.93456021303167</v>
      </c>
      <c r="D6" s="104">
        <f>'Aggregates (per cent of GDP)'!R60</f>
        <v>31.041626676068123</v>
      </c>
      <c r="E6" s="104">
        <f>'Aggregates (per cent of GDP)'!Y60</f>
        <v>31.3</v>
      </c>
      <c r="F6" s="104">
        <f>'Aggregates (per cent of GDP)'!Z60</f>
        <v>37.496587256490713</v>
      </c>
      <c r="H6" s="104">
        <f t="shared" si="2"/>
        <v>1.1380673538596469</v>
      </c>
      <c r="I6" s="104">
        <f t="shared" si="3"/>
        <v>1.1563577005767804</v>
      </c>
      <c r="J6" s="104">
        <f t="shared" si="4"/>
        <v>0</v>
      </c>
      <c r="K6" s="104">
        <f t="shared" si="5"/>
        <v>0.84811162311347488</v>
      </c>
    </row>
    <row r="7" spans="1:11" x14ac:dyDescent="0.25">
      <c r="A7" s="102" t="str">
        <f>'Aggregates (per cent of GDP)'!B61</f>
        <v>2004-05</v>
      </c>
      <c r="B7" s="102" t="str">
        <f t="shared" si="0"/>
        <v>2004</v>
      </c>
      <c r="C7" s="104">
        <f>'Aggregates (per cent of GDP)'!X61</f>
        <v>33.463197742885889</v>
      </c>
      <c r="D7" s="104">
        <f>'Aggregates (per cent of GDP)'!R61</f>
        <v>33.572103788913942</v>
      </c>
      <c r="E7" s="104">
        <f>'Aggregates (per cent of GDP)'!Y61</f>
        <v>33.4</v>
      </c>
      <c r="F7" s="104">
        <f>'Aggregates (per cent of GDP)'!Z61</f>
        <v>37.345262659601808</v>
      </c>
      <c r="H7" s="104">
        <f t="shared" si="2"/>
        <v>2.528637529854219</v>
      </c>
      <c r="I7" s="104">
        <f t="shared" si="3"/>
        <v>2.5304771128458192</v>
      </c>
      <c r="J7" s="104">
        <f t="shared" si="4"/>
        <v>2.0999999999999979</v>
      </c>
      <c r="K7" s="104">
        <f t="shared" si="5"/>
        <v>-0.15132459688890521</v>
      </c>
    </row>
    <row r="8" spans="1:11" x14ac:dyDescent="0.25">
      <c r="A8" s="102" t="str">
        <f>'Aggregates (per cent of GDP)'!B62</f>
        <v>2005-06</v>
      </c>
      <c r="B8" s="102" t="str">
        <f t="shared" si="0"/>
        <v>2005</v>
      </c>
      <c r="C8" s="104">
        <f>'Aggregates (per cent of GDP)'!X62</f>
        <v>34.311233253177605</v>
      </c>
      <c r="D8" s="104">
        <f>'Aggregates (per cent of GDP)'!R62</f>
        <v>34.46238406046033</v>
      </c>
      <c r="E8" s="104">
        <f>'Aggregates (per cent of GDP)'!Y62</f>
        <v>32.4</v>
      </c>
      <c r="F8" s="104">
        <f>'Aggregates (per cent of GDP)'!Z62</f>
        <v>34.945860529027826</v>
      </c>
      <c r="H8" s="104">
        <f t="shared" si="2"/>
        <v>0.84803551029171587</v>
      </c>
      <c r="I8" s="104">
        <f t="shared" si="3"/>
        <v>0.89028027154638778</v>
      </c>
      <c r="J8" s="104">
        <f t="shared" si="4"/>
        <v>-1</v>
      </c>
      <c r="K8" s="104">
        <f t="shared" si="5"/>
        <v>-2.3994021305739821</v>
      </c>
    </row>
    <row r="9" spans="1:11" x14ac:dyDescent="0.25">
      <c r="A9" s="102" t="str">
        <f>'Aggregates (per cent of GDP)'!B63</f>
        <v>2006-07</v>
      </c>
      <c r="B9" s="102" t="str">
        <f t="shared" si="0"/>
        <v>2006</v>
      </c>
      <c r="C9" s="104">
        <f>'Aggregates (per cent of GDP)'!X63</f>
        <v>35.122258534472579</v>
      </c>
      <c r="D9" s="104">
        <f>'Aggregates (per cent of GDP)'!R63</f>
        <v>35.253507632135033</v>
      </c>
      <c r="E9" s="104">
        <f>'Aggregates (per cent of GDP)'!Y63</f>
        <v>32.4</v>
      </c>
      <c r="F9" s="104">
        <f>'Aggregates (per cent of GDP)'!Z63</f>
        <v>35.138599047131557</v>
      </c>
      <c r="H9" s="104">
        <f t="shared" si="2"/>
        <v>0.81102528129497387</v>
      </c>
      <c r="I9" s="104">
        <f t="shared" si="3"/>
        <v>0.79112357167470293</v>
      </c>
      <c r="J9" s="104">
        <f t="shared" si="4"/>
        <v>0</v>
      </c>
      <c r="K9" s="104">
        <f t="shared" si="5"/>
        <v>0.19273851810373088</v>
      </c>
    </row>
    <row r="10" spans="1:11" x14ac:dyDescent="0.25">
      <c r="A10" s="102" t="str">
        <f>'Aggregates (per cent of GDP)'!B64</f>
        <v>2007-08</v>
      </c>
      <c r="B10" s="102" t="str">
        <f t="shared" si="0"/>
        <v>2007</v>
      </c>
      <c r="C10" s="104">
        <f>'Aggregates (per cent of GDP)'!X64</f>
        <v>35.619526684815547</v>
      </c>
      <c r="D10" s="104">
        <f>'Aggregates (per cent of GDP)'!R64</f>
        <v>35.751404340030831</v>
      </c>
      <c r="E10" s="104">
        <f>'Aggregates (per cent of GDP)'!Y64</f>
        <v>34.200000000000003</v>
      </c>
      <c r="F10" s="104">
        <f>'Aggregates (per cent of GDP)'!Z64</f>
        <v>37.4332212373264</v>
      </c>
      <c r="H10" s="104">
        <f t="shared" si="2"/>
        <v>0.49726815034296834</v>
      </c>
      <c r="I10" s="104">
        <f t="shared" si="3"/>
        <v>0.49789670789579787</v>
      </c>
      <c r="J10" s="104">
        <f t="shared" si="4"/>
        <v>1.8000000000000043</v>
      </c>
      <c r="K10" s="104">
        <f t="shared" si="5"/>
        <v>2.2946221901948434</v>
      </c>
    </row>
    <row r="11" spans="1:11" x14ac:dyDescent="0.25">
      <c r="A11" s="102" t="str">
        <f>'Aggregates (per cent of GDP)'!B65</f>
        <v>2008-09</v>
      </c>
      <c r="B11" s="102" t="str">
        <f t="shared" si="0"/>
        <v>2008</v>
      </c>
      <c r="C11" s="104">
        <f>'Aggregates (per cent of GDP)'!X65</f>
        <v>50.601601098425</v>
      </c>
      <c r="D11" s="104">
        <f>'Aggregates (per cent of GDP)'!R65</f>
        <v>50.633741343025122</v>
      </c>
      <c r="E11" s="104">
        <f>'Aggregates (per cent of GDP)'!Y65</f>
        <v>47.5</v>
      </c>
      <c r="F11" s="104">
        <f>'Aggregates (per cent of GDP)'!Z65</f>
        <v>46.925464201552757</v>
      </c>
      <c r="H11" s="104">
        <f t="shared" si="2"/>
        <v>14.982074413609453</v>
      </c>
      <c r="I11" s="104">
        <f t="shared" si="3"/>
        <v>14.882337002994291</v>
      </c>
      <c r="J11" s="104">
        <f t="shared" si="4"/>
        <v>13.299999999999997</v>
      </c>
      <c r="K11" s="104">
        <f t="shared" si="5"/>
        <v>9.4922429642263566</v>
      </c>
    </row>
    <row r="12" spans="1:11" x14ac:dyDescent="0.25">
      <c r="A12" s="102" t="str">
        <f>'Aggregates (per cent of GDP)'!B66</f>
        <v>2009-10</v>
      </c>
      <c r="B12" s="102" t="str">
        <f t="shared" si="0"/>
        <v>2009</v>
      </c>
      <c r="C12" s="104">
        <f>'Aggregates (per cent of GDP)'!X66</f>
        <v>64.719804612805063</v>
      </c>
      <c r="D12" s="104">
        <f>'Aggregates (per cent of GDP)'!R66</f>
        <v>63.932765447847316</v>
      </c>
      <c r="E12" s="104">
        <f>'Aggregates (per cent of GDP)'!Y66</f>
        <v>54.6</v>
      </c>
      <c r="F12" s="104">
        <f>'Aggregates (per cent of GDP)'!Z66</f>
        <v>54.074312867586642</v>
      </c>
      <c r="H12" s="104">
        <f t="shared" si="2"/>
        <v>14.118203514380063</v>
      </c>
      <c r="I12" s="104">
        <f t="shared" si="3"/>
        <v>13.299024104822195</v>
      </c>
      <c r="J12" s="104">
        <f t="shared" si="4"/>
        <v>7.1000000000000014</v>
      </c>
      <c r="K12" s="104">
        <f t="shared" si="5"/>
        <v>7.148848666033885</v>
      </c>
    </row>
    <row r="13" spans="1:11" x14ac:dyDescent="0.25">
      <c r="A13" s="102" t="str">
        <f>'Aggregates (per cent of GDP)'!B67</f>
        <v>2010-11</v>
      </c>
      <c r="B13" s="102" t="str">
        <f t="shared" si="0"/>
        <v>2010</v>
      </c>
      <c r="C13" s="104">
        <f>'Aggregates (per cent of GDP)'!X67</f>
        <v>70.87252587450584</v>
      </c>
      <c r="D13" s="104">
        <f>'Aggregates (per cent of GDP)'!R67</f>
        <v>70.593571806718785</v>
      </c>
      <c r="E13" s="104">
        <f>'Aggregates (per cent of GDP)'!Y67</f>
        <v>58.9</v>
      </c>
      <c r="F13" s="104">
        <f>'Aggregates (per cent of GDP)'!Z67</f>
        <v>49.525323268347144</v>
      </c>
      <c r="H13" s="104">
        <f t="shared" si="2"/>
        <v>6.1527212617007763</v>
      </c>
      <c r="I13" s="104">
        <f t="shared" si="3"/>
        <v>6.6608063588714685</v>
      </c>
      <c r="J13" s="104">
        <f t="shared" si="4"/>
        <v>4.2999999999999972</v>
      </c>
      <c r="K13" s="104">
        <f t="shared" si="5"/>
        <v>-4.5489895992394977</v>
      </c>
    </row>
    <row r="14" spans="1:11" x14ac:dyDescent="0.25">
      <c r="A14" s="102" t="str">
        <f>'Aggregates (per cent of GDP)'!B68</f>
        <v>2011-12</v>
      </c>
      <c r="B14" s="102" t="str">
        <f t="shared" si="0"/>
        <v>2011</v>
      </c>
      <c r="C14" s="104">
        <f>'Aggregates (per cent of GDP)'!X68</f>
        <v>74.265558846563778</v>
      </c>
      <c r="D14" s="104">
        <f>'Aggregates (per cent of GDP)'!R68</f>
        <v>74.583536976734592</v>
      </c>
      <c r="E14" s="104">
        <f>'Aggregates (per cent of GDP)'!Y68</f>
        <v>65</v>
      </c>
      <c r="F14" s="104">
        <f>'Aggregates (per cent of GDP)'!Z68</f>
        <v>54.641597427910234</v>
      </c>
      <c r="H14" s="104">
        <f t="shared" si="2"/>
        <v>3.393032972057938</v>
      </c>
      <c r="I14" s="104">
        <f t="shared" si="3"/>
        <v>3.9899651700158074</v>
      </c>
      <c r="J14" s="104">
        <f t="shared" si="4"/>
        <v>6.1000000000000014</v>
      </c>
      <c r="K14" s="104">
        <f t="shared" si="5"/>
        <v>5.1162741595630905</v>
      </c>
    </row>
    <row r="15" spans="1:11" x14ac:dyDescent="0.25">
      <c r="A15" s="102" t="str">
        <f>'Aggregates (per cent of GDP)'!B69</f>
        <v>2012-13</v>
      </c>
      <c r="B15" s="102" t="str">
        <f t="shared" si="0"/>
        <v>2012</v>
      </c>
      <c r="C15" s="104">
        <f>'Aggregates (per cent of GDP)'!X69</f>
        <v>77.471553502551188</v>
      </c>
      <c r="D15" s="104">
        <f>'Aggregates (per cent of GDP)'!R69</f>
        <v>76.201342114425628</v>
      </c>
      <c r="E15" s="104">
        <f>'Aggregates (per cent of GDP)'!Y69</f>
        <v>69.7</v>
      </c>
      <c r="F15" s="104">
        <f>'Aggregates (per cent of GDP)'!Z69</f>
        <v>58.717052474473846</v>
      </c>
      <c r="H15" s="104">
        <f t="shared" si="2"/>
        <v>3.2059946559874106</v>
      </c>
      <c r="I15" s="104">
        <f t="shared" si="3"/>
        <v>1.6178051376910361</v>
      </c>
      <c r="J15" s="104">
        <f t="shared" si="4"/>
        <v>4.7000000000000028</v>
      </c>
      <c r="K15" s="104">
        <f t="shared" si="5"/>
        <v>4.0754550465636115</v>
      </c>
    </row>
    <row r="16" spans="1:11" x14ac:dyDescent="0.25">
      <c r="A16" s="102" t="str">
        <f>'Aggregates (per cent of GDP)'!B70</f>
        <v>2013-14</v>
      </c>
      <c r="B16" s="102" t="str">
        <f t="shared" si="0"/>
        <v>2013</v>
      </c>
      <c r="C16" s="104">
        <f>'Aggregates (per cent of GDP)'!X70</f>
        <v>79.217787377962253</v>
      </c>
      <c r="D16" s="104">
        <f>'Aggregates (per cent of GDP)'!R70</f>
        <v>76.9569005573059</v>
      </c>
      <c r="E16" s="104">
        <f>'Aggregates (per cent of GDP)'!Y70</f>
        <v>70.7</v>
      </c>
      <c r="F16" s="104">
        <f>'Aggregates (per cent of GDP)'!Z70</f>
        <v>56.327202914321063</v>
      </c>
      <c r="H16" s="104">
        <f t="shared" si="2"/>
        <v>1.7462338754110647</v>
      </c>
      <c r="I16" s="104">
        <f t="shared" si="3"/>
        <v>0.75555844288027174</v>
      </c>
      <c r="J16" s="104">
        <f t="shared" si="4"/>
        <v>1</v>
      </c>
      <c r="K16" s="104">
        <f t="shared" si="5"/>
        <v>-2.3898495601527827</v>
      </c>
    </row>
    <row r="17" spans="1:11" x14ac:dyDescent="0.25">
      <c r="A17" s="102" t="str">
        <f>'Aggregates (per cent of GDP)'!B71</f>
        <v>2014-15</v>
      </c>
      <c r="B17" s="102" t="str">
        <f t="shared" si="0"/>
        <v>2014</v>
      </c>
      <c r="C17" s="104">
        <f>'Aggregates (per cent of GDP)'!X71</f>
        <v>81.624307423349421</v>
      </c>
      <c r="D17" s="104">
        <f>'Aggregates (per cent of GDP)'!R71</f>
        <v>79.18540738829023</v>
      </c>
      <c r="E17" s="104">
        <f>'Aggregates (per cent of GDP)'!Y71</f>
        <v>72.900000000000006</v>
      </c>
      <c r="F17" s="104">
        <f>'Aggregates (per cent of GDP)'!Z71</f>
        <v>53.461687456011759</v>
      </c>
      <c r="H17" s="104">
        <f t="shared" si="2"/>
        <v>2.4065200453871682</v>
      </c>
      <c r="I17" s="104">
        <f t="shared" si="3"/>
        <v>2.2285068309843297</v>
      </c>
      <c r="J17" s="104">
        <f t="shared" si="4"/>
        <v>2.2000000000000028</v>
      </c>
      <c r="K17" s="104">
        <f t="shared" si="5"/>
        <v>-2.8655154583093037</v>
      </c>
    </row>
    <row r="18" spans="1:11" x14ac:dyDescent="0.25">
      <c r="A18" s="102" t="str">
        <f>'Aggregates (per cent of GDP)'!B72</f>
        <v>2015-16</v>
      </c>
      <c r="B18" s="102" t="str">
        <f t="shared" si="0"/>
        <v>2015</v>
      </c>
      <c r="C18" s="104">
        <f>'Aggregates (per cent of GDP)'!X72</f>
        <v>81.327844707894386</v>
      </c>
      <c r="D18" s="104">
        <f>'Aggregates (per cent of GDP)'!R72</f>
        <v>78.897719698806839</v>
      </c>
      <c r="E18" s="104">
        <f>'Aggregates (per cent of GDP)'!Y72</f>
        <v>74</v>
      </c>
      <c r="F18" s="104">
        <f>'Aggregates (per cent of GDP)'!Z72</f>
        <v>51.956784446386507</v>
      </c>
      <c r="H18" s="104">
        <f t="shared" si="2"/>
        <v>-0.29646271545503566</v>
      </c>
      <c r="I18" s="104">
        <f t="shared" si="3"/>
        <v>-0.2876876894833913</v>
      </c>
      <c r="J18" s="104">
        <f t="shared" si="4"/>
        <v>1.0999999999999943</v>
      </c>
      <c r="K18" s="104">
        <f t="shared" si="5"/>
        <v>-1.5049030096252523</v>
      </c>
    </row>
    <row r="19" spans="1:11" x14ac:dyDescent="0.25">
      <c r="A19" s="102" t="str">
        <f>'Aggregates (per cent of GDP)'!B73</f>
        <v>2016-17</v>
      </c>
      <c r="B19" s="102" t="str">
        <f t="shared" si="0"/>
        <v>2016</v>
      </c>
      <c r="C19" s="104">
        <f>'Aggregates (per cent of GDP)'!X73</f>
        <v>83.504912110836969</v>
      </c>
      <c r="D19" s="104">
        <f>'Aggregates (per cent of GDP)'!R73</f>
        <v>77.424315774943082</v>
      </c>
      <c r="E19" s="104">
        <f>'Aggregates (per cent of GDP)'!Y73</f>
        <v>74.2</v>
      </c>
      <c r="F19" s="104">
        <f>'Aggregates (per cent of GDP)'!Z73</f>
        <v>61.421654116626904</v>
      </c>
      <c r="H19" s="104">
        <f t="shared" si="2"/>
        <v>2.1770674029425834</v>
      </c>
      <c r="I19" s="104">
        <f t="shared" si="3"/>
        <v>-1.4734039238637564</v>
      </c>
      <c r="J19" s="104">
        <f t="shared" si="4"/>
        <v>0.20000000000000284</v>
      </c>
      <c r="K19" s="104">
        <f t="shared" si="5"/>
        <v>9.4648696702403967</v>
      </c>
    </row>
    <row r="20" spans="1:11" x14ac:dyDescent="0.25">
      <c r="A20" s="102" t="str">
        <f>'Aggregates (per cent of GDP)'!B74</f>
        <v>2017-18</v>
      </c>
      <c r="B20" s="102" t="str">
        <f t="shared" si="0"/>
        <v>2017</v>
      </c>
      <c r="C20" s="104">
        <f>'Aggregates (per cent of GDP)'!X74</f>
        <v>82.275414057470584</v>
      </c>
      <c r="D20" s="104">
        <f>'Aggregates (per cent of GDP)'!R74</f>
        <v>73.735588459062456</v>
      </c>
      <c r="E20" s="104">
        <f>'Aggregates (per cent of GDP)'!Y74</f>
        <v>70.2</v>
      </c>
      <c r="F20" s="104">
        <f>'Aggregates (per cent of GDP)'!Z74</f>
        <v>63.019839644173928</v>
      </c>
      <c r="H20" s="104">
        <f t="shared" si="2"/>
        <v>-1.2294980533663846</v>
      </c>
      <c r="I20" s="104">
        <f t="shared" si="3"/>
        <v>-3.6887273158806266</v>
      </c>
      <c r="J20" s="104">
        <f t="shared" si="4"/>
        <v>-4</v>
      </c>
      <c r="K20" s="104">
        <f t="shared" si="5"/>
        <v>1.5981855275470238</v>
      </c>
    </row>
    <row r="21" spans="1:11" x14ac:dyDescent="0.25">
      <c r="A21" s="102" t="str">
        <f>'Aggregates (per cent of GDP)'!B75</f>
        <v>2018-19</v>
      </c>
      <c r="B21" s="102" t="str">
        <f t="shared" si="0"/>
        <v>2018</v>
      </c>
      <c r="C21" s="104">
        <f>'Aggregates (per cent of GDP)'!X75</f>
        <v>80.290127102312184</v>
      </c>
      <c r="D21" s="104">
        <f>'Aggregates (per cent of GDP)'!R75</f>
        <v>72.319403695903333</v>
      </c>
      <c r="E21" s="104">
        <f>'Aggregates (per cent of GDP)'!Y75</f>
        <v>66.900000000000006</v>
      </c>
      <c r="F21" s="104">
        <f>'Aggregates (per cent of GDP)'!Z75</f>
        <v>58.859183434631703</v>
      </c>
      <c r="H21" s="104">
        <f t="shared" si="2"/>
        <v>-1.9852869551584007</v>
      </c>
      <c r="I21" s="104">
        <f t="shared" si="3"/>
        <v>-1.4161847631591229</v>
      </c>
      <c r="J21" s="104">
        <f t="shared" si="4"/>
        <v>-3.2999999999999972</v>
      </c>
      <c r="K21" s="104">
        <f t="shared" si="5"/>
        <v>-4.1606562095422248</v>
      </c>
    </row>
    <row r="22" spans="1:11" x14ac:dyDescent="0.25">
      <c r="A22" s="102" t="str">
        <f>'Aggregates (per cent of GDP)'!B76</f>
        <v>2019-20</v>
      </c>
      <c r="B22" s="102" t="str">
        <f t="shared" si="0"/>
        <v>2019</v>
      </c>
      <c r="C22" s="104">
        <f>'Aggregates (per cent of GDP)'!X76</f>
        <v>85.19258923043634</v>
      </c>
      <c r="D22" s="104">
        <f>'Aggregates (per cent of GDP)'!R76</f>
        <v>77.133323351171356</v>
      </c>
      <c r="E22" s="104">
        <f>'Aggregates (per cent of GDP)'!Y76</f>
        <v>74.5</v>
      </c>
      <c r="F22" s="104">
        <f>'Aggregates (per cent of GDP)'!Z76</f>
        <v>67.135562296904851</v>
      </c>
      <c r="H22" s="104">
        <f t="shared" si="2"/>
        <v>4.9024621281241565</v>
      </c>
      <c r="I22" s="104">
        <f t="shared" si="3"/>
        <v>4.8139196552680232</v>
      </c>
      <c r="J22" s="104">
        <f t="shared" si="4"/>
        <v>7.5999999999999943</v>
      </c>
      <c r="K22" s="104">
        <f t="shared" si="5"/>
        <v>8.2763788622731482</v>
      </c>
    </row>
    <row r="23" spans="1:11" x14ac:dyDescent="0.25">
      <c r="A23" s="102" t="str">
        <f>'Aggregates (per cent of GDP)'!B77</f>
        <v>2020-21</v>
      </c>
      <c r="B23" s="102" t="str">
        <f t="shared" si="0"/>
        <v>2020</v>
      </c>
      <c r="C23" s="104">
        <f>'Aggregates (per cent of GDP)'!X77</f>
        <v>96.486233225877328</v>
      </c>
      <c r="D23" s="104">
        <f>'Aggregates (per cent of GDP)'!R77</f>
        <v>86.537211314714597</v>
      </c>
      <c r="E23" s="104">
        <f>'Aggregates (per cent of GDP)'!Y77</f>
        <v>83</v>
      </c>
      <c r="F23" s="104">
        <f>'Aggregates (per cent of GDP)'!Z77</f>
        <v>73.502871720835557</v>
      </c>
      <c r="H23" s="104">
        <f t="shared" si="2"/>
        <v>11.293643995440988</v>
      </c>
      <c r="I23" s="104">
        <f t="shared" si="3"/>
        <v>9.4038879635432409</v>
      </c>
      <c r="J23" s="104">
        <f t="shared" si="4"/>
        <v>8.5</v>
      </c>
      <c r="K23" s="104">
        <f t="shared" si="5"/>
        <v>6.3673094239307062</v>
      </c>
    </row>
    <row r="24" spans="1:11" x14ac:dyDescent="0.25">
      <c r="A24" s="102" t="str">
        <f>'Aggregates (per cent of GDP)'!B78</f>
        <v>2021-22</v>
      </c>
      <c r="B24" s="102" t="str">
        <f t="shared" si="0"/>
        <v>2021</v>
      </c>
      <c r="C24" s="104">
        <f>'Aggregates (per cent of GDP)'!X78</f>
        <v>96.60320712423804</v>
      </c>
      <c r="D24" s="104">
        <f>'Aggregates (per cent of GDP)'!R78</f>
        <v>83.186433113912756</v>
      </c>
      <c r="E24" s="104">
        <f>'Aggregates (per cent of GDP)'!Y78</f>
        <v>80.5</v>
      </c>
      <c r="F24" s="104">
        <f>'Aggregates (per cent of GDP)'!Z78</f>
        <v>67.397726004888796</v>
      </c>
      <c r="H24" s="104">
        <f t="shared" si="2"/>
        <v>0.11697389836071181</v>
      </c>
      <c r="I24" s="104">
        <f t="shared" si="3"/>
        <v>-3.350778200801841</v>
      </c>
      <c r="J24" s="104">
        <f t="shared" si="4"/>
        <v>-2.5</v>
      </c>
      <c r="K24" s="104">
        <f t="shared" si="5"/>
        <v>-6.1051457159467617</v>
      </c>
    </row>
    <row r="25" spans="1:11" x14ac:dyDescent="0.25">
      <c r="A25" s="102" t="str">
        <f>'Aggregates (per cent of GDP)'!B79</f>
        <v>2022-23</v>
      </c>
      <c r="B25" s="102" t="str">
        <f t="shared" si="0"/>
        <v>2022</v>
      </c>
      <c r="C25" s="104">
        <f>'Aggregates (per cent of GDP)'!X79</f>
        <v>95.7</v>
      </c>
      <c r="D25" s="104">
        <f>'Aggregates (per cent of GDP)'!R79</f>
        <v>84.868662550680384</v>
      </c>
      <c r="E25" s="104">
        <f>'Aggregates (per cent of GDP)'!Y79</f>
        <v>81.400000000000006</v>
      </c>
      <c r="F25" s="104">
        <f>'Aggregates (per cent of GDP)'!Z79</f>
        <v>69.62644823950005</v>
      </c>
      <c r="H25" s="104">
        <f t="shared" si="2"/>
        <v>-0.90320712423803684</v>
      </c>
      <c r="I25" s="104">
        <f t="shared" si="3"/>
        <v>1.6822294367676278</v>
      </c>
      <c r="J25" s="104">
        <f t="shared" si="4"/>
        <v>0.90000000000000568</v>
      </c>
      <c r="K25" s="104">
        <f t="shared" si="5"/>
        <v>2.2287222346112543</v>
      </c>
    </row>
    <row r="26" spans="1:11" x14ac:dyDescent="0.25">
      <c r="A26" s="102" t="str">
        <f>'Aggregates (per cent of GDP)'!B80</f>
        <v>2023-24</v>
      </c>
      <c r="B26" s="102" t="str">
        <f t="shared" si="0"/>
        <v>2023</v>
      </c>
      <c r="C26" s="104">
        <f>'Aggregates (per cent of GDP)'!X80</f>
        <v>98.1</v>
      </c>
      <c r="D26" s="104">
        <f>'Aggregates (per cent of GDP)'!R80</f>
        <v>89.3</v>
      </c>
      <c r="E26" s="104">
        <f>'Aggregates (per cent of GDP)'!Y80</f>
        <v>83.2</v>
      </c>
      <c r="F26" s="104">
        <f>'Aggregates (per cent of GDP)'!Z80</f>
        <v>71.448627196103914</v>
      </c>
      <c r="H26" s="104">
        <f t="shared" si="2"/>
        <v>2.3999999999999915</v>
      </c>
      <c r="I26" s="104">
        <f t="shared" si="3"/>
        <v>4.4313374493196136</v>
      </c>
      <c r="J26" s="104">
        <f t="shared" si="4"/>
        <v>1.7999999999999972</v>
      </c>
      <c r="K26" s="104">
        <f t="shared" si="5"/>
        <v>1.8221789566038638</v>
      </c>
    </row>
    <row r="27" spans="1:11" x14ac:dyDescent="0.25">
      <c r="A27" s="102" t="str">
        <f>'Aggregates (per cent of GDP)'!B81</f>
        <v>2024-25</v>
      </c>
      <c r="B27" s="102" t="str">
        <f t="shared" si="0"/>
        <v>2024</v>
      </c>
      <c r="C27" s="104">
        <f>'Aggregates (per cent of GDP)'!X81</f>
        <v>98.777579475392969</v>
      </c>
      <c r="D27" s="104">
        <f>'Aggregates (per cent of GDP)'!R81</f>
        <v>91.690627283912079</v>
      </c>
      <c r="E27" s="104">
        <f>'Aggregates (per cent of GDP)'!Y81</f>
        <v>83.564071277616264</v>
      </c>
      <c r="F27" s="104">
        <f>'Aggregates (per cent of GDP)'!Z81</f>
        <v>70.24924369836431</v>
      </c>
      <c r="H27" s="104">
        <f t="shared" si="2"/>
        <v>0.67757947539297447</v>
      </c>
      <c r="I27" s="104">
        <f t="shared" si="3"/>
        <v>2.3906272839120817</v>
      </c>
      <c r="J27" s="104">
        <f t="shared" si="4"/>
        <v>0.36407127761626157</v>
      </c>
      <c r="K27" s="104">
        <f t="shared" si="5"/>
        <v>-1.1993834977396034</v>
      </c>
    </row>
    <row r="28" spans="1:11" x14ac:dyDescent="0.25">
      <c r="A28" s="102" t="str">
        <f>'Aggregates (per cent of GDP)'!B82</f>
        <v>2025-26</v>
      </c>
      <c r="B28" s="102" t="str">
        <f t="shared" si="0"/>
        <v>2025</v>
      </c>
      <c r="C28" s="104">
        <f>'Aggregates (per cent of GDP)'!X82</f>
        <v>96.357306720094442</v>
      </c>
      <c r="D28" s="104">
        <f>'Aggregates (per cent of GDP)'!R82</f>
        <v>92.763531041871346</v>
      </c>
      <c r="E28" s="104">
        <f>'Aggregates (per cent of GDP)'!Y82</f>
        <v>83.171161821328127</v>
      </c>
      <c r="F28" s="104">
        <f>'Aggregates (per cent of GDP)'!Z82</f>
        <v>69.481721782745211</v>
      </c>
      <c r="H28" s="104">
        <f t="shared" si="2"/>
        <v>-2.4202727552985266</v>
      </c>
      <c r="I28" s="104">
        <f t="shared" si="3"/>
        <v>1.0729037579592671</v>
      </c>
      <c r="J28" s="104">
        <f t="shared" si="4"/>
        <v>-0.39290945628813745</v>
      </c>
      <c r="K28" s="104">
        <f t="shared" si="5"/>
        <v>-0.7675219156190991</v>
      </c>
    </row>
    <row r="29" spans="1:11" x14ac:dyDescent="0.25">
      <c r="A29" s="102" t="str">
        <f>'Aggregates (per cent of GDP)'!B83</f>
        <v>2026-27</v>
      </c>
      <c r="B29" s="102" t="str">
        <f t="shared" si="0"/>
        <v>2026</v>
      </c>
      <c r="C29" s="104">
        <f>'Aggregates (per cent of GDP)'!X83</f>
        <v>95.479821529204358</v>
      </c>
      <c r="D29" s="104">
        <f>'Aggregates (per cent of GDP)'!R83</f>
        <v>93.161001763025126</v>
      </c>
      <c r="E29" s="104">
        <f>'Aggregates (per cent of GDP)'!Y83</f>
        <v>82.127309142783844</v>
      </c>
      <c r="F29" s="104">
        <f>'Aggregates (per cent of GDP)'!Z83</f>
        <v>67.879920957104716</v>
      </c>
      <c r="H29" s="104">
        <f t="shared" si="2"/>
        <v>-0.87748519089008425</v>
      </c>
      <c r="I29" s="104">
        <f t="shared" si="3"/>
        <v>0.39747072115378046</v>
      </c>
      <c r="J29" s="104">
        <f t="shared" si="4"/>
        <v>-1.0438526785442832</v>
      </c>
      <c r="K29" s="104">
        <f t="shared" si="5"/>
        <v>-1.6018008256404954</v>
      </c>
    </row>
    <row r="30" spans="1:11" x14ac:dyDescent="0.25">
      <c r="A30" s="102" t="str">
        <f>'Aggregates (per cent of GDP)'!B84</f>
        <v>2027-28</v>
      </c>
      <c r="B30" s="102" t="str">
        <f t="shared" si="0"/>
        <v>2027</v>
      </c>
      <c r="C30" s="104">
        <f>'Aggregates (per cent of GDP)'!X84</f>
        <v>95.061624897069535</v>
      </c>
      <c r="D30" s="104">
        <f>'Aggregates (per cent of GDP)'!R84</f>
        <v>93.192661565826455</v>
      </c>
      <c r="E30" s="104">
        <f>'Aggregates (per cent of GDP)'!Y84</f>
        <v>80.610489515476331</v>
      </c>
      <c r="F30" s="104">
        <f>'Aggregates (per cent of GDP)'!Z84</f>
        <v>65.961559354474147</v>
      </c>
      <c r="H30" s="104">
        <f t="shared" si="2"/>
        <v>-0.41819663213482272</v>
      </c>
      <c r="I30" s="104">
        <f t="shared" si="3"/>
        <v>3.1659802801328851E-2</v>
      </c>
      <c r="J30" s="104">
        <f t="shared" si="4"/>
        <v>-1.5168196273075125</v>
      </c>
      <c r="K30" s="104">
        <f t="shared" si="5"/>
        <v>-1.9183616026305685</v>
      </c>
    </row>
    <row r="31" spans="1:11" x14ac:dyDescent="0.25">
      <c r="A31" s="102" t="str">
        <f>'Aggregates (per cent of GDP)'!B85</f>
        <v>2028-29</v>
      </c>
      <c r="B31" s="102" t="str">
        <f t="shared" si="0"/>
        <v>2028</v>
      </c>
      <c r="C31" s="104">
        <f>'Aggregates (per cent of GDP)'!X85</f>
        <v>94.298719514612415</v>
      </c>
      <c r="D31" s="104">
        <f>'Aggregates (per cent of GDP)'!R85</f>
        <v>92.918594679221826</v>
      </c>
      <c r="E31" s="104">
        <f>'Aggregates (per cent of GDP)'!Y85</f>
        <v>78.712156857643805</v>
      </c>
      <c r="F31" s="104">
        <f>'Aggregates (per cent of GDP)'!Z85</f>
        <v>63.915276523706687</v>
      </c>
      <c r="H31" s="104">
        <f t="shared" si="2"/>
        <v>-0.76290538245712014</v>
      </c>
      <c r="I31" s="104">
        <f t="shared" si="3"/>
        <v>-0.27406688660462919</v>
      </c>
      <c r="J31" s="104">
        <f t="shared" si="4"/>
        <v>-1.8983326578325261</v>
      </c>
      <c r="K31" s="104">
        <f t="shared" si="5"/>
        <v>-2.0462828307674599</v>
      </c>
    </row>
    <row r="35" spans="1:6" x14ac:dyDescent="0.25">
      <c r="A35" t="s">
        <v>3</v>
      </c>
      <c r="C35">
        <v>97.6</v>
      </c>
      <c r="D35">
        <v>88.8</v>
      </c>
      <c r="E35">
        <v>82.9</v>
      </c>
      <c r="F35">
        <v>69.5</v>
      </c>
    </row>
    <row r="36" spans="1:6" x14ac:dyDescent="0.25">
      <c r="A36" t="s">
        <v>4</v>
      </c>
      <c r="C36">
        <v>98.8</v>
      </c>
      <c r="D36">
        <v>91.7</v>
      </c>
      <c r="E36">
        <v>83.6</v>
      </c>
      <c r="F36">
        <v>70.2</v>
      </c>
    </row>
    <row r="37" spans="1:6" x14ac:dyDescent="0.25">
      <c r="A37" t="s">
        <v>5</v>
      </c>
      <c r="C37">
        <v>96.4</v>
      </c>
      <c r="D37">
        <v>92.8</v>
      </c>
      <c r="E37">
        <v>83.2</v>
      </c>
      <c r="F37">
        <v>69.5</v>
      </c>
    </row>
    <row r="38" spans="1:6" x14ac:dyDescent="0.25">
      <c r="A38" t="s">
        <v>6</v>
      </c>
      <c r="C38">
        <v>95.5</v>
      </c>
      <c r="D38">
        <v>93.2</v>
      </c>
      <c r="E38">
        <v>82.1</v>
      </c>
      <c r="F38">
        <v>67.900000000000006</v>
      </c>
    </row>
    <row r="39" spans="1:6" x14ac:dyDescent="0.25">
      <c r="A39" t="s">
        <v>7</v>
      </c>
      <c r="C39">
        <v>95.1</v>
      </c>
      <c r="D39">
        <v>93.2</v>
      </c>
      <c r="E39">
        <v>80.599999999999994</v>
      </c>
      <c r="F39">
        <v>66</v>
      </c>
    </row>
    <row r="40" spans="1:6" x14ac:dyDescent="0.25">
      <c r="A40" t="s">
        <v>8</v>
      </c>
      <c r="C40">
        <v>94.3</v>
      </c>
      <c r="D40">
        <v>92.9</v>
      </c>
      <c r="E40">
        <v>78.7</v>
      </c>
      <c r="F40">
        <v>63.9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72A4-D334-4AAC-9BF6-639C885949D0}">
  <sheetPr>
    <tabColor theme="5"/>
    <pageSetUpPr fitToPage="1"/>
  </sheetPr>
  <dimension ref="A1:BS101"/>
  <sheetViews>
    <sheetView zoomScaleNormal="100" workbookViewId="0">
      <pane xSplit="2" ySplit="4" topLeftCell="F51" activePane="bottomRight" state="frozen"/>
      <selection pane="topRight" activeCell="C1" sqref="C1"/>
      <selection pane="bottomLeft" activeCell="A5" sqref="A5"/>
      <selection pane="bottomRight" activeCell="B57" sqref="B57:B85"/>
    </sheetView>
  </sheetViews>
  <sheetFormatPr defaultColWidth="9.140625" defaultRowHeight="15.75" x14ac:dyDescent="0.25"/>
  <cols>
    <col min="1" max="1" width="9.140625" style="46"/>
    <col min="2" max="2" width="8.5703125" style="46" bestFit="1" customWidth="1"/>
    <col min="3" max="3" width="12.85546875" style="46" customWidth="1"/>
    <col min="4" max="4" width="13.42578125" style="46" customWidth="1"/>
    <col min="5" max="5" width="13.5703125" style="46" customWidth="1"/>
    <col min="6" max="6" width="12.85546875" style="46" customWidth="1"/>
    <col min="7" max="7" width="13.5703125" style="46" bestFit="1" customWidth="1"/>
    <col min="8" max="9" width="12.85546875" style="46" customWidth="1"/>
    <col min="10" max="10" width="2.42578125" style="46" customWidth="1"/>
    <col min="11" max="15" width="12.85546875" style="46" customWidth="1"/>
    <col min="16" max="16" width="2.140625" style="46" customWidth="1"/>
    <col min="17" max="18" width="12.85546875" style="46" customWidth="1"/>
    <col min="19" max="19" width="2.140625" style="46" customWidth="1"/>
    <col min="20" max="20" width="15.85546875" style="46" customWidth="1"/>
    <col min="21" max="21" width="15.85546875" style="46" bestFit="1" customWidth="1"/>
    <col min="22" max="22" width="15.85546875" style="46" customWidth="1"/>
    <col min="23" max="23" width="2.5703125" style="46" customWidth="1"/>
    <col min="24" max="24" width="15.85546875" style="46" bestFit="1" customWidth="1"/>
    <col min="25" max="26" width="15.85546875" style="46" customWidth="1"/>
    <col min="27" max="27" width="15.85546875" style="46" bestFit="1" customWidth="1"/>
    <col min="28" max="29" width="15.85546875" style="46" customWidth="1"/>
    <col min="30" max="30" width="10.85546875" style="46" customWidth="1"/>
    <col min="31" max="32" width="14.140625" style="46" customWidth="1"/>
    <col min="33" max="33" width="10.85546875" style="7" customWidth="1"/>
    <col min="34" max="70" width="9.140625" style="7"/>
    <col min="71" max="71" width="0" style="7" hidden="1" customWidth="1"/>
    <col min="72" max="16384" width="9.140625" style="7"/>
  </cols>
  <sheetData>
    <row r="1" spans="1:71" ht="29.25" customHeight="1" thickBot="1" x14ac:dyDescent="0.3">
      <c r="A1" s="1"/>
      <c r="B1" s="2"/>
      <c r="C1" s="118" t="s">
        <v>9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9"/>
      <c r="AD1" s="3"/>
      <c r="AE1" s="4"/>
      <c r="AF1" s="5"/>
      <c r="AG1" s="6"/>
    </row>
    <row r="2" spans="1:71" s="17" customFormat="1" ht="15.75" customHeight="1" x14ac:dyDescent="0.2">
      <c r="A2" s="8"/>
      <c r="B2" s="9"/>
      <c r="C2" s="10"/>
      <c r="D2" s="10"/>
      <c r="E2" s="10"/>
      <c r="F2" s="10"/>
      <c r="G2" s="10"/>
      <c r="H2" s="10"/>
      <c r="I2" s="11"/>
      <c r="J2" s="12"/>
      <c r="K2" s="10"/>
      <c r="L2" s="13"/>
      <c r="M2" s="10"/>
      <c r="N2" s="10"/>
      <c r="O2" s="10"/>
      <c r="P2" s="12"/>
      <c r="Q2" s="12"/>
      <c r="R2" s="14"/>
      <c r="S2" s="12"/>
      <c r="T2" s="14"/>
      <c r="U2" s="14"/>
      <c r="V2" s="14"/>
      <c r="W2" s="12"/>
      <c r="X2" s="14"/>
      <c r="Y2" s="14"/>
      <c r="Z2" s="14"/>
      <c r="AA2" s="14"/>
      <c r="AB2" s="14"/>
      <c r="AC2" s="14"/>
      <c r="AD2" s="3"/>
      <c r="AE2" s="15"/>
      <c r="AF2" s="12"/>
      <c r="AG2" s="16"/>
    </row>
    <row r="3" spans="1:71" s="17" customFormat="1" ht="15.75" customHeight="1" x14ac:dyDescent="0.2">
      <c r="A3" s="8"/>
      <c r="B3" s="9"/>
      <c r="C3" s="120" t="s">
        <v>10</v>
      </c>
      <c r="D3" s="120"/>
      <c r="E3" s="120"/>
      <c r="F3" s="120"/>
      <c r="G3" s="120"/>
      <c r="H3" s="120"/>
      <c r="I3" s="120"/>
      <c r="J3" s="12"/>
      <c r="K3" s="121" t="s">
        <v>11</v>
      </c>
      <c r="L3" s="121"/>
      <c r="M3" s="121"/>
      <c r="N3" s="121"/>
      <c r="O3" s="121"/>
      <c r="P3" s="12"/>
      <c r="Q3" s="122" t="s">
        <v>12</v>
      </c>
      <c r="R3" s="122"/>
      <c r="S3" s="12"/>
      <c r="T3" s="122" t="s">
        <v>13</v>
      </c>
      <c r="U3" s="122"/>
      <c r="V3" s="122"/>
      <c r="W3" s="12"/>
      <c r="X3" s="121" t="s">
        <v>14</v>
      </c>
      <c r="Y3" s="121"/>
      <c r="Z3" s="121"/>
      <c r="AA3" s="121"/>
      <c r="AB3" s="121"/>
      <c r="AC3" s="123"/>
      <c r="AD3" s="3"/>
      <c r="AE3" s="112" t="s">
        <v>15</v>
      </c>
      <c r="AF3" s="113"/>
      <c r="AG3" s="114"/>
    </row>
    <row r="4" spans="1:71" s="29" customFormat="1" ht="57.75" customHeight="1" x14ac:dyDescent="0.25">
      <c r="A4" s="8"/>
      <c r="B4" s="18"/>
      <c r="C4" s="19" t="s">
        <v>16</v>
      </c>
      <c r="D4" s="19" t="s">
        <v>17</v>
      </c>
      <c r="E4" s="19" t="s">
        <v>18</v>
      </c>
      <c r="F4" s="19" t="s">
        <v>19</v>
      </c>
      <c r="G4" s="19" t="s">
        <v>20</v>
      </c>
      <c r="H4" s="19" t="s">
        <v>21</v>
      </c>
      <c r="I4" s="20" t="s">
        <v>22</v>
      </c>
      <c r="J4" s="21"/>
      <c r="K4" s="20" t="s">
        <v>23</v>
      </c>
      <c r="L4" s="20" t="s">
        <v>24</v>
      </c>
      <c r="M4" s="20" t="s">
        <v>25</v>
      </c>
      <c r="N4" s="20" t="s">
        <v>26</v>
      </c>
      <c r="O4" s="20" t="s">
        <v>27</v>
      </c>
      <c r="P4" s="21"/>
      <c r="Q4" s="21" t="s">
        <v>28</v>
      </c>
      <c r="R4" s="21" t="s">
        <v>29</v>
      </c>
      <c r="S4" s="21"/>
      <c r="T4" s="22" t="s">
        <v>30</v>
      </c>
      <c r="U4" s="22" t="s">
        <v>31</v>
      </c>
      <c r="V4" s="22" t="s">
        <v>32</v>
      </c>
      <c r="W4" s="23"/>
      <c r="X4" s="20" t="s">
        <v>33</v>
      </c>
      <c r="Y4" s="20" t="s">
        <v>2</v>
      </c>
      <c r="Z4" s="20" t="s">
        <v>34</v>
      </c>
      <c r="AA4" s="24" t="s">
        <v>35</v>
      </c>
      <c r="AB4" s="25" t="s">
        <v>36</v>
      </c>
      <c r="AC4" s="25" t="s">
        <v>37</v>
      </c>
      <c r="AD4" s="26"/>
      <c r="AE4" s="27" t="s">
        <v>38</v>
      </c>
      <c r="AF4" s="25" t="s">
        <v>39</v>
      </c>
      <c r="AG4" s="28" t="s">
        <v>40</v>
      </c>
      <c r="BS4" s="29" t="s">
        <v>41</v>
      </c>
    </row>
    <row r="5" spans="1:71" s="37" customFormat="1" x14ac:dyDescent="0.25">
      <c r="A5" s="8"/>
      <c r="B5" s="30" t="s">
        <v>42</v>
      </c>
      <c r="C5" s="31">
        <v>42.940919037199123</v>
      </c>
      <c r="D5" s="31">
        <v>38.599562363238512</v>
      </c>
      <c r="E5" s="31">
        <v>33.23413566739606</v>
      </c>
      <c r="F5" s="31">
        <v>2.634573304157549</v>
      </c>
      <c r="G5" s="31">
        <v>2.7308533916849012</v>
      </c>
      <c r="H5" s="31">
        <v>5.3654266958424506</v>
      </c>
      <c r="I5" s="31">
        <v>37.207877461706786</v>
      </c>
      <c r="J5" s="31"/>
      <c r="K5" s="31" t="s">
        <v>43</v>
      </c>
      <c r="L5" s="31">
        <v>-6.9759299781181614</v>
      </c>
      <c r="M5" s="31">
        <v>7.6936542669584247</v>
      </c>
      <c r="N5" s="31" t="s">
        <v>43</v>
      </c>
      <c r="O5" s="31" t="s">
        <v>43</v>
      </c>
      <c r="P5" s="31"/>
      <c r="Q5" s="31">
        <v>-4.3413566739606129</v>
      </c>
      <c r="R5" s="31" t="s">
        <v>43</v>
      </c>
      <c r="S5" s="31"/>
      <c r="T5" s="31">
        <v>-5.9256017505470462</v>
      </c>
      <c r="U5" s="31">
        <v>-4.3413566739606129</v>
      </c>
      <c r="V5" s="31">
        <v>4.5514223194748356</v>
      </c>
      <c r="W5" s="31"/>
      <c r="X5" s="31" t="s">
        <v>43</v>
      </c>
      <c r="Y5" s="31"/>
      <c r="Z5" s="31"/>
      <c r="AA5" s="31">
        <v>-3.7986870897155356</v>
      </c>
      <c r="AB5" s="31" t="s">
        <v>43</v>
      </c>
      <c r="AC5" s="32" t="s">
        <v>43</v>
      </c>
      <c r="AD5" s="33"/>
      <c r="AE5" s="34">
        <v>11.425000000000001</v>
      </c>
      <c r="AF5" s="35" t="s">
        <v>43</v>
      </c>
      <c r="AG5" s="36" t="s">
        <v>43</v>
      </c>
    </row>
    <row r="6" spans="1:71" s="37" customFormat="1" x14ac:dyDescent="0.25">
      <c r="A6" s="8"/>
      <c r="B6" s="30" t="s">
        <v>44</v>
      </c>
      <c r="C6" s="31">
        <v>43.298545484427642</v>
      </c>
      <c r="D6" s="31">
        <v>38.474813049552139</v>
      </c>
      <c r="E6" s="31">
        <v>32.78001479168379</v>
      </c>
      <c r="F6" s="31">
        <v>2.9912071657490342</v>
      </c>
      <c r="G6" s="31">
        <v>2.7035910921193196</v>
      </c>
      <c r="H6" s="31">
        <v>5.6947982578683529</v>
      </c>
      <c r="I6" s="31">
        <v>36.929903854055382</v>
      </c>
      <c r="J6" s="31"/>
      <c r="K6" s="31" t="s">
        <v>43</v>
      </c>
      <c r="L6" s="31">
        <v>-7.8149396006245375</v>
      </c>
      <c r="M6" s="31">
        <v>7.8724628153504801</v>
      </c>
      <c r="N6" s="31" t="s">
        <v>43</v>
      </c>
      <c r="O6" s="31" t="s">
        <v>43</v>
      </c>
      <c r="P6" s="31"/>
      <c r="Q6" s="31">
        <v>-4.8237324348755033</v>
      </c>
      <c r="R6" s="31" t="s">
        <v>43</v>
      </c>
      <c r="S6" s="31"/>
      <c r="T6" s="31">
        <v>-6.5247760703426732</v>
      </c>
      <c r="U6" s="31">
        <v>-4.8237324348755033</v>
      </c>
      <c r="V6" s="31">
        <v>4.2649354918234854</v>
      </c>
      <c r="W6" s="31"/>
      <c r="X6" s="31" t="s">
        <v>43</v>
      </c>
      <c r="Y6" s="31"/>
      <c r="Z6" s="31"/>
      <c r="AA6" s="31">
        <v>-4.2320650834086617</v>
      </c>
      <c r="AB6" s="31" t="s">
        <v>43</v>
      </c>
      <c r="AC6" s="32" t="s">
        <v>43</v>
      </c>
      <c r="AD6" s="33"/>
      <c r="AE6" s="34">
        <v>12.169</v>
      </c>
      <c r="AF6" s="34" t="s">
        <v>43</v>
      </c>
      <c r="AG6" s="38" t="s">
        <v>43</v>
      </c>
    </row>
    <row r="7" spans="1:71" s="37" customFormat="1" x14ac:dyDescent="0.25">
      <c r="A7" s="39"/>
      <c r="B7" s="30" t="s">
        <v>45</v>
      </c>
      <c r="C7" s="31">
        <v>42.8414442700157</v>
      </c>
      <c r="D7" s="31">
        <v>39.183673469387756</v>
      </c>
      <c r="E7" s="31">
        <v>32.629513343799061</v>
      </c>
      <c r="F7" s="31">
        <v>3.7598116169544742</v>
      </c>
      <c r="G7" s="31">
        <v>2.794348508634223</v>
      </c>
      <c r="H7" s="31">
        <v>6.5541601255886972</v>
      </c>
      <c r="I7" s="31">
        <v>36.07535321821036</v>
      </c>
      <c r="J7" s="31"/>
      <c r="K7" s="31" t="s">
        <v>43</v>
      </c>
      <c r="L7" s="31">
        <v>-7.4175824175824179</v>
      </c>
      <c r="M7" s="31">
        <v>6.4678178963893247</v>
      </c>
      <c r="N7" s="31" t="s">
        <v>43</v>
      </c>
      <c r="O7" s="31" t="s">
        <v>43</v>
      </c>
      <c r="P7" s="31"/>
      <c r="Q7" s="31">
        <v>-3.6577708006279437</v>
      </c>
      <c r="R7" s="31" t="s">
        <v>43</v>
      </c>
      <c r="S7" s="31"/>
      <c r="T7" s="31">
        <v>-5.8477237048665618</v>
      </c>
      <c r="U7" s="31">
        <v>-3.6577708006279437</v>
      </c>
      <c r="V7" s="31">
        <v>4.1679748822605962</v>
      </c>
      <c r="W7" s="31"/>
      <c r="X7" s="31" t="s">
        <v>43</v>
      </c>
      <c r="Y7" s="31"/>
      <c r="Z7" s="31"/>
      <c r="AA7" s="31">
        <v>-3.2731554160125591</v>
      </c>
      <c r="AB7" s="31" t="s">
        <v>43</v>
      </c>
      <c r="AC7" s="32" t="s">
        <v>43</v>
      </c>
      <c r="AD7" s="33"/>
      <c r="AE7" s="34">
        <v>12.74</v>
      </c>
      <c r="AF7" s="34" t="s">
        <v>43</v>
      </c>
      <c r="AG7" s="38" t="s">
        <v>43</v>
      </c>
    </row>
    <row r="8" spans="1:71" s="37" customFormat="1" x14ac:dyDescent="0.25">
      <c r="A8" s="39"/>
      <c r="B8" s="30" t="s">
        <v>46</v>
      </c>
      <c r="C8" s="31">
        <v>41.131231210235612</v>
      </c>
      <c r="D8" s="31">
        <v>40.648814933929941</v>
      </c>
      <c r="E8" s="31">
        <v>32.300915891770956</v>
      </c>
      <c r="F8" s="31">
        <v>5.4394183038523387</v>
      </c>
      <c r="G8" s="31">
        <v>2.9084807383066487</v>
      </c>
      <c r="H8" s="31">
        <v>8.3478990421589856</v>
      </c>
      <c r="I8" s="31">
        <v>34.782912675662445</v>
      </c>
      <c r="J8" s="31"/>
      <c r="K8" s="31" t="s">
        <v>43</v>
      </c>
      <c r="L8" s="31">
        <v>-5.9218345801580083</v>
      </c>
      <c r="M8" s="31">
        <v>3.411871635321261</v>
      </c>
      <c r="N8" s="31" t="s">
        <v>43</v>
      </c>
      <c r="O8" s="31" t="s">
        <v>43</v>
      </c>
      <c r="P8" s="31"/>
      <c r="Q8" s="31">
        <v>-0.48241627630567019</v>
      </c>
      <c r="R8" s="31" t="s">
        <v>43</v>
      </c>
      <c r="S8" s="31"/>
      <c r="T8" s="31">
        <v>-2.6847514507445993</v>
      </c>
      <c r="U8" s="31">
        <v>-0.48241627630567019</v>
      </c>
      <c r="V8" s="31">
        <v>4.0481017968258408</v>
      </c>
      <c r="W8" s="31"/>
      <c r="X8" s="31" t="s">
        <v>43</v>
      </c>
      <c r="Y8" s="31"/>
      <c r="Z8" s="31"/>
      <c r="AA8" s="31">
        <v>-6.9915402363140595E-3</v>
      </c>
      <c r="AB8" s="31" t="s">
        <v>43</v>
      </c>
      <c r="AC8" s="32" t="s">
        <v>43</v>
      </c>
      <c r="AD8" s="33"/>
      <c r="AE8" s="34">
        <v>14.303000000000001</v>
      </c>
      <c r="AF8" s="34" t="s">
        <v>43</v>
      </c>
      <c r="AG8" s="38" t="s">
        <v>43</v>
      </c>
    </row>
    <row r="9" spans="1:71" s="37" customFormat="1" x14ac:dyDescent="0.25">
      <c r="A9" s="39"/>
      <c r="B9" s="30" t="s">
        <v>47</v>
      </c>
      <c r="C9" s="31">
        <v>39.926622039134919</v>
      </c>
      <c r="D9" s="31">
        <v>41.271884654994849</v>
      </c>
      <c r="E9" s="31">
        <v>32.537332646755921</v>
      </c>
      <c r="F9" s="31">
        <v>5.7736869207003094</v>
      </c>
      <c r="G9" s="31">
        <v>2.96086508753862</v>
      </c>
      <c r="H9" s="31">
        <v>8.7345520082389285</v>
      </c>
      <c r="I9" s="31">
        <v>33.953398558187438</v>
      </c>
      <c r="J9" s="31"/>
      <c r="K9" s="31" t="s">
        <v>43</v>
      </c>
      <c r="L9" s="31">
        <v>-4.4284243048403704</v>
      </c>
      <c r="M9" s="31">
        <v>1.9116889804325439</v>
      </c>
      <c r="N9" s="31" t="s">
        <v>43</v>
      </c>
      <c r="O9" s="31" t="s">
        <v>43</v>
      </c>
      <c r="P9" s="31"/>
      <c r="Q9" s="31">
        <v>1.3452626158599383</v>
      </c>
      <c r="R9" s="31" t="s">
        <v>43</v>
      </c>
      <c r="S9" s="31"/>
      <c r="T9" s="31">
        <v>-1.9309989701338828</v>
      </c>
      <c r="U9" s="31">
        <v>1.3452626158599383</v>
      </c>
      <c r="V9" s="31">
        <v>4.0808444902162719</v>
      </c>
      <c r="W9" s="31"/>
      <c r="X9" s="31" t="s">
        <v>43</v>
      </c>
      <c r="Y9" s="31"/>
      <c r="Z9" s="31"/>
      <c r="AA9" s="31">
        <v>0.99124613800205974</v>
      </c>
      <c r="AB9" s="31" t="s">
        <v>43</v>
      </c>
      <c r="AC9" s="32" t="s">
        <v>43</v>
      </c>
      <c r="AD9" s="33"/>
      <c r="AE9" s="34">
        <v>15.536</v>
      </c>
      <c r="AF9" s="34" t="s">
        <v>43</v>
      </c>
      <c r="AG9" s="38" t="s">
        <v>43</v>
      </c>
    </row>
    <row r="10" spans="1:71" s="37" customFormat="1" x14ac:dyDescent="0.25">
      <c r="A10" s="39"/>
      <c r="B10" s="30" t="s">
        <v>48</v>
      </c>
      <c r="C10" s="31">
        <v>37.998201977824394</v>
      </c>
      <c r="D10" s="31">
        <v>40.503446209169915</v>
      </c>
      <c r="E10" s="31">
        <v>31.603236439916095</v>
      </c>
      <c r="F10" s="31">
        <v>6.0593347317950252</v>
      </c>
      <c r="G10" s="31">
        <v>2.8408750374587957</v>
      </c>
      <c r="H10" s="31">
        <v>8.9002097692538218</v>
      </c>
      <c r="I10" s="31">
        <v>31.705124363200483</v>
      </c>
      <c r="J10" s="31"/>
      <c r="K10" s="31" t="s">
        <v>43</v>
      </c>
      <c r="L10" s="31">
        <v>-3.5540905004495054</v>
      </c>
      <c r="M10" s="31">
        <v>0.4554989511537309</v>
      </c>
      <c r="N10" s="31" t="s">
        <v>43</v>
      </c>
      <c r="O10" s="31" t="s">
        <v>43</v>
      </c>
      <c r="P10" s="31"/>
      <c r="Q10" s="31">
        <v>2.5052442313455199</v>
      </c>
      <c r="R10" s="31" t="s">
        <v>43</v>
      </c>
      <c r="S10" s="31"/>
      <c r="T10" s="31">
        <v>-0.94695834581959848</v>
      </c>
      <c r="U10" s="31">
        <v>2.5052442313455199</v>
      </c>
      <c r="V10" s="31">
        <v>3.937668564578964</v>
      </c>
      <c r="W10" s="31"/>
      <c r="X10" s="31" t="s">
        <v>43</v>
      </c>
      <c r="Y10" s="31"/>
      <c r="Z10" s="31"/>
      <c r="AA10" s="31">
        <v>1.7620617320946959</v>
      </c>
      <c r="AB10" s="31" t="s">
        <v>43</v>
      </c>
      <c r="AC10" s="32" t="s">
        <v>43</v>
      </c>
      <c r="AD10" s="33"/>
      <c r="AE10" s="34">
        <v>16.684999999999999</v>
      </c>
      <c r="AF10" s="34" t="s">
        <v>43</v>
      </c>
      <c r="AG10" s="38" t="s">
        <v>43</v>
      </c>
    </row>
    <row r="11" spans="1:71" s="37" customFormat="1" x14ac:dyDescent="0.25">
      <c r="A11" s="39"/>
      <c r="B11" s="30" t="s">
        <v>49</v>
      </c>
      <c r="C11" s="31">
        <v>37.463780467018928</v>
      </c>
      <c r="D11" s="31">
        <v>38.923924777001304</v>
      </c>
      <c r="E11" s="31">
        <v>31.123231634566217</v>
      </c>
      <c r="F11" s="31">
        <v>4.9656269530140333</v>
      </c>
      <c r="G11" s="31">
        <v>2.835066189421056</v>
      </c>
      <c r="H11" s="31">
        <v>7.8006931424350885</v>
      </c>
      <c r="I11" s="31">
        <v>30.913016305891709</v>
      </c>
      <c r="J11" s="31"/>
      <c r="K11" s="31" t="s">
        <v>43</v>
      </c>
      <c r="L11" s="31">
        <v>-3.5054826430316459</v>
      </c>
      <c r="M11" s="31">
        <v>1.0794841202204422</v>
      </c>
      <c r="N11" s="31" t="s">
        <v>43</v>
      </c>
      <c r="O11" s="31" t="s">
        <v>43</v>
      </c>
      <c r="P11" s="31"/>
      <c r="Q11" s="31">
        <v>1.4601443099823874</v>
      </c>
      <c r="R11" s="31" t="s">
        <v>43</v>
      </c>
      <c r="S11" s="31"/>
      <c r="T11" s="31">
        <v>-1.7442190784614513</v>
      </c>
      <c r="U11" s="31">
        <v>1.4601443099823874</v>
      </c>
      <c r="V11" s="31">
        <v>3.7270609624453157</v>
      </c>
      <c r="W11" s="31"/>
      <c r="X11" s="31" t="s">
        <v>43</v>
      </c>
      <c r="Y11" s="31"/>
      <c r="Z11" s="31"/>
      <c r="AA11" s="31">
        <v>0.64200897676268398</v>
      </c>
      <c r="AB11" s="31" t="s">
        <v>43</v>
      </c>
      <c r="AC11" s="32" t="s">
        <v>43</v>
      </c>
      <c r="AD11" s="33"/>
      <c r="AE11" s="34">
        <v>17.600999999999999</v>
      </c>
      <c r="AF11" s="34" t="s">
        <v>43</v>
      </c>
      <c r="AG11" s="38" t="s">
        <v>43</v>
      </c>
    </row>
    <row r="12" spans="1:71" s="37" customFormat="1" x14ac:dyDescent="0.25">
      <c r="A12" s="39"/>
      <c r="B12" s="40" t="s">
        <v>50</v>
      </c>
      <c r="C12" s="31">
        <v>35.966077449678139</v>
      </c>
      <c r="D12" s="31">
        <v>35.771942372534994</v>
      </c>
      <c r="E12" s="31">
        <v>28.665576785531826</v>
      </c>
      <c r="F12" s="31">
        <v>4.3118422397057312</v>
      </c>
      <c r="G12" s="31">
        <v>2.7945233472974356</v>
      </c>
      <c r="H12" s="31">
        <v>7.1063655870031672</v>
      </c>
      <c r="I12" s="31">
        <v>29.646469806886682</v>
      </c>
      <c r="J12" s="31"/>
      <c r="K12" s="31" t="s">
        <v>43</v>
      </c>
      <c r="L12" s="31">
        <v>-4.505977316848881</v>
      </c>
      <c r="M12" s="31">
        <v>2.7536528047409825</v>
      </c>
      <c r="N12" s="31" t="s">
        <v>43</v>
      </c>
      <c r="O12" s="31" t="s">
        <v>43</v>
      </c>
      <c r="P12" s="31"/>
      <c r="Q12" s="31">
        <v>-0.19413507714314907</v>
      </c>
      <c r="R12" s="31" t="s">
        <v>43</v>
      </c>
      <c r="S12" s="31"/>
      <c r="T12" s="31">
        <v>-2.8405027076734446</v>
      </c>
      <c r="U12" s="31">
        <v>-0.19413507714314907</v>
      </c>
      <c r="V12" s="31">
        <v>3.7907428221109631</v>
      </c>
      <c r="W12" s="31"/>
      <c r="X12" s="31" t="s">
        <v>43</v>
      </c>
      <c r="Y12" s="31"/>
      <c r="Z12" s="31"/>
      <c r="AA12" s="31">
        <v>-0.55175232451210787</v>
      </c>
      <c r="AB12" s="31" t="s">
        <v>43</v>
      </c>
      <c r="AC12" s="32" t="s">
        <v>43</v>
      </c>
      <c r="AD12" s="33"/>
      <c r="AE12" s="34">
        <v>19.574000000000002</v>
      </c>
      <c r="AF12" s="34" t="s">
        <v>43</v>
      </c>
      <c r="AG12" s="38" t="s">
        <v>43</v>
      </c>
    </row>
    <row r="13" spans="1:71" s="37" customFormat="1" x14ac:dyDescent="0.25">
      <c r="A13" s="39"/>
      <c r="B13" s="40" t="s">
        <v>51</v>
      </c>
      <c r="C13" s="31">
        <v>35.573197240336455</v>
      </c>
      <c r="D13" s="31">
        <v>35.960684245345433</v>
      </c>
      <c r="E13" s="31">
        <v>28.886683678291281</v>
      </c>
      <c r="F13" s="31">
        <v>4.2481807012569703</v>
      </c>
      <c r="G13" s="31">
        <v>2.8258198657971834</v>
      </c>
      <c r="H13" s="31">
        <v>7.0740005670541546</v>
      </c>
      <c r="I13" s="31">
        <v>29.250543426897273</v>
      </c>
      <c r="J13" s="31"/>
      <c r="K13" s="31" t="s">
        <v>43</v>
      </c>
      <c r="L13" s="31">
        <v>-3.8606936962479916</v>
      </c>
      <c r="M13" s="31">
        <v>1.8476514507135433</v>
      </c>
      <c r="N13" s="31" t="s">
        <v>43</v>
      </c>
      <c r="O13" s="31" t="s">
        <v>43</v>
      </c>
      <c r="P13" s="31"/>
      <c r="Q13" s="31">
        <v>0.38748700500897837</v>
      </c>
      <c r="R13" s="31" t="s">
        <v>43</v>
      </c>
      <c r="S13" s="31"/>
      <c r="T13" s="31">
        <v>-1.7956714866269727</v>
      </c>
      <c r="U13" s="31">
        <v>0.38748700500897837</v>
      </c>
      <c r="V13" s="31">
        <v>3.4543048861166241</v>
      </c>
      <c r="W13" s="31"/>
      <c r="X13" s="31" t="s">
        <v>43</v>
      </c>
      <c r="Y13" s="31"/>
      <c r="Z13" s="31"/>
      <c r="AA13" s="31">
        <v>0.15121444097911352</v>
      </c>
      <c r="AB13" s="31" t="s">
        <v>43</v>
      </c>
      <c r="AC13" s="32" t="s">
        <v>43</v>
      </c>
      <c r="AD13" s="33"/>
      <c r="AE13" s="34">
        <v>21.161999999999999</v>
      </c>
      <c r="AF13" s="34">
        <v>21.81</v>
      </c>
      <c r="AG13" s="38" t="s">
        <v>43</v>
      </c>
    </row>
    <row r="14" spans="1:71" s="37" customFormat="1" x14ac:dyDescent="0.25">
      <c r="A14" s="39"/>
      <c r="B14" s="40" t="s">
        <v>52</v>
      </c>
      <c r="C14" s="31">
        <v>35.168154960238127</v>
      </c>
      <c r="D14" s="31">
        <v>35.194810964503084</v>
      </c>
      <c r="E14" s="31">
        <v>28.37975920742814</v>
      </c>
      <c r="F14" s="31">
        <v>3.9628593007241553</v>
      </c>
      <c r="G14" s="31">
        <v>2.8521924563507932</v>
      </c>
      <c r="H14" s="31">
        <v>6.815051757074948</v>
      </c>
      <c r="I14" s="31">
        <v>28.917321960104847</v>
      </c>
      <c r="J14" s="31"/>
      <c r="K14" s="31" t="s">
        <v>43</v>
      </c>
      <c r="L14" s="31">
        <v>-3.936203296459194</v>
      </c>
      <c r="M14" s="31">
        <v>2.225776356124217</v>
      </c>
      <c r="N14" s="31" t="s">
        <v>43</v>
      </c>
      <c r="O14" s="31" t="s">
        <v>43</v>
      </c>
      <c r="P14" s="31"/>
      <c r="Q14" s="31">
        <v>2.6656004264960682E-2</v>
      </c>
      <c r="R14" s="31" t="s">
        <v>43</v>
      </c>
      <c r="S14" s="31"/>
      <c r="T14" s="31">
        <v>-2.0791683326669332</v>
      </c>
      <c r="U14" s="31">
        <v>2.6656004264960682E-2</v>
      </c>
      <c r="V14" s="31">
        <v>3.4164112132924607</v>
      </c>
      <c r="W14" s="31"/>
      <c r="X14" s="31" t="s">
        <v>43</v>
      </c>
      <c r="Y14" s="31"/>
      <c r="Z14" s="31"/>
      <c r="AA14" s="31">
        <v>-0.43538140299435779</v>
      </c>
      <c r="AB14" s="31" t="s">
        <v>43</v>
      </c>
      <c r="AC14" s="32" t="s">
        <v>43</v>
      </c>
      <c r="AD14" s="33"/>
      <c r="AE14" s="34">
        <v>22.509</v>
      </c>
      <c r="AF14" s="34">
        <v>23.004000000000001</v>
      </c>
      <c r="AG14" s="38" t="s">
        <v>43</v>
      </c>
    </row>
    <row r="15" spans="1:71" s="37" customFormat="1" x14ac:dyDescent="0.25">
      <c r="A15" s="39"/>
      <c r="B15" s="40" t="s">
        <v>53</v>
      </c>
      <c r="C15" s="31">
        <v>35.65031069209342</v>
      </c>
      <c r="D15" s="31">
        <v>35.95457467323763</v>
      </c>
      <c r="E15" s="31">
        <v>28.9950717805871</v>
      </c>
      <c r="F15" s="31">
        <v>4.0754231840582813</v>
      </c>
      <c r="G15" s="31">
        <v>2.8840797085922434</v>
      </c>
      <c r="H15" s="31">
        <v>6.9595028926505247</v>
      </c>
      <c r="I15" s="31">
        <v>29.535033211913436</v>
      </c>
      <c r="J15" s="31"/>
      <c r="K15" s="31" t="s">
        <v>43</v>
      </c>
      <c r="L15" s="31">
        <v>-3.7711592029140775</v>
      </c>
      <c r="M15" s="31">
        <v>2.3398328690807801</v>
      </c>
      <c r="N15" s="31" t="s">
        <v>43</v>
      </c>
      <c r="O15" s="31" t="s">
        <v>43</v>
      </c>
      <c r="P15" s="31"/>
      <c r="Q15" s="31">
        <v>0.30426398114420394</v>
      </c>
      <c r="R15" s="31" t="s">
        <v>43</v>
      </c>
      <c r="S15" s="31"/>
      <c r="T15" s="31">
        <v>-2.2284122562674096</v>
      </c>
      <c r="U15" s="31">
        <v>0.30426398114420394</v>
      </c>
      <c r="V15" s="31">
        <v>3.3983286908077996</v>
      </c>
      <c r="W15" s="31"/>
      <c r="X15" s="31" t="s">
        <v>43</v>
      </c>
      <c r="Y15" s="31"/>
      <c r="Z15" s="31"/>
      <c r="AA15" s="31">
        <v>-0.7285193914720377</v>
      </c>
      <c r="AB15" s="31" t="s">
        <v>43</v>
      </c>
      <c r="AC15" s="32" t="s">
        <v>43</v>
      </c>
      <c r="AD15" s="33"/>
      <c r="AE15" s="34">
        <v>23.335000000000001</v>
      </c>
      <c r="AF15" s="34">
        <v>23.957000000000001</v>
      </c>
      <c r="AG15" s="38" t="s">
        <v>43</v>
      </c>
    </row>
    <row r="16" spans="1:71" s="37" customFormat="1" x14ac:dyDescent="0.25">
      <c r="A16" s="39"/>
      <c r="B16" s="40" t="s">
        <v>54</v>
      </c>
      <c r="C16" s="31">
        <v>33.658987657299079</v>
      </c>
      <c r="D16" s="31">
        <v>35.94660877256463</v>
      </c>
      <c r="E16" s="31">
        <v>29.075704579262652</v>
      </c>
      <c r="F16" s="31">
        <v>4.1169139227274556</v>
      </c>
      <c r="G16" s="31">
        <v>2.7539902705745187</v>
      </c>
      <c r="H16" s="31">
        <v>6.8709041933019748</v>
      </c>
      <c r="I16" s="31">
        <v>28.43243677883649</v>
      </c>
      <c r="J16" s="31"/>
      <c r="K16" s="31" t="s">
        <v>43</v>
      </c>
      <c r="L16" s="31">
        <v>-1.8292928074619064</v>
      </c>
      <c r="M16" s="31">
        <v>1.4594138222168616</v>
      </c>
      <c r="N16" s="31" t="s">
        <v>43</v>
      </c>
      <c r="O16" s="31" t="s">
        <v>43</v>
      </c>
      <c r="P16" s="31"/>
      <c r="Q16" s="31">
        <v>2.2876211152655488</v>
      </c>
      <c r="R16" s="31" t="s">
        <v>43</v>
      </c>
      <c r="S16" s="31"/>
      <c r="T16" s="31">
        <v>-1.1337594982511154</v>
      </c>
      <c r="U16" s="31">
        <v>2.2876211152655488</v>
      </c>
      <c r="V16" s="31">
        <v>3.2927270534314315</v>
      </c>
      <c r="W16" s="31"/>
      <c r="X16" s="31" t="s">
        <v>43</v>
      </c>
      <c r="Y16" s="31"/>
      <c r="Z16" s="31"/>
      <c r="AA16" s="31">
        <v>0.22916415390182127</v>
      </c>
      <c r="AB16" s="31" t="s">
        <v>43</v>
      </c>
      <c r="AC16" s="32" t="s">
        <v>43</v>
      </c>
      <c r="AD16" s="33"/>
      <c r="AE16" s="34">
        <v>24.873000000000001</v>
      </c>
      <c r="AF16" s="34">
        <v>25.789000000000001</v>
      </c>
      <c r="AG16" s="38" t="s">
        <v>43</v>
      </c>
    </row>
    <row r="17" spans="1:33" s="37" customFormat="1" x14ac:dyDescent="0.25">
      <c r="A17" s="39"/>
      <c r="B17" s="40" t="s">
        <v>55</v>
      </c>
      <c r="C17" s="31">
        <v>33.458463155523859</v>
      </c>
      <c r="D17" s="31">
        <v>35.943541424227632</v>
      </c>
      <c r="E17" s="31">
        <v>29.15649986861369</v>
      </c>
      <c r="F17" s="31">
        <v>4.0016517136529153</v>
      </c>
      <c r="G17" s="31">
        <v>2.7853898419610346</v>
      </c>
      <c r="H17" s="31">
        <v>6.7870415556139498</v>
      </c>
      <c r="I17" s="31">
        <v>27.887683471601786</v>
      </c>
      <c r="J17" s="31"/>
      <c r="K17" s="31" t="s">
        <v>43</v>
      </c>
      <c r="L17" s="31">
        <v>-1.5165734449491348</v>
      </c>
      <c r="M17" s="31">
        <v>1.3776793423176545</v>
      </c>
      <c r="N17" s="31" t="s">
        <v>43</v>
      </c>
      <c r="O17" s="31" t="s">
        <v>43</v>
      </c>
      <c r="P17" s="31"/>
      <c r="Q17" s="31">
        <v>2.4850782687037802</v>
      </c>
      <c r="R17" s="31" t="s">
        <v>43</v>
      </c>
      <c r="S17" s="31"/>
      <c r="T17" s="31">
        <v>-0.7920717744660084</v>
      </c>
      <c r="U17" s="31">
        <v>2.4850782687037802</v>
      </c>
      <c r="V17" s="31">
        <v>3.3297045684898081</v>
      </c>
      <c r="W17" s="31"/>
      <c r="X17" s="31" t="s">
        <v>43</v>
      </c>
      <c r="Y17" s="31"/>
      <c r="Z17" s="31"/>
      <c r="AA17" s="31">
        <v>0.63065430384023435</v>
      </c>
      <c r="AB17" s="31" t="s">
        <v>43</v>
      </c>
      <c r="AC17" s="32" t="s">
        <v>43</v>
      </c>
      <c r="AD17" s="33"/>
      <c r="AE17" s="34">
        <v>26.638999999999999</v>
      </c>
      <c r="AF17" s="34">
        <v>27.582999999999998</v>
      </c>
      <c r="AG17" s="38" t="s">
        <v>43</v>
      </c>
    </row>
    <row r="18" spans="1:33" s="37" customFormat="1" x14ac:dyDescent="0.25">
      <c r="A18" s="39"/>
      <c r="B18" s="40" t="s">
        <v>56</v>
      </c>
      <c r="C18" s="31">
        <v>35.464269215735051</v>
      </c>
      <c r="D18" s="31">
        <v>37.631924949362144</v>
      </c>
      <c r="E18" s="31">
        <v>30.155289435343452</v>
      </c>
      <c r="F18" s="31">
        <v>4.402828613055684</v>
      </c>
      <c r="G18" s="31">
        <v>3.0738069009630076</v>
      </c>
      <c r="H18" s="31">
        <v>7.4766355140186924</v>
      </c>
      <c r="I18" s="31">
        <v>29.84968551224193</v>
      </c>
      <c r="J18" s="31"/>
      <c r="K18" s="31" t="s">
        <v>43</v>
      </c>
      <c r="L18" s="31">
        <v>-2.2351728794285921</v>
      </c>
      <c r="M18" s="31">
        <v>1.805195266692726</v>
      </c>
      <c r="N18" s="31" t="s">
        <v>43</v>
      </c>
      <c r="O18" s="31" t="s">
        <v>43</v>
      </c>
      <c r="P18" s="31"/>
      <c r="Q18" s="31">
        <v>2.1676557336270923</v>
      </c>
      <c r="R18" s="31" t="s">
        <v>43</v>
      </c>
      <c r="S18" s="31"/>
      <c r="T18" s="31">
        <v>-1.6701609750897268</v>
      </c>
      <c r="U18" s="31">
        <v>2.1676557336270923</v>
      </c>
      <c r="V18" s="31">
        <v>3.3723037560854272</v>
      </c>
      <c r="W18" s="31"/>
      <c r="X18" s="31" t="s">
        <v>43</v>
      </c>
      <c r="Y18" s="31"/>
      <c r="Z18" s="31"/>
      <c r="AA18" s="31">
        <v>0.16701609750897267</v>
      </c>
      <c r="AB18" s="31" t="s">
        <v>43</v>
      </c>
      <c r="AC18" s="32" t="s">
        <v>43</v>
      </c>
      <c r="AD18" s="33"/>
      <c r="AE18" s="34">
        <v>28.140999999999998</v>
      </c>
      <c r="AF18" s="34">
        <v>28.843</v>
      </c>
      <c r="AG18" s="38" t="s">
        <v>43</v>
      </c>
    </row>
    <row r="19" spans="1:33" s="37" customFormat="1" x14ac:dyDescent="0.25">
      <c r="A19" s="39"/>
      <c r="B19" s="40" t="s">
        <v>57</v>
      </c>
      <c r="C19" s="31">
        <v>35.480475382003398</v>
      </c>
      <c r="D19" s="31">
        <v>37.307300509337857</v>
      </c>
      <c r="E19" s="31">
        <v>29.908319185059423</v>
      </c>
      <c r="F19" s="31">
        <v>4.2716468590831917</v>
      </c>
      <c r="G19" s="31">
        <v>3.1273344651952466</v>
      </c>
      <c r="H19" s="31">
        <v>7.3989813242784379</v>
      </c>
      <c r="I19" s="31">
        <v>29.646859083191853</v>
      </c>
      <c r="J19" s="31"/>
      <c r="K19" s="31" t="s">
        <v>43</v>
      </c>
      <c r="L19" s="31">
        <v>-2.4448217317487266</v>
      </c>
      <c r="M19" s="31">
        <v>1.8675721561969443</v>
      </c>
      <c r="N19" s="31" t="s">
        <v>43</v>
      </c>
      <c r="O19" s="31" t="s">
        <v>43</v>
      </c>
      <c r="P19" s="31"/>
      <c r="Q19" s="31">
        <v>1.8268251273344656</v>
      </c>
      <c r="R19" s="31" t="s">
        <v>43</v>
      </c>
      <c r="S19" s="31"/>
      <c r="T19" s="31">
        <v>-1.303904923599321</v>
      </c>
      <c r="U19" s="31">
        <v>2.1935483870967745</v>
      </c>
      <c r="V19" s="31">
        <v>3.1748726655348052</v>
      </c>
      <c r="W19" s="31"/>
      <c r="X19" s="31" t="s">
        <v>43</v>
      </c>
      <c r="Y19" s="31"/>
      <c r="Z19" s="31"/>
      <c r="AA19" s="31">
        <v>0.22750424448217321</v>
      </c>
      <c r="AB19" s="31" t="s">
        <v>43</v>
      </c>
      <c r="AC19" s="32" t="s">
        <v>43</v>
      </c>
      <c r="AD19" s="33"/>
      <c r="AE19" s="34">
        <v>29.45</v>
      </c>
      <c r="AF19" s="34">
        <v>30.382999999999999</v>
      </c>
      <c r="AG19" s="38" t="s">
        <v>43</v>
      </c>
    </row>
    <row r="20" spans="1:33" s="37" customFormat="1" x14ac:dyDescent="0.25">
      <c r="A20" s="39"/>
      <c r="B20" s="40" t="s">
        <v>58</v>
      </c>
      <c r="C20" s="31">
        <v>34.635506406440896</v>
      </c>
      <c r="D20" s="31">
        <v>37.339055793991413</v>
      </c>
      <c r="E20" s="31">
        <v>28.664515522696661</v>
      </c>
      <c r="F20" s="31">
        <v>5.5355408665142072</v>
      </c>
      <c r="G20" s="31">
        <v>3.1389994047805523</v>
      </c>
      <c r="H20" s="31">
        <v>8.6745402712947595</v>
      </c>
      <c r="I20" s="31">
        <v>28.695842862065724</v>
      </c>
      <c r="J20" s="31"/>
      <c r="K20" s="31" t="s">
        <v>43</v>
      </c>
      <c r="L20" s="31">
        <v>-2.8319914789636917</v>
      </c>
      <c r="M20" s="31">
        <v>0.90536010776604736</v>
      </c>
      <c r="N20" s="31" t="s">
        <v>43</v>
      </c>
      <c r="O20" s="31" t="s">
        <v>43</v>
      </c>
      <c r="P20" s="31"/>
      <c r="Q20" s="31">
        <v>2.7035493875505154</v>
      </c>
      <c r="R20" s="31" t="s">
        <v>43</v>
      </c>
      <c r="S20" s="31"/>
      <c r="T20" s="31">
        <v>0.94921838288274174</v>
      </c>
      <c r="U20" s="31">
        <v>3.0982738636007645</v>
      </c>
      <c r="V20" s="31">
        <v>3.0826101939162309</v>
      </c>
      <c r="W20" s="31"/>
      <c r="X20" s="31" t="s">
        <v>43</v>
      </c>
      <c r="Y20" s="31"/>
      <c r="Z20" s="31"/>
      <c r="AA20" s="31">
        <v>2.4216033332289091</v>
      </c>
      <c r="AB20" s="31" t="s">
        <v>43</v>
      </c>
      <c r="AC20" s="32" t="s">
        <v>43</v>
      </c>
      <c r="AD20" s="33"/>
      <c r="AE20" s="34">
        <v>31.920999999999999</v>
      </c>
      <c r="AF20" s="34">
        <v>33.341000000000001</v>
      </c>
      <c r="AG20" s="38" t="s">
        <v>43</v>
      </c>
    </row>
    <row r="21" spans="1:33" s="37" customFormat="1" x14ac:dyDescent="0.25">
      <c r="A21" s="39"/>
      <c r="B21" s="40" t="s">
        <v>59</v>
      </c>
      <c r="C21" s="31">
        <v>35.165686415148471</v>
      </c>
      <c r="D21" s="31">
        <v>37.03342418591307</v>
      </c>
      <c r="E21" s="31">
        <v>27.898436379285613</v>
      </c>
      <c r="F21" s="31">
        <v>6.0134844355185777</v>
      </c>
      <c r="G21" s="31">
        <v>3.1215033711088802</v>
      </c>
      <c r="H21" s="31">
        <v>9.134987806627457</v>
      </c>
      <c r="I21" s="31">
        <v>29.083345287620144</v>
      </c>
      <c r="J21" s="31"/>
      <c r="K21" s="31" t="s">
        <v>43</v>
      </c>
      <c r="L21" s="31">
        <v>-4.1457466647539816</v>
      </c>
      <c r="M21" s="31">
        <v>1.5464065413857411</v>
      </c>
      <c r="N21" s="31" t="s">
        <v>43</v>
      </c>
      <c r="O21" s="31" t="s">
        <v>43</v>
      </c>
      <c r="P21" s="31"/>
      <c r="Q21" s="31">
        <v>1.8677377707645966</v>
      </c>
      <c r="R21" s="31" t="s">
        <v>43</v>
      </c>
      <c r="S21" s="31"/>
      <c r="T21" s="31">
        <v>0.9353033997991681</v>
      </c>
      <c r="U21" s="31">
        <v>2.6222923540381586</v>
      </c>
      <c r="V21" s="31">
        <v>2.8288624300674226</v>
      </c>
      <c r="W21" s="31"/>
      <c r="X21" s="31" t="s">
        <v>43</v>
      </c>
      <c r="Y21" s="31"/>
      <c r="Z21" s="31"/>
      <c r="AA21" s="31">
        <v>8.8939893845933163E-2</v>
      </c>
      <c r="AB21" s="31" t="s">
        <v>43</v>
      </c>
      <c r="AC21" s="32" t="s">
        <v>43</v>
      </c>
      <c r="AD21" s="33"/>
      <c r="AE21" s="34">
        <v>34.854999999999997</v>
      </c>
      <c r="AF21" s="34">
        <v>36.161999999999999</v>
      </c>
      <c r="AG21" s="38" t="s">
        <v>43</v>
      </c>
    </row>
    <row r="22" spans="1:33" s="37" customFormat="1" ht="15.75" customHeight="1" x14ac:dyDescent="0.25">
      <c r="A22" s="41"/>
      <c r="B22" s="42" t="s">
        <v>60</v>
      </c>
      <c r="C22" s="31">
        <v>36.961106217132489</v>
      </c>
      <c r="D22" s="31">
        <v>38.485358105763332</v>
      </c>
      <c r="E22" s="31">
        <v>29.273110701796533</v>
      </c>
      <c r="F22" s="31">
        <v>6.0089159392434794</v>
      </c>
      <c r="G22" s="31">
        <v>3.2033314647233122</v>
      </c>
      <c r="H22" s="31">
        <v>9.2122474039667939</v>
      </c>
      <c r="I22" s="31">
        <v>30.693254317823872</v>
      </c>
      <c r="J22" s="31"/>
      <c r="K22" s="31" t="s">
        <v>43</v>
      </c>
      <c r="L22" s="31">
        <v>-4.4846640506126372</v>
      </c>
      <c r="M22" s="31">
        <v>1.7671711913723607</v>
      </c>
      <c r="N22" s="31" t="s">
        <v>43</v>
      </c>
      <c r="O22" s="31" t="s">
        <v>43</v>
      </c>
      <c r="P22" s="31"/>
      <c r="Q22" s="31">
        <v>1.5242518886308427</v>
      </c>
      <c r="R22" s="31" t="s">
        <v>43</v>
      </c>
      <c r="S22" s="31"/>
      <c r="T22" s="31">
        <v>1.2519687141293612</v>
      </c>
      <c r="U22" s="31">
        <v>2.4612263420624116</v>
      </c>
      <c r="V22" s="31">
        <v>2.7068150876911989</v>
      </c>
      <c r="W22" s="31"/>
      <c r="X22" s="31" t="s">
        <v>43</v>
      </c>
      <c r="Y22" s="31"/>
      <c r="Z22" s="31"/>
      <c r="AA22" s="31">
        <v>1.2199353994821283</v>
      </c>
      <c r="AB22" s="31" t="s">
        <v>43</v>
      </c>
      <c r="AC22" s="32" t="s">
        <v>43</v>
      </c>
      <c r="AD22" s="43"/>
      <c r="AE22" s="34">
        <v>37.460999999999999</v>
      </c>
      <c r="AF22" s="34">
        <v>38.753999999999998</v>
      </c>
      <c r="AG22" s="38" t="s">
        <v>43</v>
      </c>
    </row>
    <row r="23" spans="1:33" s="37" customFormat="1" ht="15.75" customHeight="1" x14ac:dyDescent="0.25">
      <c r="A23" s="41"/>
      <c r="B23" s="42" t="s">
        <v>61</v>
      </c>
      <c r="C23" s="31">
        <v>37.640491626824208</v>
      </c>
      <c r="D23" s="31">
        <v>40.036045958597214</v>
      </c>
      <c r="E23" s="31">
        <v>29.933164785101006</v>
      </c>
      <c r="F23" s="31">
        <v>6.7511076622693942</v>
      </c>
      <c r="G23" s="31">
        <v>3.3517735112268148</v>
      </c>
      <c r="H23" s="31">
        <v>10.102881173496208</v>
      </c>
      <c r="I23" s="31">
        <v>31.39252546997422</v>
      </c>
      <c r="J23" s="31"/>
      <c r="K23" s="31" t="s">
        <v>43</v>
      </c>
      <c r="L23" s="31">
        <v>-4.3555533304963836</v>
      </c>
      <c r="M23" s="31">
        <v>0.95121279631530209</v>
      </c>
      <c r="N23" s="31" t="s">
        <v>43</v>
      </c>
      <c r="O23" s="31" t="s">
        <v>43</v>
      </c>
      <c r="P23" s="31"/>
      <c r="Q23" s="31">
        <v>2.3955543317730106</v>
      </c>
      <c r="R23" s="31" t="s">
        <v>43</v>
      </c>
      <c r="S23" s="31"/>
      <c r="T23" s="31">
        <v>1.8598713359533405</v>
      </c>
      <c r="U23" s="31">
        <v>2.9187213697464265</v>
      </c>
      <c r="V23" s="31">
        <v>2.7910585997146362</v>
      </c>
      <c r="W23" s="31"/>
      <c r="X23" s="31" t="s">
        <v>43</v>
      </c>
      <c r="Y23" s="31"/>
      <c r="Z23" s="31"/>
      <c r="AA23" s="31">
        <v>8.0102130216025441E-2</v>
      </c>
      <c r="AB23" s="31" t="s">
        <v>43</v>
      </c>
      <c r="AC23" s="32" t="s">
        <v>43</v>
      </c>
      <c r="AD23" s="43"/>
      <c r="AE23" s="34">
        <v>39.948999999999998</v>
      </c>
      <c r="AF23" s="34">
        <v>41.146000000000001</v>
      </c>
      <c r="AG23" s="38" t="s">
        <v>43</v>
      </c>
    </row>
    <row r="24" spans="1:33" s="37" customFormat="1" ht="15.75" customHeight="1" x14ac:dyDescent="0.25">
      <c r="A24" s="41"/>
      <c r="B24" s="42" t="s">
        <v>62</v>
      </c>
      <c r="C24" s="31">
        <v>39.090438546960286</v>
      </c>
      <c r="D24" s="31">
        <v>42.941840767927722</v>
      </c>
      <c r="E24" s="31">
        <v>31.571146245059289</v>
      </c>
      <c r="F24" s="31">
        <v>7.9663090532655758</v>
      </c>
      <c r="G24" s="31">
        <v>3.4043854696028615</v>
      </c>
      <c r="H24" s="31">
        <v>11.370694522868437</v>
      </c>
      <c r="I24" s="31">
        <v>32.611048371917938</v>
      </c>
      <c r="J24" s="31"/>
      <c r="K24" s="31" t="s">
        <v>43</v>
      </c>
      <c r="L24" s="31">
        <v>-4.1149068322981366</v>
      </c>
      <c r="M24" s="31">
        <v>-0.18351214003387917</v>
      </c>
      <c r="N24" s="31" t="s">
        <v>43</v>
      </c>
      <c r="O24" s="31" t="s">
        <v>43</v>
      </c>
      <c r="P24" s="31"/>
      <c r="Q24" s="31">
        <v>3.8514022209674383</v>
      </c>
      <c r="R24" s="31" t="s">
        <v>43</v>
      </c>
      <c r="S24" s="31"/>
      <c r="T24" s="31">
        <v>3.2326369282891023</v>
      </c>
      <c r="U24" s="31">
        <v>4.7548466026726892</v>
      </c>
      <c r="V24" s="31">
        <v>2.8797289666854886</v>
      </c>
      <c r="W24" s="31"/>
      <c r="X24" s="31" t="s">
        <v>43</v>
      </c>
      <c r="Y24" s="31"/>
      <c r="Z24" s="31"/>
      <c r="AA24" s="31">
        <v>1.484566158479202</v>
      </c>
      <c r="AB24" s="31" t="s">
        <v>43</v>
      </c>
      <c r="AC24" s="32" t="s">
        <v>43</v>
      </c>
      <c r="AD24" s="43"/>
      <c r="AE24" s="34">
        <v>42.503999999999998</v>
      </c>
      <c r="AF24" s="34">
        <v>44.387</v>
      </c>
      <c r="AG24" s="38" t="s">
        <v>43</v>
      </c>
    </row>
    <row r="25" spans="1:33" s="37" customFormat="1" ht="15.75" customHeight="1" x14ac:dyDescent="0.25">
      <c r="A25" s="41"/>
      <c r="B25" s="42" t="s">
        <v>63</v>
      </c>
      <c r="C25" s="31">
        <v>40.807903684536917</v>
      </c>
      <c r="D25" s="31">
        <v>41.385283236747007</v>
      </c>
      <c r="E25" s="31">
        <v>30.932574898958581</v>
      </c>
      <c r="F25" s="31">
        <v>6.911447084233262</v>
      </c>
      <c r="G25" s="31">
        <v>3.5412612535551613</v>
      </c>
      <c r="H25" s="31">
        <v>10.452708337788422</v>
      </c>
      <c r="I25" s="31">
        <v>33.817334217223021</v>
      </c>
      <c r="J25" s="31"/>
      <c r="K25" s="31" t="s">
        <v>43</v>
      </c>
      <c r="L25" s="31">
        <v>-6.3340675320231812</v>
      </c>
      <c r="M25" s="31">
        <v>2.9681585869170068</v>
      </c>
      <c r="N25" s="31" t="s">
        <v>43</v>
      </c>
      <c r="O25" s="31" t="s">
        <v>43</v>
      </c>
      <c r="P25" s="31"/>
      <c r="Q25" s="31">
        <v>0.57737955221008075</v>
      </c>
      <c r="R25" s="31" t="s">
        <v>43</v>
      </c>
      <c r="S25" s="31"/>
      <c r="T25" s="31">
        <v>-0.6244252935012724</v>
      </c>
      <c r="U25" s="31">
        <v>0.80405448752218645</v>
      </c>
      <c r="V25" s="31">
        <v>2.7842525073241666</v>
      </c>
      <c r="W25" s="31"/>
      <c r="X25" s="31" t="s">
        <v>43</v>
      </c>
      <c r="Y25" s="31"/>
      <c r="Z25" s="31"/>
      <c r="AA25" s="31">
        <v>-0.66933259200650086</v>
      </c>
      <c r="AB25" s="31" t="s">
        <v>43</v>
      </c>
      <c r="AC25" s="32" t="s">
        <v>43</v>
      </c>
      <c r="AD25" s="43"/>
      <c r="AE25" s="34">
        <v>46.762999999999998</v>
      </c>
      <c r="AF25" s="34">
        <v>48.695</v>
      </c>
      <c r="AG25" s="38" t="s">
        <v>43</v>
      </c>
    </row>
    <row r="26" spans="1:33" s="37" customFormat="1" ht="15.75" customHeight="1" x14ac:dyDescent="0.25">
      <c r="A26" s="41"/>
      <c r="B26" s="42" t="s">
        <v>64</v>
      </c>
      <c r="C26" s="31">
        <v>41.85236905768739</v>
      </c>
      <c r="D26" s="31">
        <v>40.137285368683983</v>
      </c>
      <c r="E26" s="31">
        <v>30.299156226029144</v>
      </c>
      <c r="F26" s="31">
        <v>6.1699742344078832</v>
      </c>
      <c r="G26" s="31">
        <v>3.6681549082469558</v>
      </c>
      <c r="H26" s="31">
        <v>9.8381291426548394</v>
      </c>
      <c r="I26" s="31">
        <v>35.133646716362129</v>
      </c>
      <c r="J26" s="31"/>
      <c r="K26" s="31" t="s">
        <v>43</v>
      </c>
      <c r="L26" s="31">
        <v>-7.8850579234112859</v>
      </c>
      <c r="M26" s="31">
        <v>5.1413173888244197</v>
      </c>
      <c r="N26" s="31" t="s">
        <v>43</v>
      </c>
      <c r="O26" s="31" t="s">
        <v>43</v>
      </c>
      <c r="P26" s="31"/>
      <c r="Q26" s="31">
        <v>-1.7150836890034025</v>
      </c>
      <c r="R26" s="31" t="s">
        <v>43</v>
      </c>
      <c r="S26" s="31"/>
      <c r="T26" s="31">
        <v>-2.1261530594182085</v>
      </c>
      <c r="U26" s="31">
        <v>-1.5105324233424464</v>
      </c>
      <c r="V26" s="31">
        <v>2.5844265680624665</v>
      </c>
      <c r="W26" s="31"/>
      <c r="X26" s="31" t="s">
        <v>43</v>
      </c>
      <c r="Y26" s="31"/>
      <c r="Z26" s="31"/>
      <c r="AA26" s="31">
        <v>-0.37173258855693014</v>
      </c>
      <c r="AB26" s="31" t="s">
        <v>43</v>
      </c>
      <c r="AC26" s="32" t="s">
        <v>43</v>
      </c>
      <c r="AD26" s="43"/>
      <c r="AE26" s="34">
        <v>50.843000000000004</v>
      </c>
      <c r="AF26" s="34">
        <v>54.093000000000004</v>
      </c>
      <c r="AG26" s="38" t="s">
        <v>43</v>
      </c>
    </row>
    <row r="27" spans="1:33" x14ac:dyDescent="0.25">
      <c r="A27" s="1"/>
      <c r="B27" s="44" t="s">
        <v>65</v>
      </c>
      <c r="C27" s="31">
        <v>40.048161044990735</v>
      </c>
      <c r="D27" s="31">
        <v>39.488592069019283</v>
      </c>
      <c r="E27" s="31">
        <v>29.537619319855175</v>
      </c>
      <c r="F27" s="31">
        <v>6.2782599656982487</v>
      </c>
      <c r="G27" s="31">
        <v>3.6727127834658631</v>
      </c>
      <c r="H27" s="31">
        <v>9.9509727491641105</v>
      </c>
      <c r="I27" s="31">
        <v>33.707534258441179</v>
      </c>
      <c r="J27" s="31"/>
      <c r="K27" s="31" t="s">
        <v>43</v>
      </c>
      <c r="L27" s="31">
        <v>-6.8378289416696987</v>
      </c>
      <c r="M27" s="31">
        <v>3.6519238431820944</v>
      </c>
      <c r="N27" s="31" t="s">
        <v>43</v>
      </c>
      <c r="O27" s="31" t="s">
        <v>43</v>
      </c>
      <c r="P27" s="31"/>
      <c r="Q27" s="31">
        <v>-0.55956897597144983</v>
      </c>
      <c r="R27" s="31" t="s">
        <v>43</v>
      </c>
      <c r="S27" s="31"/>
      <c r="T27" s="31">
        <v>-0.23041075481177348</v>
      </c>
      <c r="U27" s="31">
        <v>1.1347296571557264</v>
      </c>
      <c r="V27" s="31">
        <v>2.3283613117821322</v>
      </c>
      <c r="W27" s="31"/>
      <c r="X27" s="31" t="s">
        <v>43</v>
      </c>
      <c r="Y27" s="31"/>
      <c r="Z27" s="31"/>
      <c r="AA27" s="31">
        <v>-1.9195121528680077</v>
      </c>
      <c r="AB27" s="31" t="s">
        <v>43</v>
      </c>
      <c r="AC27" s="32" t="s">
        <v>43</v>
      </c>
      <c r="AD27" s="45"/>
      <c r="AE27" s="34">
        <v>57.722999999999999</v>
      </c>
      <c r="AF27" s="34">
        <v>61.161000000000001</v>
      </c>
      <c r="AG27" s="38" t="s">
        <v>43</v>
      </c>
    </row>
    <row r="28" spans="1:33" x14ac:dyDescent="0.25">
      <c r="A28" s="1"/>
      <c r="B28" s="44" t="s">
        <v>66</v>
      </c>
      <c r="C28" s="31">
        <v>38.373983739837399</v>
      </c>
      <c r="D28" s="31">
        <v>39.355787843592722</v>
      </c>
      <c r="E28" s="31">
        <v>30.189701897018971</v>
      </c>
      <c r="F28" s="31">
        <v>5.3735965931087888</v>
      </c>
      <c r="G28" s="31">
        <v>3.7924893534649633</v>
      </c>
      <c r="H28" s="31">
        <v>9.1660859465737499</v>
      </c>
      <c r="I28" s="31">
        <v>32.068137824235379</v>
      </c>
      <c r="J28" s="31"/>
      <c r="K28" s="31" t="s">
        <v>43</v>
      </c>
      <c r="L28" s="31">
        <v>-4.391792489353465</v>
      </c>
      <c r="M28" s="31">
        <v>1.975996902826171</v>
      </c>
      <c r="N28" s="31" t="s">
        <v>43</v>
      </c>
      <c r="O28" s="31" t="s">
        <v>43</v>
      </c>
      <c r="P28" s="31"/>
      <c r="Q28" s="31">
        <v>0.98180410375532323</v>
      </c>
      <c r="R28" s="31" t="s">
        <v>43</v>
      </c>
      <c r="S28" s="31"/>
      <c r="T28" s="31">
        <v>0.75571041424699947</v>
      </c>
      <c r="U28" s="31">
        <v>1.3162988772744868</v>
      </c>
      <c r="V28" s="31">
        <v>2.3910181958962449</v>
      </c>
      <c r="W28" s="31"/>
      <c r="X28" s="31" t="s">
        <v>43</v>
      </c>
      <c r="Y28" s="31"/>
      <c r="Z28" s="31"/>
      <c r="AA28" s="31">
        <v>-0.63027487417731309</v>
      </c>
      <c r="AB28" s="31" t="s">
        <v>43</v>
      </c>
      <c r="AC28" s="32" t="s">
        <v>43</v>
      </c>
      <c r="AD28" s="45"/>
      <c r="AE28" s="34">
        <v>64.575000000000003</v>
      </c>
      <c r="AF28" s="34">
        <v>68.129000000000005</v>
      </c>
      <c r="AG28" s="38" t="s">
        <v>43</v>
      </c>
    </row>
    <row r="29" spans="1:33" x14ac:dyDescent="0.25">
      <c r="A29" s="1"/>
      <c r="B29" s="44" t="s">
        <v>67</v>
      </c>
      <c r="C29" s="31">
        <v>35.879607710517419</v>
      </c>
      <c r="D29" s="31">
        <v>38.4673655732161</v>
      </c>
      <c r="E29" s="31">
        <v>29.808589786946232</v>
      </c>
      <c r="F29" s="31">
        <v>4.9157930334798783</v>
      </c>
      <c r="G29" s="31">
        <v>3.7429827527899895</v>
      </c>
      <c r="H29" s="31">
        <v>8.6587757862698673</v>
      </c>
      <c r="I29" s="31">
        <v>29.831586066959758</v>
      </c>
      <c r="J29" s="31"/>
      <c r="K29" s="31" t="s">
        <v>43</v>
      </c>
      <c r="L29" s="31">
        <v>-2.3280351707811975</v>
      </c>
      <c r="M29" s="31">
        <v>0.1487994589110585</v>
      </c>
      <c r="N29" s="31" t="s">
        <v>43</v>
      </c>
      <c r="O29" s="31" t="s">
        <v>43</v>
      </c>
      <c r="P29" s="31"/>
      <c r="Q29" s="31">
        <v>2.5877578626986812</v>
      </c>
      <c r="R29" s="31" t="s">
        <v>43</v>
      </c>
      <c r="S29" s="31"/>
      <c r="T29" s="31">
        <v>2.5809942509299963</v>
      </c>
      <c r="U29" s="31">
        <v>3.3128170443016574</v>
      </c>
      <c r="V29" s="31">
        <v>2.3347987825498815</v>
      </c>
      <c r="W29" s="31"/>
      <c r="X29" s="31" t="s">
        <v>43</v>
      </c>
      <c r="Y29" s="31"/>
      <c r="Z29" s="31"/>
      <c r="AA29" s="31">
        <v>1.9655055799797094</v>
      </c>
      <c r="AB29" s="31" t="s">
        <v>43</v>
      </c>
      <c r="AC29" s="32" t="s">
        <v>43</v>
      </c>
      <c r="AD29" s="45"/>
      <c r="AE29" s="34">
        <v>73.924999999999997</v>
      </c>
      <c r="AF29" s="34">
        <v>79.218000000000004</v>
      </c>
      <c r="AG29" s="38">
        <v>2.5587480165039125</v>
      </c>
    </row>
    <row r="30" spans="1:33" x14ac:dyDescent="0.25">
      <c r="A30" s="1"/>
      <c r="B30" s="44" t="s">
        <v>68</v>
      </c>
      <c r="C30" s="31">
        <v>36.176452839297568</v>
      </c>
      <c r="D30" s="31">
        <v>40.259489469555241</v>
      </c>
      <c r="E30" s="31">
        <v>30.998732725846356</v>
      </c>
      <c r="F30" s="31">
        <v>5.2441011405467375</v>
      </c>
      <c r="G30" s="31">
        <v>4.0166556031621505</v>
      </c>
      <c r="H30" s="31">
        <v>9.2607567437088889</v>
      </c>
      <c r="I30" s="31">
        <v>29.796632671534606</v>
      </c>
      <c r="J30" s="31"/>
      <c r="K30" s="31" t="s">
        <v>43</v>
      </c>
      <c r="L30" s="31">
        <v>-1.1610645102890591</v>
      </c>
      <c r="M30" s="31">
        <v>-1.051234083640094</v>
      </c>
      <c r="N30" s="31" t="s">
        <v>43</v>
      </c>
      <c r="O30" s="31" t="s">
        <v>43</v>
      </c>
      <c r="P30" s="31"/>
      <c r="Q30" s="31">
        <v>4.0830366302576788</v>
      </c>
      <c r="R30" s="31" t="s">
        <v>43</v>
      </c>
      <c r="S30" s="31"/>
      <c r="T30" s="31">
        <v>2.5767907790718723</v>
      </c>
      <c r="U30" s="31">
        <v>5.2754812624464433</v>
      </c>
      <c r="V30" s="31">
        <v>2.4343733027578298</v>
      </c>
      <c r="W30" s="31"/>
      <c r="X30" s="31" t="s">
        <v>43</v>
      </c>
      <c r="Y30" s="31"/>
      <c r="Z30" s="31"/>
      <c r="AA30" s="31">
        <v>3.6618188401424168</v>
      </c>
      <c r="AB30" s="31" t="s">
        <v>43</v>
      </c>
      <c r="AC30" s="32" t="s">
        <v>43</v>
      </c>
      <c r="AD30" s="45"/>
      <c r="AE30" s="34">
        <v>82.855000000000004</v>
      </c>
      <c r="AF30" s="34">
        <v>88.826999999999998</v>
      </c>
      <c r="AG30" s="38">
        <v>6.5398237226014544</v>
      </c>
    </row>
    <row r="31" spans="1:33" x14ac:dyDescent="0.25">
      <c r="B31" s="44" t="s">
        <v>69</v>
      </c>
      <c r="C31" s="31">
        <v>39.012242569921163</v>
      </c>
      <c r="D31" s="31">
        <v>44.707787578171157</v>
      </c>
      <c r="E31" s="31">
        <v>34.771139312704982</v>
      </c>
      <c r="F31" s="31">
        <v>5.5264712472754685</v>
      </c>
      <c r="G31" s="31">
        <v>4.4101770181907067</v>
      </c>
      <c r="H31" s="31">
        <v>9.9366482654661752</v>
      </c>
      <c r="I31" s="31">
        <v>32.492717606078507</v>
      </c>
      <c r="J31" s="31"/>
      <c r="K31" s="31" t="s">
        <v>43</v>
      </c>
      <c r="L31" s="31">
        <v>0.16907376097451673</v>
      </c>
      <c r="M31" s="31">
        <v>-2.2967550060092479</v>
      </c>
      <c r="N31" s="31" t="s">
        <v>43</v>
      </c>
      <c r="O31" s="31" t="s">
        <v>43</v>
      </c>
      <c r="P31" s="31"/>
      <c r="Q31" s="31">
        <v>5.6955450082499848</v>
      </c>
      <c r="R31" s="31" t="s">
        <v>43</v>
      </c>
      <c r="S31" s="31"/>
      <c r="T31" s="31">
        <v>5.1883237253264349</v>
      </c>
      <c r="U31" s="31">
        <v>8.1348923427919573</v>
      </c>
      <c r="V31" s="31">
        <v>2.4159214519973107</v>
      </c>
      <c r="W31" s="31"/>
      <c r="X31" s="31">
        <v>47.749101840310878</v>
      </c>
      <c r="Y31" s="31"/>
      <c r="Z31" s="31"/>
      <c r="AA31" s="31">
        <v>3.4334195677415416</v>
      </c>
      <c r="AB31" s="31" t="s">
        <v>43</v>
      </c>
      <c r="AC31" s="32">
        <v>54.663787659652485</v>
      </c>
      <c r="AD31" s="45"/>
      <c r="AE31" s="34">
        <v>98.182000000000002</v>
      </c>
      <c r="AF31" s="34">
        <v>109.11199999999999</v>
      </c>
      <c r="AG31" s="38">
        <v>3.0701742048565848</v>
      </c>
    </row>
    <row r="32" spans="1:33" x14ac:dyDescent="0.25">
      <c r="B32" s="44" t="s">
        <v>70</v>
      </c>
      <c r="C32" s="31">
        <v>40.119492899937107</v>
      </c>
      <c r="D32" s="31">
        <v>46.450796067657478</v>
      </c>
      <c r="E32" s="31">
        <v>36.344377875608224</v>
      </c>
      <c r="F32" s="31">
        <v>5.5608884181258489</v>
      </c>
      <c r="G32" s="31">
        <v>4.5455297739234064</v>
      </c>
      <c r="H32" s="31">
        <v>10.106418192049253</v>
      </c>
      <c r="I32" s="31">
        <v>33.353745324550658</v>
      </c>
      <c r="J32" s="31"/>
      <c r="K32" s="31">
        <v>0.51324428712071979</v>
      </c>
      <c r="L32" s="31">
        <v>0.77041474959451861</v>
      </c>
      <c r="M32" s="31">
        <v>-2.9972526563172357</v>
      </c>
      <c r="N32" s="31">
        <v>-2.7400821938434365</v>
      </c>
      <c r="O32" s="31">
        <v>6.0741327052465683</v>
      </c>
      <c r="P32" s="31"/>
      <c r="Q32" s="31">
        <v>6.3313031677203675</v>
      </c>
      <c r="R32" s="31" t="s">
        <v>43</v>
      </c>
      <c r="S32" s="31"/>
      <c r="T32" s="31">
        <v>7.243222667240409</v>
      </c>
      <c r="U32" s="31">
        <v>8.5076627718380724</v>
      </c>
      <c r="V32" s="31">
        <v>2.572738406540664</v>
      </c>
      <c r="W32" s="31"/>
      <c r="X32" s="31">
        <v>49.329063738944804</v>
      </c>
      <c r="Y32" s="31"/>
      <c r="Z32" s="31"/>
      <c r="AA32" s="31">
        <v>4.2120419714673467</v>
      </c>
      <c r="AB32" s="31">
        <v>3.954871508993548</v>
      </c>
      <c r="AC32" s="32">
        <v>54.316308629307208</v>
      </c>
      <c r="AD32" s="45"/>
      <c r="AE32" s="34">
        <v>120.84399999999999</v>
      </c>
      <c r="AF32" s="34">
        <v>131.16</v>
      </c>
      <c r="AG32" s="38">
        <v>-1.7424106068902319</v>
      </c>
    </row>
    <row r="33" spans="2:33" x14ac:dyDescent="0.25">
      <c r="B33" s="44" t="s">
        <v>71</v>
      </c>
      <c r="C33" s="31">
        <v>40.209182344784871</v>
      </c>
      <c r="D33" s="31">
        <v>45.138903552299112</v>
      </c>
      <c r="E33" s="31">
        <v>36.083250631699713</v>
      </c>
      <c r="F33" s="31">
        <v>4.5038957748263266</v>
      </c>
      <c r="G33" s="31">
        <v>4.5517571457730668</v>
      </c>
      <c r="H33" s="31">
        <v>9.0556529205993925</v>
      </c>
      <c r="I33" s="31">
        <v>32.75899688197245</v>
      </c>
      <c r="J33" s="31"/>
      <c r="K33" s="31">
        <v>-0.23458394792430498</v>
      </c>
      <c r="L33" s="31">
        <v>0.42582543268790868</v>
      </c>
      <c r="M33" s="31">
        <v>-1.3070377330602421</v>
      </c>
      <c r="N33" s="31">
        <v>-0.64662835244802841</v>
      </c>
      <c r="O33" s="31">
        <v>4.2693118269020207</v>
      </c>
      <c r="P33" s="31"/>
      <c r="Q33" s="31">
        <v>4.9297212075142349</v>
      </c>
      <c r="R33" s="31" t="s">
        <v>43</v>
      </c>
      <c r="S33" s="31"/>
      <c r="T33" s="31">
        <v>4.1097433082061139</v>
      </c>
      <c r="U33" s="31">
        <v>5.8038950709826365</v>
      </c>
      <c r="V33" s="31">
        <v>2.8709784131140155</v>
      </c>
      <c r="W33" s="31"/>
      <c r="X33" s="31">
        <v>47.790345830681922</v>
      </c>
      <c r="Y33" s="31"/>
      <c r="Z33" s="31"/>
      <c r="AA33" s="31">
        <v>3.6177565686212403</v>
      </c>
      <c r="AB33" s="31">
        <v>2.9573471880090265</v>
      </c>
      <c r="AC33" s="32">
        <v>53.485785876672509</v>
      </c>
      <c r="AD33" s="45"/>
      <c r="AE33" s="34">
        <v>142.077</v>
      </c>
      <c r="AF33" s="34">
        <v>154.006</v>
      </c>
      <c r="AG33" s="38">
        <v>-0.62385451846833462</v>
      </c>
    </row>
    <row r="34" spans="2:33" x14ac:dyDescent="0.25">
      <c r="B34" s="44" t="s">
        <v>72</v>
      </c>
      <c r="C34" s="31">
        <v>38.385912101143894</v>
      </c>
      <c r="D34" s="31">
        <v>42.25346177001807</v>
      </c>
      <c r="E34" s="31">
        <v>34.650812763395543</v>
      </c>
      <c r="F34" s="31">
        <v>3.150511739915713</v>
      </c>
      <c r="G34" s="31">
        <v>4.4521372667068029</v>
      </c>
      <c r="H34" s="31">
        <v>7.6026490066225163</v>
      </c>
      <c r="I34" s="31">
        <v>31.617098133654427</v>
      </c>
      <c r="J34" s="31"/>
      <c r="K34" s="31">
        <v>0.35804887585065182</v>
      </c>
      <c r="L34" s="31">
        <v>0.71703792895845886</v>
      </c>
      <c r="M34" s="31">
        <v>-0.32269717037928963</v>
      </c>
      <c r="N34" s="31">
        <v>3.6291882728517355E-2</v>
      </c>
      <c r="O34" s="31">
        <v>3.5085606157663651</v>
      </c>
      <c r="P34" s="31"/>
      <c r="Q34" s="31">
        <v>3.8675496688741728</v>
      </c>
      <c r="R34" s="31" t="s">
        <v>43</v>
      </c>
      <c r="S34" s="31"/>
      <c r="T34" s="31">
        <v>2.8163756773028297</v>
      </c>
      <c r="U34" s="31">
        <v>3.3521974714027696</v>
      </c>
      <c r="V34" s="31">
        <v>2.9542444310656233</v>
      </c>
      <c r="W34" s="31"/>
      <c r="X34" s="31">
        <v>44.320804575914011</v>
      </c>
      <c r="Y34" s="31"/>
      <c r="Z34" s="31"/>
      <c r="AA34" s="31">
        <v>3.220349187236605</v>
      </c>
      <c r="AB34" s="31">
        <v>2.8613601341287973</v>
      </c>
      <c r="AC34" s="32">
        <v>51.990969295605062</v>
      </c>
      <c r="AD34" s="45"/>
      <c r="AE34" s="34">
        <v>166.1</v>
      </c>
      <c r="AF34" s="34">
        <v>179.374</v>
      </c>
      <c r="AG34" s="38">
        <v>-0.46843629882827997</v>
      </c>
    </row>
    <row r="35" spans="2:33" x14ac:dyDescent="0.25">
      <c r="B35" s="44" t="s">
        <v>73</v>
      </c>
      <c r="C35" s="31">
        <v>36.902026429885936</v>
      </c>
      <c r="D35" s="31">
        <v>41.417045300949269</v>
      </c>
      <c r="E35" s="31">
        <v>34.34793458031379</v>
      </c>
      <c r="F35" s="31">
        <v>2.7256469707524511</v>
      </c>
      <c r="G35" s="31">
        <v>4.3434637498830311</v>
      </c>
      <c r="H35" s="31">
        <v>7.0691107206354822</v>
      </c>
      <c r="I35" s="31">
        <v>30.376693456991649</v>
      </c>
      <c r="J35" s="31"/>
      <c r="K35" s="31">
        <v>2.4762577995278212</v>
      </c>
      <c r="L35" s="31">
        <v>1.7893719003108786</v>
      </c>
      <c r="M35" s="31">
        <v>-1.0537643352498987</v>
      </c>
      <c r="N35" s="31">
        <v>-1.7406502344668406</v>
      </c>
      <c r="O35" s="31">
        <v>5.2019047702802714</v>
      </c>
      <c r="P35" s="31"/>
      <c r="Q35" s="31">
        <v>4.5150188710633303</v>
      </c>
      <c r="R35" s="31" t="s">
        <v>43</v>
      </c>
      <c r="S35" s="31"/>
      <c r="T35" s="31">
        <v>4.0315453477370315</v>
      </c>
      <c r="U35" s="31">
        <v>4.6938520882937018</v>
      </c>
      <c r="V35" s="31">
        <v>3.0443236049449465</v>
      </c>
      <c r="W35" s="31"/>
      <c r="X35" s="31">
        <v>42.179629999904783</v>
      </c>
      <c r="Y35" s="31"/>
      <c r="Z35" s="31"/>
      <c r="AA35" s="31">
        <v>3.7638153858950503</v>
      </c>
      <c r="AB35" s="31">
        <v>4.4507012851119923</v>
      </c>
      <c r="AC35" s="32">
        <v>50.28696492997431</v>
      </c>
      <c r="AD35" s="45"/>
      <c r="AE35" s="34">
        <v>192.358</v>
      </c>
      <c r="AF35" s="34">
        <v>210.054</v>
      </c>
      <c r="AG35" s="38">
        <v>1.5611463179651963</v>
      </c>
    </row>
    <row r="36" spans="2:33" x14ac:dyDescent="0.25">
      <c r="B36" s="44" t="s">
        <v>74</v>
      </c>
      <c r="C36" s="31">
        <v>37.265684116392656</v>
      </c>
      <c r="D36" s="31">
        <v>40.939929146316295</v>
      </c>
      <c r="E36" s="31">
        <v>34.176153951984588</v>
      </c>
      <c r="F36" s="31">
        <v>2.5263121689482011</v>
      </c>
      <c r="G36" s="31">
        <v>4.2374630253835042</v>
      </c>
      <c r="H36" s="31">
        <v>6.7637751943317044</v>
      </c>
      <c r="I36" s="31">
        <v>31.188948889041757</v>
      </c>
      <c r="J36" s="31"/>
      <c r="K36" s="31">
        <v>1.4084715918219899</v>
      </c>
      <c r="L36" s="31">
        <v>1.147932860975442</v>
      </c>
      <c r="M36" s="31">
        <v>-6.9649858980532428E-2</v>
      </c>
      <c r="N36" s="31">
        <v>-0.33018858982708049</v>
      </c>
      <c r="O36" s="31">
        <v>3.9347837607701912</v>
      </c>
      <c r="P36" s="31"/>
      <c r="Q36" s="31">
        <v>3.6742450299236422</v>
      </c>
      <c r="R36" s="31" t="s">
        <v>43</v>
      </c>
      <c r="S36" s="31"/>
      <c r="T36" s="31">
        <v>3.4670152025865035</v>
      </c>
      <c r="U36" s="31">
        <v>4.1802813510352896</v>
      </c>
      <c r="V36" s="31">
        <v>3.2619350622549352</v>
      </c>
      <c r="W36" s="31"/>
      <c r="X36" s="31">
        <v>39.07540119932036</v>
      </c>
      <c r="Y36" s="31"/>
      <c r="Z36" s="31"/>
      <c r="AA36" s="31">
        <v>2.610579899566623</v>
      </c>
      <c r="AB36" s="31">
        <v>2.8711186304131711</v>
      </c>
      <c r="AC36" s="32">
        <v>46.217840682396641</v>
      </c>
      <c r="AD36" s="45"/>
      <c r="AE36" s="34">
        <v>232.59200000000001</v>
      </c>
      <c r="AF36" s="34">
        <v>251.309</v>
      </c>
      <c r="AG36" s="38">
        <v>-0.10338106549298232</v>
      </c>
    </row>
    <row r="37" spans="2:33" x14ac:dyDescent="0.25">
      <c r="B37" s="44" t="s">
        <v>75</v>
      </c>
      <c r="C37" s="31">
        <v>38.496101196928805</v>
      </c>
      <c r="D37" s="31">
        <v>42.808708199074459</v>
      </c>
      <c r="E37" s="31">
        <v>36.123176758199449</v>
      </c>
      <c r="F37" s="31">
        <v>2.2495682533511765</v>
      </c>
      <c r="G37" s="31">
        <v>4.4359631875238312</v>
      </c>
      <c r="H37" s="31">
        <v>6.6855314408750077</v>
      </c>
      <c r="I37" s="31">
        <v>32.112979313541523</v>
      </c>
      <c r="J37" s="31"/>
      <c r="K37" s="31">
        <v>0.63512271503009787</v>
      </c>
      <c r="L37" s="31">
        <v>2.0630387487944741</v>
      </c>
      <c r="M37" s="31">
        <v>-0.55659806069124329</v>
      </c>
      <c r="N37" s="31">
        <v>0.87131797307313297</v>
      </c>
      <c r="O37" s="31">
        <v>2.8846909683812738</v>
      </c>
      <c r="P37" s="31"/>
      <c r="Q37" s="31">
        <v>4.3126070021456506</v>
      </c>
      <c r="R37" s="31" t="s">
        <v>43</v>
      </c>
      <c r="S37" s="31"/>
      <c r="T37" s="31">
        <v>4.6714613596094479</v>
      </c>
      <c r="U37" s="31">
        <v>4.585485836467079</v>
      </c>
      <c r="V37" s="31">
        <v>3.4251900806674693</v>
      </c>
      <c r="W37" s="31"/>
      <c r="X37" s="31">
        <v>40.331583741197399</v>
      </c>
      <c r="Y37" s="31"/>
      <c r="Z37" s="31"/>
      <c r="AA37" s="31">
        <v>3.3466906899722635</v>
      </c>
      <c r="AB37" s="31">
        <v>1.9187746562078876</v>
      </c>
      <c r="AC37" s="32">
        <v>47.182619487286843</v>
      </c>
      <c r="AD37" s="45"/>
      <c r="AE37" s="34">
        <v>267.51799999999997</v>
      </c>
      <c r="AF37" s="34">
        <v>282.161</v>
      </c>
      <c r="AG37" s="38">
        <v>-2.8144796413315589</v>
      </c>
    </row>
    <row r="38" spans="2:33" x14ac:dyDescent="0.25">
      <c r="B38" s="44" t="s">
        <v>76</v>
      </c>
      <c r="C38" s="31">
        <v>40.877620607454539</v>
      </c>
      <c r="D38" s="31">
        <v>42.888946258478313</v>
      </c>
      <c r="E38" s="31">
        <v>37.077257837933885</v>
      </c>
      <c r="F38" s="31">
        <v>1.4644891554712147</v>
      </c>
      <c r="G38" s="31">
        <v>4.3471992650732076</v>
      </c>
      <c r="H38" s="31">
        <v>5.8116884205444217</v>
      </c>
      <c r="I38" s="31">
        <v>34.023891826286373</v>
      </c>
      <c r="J38" s="31"/>
      <c r="K38" s="31">
        <v>-1.597610098758415</v>
      </c>
      <c r="L38" s="31">
        <v>0.54683649555255287</v>
      </c>
      <c r="M38" s="31">
        <v>1.9265006152329671</v>
      </c>
      <c r="N38" s="31">
        <v>4.0709472095439336</v>
      </c>
      <c r="O38" s="31">
        <v>-0.13312094328720026</v>
      </c>
      <c r="P38" s="31"/>
      <c r="Q38" s="31">
        <v>2.0113256510237676</v>
      </c>
      <c r="R38" s="31" t="s">
        <v>43</v>
      </c>
      <c r="S38" s="31"/>
      <c r="T38" s="31">
        <v>2.5598385306828582</v>
      </c>
      <c r="U38" s="31">
        <v>2.9075205943787488</v>
      </c>
      <c r="V38" s="31">
        <v>3.7658292569259801</v>
      </c>
      <c r="W38" s="31"/>
      <c r="X38" s="31">
        <v>40.020457741976735</v>
      </c>
      <c r="Y38" s="31"/>
      <c r="Z38" s="31"/>
      <c r="AA38" s="31">
        <v>2.7888325996358891</v>
      </c>
      <c r="AB38" s="31">
        <v>0.64438600532492119</v>
      </c>
      <c r="AC38" s="32">
        <v>44.809076614106431</v>
      </c>
      <c r="AD38" s="45"/>
      <c r="AE38" s="34">
        <v>298.26100000000002</v>
      </c>
      <c r="AF38" s="34">
        <v>312.83999999999997</v>
      </c>
      <c r="AG38" s="38">
        <v>-3.1631013320893118</v>
      </c>
    </row>
    <row r="39" spans="2:33" x14ac:dyDescent="0.25">
      <c r="B39" s="44" t="s">
        <v>77</v>
      </c>
      <c r="C39" s="31">
        <v>40.580059795571216</v>
      </c>
      <c r="D39" s="31">
        <v>43.188710302978471</v>
      </c>
      <c r="E39" s="31">
        <v>37.085469798350282</v>
      </c>
      <c r="F39" s="31">
        <v>1.9352632012924149</v>
      </c>
      <c r="G39" s="31">
        <v>4.1679773033357863</v>
      </c>
      <c r="H39" s="31">
        <v>6.103240504628201</v>
      </c>
      <c r="I39" s="31">
        <v>33.721587178461384</v>
      </c>
      <c r="J39" s="31"/>
      <c r="K39" s="31">
        <v>-1.3145188339890668</v>
      </c>
      <c r="L39" s="31">
        <v>0.67338730611484543</v>
      </c>
      <c r="M39" s="31">
        <v>1.0279463366814374</v>
      </c>
      <c r="N39" s="31">
        <v>3.0158524767853501</v>
      </c>
      <c r="O39" s="31">
        <v>0.62074436730334814</v>
      </c>
      <c r="P39" s="31"/>
      <c r="Q39" s="31">
        <v>2.6086505074072601</v>
      </c>
      <c r="R39" s="31" t="s">
        <v>43</v>
      </c>
      <c r="S39" s="31"/>
      <c r="T39" s="31">
        <v>3.9148081075220871</v>
      </c>
      <c r="U39" s="31">
        <v>2.7479088346582214</v>
      </c>
      <c r="V39" s="31">
        <v>3.6912618453560704</v>
      </c>
      <c r="W39" s="31"/>
      <c r="X39" s="31">
        <v>38.661072239307664</v>
      </c>
      <c r="Y39" s="31"/>
      <c r="Z39" s="31"/>
      <c r="AA39" s="31">
        <v>2.6584292515781085</v>
      </c>
      <c r="AB39" s="31">
        <v>0.67052311147419619</v>
      </c>
      <c r="AC39" s="32">
        <v>43.637024391584646</v>
      </c>
      <c r="AD39" s="45"/>
      <c r="AE39" s="34">
        <v>327.44900000000001</v>
      </c>
      <c r="AF39" s="34">
        <v>342.72199999999998</v>
      </c>
      <c r="AG39" s="38">
        <v>-2.7105717473721</v>
      </c>
    </row>
    <row r="40" spans="2:33" x14ac:dyDescent="0.25">
      <c r="B40" s="44" t="s">
        <v>78</v>
      </c>
      <c r="C40" s="31">
        <v>39.479475621540402</v>
      </c>
      <c r="D40" s="31">
        <v>42.775552837218136</v>
      </c>
      <c r="E40" s="31">
        <v>36.593383268819366</v>
      </c>
      <c r="F40" s="31">
        <v>2.1867721232635686</v>
      </c>
      <c r="G40" s="31">
        <v>3.9953974451351995</v>
      </c>
      <c r="H40" s="31">
        <v>6.1821695683987681</v>
      </c>
      <c r="I40" s="31">
        <v>33.041763716898195</v>
      </c>
      <c r="J40" s="31"/>
      <c r="K40" s="31">
        <v>-0.17594099923385256</v>
      </c>
      <c r="L40" s="31">
        <v>1.1093050924141628</v>
      </c>
      <c r="M40" s="31">
        <v>0.16226240148354193</v>
      </c>
      <c r="N40" s="31">
        <v>1.4475084931315576</v>
      </c>
      <c r="O40" s="31">
        <v>2.0108311240297168</v>
      </c>
      <c r="P40" s="31"/>
      <c r="Q40" s="31">
        <v>3.2960772156777312</v>
      </c>
      <c r="R40" s="31" t="s">
        <v>43</v>
      </c>
      <c r="S40" s="31"/>
      <c r="T40" s="31">
        <v>3.4318078991906429</v>
      </c>
      <c r="U40" s="31">
        <v>2.7355597633929318</v>
      </c>
      <c r="V40" s="31">
        <v>3.6934944227536008</v>
      </c>
      <c r="W40" s="31"/>
      <c r="X40" s="31">
        <v>38.822562505407042</v>
      </c>
      <c r="Y40" s="31"/>
      <c r="Z40" s="31"/>
      <c r="AA40" s="31">
        <v>3.2843474035222946</v>
      </c>
      <c r="AB40" s="31">
        <v>1.9991013118742789</v>
      </c>
      <c r="AC40" s="32">
        <v>43.329926102183421</v>
      </c>
      <c r="AD40" s="45"/>
      <c r="AE40" s="34">
        <v>358.06200000000001</v>
      </c>
      <c r="AF40" s="34">
        <v>369.88799999999998</v>
      </c>
      <c r="AG40" s="38">
        <v>-1.4862634843471909</v>
      </c>
    </row>
    <row r="41" spans="2:33" x14ac:dyDescent="0.25">
      <c r="B41" s="44" t="s">
        <v>79</v>
      </c>
      <c r="C41" s="31">
        <v>39.215864075506701</v>
      </c>
      <c r="D41" s="31">
        <v>42.463450084071937</v>
      </c>
      <c r="E41" s="31">
        <v>36.742672528816335</v>
      </c>
      <c r="F41" s="31">
        <v>1.9348202881503918</v>
      </c>
      <c r="G41" s="31">
        <v>3.7859572671052053</v>
      </c>
      <c r="H41" s="31">
        <v>5.7207775552555971</v>
      </c>
      <c r="I41" s="31">
        <v>33.615041232813184</v>
      </c>
      <c r="J41" s="31"/>
      <c r="K41" s="31">
        <v>0.83044237692217926</v>
      </c>
      <c r="L41" s="31">
        <v>1.3127657204148413</v>
      </c>
      <c r="M41" s="31">
        <v>0.36789566271740171</v>
      </c>
      <c r="N41" s="31">
        <v>0.85021900621006385</v>
      </c>
      <c r="O41" s="31">
        <v>2.7652626650725707</v>
      </c>
      <c r="P41" s="31"/>
      <c r="Q41" s="31">
        <v>3.2475860085652326</v>
      </c>
      <c r="R41" s="31" t="s">
        <v>43</v>
      </c>
      <c r="S41" s="31"/>
      <c r="T41" s="31">
        <v>2.661802844196187</v>
      </c>
      <c r="U41" s="31">
        <v>2.6579166224069186</v>
      </c>
      <c r="V41" s="31">
        <v>3.8136789825353192</v>
      </c>
      <c r="W41" s="31"/>
      <c r="X41" s="31">
        <v>38.690153479156599</v>
      </c>
      <c r="Y41" s="31"/>
      <c r="Z41" s="31"/>
      <c r="AA41" s="31">
        <v>2.8646636215959935</v>
      </c>
      <c r="AB41" s="31">
        <v>2.382340278103332</v>
      </c>
      <c r="AC41" s="32">
        <v>43.132398394731318</v>
      </c>
      <c r="AD41" s="45"/>
      <c r="AE41" s="34">
        <v>385.97899999999998</v>
      </c>
      <c r="AF41" s="34">
        <v>405.78800000000001</v>
      </c>
      <c r="AG41" s="38">
        <v>-0.37014129324644784</v>
      </c>
    </row>
    <row r="42" spans="2:33" x14ac:dyDescent="0.25">
      <c r="B42" s="44" t="s">
        <v>80</v>
      </c>
      <c r="C42" s="31">
        <v>38.290254977296541</v>
      </c>
      <c r="D42" s="31">
        <v>40.422303197364322</v>
      </c>
      <c r="E42" s="31">
        <v>35.532799652604055</v>
      </c>
      <c r="F42" s="31">
        <v>1.4941329733505773</v>
      </c>
      <c r="G42" s="31">
        <v>3.3953705714096913</v>
      </c>
      <c r="H42" s="31">
        <v>4.8895035447602684</v>
      </c>
      <c r="I42" s="31">
        <v>32.704543523614426</v>
      </c>
      <c r="J42" s="31"/>
      <c r="K42" s="31">
        <v>0.62133586900290472</v>
      </c>
      <c r="L42" s="31">
        <v>0.63791524671720268</v>
      </c>
      <c r="M42" s="31">
        <v>1.3100508821780215</v>
      </c>
      <c r="N42" s="31">
        <v>1.3266302598923192</v>
      </c>
      <c r="O42" s="31">
        <v>2.1154688423534811</v>
      </c>
      <c r="P42" s="31"/>
      <c r="Q42" s="31">
        <v>2.1320482200677802</v>
      </c>
      <c r="R42" s="31" t="s">
        <v>43</v>
      </c>
      <c r="S42" s="31"/>
      <c r="T42" s="31">
        <v>2.6229337965279287</v>
      </c>
      <c r="U42" s="31">
        <v>1.3544193862042273</v>
      </c>
      <c r="V42" s="31">
        <v>3.9178805071225606</v>
      </c>
      <c r="W42" s="31"/>
      <c r="X42" s="31">
        <v>37.082084903141592</v>
      </c>
      <c r="Y42" s="31"/>
      <c r="Z42" s="31"/>
      <c r="AA42" s="31">
        <v>2.2771898688769103</v>
      </c>
      <c r="AB42" s="31">
        <v>2.2606104911626126</v>
      </c>
      <c r="AC42" s="32">
        <v>42.311268656011933</v>
      </c>
      <c r="AD42" s="45"/>
      <c r="AE42" s="34">
        <v>423.72399999999999</v>
      </c>
      <c r="AF42" s="34">
        <v>438.21699999999998</v>
      </c>
      <c r="AG42" s="38">
        <v>0.11489776186998313</v>
      </c>
    </row>
    <row r="43" spans="2:33" x14ac:dyDescent="0.25">
      <c r="B43" s="44" t="s">
        <v>81</v>
      </c>
      <c r="C43" s="31">
        <v>37.404077041541534</v>
      </c>
      <c r="D43" s="31">
        <v>39.324183899662337</v>
      </c>
      <c r="E43" s="31">
        <v>34.90683966668351</v>
      </c>
      <c r="F43" s="31">
        <v>0.93303133025618257</v>
      </c>
      <c r="G43" s="31">
        <v>3.4843129027226407</v>
      </c>
      <c r="H43" s="31">
        <v>4.4173442329788237</v>
      </c>
      <c r="I43" s="31">
        <v>32.509781780075272</v>
      </c>
      <c r="J43" s="31"/>
      <c r="K43" s="31">
        <v>1.1405710574478063</v>
      </c>
      <c r="L43" s="31">
        <v>0.98707552786461727</v>
      </c>
      <c r="M43" s="31">
        <v>1.3574760041565701</v>
      </c>
      <c r="N43" s="31">
        <v>1.2039804745733806</v>
      </c>
      <c r="O43" s="31">
        <v>2.0736023877039895</v>
      </c>
      <c r="P43" s="31"/>
      <c r="Q43" s="31">
        <v>1.9201068581208001</v>
      </c>
      <c r="R43" s="31" t="s">
        <v>43</v>
      </c>
      <c r="S43" s="31"/>
      <c r="T43" s="31">
        <v>2.2920451774341308</v>
      </c>
      <c r="U43" s="31">
        <v>0.81000388854592553</v>
      </c>
      <c r="V43" s="31">
        <v>3.8138506930179727</v>
      </c>
      <c r="W43" s="31"/>
      <c r="X43" s="31">
        <v>34.86376536976784</v>
      </c>
      <c r="Y43" s="31"/>
      <c r="Z43" s="31"/>
      <c r="AA43" s="31">
        <v>2.1340867299525685</v>
      </c>
      <c r="AB43" s="31">
        <v>2.2875822595357578</v>
      </c>
      <c r="AC43" s="32">
        <v>41.891722669783363</v>
      </c>
      <c r="AD43" s="45"/>
      <c r="AE43" s="34">
        <v>455.18299999999999</v>
      </c>
      <c r="AF43" s="34">
        <v>481.30200000000002</v>
      </c>
      <c r="AG43" s="38">
        <v>0.26103195441838523</v>
      </c>
    </row>
    <row r="44" spans="2:33" x14ac:dyDescent="0.25">
      <c r="B44" s="44" t="s">
        <v>82</v>
      </c>
      <c r="C44" s="31">
        <v>36.18057836375295</v>
      </c>
      <c r="D44" s="31">
        <v>37.172539451664868</v>
      </c>
      <c r="E44" s="31">
        <v>33.265886235318035</v>
      </c>
      <c r="F44" s="31">
        <v>0.29266175573593584</v>
      </c>
      <c r="G44" s="31">
        <v>3.6139914606108952</v>
      </c>
      <c r="H44" s="31">
        <v>3.906653216346831</v>
      </c>
      <c r="I44" s="31">
        <v>31.670224745460519</v>
      </c>
      <c r="J44" s="31"/>
      <c r="K44" s="31">
        <v>1.8615031797747355</v>
      </c>
      <c r="L44" s="31">
        <v>0.69929933217598017</v>
      </c>
      <c r="M44" s="31">
        <v>1.9919376280517369</v>
      </c>
      <c r="N44" s="31">
        <v>0.82973378045298196</v>
      </c>
      <c r="O44" s="31">
        <v>2.1541649355106713</v>
      </c>
      <c r="P44" s="31"/>
      <c r="Q44" s="31">
        <v>0.99196108791191595</v>
      </c>
      <c r="R44" s="31" t="s">
        <v>43</v>
      </c>
      <c r="S44" s="31"/>
      <c r="T44" s="31">
        <v>0.23440310295750635</v>
      </c>
      <c r="U44" s="31">
        <v>-0.63165673532585742</v>
      </c>
      <c r="V44" s="31">
        <v>3.6372558219553013</v>
      </c>
      <c r="W44" s="31"/>
      <c r="X44" s="31">
        <v>30.974360113017557</v>
      </c>
      <c r="Y44" s="31"/>
      <c r="Z44" s="31"/>
      <c r="AA44" s="31">
        <v>1.2292966733918267</v>
      </c>
      <c r="AB44" s="31">
        <v>2.3915005209905815</v>
      </c>
      <c r="AC44" s="32">
        <v>39.278648399255538</v>
      </c>
      <c r="AD44" s="45"/>
      <c r="AE44" s="34">
        <v>511.512</v>
      </c>
      <c r="AF44" s="34">
        <v>540.447</v>
      </c>
      <c r="AG44" s="38">
        <v>2.2199949134301562</v>
      </c>
    </row>
    <row r="45" spans="2:33" x14ac:dyDescent="0.25">
      <c r="B45" s="44" t="s">
        <v>83</v>
      </c>
      <c r="C45" s="31">
        <v>35.538197184086407</v>
      </c>
      <c r="D45" s="31">
        <v>34.56858310101169</v>
      </c>
      <c r="E45" s="31">
        <v>31.043606333175529</v>
      </c>
      <c r="F45" s="31">
        <v>5.5231181947293664E-2</v>
      </c>
      <c r="G45" s="31">
        <v>3.4697455858888713</v>
      </c>
      <c r="H45" s="31">
        <v>3.5249767678361645</v>
      </c>
      <c r="I45" s="31">
        <v>31.157575438781056</v>
      </c>
      <c r="J45" s="31"/>
      <c r="K45" s="31">
        <v>1.05376738560287</v>
      </c>
      <c r="L45" s="31">
        <v>-1.0248452650220046</v>
      </c>
      <c r="M45" s="31">
        <v>3.620184805288166</v>
      </c>
      <c r="N45" s="31">
        <v>1.5415721546632912</v>
      </c>
      <c r="O45" s="31">
        <v>1.1089985675501637</v>
      </c>
      <c r="P45" s="31"/>
      <c r="Q45" s="31">
        <v>-0.96961408307471109</v>
      </c>
      <c r="R45" s="31" t="s">
        <v>43</v>
      </c>
      <c r="S45" s="31"/>
      <c r="T45" s="31">
        <v>-1.2201707783213227</v>
      </c>
      <c r="U45" s="31">
        <v>-2.5430890887731659</v>
      </c>
      <c r="V45" s="31">
        <v>3.3612119299353003</v>
      </c>
      <c r="W45" s="31"/>
      <c r="X45" s="31">
        <v>25.655406330225304</v>
      </c>
      <c r="Y45" s="31"/>
      <c r="Z45" s="31"/>
      <c r="AA45" s="31">
        <v>-0.5914119895499097</v>
      </c>
      <c r="AB45" s="31">
        <v>1.4872006610749648</v>
      </c>
      <c r="AC45" s="32">
        <v>34.233513930531444</v>
      </c>
      <c r="AD45" s="45"/>
      <c r="AE45" s="34">
        <v>570.33000000000004</v>
      </c>
      <c r="AF45" s="34">
        <v>599.09400000000005</v>
      </c>
      <c r="AG45" s="38">
        <v>3.2692273358776873</v>
      </c>
    </row>
    <row r="46" spans="2:33" ht="15" customHeight="1" x14ac:dyDescent="0.25">
      <c r="B46" s="44" t="s">
        <v>84</v>
      </c>
      <c r="C46" s="31">
        <v>34.727483841863908</v>
      </c>
      <c r="D46" s="31">
        <v>34.747180168975426</v>
      </c>
      <c r="E46" s="31">
        <v>30.532960373849001</v>
      </c>
      <c r="F46" s="31">
        <v>0.77975217572935973</v>
      </c>
      <c r="G46" s="31">
        <v>3.4344676193970698</v>
      </c>
      <c r="H46" s="31">
        <v>4.2142197951264295</v>
      </c>
      <c r="I46" s="31">
        <v>30.694978548475998</v>
      </c>
      <c r="J46" s="31"/>
      <c r="K46" s="31">
        <v>0.60203066871843958</v>
      </c>
      <c r="L46" s="31">
        <v>-0.76005584861784203</v>
      </c>
      <c r="M46" s="31">
        <v>2.2792144977674851</v>
      </c>
      <c r="N46" s="31">
        <v>0.91712798043120314</v>
      </c>
      <c r="O46" s="31">
        <v>1.3817828444477995</v>
      </c>
      <c r="P46" s="31"/>
      <c r="Q46" s="31">
        <v>1.9696327111517746E-2</v>
      </c>
      <c r="R46" s="31" t="s">
        <v>43</v>
      </c>
      <c r="S46" s="31"/>
      <c r="T46" s="31">
        <v>-0.72669916560640069</v>
      </c>
      <c r="U46" s="31">
        <v>-1.1103010202379762</v>
      </c>
      <c r="V46" s="31">
        <v>3.180162621771748</v>
      </c>
      <c r="W46" s="31"/>
      <c r="X46" s="31">
        <v>23.075532491838494</v>
      </c>
      <c r="Y46" s="31"/>
      <c r="Z46" s="31"/>
      <c r="AA46" s="31">
        <v>0.46969386507062877</v>
      </c>
      <c r="AB46" s="31">
        <v>1.8317803824069101</v>
      </c>
      <c r="AC46" s="32">
        <v>29.649008274045801</v>
      </c>
      <c r="AD46" s="45"/>
      <c r="AE46" s="34">
        <v>629.55899999999997</v>
      </c>
      <c r="AF46" s="34">
        <v>658.27300000000002</v>
      </c>
      <c r="AG46" s="38">
        <v>1.4164821003214882</v>
      </c>
    </row>
    <row r="47" spans="2:33" x14ac:dyDescent="0.25">
      <c r="B47" s="44" t="s">
        <v>85</v>
      </c>
      <c r="C47" s="31">
        <v>33.915379745903692</v>
      </c>
      <c r="D47" s="31">
        <v>34.992271114578891</v>
      </c>
      <c r="E47" s="31">
        <v>30.855035552872938</v>
      </c>
      <c r="F47" s="31">
        <v>0.9825253581050245</v>
      </c>
      <c r="G47" s="31">
        <v>3.1547102036009242</v>
      </c>
      <c r="H47" s="31">
        <v>4.1372355617059497</v>
      </c>
      <c r="I47" s="31">
        <v>30.40882123456063</v>
      </c>
      <c r="J47" s="31"/>
      <c r="K47" s="31">
        <v>-0.13321985748984563</v>
      </c>
      <c r="L47" s="31">
        <v>9.4366010570170925E-2</v>
      </c>
      <c r="M47" s="31">
        <v>1.0072577914525889</v>
      </c>
      <c r="N47" s="31">
        <v>1.2348436595126058</v>
      </c>
      <c r="O47" s="31">
        <v>0.84930550061517884</v>
      </c>
      <c r="P47" s="31"/>
      <c r="Q47" s="31">
        <v>1.0768913686751955</v>
      </c>
      <c r="R47" s="31" t="s">
        <v>43</v>
      </c>
      <c r="S47" s="31"/>
      <c r="T47" s="31">
        <v>-0.38791643970733286</v>
      </c>
      <c r="U47" s="31">
        <v>-0.12528155225462631</v>
      </c>
      <c r="V47" s="31">
        <v>2.9134217615970086</v>
      </c>
      <c r="W47" s="31"/>
      <c r="X47" s="31">
        <v>21.648991194262088</v>
      </c>
      <c r="Y47" s="31"/>
      <c r="Z47" s="31"/>
      <c r="AA47" s="31">
        <v>1.389432773418523</v>
      </c>
      <c r="AB47" s="31">
        <v>1.1618469053585061</v>
      </c>
      <c r="AC47" s="32">
        <v>27.723732830833097</v>
      </c>
      <c r="AD47" s="45"/>
      <c r="AE47" s="34">
        <v>679.27</v>
      </c>
      <c r="AF47" s="34">
        <v>697.95399999999995</v>
      </c>
      <c r="AG47" s="38">
        <v>-1.0217645762486285</v>
      </c>
    </row>
    <row r="48" spans="2:33" x14ac:dyDescent="0.25">
      <c r="B48" s="44" t="s">
        <v>86</v>
      </c>
      <c r="C48" s="31">
        <v>33.544990432035256</v>
      </c>
      <c r="D48" s="31">
        <v>36.871590493908556</v>
      </c>
      <c r="E48" s="31">
        <v>32.710960674055066</v>
      </c>
      <c r="F48" s="31">
        <v>1.2691026830896897</v>
      </c>
      <c r="G48" s="31">
        <v>2.8915271367638016</v>
      </c>
      <c r="H48" s="31">
        <v>4.1606298198534919</v>
      </c>
      <c r="I48" s="31">
        <v>30.341717026217761</v>
      </c>
      <c r="J48" s="31"/>
      <c r="K48" s="31">
        <v>0.67221267590690137</v>
      </c>
      <c r="L48" s="31">
        <v>2.0574973787836153</v>
      </c>
      <c r="M48" s="31">
        <v>-1.53969340517356</v>
      </c>
      <c r="N48" s="31">
        <v>-0.15440870229684589</v>
      </c>
      <c r="O48" s="31">
        <v>1.9413153589965908</v>
      </c>
      <c r="P48" s="31"/>
      <c r="Q48" s="31">
        <v>3.3266000618733047</v>
      </c>
      <c r="R48" s="31" t="s">
        <v>43</v>
      </c>
      <c r="S48" s="31"/>
      <c r="T48" s="31">
        <v>1.8226027943776484</v>
      </c>
      <c r="U48" s="31">
        <v>1.9252116920949154</v>
      </c>
      <c r="V48" s="31">
        <v>2.5132880622316662</v>
      </c>
      <c r="W48" s="31"/>
      <c r="X48" s="31">
        <v>22.859348825666448</v>
      </c>
      <c r="Y48" s="31"/>
      <c r="Z48" s="31"/>
      <c r="AA48" s="31">
        <v>3.3095219097293667</v>
      </c>
      <c r="AB48" s="31">
        <v>1.9242372068526525</v>
      </c>
      <c r="AC48" s="32">
        <v>28.652519797357922</v>
      </c>
      <c r="AD48" s="45"/>
      <c r="AE48" s="34">
        <v>714.36300000000006</v>
      </c>
      <c r="AF48" s="34">
        <v>725.30499999999995</v>
      </c>
      <c r="AG48" s="38">
        <v>-2.3618635752539774</v>
      </c>
    </row>
    <row r="49" spans="2:33" x14ac:dyDescent="0.25">
      <c r="B49" s="44" t="s">
        <v>87</v>
      </c>
      <c r="C49" s="31">
        <v>32.065884595029551</v>
      </c>
      <c r="D49" s="31">
        <v>38.339106153569205</v>
      </c>
      <c r="E49" s="31">
        <v>34.458796410970663</v>
      </c>
      <c r="F49" s="31">
        <v>1.0583278176844562</v>
      </c>
      <c r="G49" s="31">
        <v>2.8219819249140845</v>
      </c>
      <c r="H49" s="31">
        <v>3.88030974259854</v>
      </c>
      <c r="I49" s="31">
        <v>29.073357453299707</v>
      </c>
      <c r="J49" s="31"/>
      <c r="K49" s="31">
        <v>3.5703203627669571</v>
      </c>
      <c r="L49" s="31">
        <v>5.2148937408551896</v>
      </c>
      <c r="M49" s="31">
        <v>-4.3082970247980867</v>
      </c>
      <c r="N49" s="31">
        <v>-2.6637236467098546</v>
      </c>
      <c r="O49" s="31">
        <v>4.6286481804514139</v>
      </c>
      <c r="P49" s="31"/>
      <c r="Q49" s="31">
        <v>6.273221558539646</v>
      </c>
      <c r="R49" s="31" t="s">
        <v>43</v>
      </c>
      <c r="S49" s="31"/>
      <c r="T49" s="31">
        <v>4.899926503132753</v>
      </c>
      <c r="U49" s="31">
        <v>4.8934295424921528</v>
      </c>
      <c r="V49" s="31">
        <v>2.5553358319561132</v>
      </c>
      <c r="W49" s="31"/>
      <c r="X49" s="31">
        <v>26.673113659963377</v>
      </c>
      <c r="Y49" s="31"/>
      <c r="Z49" s="31"/>
      <c r="AA49" s="31">
        <v>6.1968822710125915</v>
      </c>
      <c r="AB49" s="31">
        <v>4.5523088929243594</v>
      </c>
      <c r="AC49" s="32">
        <v>33.655068238389724</v>
      </c>
      <c r="AD49" s="45"/>
      <c r="AE49" s="34">
        <v>738.80700000000002</v>
      </c>
      <c r="AF49" s="34">
        <v>756.94200000000001</v>
      </c>
      <c r="AG49" s="38">
        <v>-2.3444013260748733</v>
      </c>
    </row>
    <row r="50" spans="2:33" x14ac:dyDescent="0.25">
      <c r="B50" s="44" t="s">
        <v>88</v>
      </c>
      <c r="C50" s="31">
        <v>31.347099815535973</v>
      </c>
      <c r="D50" s="31">
        <v>37.924011067841775</v>
      </c>
      <c r="E50" s="31">
        <v>34.41535150645624</v>
      </c>
      <c r="F50" s="31">
        <v>0.78819942611190807</v>
      </c>
      <c r="G50" s="31">
        <v>2.7204601352736213</v>
      </c>
      <c r="H50" s="31">
        <v>3.5086595613855298</v>
      </c>
      <c r="I50" s="31">
        <v>28.411559745849562</v>
      </c>
      <c r="J50" s="31"/>
      <c r="K50" s="31">
        <v>4.5298637902531507</v>
      </c>
      <c r="L50" s="31">
        <v>5.7887118261938921</v>
      </c>
      <c r="M50" s="31">
        <v>-4.409074605451937</v>
      </c>
      <c r="N50" s="31">
        <v>-3.1502265695111955</v>
      </c>
      <c r="O50" s="31">
        <v>5.3180632163650587</v>
      </c>
      <c r="P50" s="31"/>
      <c r="Q50" s="31">
        <v>6.5769112523058002</v>
      </c>
      <c r="R50" s="31" t="s">
        <v>43</v>
      </c>
      <c r="S50" s="31"/>
      <c r="T50" s="31">
        <v>6.3563230170116825</v>
      </c>
      <c r="U50" s="31">
        <v>5.9064357450297189</v>
      </c>
      <c r="V50" s="31">
        <v>2.6339926214388196</v>
      </c>
      <c r="W50" s="31"/>
      <c r="X50" s="31">
        <v>31.148685719986034</v>
      </c>
      <c r="Y50" s="31"/>
      <c r="Z50" s="31"/>
      <c r="AA50" s="31">
        <v>6.567303750768601</v>
      </c>
      <c r="AB50" s="31">
        <v>5.3084557148278604</v>
      </c>
      <c r="AC50" s="32">
        <v>38.265397622463617</v>
      </c>
      <c r="AD50" s="45"/>
      <c r="AE50" s="34">
        <v>780.64</v>
      </c>
      <c r="AF50" s="34">
        <v>801.96</v>
      </c>
      <c r="AG50" s="38">
        <v>-1.5799355414515333</v>
      </c>
    </row>
    <row r="51" spans="2:33" x14ac:dyDescent="0.25">
      <c r="B51" s="44" t="s">
        <v>89</v>
      </c>
      <c r="C51" s="31">
        <v>32.227896335892368</v>
      </c>
      <c r="D51" s="31">
        <v>37.57872629683682</v>
      </c>
      <c r="E51" s="31">
        <v>34.153020775214955</v>
      </c>
      <c r="F51" s="31">
        <v>0.81863166691436773</v>
      </c>
      <c r="G51" s="31">
        <v>2.6070738547074974</v>
      </c>
      <c r="H51" s="31">
        <v>3.4257055216218655</v>
      </c>
      <c r="I51" s="31">
        <v>29.35622903170005</v>
      </c>
      <c r="J51" s="31"/>
      <c r="K51" s="31">
        <v>3.7052295761847494</v>
      </c>
      <c r="L51" s="31">
        <v>4.5321982940300796</v>
      </c>
      <c r="M51" s="31">
        <v>-2.9408611712767483</v>
      </c>
      <c r="N51" s="31">
        <v>-2.1138924534314172</v>
      </c>
      <c r="O51" s="31">
        <v>4.5238612430991179</v>
      </c>
      <c r="P51" s="31"/>
      <c r="Q51" s="31">
        <v>5.3508299609444476</v>
      </c>
      <c r="R51" s="31" t="s">
        <v>43</v>
      </c>
      <c r="S51" s="31"/>
      <c r="T51" s="31">
        <v>4.7541546775297796</v>
      </c>
      <c r="U51" s="31">
        <v>4.4760391871182463</v>
      </c>
      <c r="V51" s="31">
        <v>2.8234265095348663</v>
      </c>
      <c r="W51" s="31"/>
      <c r="X51" s="31">
        <v>34.549022083973185</v>
      </c>
      <c r="Y51" s="31"/>
      <c r="Z51" s="31"/>
      <c r="AA51" s="31">
        <v>5.5822883191494022</v>
      </c>
      <c r="AB51" s="31">
        <v>4.7553196013040724</v>
      </c>
      <c r="AC51" s="32">
        <v>41.410458506825584</v>
      </c>
      <c r="AD51" s="45"/>
      <c r="AE51" s="34">
        <v>820.88199999999995</v>
      </c>
      <c r="AF51" s="34">
        <v>839.38699999999994</v>
      </c>
      <c r="AG51" s="38">
        <v>-1.0219632191100487</v>
      </c>
    </row>
    <row r="52" spans="2:33" x14ac:dyDescent="0.25">
      <c r="B52" s="44" t="s">
        <v>90</v>
      </c>
      <c r="C52" s="31">
        <v>33.288454363649429</v>
      </c>
      <c r="D52" s="31">
        <v>37.405771543643446</v>
      </c>
      <c r="E52" s="31">
        <v>34.098245548987208</v>
      </c>
      <c r="F52" s="31">
        <v>0.76587777007909053</v>
      </c>
      <c r="G52" s="31">
        <v>2.5416482245771448</v>
      </c>
      <c r="H52" s="31">
        <v>3.3075259946562352</v>
      </c>
      <c r="I52" s="31">
        <v>30.189951590963339</v>
      </c>
      <c r="J52" s="31"/>
      <c r="K52" s="31">
        <v>1.9989057204010487</v>
      </c>
      <c r="L52" s="31">
        <v>3.3514394099149309</v>
      </c>
      <c r="M52" s="31">
        <v>-1.4786886689484648</v>
      </c>
      <c r="N52" s="31">
        <v>-0.12615497943458265</v>
      </c>
      <c r="O52" s="31">
        <v>2.7647834904801392</v>
      </c>
      <c r="P52" s="31"/>
      <c r="Q52" s="31">
        <v>4.1173171799940205</v>
      </c>
      <c r="R52" s="31" t="s">
        <v>43</v>
      </c>
      <c r="S52" s="31"/>
      <c r="T52" s="31">
        <v>4.0944914733819813</v>
      </c>
      <c r="U52" s="31">
        <v>3.6541986554847741</v>
      </c>
      <c r="V52" s="31">
        <v>3.0740549346396895</v>
      </c>
      <c r="W52" s="31"/>
      <c r="X52" s="31">
        <v>36.051544418614284</v>
      </c>
      <c r="Y52" s="31"/>
      <c r="Z52" s="31"/>
      <c r="AA52" s="31">
        <v>4.3291211987087834</v>
      </c>
      <c r="AB52" s="31">
        <v>2.9765875091949017</v>
      </c>
      <c r="AC52" s="32">
        <v>43.722814815158124</v>
      </c>
      <c r="AD52" s="45"/>
      <c r="AE52" s="34">
        <v>863.06200000000001</v>
      </c>
      <c r="AF52" s="34">
        <v>893.44299999999998</v>
      </c>
      <c r="AG52" s="38">
        <v>-2.2962820913837447</v>
      </c>
    </row>
    <row r="53" spans="2:33" x14ac:dyDescent="0.25">
      <c r="B53" s="44" t="s">
        <v>91</v>
      </c>
      <c r="C53" s="31">
        <v>32.44983461484707</v>
      </c>
      <c r="D53" s="31">
        <v>35.583539274775546</v>
      </c>
      <c r="E53" s="31">
        <v>32.878438391457394</v>
      </c>
      <c r="F53" s="31">
        <v>0.3574226135079529</v>
      </c>
      <c r="G53" s="31">
        <v>2.3476782698101948</v>
      </c>
      <c r="H53" s="31">
        <v>2.7051008833181474</v>
      </c>
      <c r="I53" s="31">
        <v>29.674310967424596</v>
      </c>
      <c r="J53" s="31"/>
      <c r="K53" s="31">
        <v>2.3180660622590588</v>
      </c>
      <c r="L53" s="31">
        <v>2.7762820464205191</v>
      </c>
      <c r="M53" s="31">
        <v>-0.51116092468339558</v>
      </c>
      <c r="N53" s="31">
        <v>-5.294494052193572E-2</v>
      </c>
      <c r="O53" s="31">
        <v>2.6754886757670122</v>
      </c>
      <c r="P53" s="31"/>
      <c r="Q53" s="31">
        <v>3.1337046599284721</v>
      </c>
      <c r="R53" s="31" t="s">
        <v>43</v>
      </c>
      <c r="S53" s="31"/>
      <c r="T53" s="31">
        <v>2.7199438351370593</v>
      </c>
      <c r="U53" s="31">
        <v>2.4508205335445297</v>
      </c>
      <c r="V53" s="31">
        <v>3.0326209077602635</v>
      </c>
      <c r="W53" s="31"/>
      <c r="X53" s="31">
        <v>36.57004586537164</v>
      </c>
      <c r="Y53" s="31"/>
      <c r="Z53" s="31"/>
      <c r="AA53" s="31">
        <v>3.3407475863951888</v>
      </c>
      <c r="AB53" s="31">
        <v>2.8825316022337293</v>
      </c>
      <c r="AC53" s="32">
        <v>44.269808027545047</v>
      </c>
      <c r="AD53" s="45"/>
      <c r="AE53" s="34">
        <v>922.99699999999996</v>
      </c>
      <c r="AF53" s="34">
        <v>948.86400000000003</v>
      </c>
      <c r="AG53" s="38">
        <v>2.0808682305784032E-3</v>
      </c>
    </row>
    <row r="54" spans="2:33" x14ac:dyDescent="0.25">
      <c r="B54" s="44" t="s">
        <v>92</v>
      </c>
      <c r="C54" s="31">
        <v>34.624183802621985</v>
      </c>
      <c r="D54" s="31">
        <v>35.713034383172989</v>
      </c>
      <c r="E54" s="31">
        <v>32.898442707323724</v>
      </c>
      <c r="F54" s="31">
        <v>0.49808901747406154</v>
      </c>
      <c r="G54" s="31">
        <v>2.316502658375204</v>
      </c>
      <c r="H54" s="31">
        <v>2.8145916758492651</v>
      </c>
      <c r="I54" s="31">
        <v>31.205872993001872</v>
      </c>
      <c r="J54" s="31"/>
      <c r="K54" s="31">
        <v>1.6803613712866479</v>
      </c>
      <c r="L54" s="31">
        <v>0.59076156307693584</v>
      </c>
      <c r="M54" s="31">
        <v>1.5748113118555551</v>
      </c>
      <c r="N54" s="31">
        <v>0.48521150364584287</v>
      </c>
      <c r="O54" s="31">
        <v>2.1784503887607096</v>
      </c>
      <c r="P54" s="31"/>
      <c r="Q54" s="31">
        <v>1.0888505805509974</v>
      </c>
      <c r="R54" s="31">
        <v>36.728443393252626</v>
      </c>
      <c r="S54" s="31"/>
      <c r="T54" s="31">
        <v>0.36726938374830387</v>
      </c>
      <c r="U54" s="31">
        <v>9.3398169561733496E-2</v>
      </c>
      <c r="V54" s="31">
        <v>3.1026643875163655</v>
      </c>
      <c r="W54" s="31"/>
      <c r="X54" s="31">
        <v>36.647095788837888</v>
      </c>
      <c r="Y54" s="31"/>
      <c r="Z54" s="31"/>
      <c r="AA54" s="31">
        <v>1.2231946735054999</v>
      </c>
      <c r="AB54" s="31">
        <v>2.312794481715212</v>
      </c>
      <c r="AC54" s="32">
        <v>42.73697064436444</v>
      </c>
      <c r="AD54" s="45"/>
      <c r="AE54" s="34">
        <v>964.68700000000001</v>
      </c>
      <c r="AF54" s="34">
        <v>983.43399999999997</v>
      </c>
      <c r="AG54" s="38">
        <v>2.1783672691271931</v>
      </c>
    </row>
    <row r="55" spans="2:33" x14ac:dyDescent="0.25">
      <c r="B55" s="44" t="s">
        <v>93</v>
      </c>
      <c r="C55" s="31">
        <v>35.147548319772845</v>
      </c>
      <c r="D55" s="31">
        <v>35.174378887214594</v>
      </c>
      <c r="E55" s="31">
        <v>32.383999873272593</v>
      </c>
      <c r="F55" s="31">
        <v>0.51215692020727854</v>
      </c>
      <c r="G55" s="31">
        <v>2.2782220937347155</v>
      </c>
      <c r="H55" s="31">
        <v>2.7903790139419944</v>
      </c>
      <c r="I55" s="31">
        <v>31.797291597775139</v>
      </c>
      <c r="J55" s="31"/>
      <c r="K55" s="31">
        <v>0.70331392697284512</v>
      </c>
      <c r="L55" s="31">
        <v>-0.4853263527655286</v>
      </c>
      <c r="M55" s="31">
        <v>2.4822730143895004</v>
      </c>
      <c r="N55" s="31">
        <v>1.2936327346511269</v>
      </c>
      <c r="O55" s="31">
        <v>1.2154708471801234</v>
      </c>
      <c r="P55" s="31"/>
      <c r="Q55" s="31">
        <v>2.6830567441749949E-2</v>
      </c>
      <c r="R55" s="31">
        <v>35.22302269659334</v>
      </c>
      <c r="S55" s="31"/>
      <c r="T55" s="31">
        <v>-0.4499812879068395</v>
      </c>
      <c r="U55" s="31">
        <v>-0.76115646676078808</v>
      </c>
      <c r="V55" s="31">
        <v>2.9318582791606684</v>
      </c>
      <c r="W55" s="31"/>
      <c r="X55" s="31">
        <v>35.135932805310546</v>
      </c>
      <c r="Y55" s="31"/>
      <c r="Z55" s="31"/>
      <c r="AA55" s="31">
        <v>7.5838430481108707E-2</v>
      </c>
      <c r="AB55" s="31">
        <v>1.2644787102194825</v>
      </c>
      <c r="AC55" s="32">
        <v>41.099380025781102</v>
      </c>
      <c r="AD55" s="45"/>
      <c r="AE55" s="34">
        <v>1010.042</v>
      </c>
      <c r="AF55" s="34">
        <v>1033.415</v>
      </c>
      <c r="AG55" s="38">
        <v>1.5059336518258704</v>
      </c>
    </row>
    <row r="56" spans="2:33" x14ac:dyDescent="0.25">
      <c r="B56" s="44" t="s">
        <v>94</v>
      </c>
      <c r="C56" s="31">
        <v>35.812881768580311</v>
      </c>
      <c r="D56" s="31">
        <v>34.769377044408259</v>
      </c>
      <c r="E56" s="31">
        <v>32.018800286181715</v>
      </c>
      <c r="F56" s="31">
        <v>0.46424193507228734</v>
      </c>
      <c r="G56" s="31">
        <v>2.2863348231542555</v>
      </c>
      <c r="H56" s="31">
        <v>2.750576758226543</v>
      </c>
      <c r="I56" s="31">
        <v>32.542584651851627</v>
      </c>
      <c r="J56" s="31"/>
      <c r="K56" s="31">
        <v>-0.33756958129152581</v>
      </c>
      <c r="L56" s="31">
        <v>-1.5077466592443405</v>
      </c>
      <c r="M56" s="31">
        <v>3.1602853878149726</v>
      </c>
      <c r="N56" s="31">
        <v>1.9901083098621579</v>
      </c>
      <c r="O56" s="31">
        <v>0.12667235378076172</v>
      </c>
      <c r="P56" s="31"/>
      <c r="Q56" s="31">
        <v>-1.0435047241720532</v>
      </c>
      <c r="R56" s="31">
        <v>32.588385881799056</v>
      </c>
      <c r="S56" s="31"/>
      <c r="T56" s="31">
        <v>-0.86355426725478213</v>
      </c>
      <c r="U56" s="31">
        <v>-0.82792332069080554</v>
      </c>
      <c r="V56" s="31">
        <v>2.4638279734119419</v>
      </c>
      <c r="W56" s="31"/>
      <c r="X56" s="31">
        <v>32.487236828554202</v>
      </c>
      <c r="Y56" s="31">
        <v>27.6</v>
      </c>
      <c r="Z56" s="31">
        <v>32.338915535023325</v>
      </c>
      <c r="AA56" s="31">
        <v>-0.96496542285994591</v>
      </c>
      <c r="AB56" s="31">
        <v>0.2052116550928689</v>
      </c>
      <c r="AC56" s="32">
        <v>38.591717553392073</v>
      </c>
      <c r="AD56" s="45"/>
      <c r="AE56" s="34">
        <v>1058.069</v>
      </c>
      <c r="AF56" s="34">
        <v>1087.5039999999999</v>
      </c>
      <c r="AG56" s="38">
        <v>1.7379806951752812</v>
      </c>
    </row>
    <row r="57" spans="2:33" x14ac:dyDescent="0.25">
      <c r="B57" s="44" t="s">
        <v>95</v>
      </c>
      <c r="C57" s="31">
        <v>36.513436188757083</v>
      </c>
      <c r="D57" s="31">
        <v>35.07350810441767</v>
      </c>
      <c r="E57" s="31">
        <v>32.409237430235258</v>
      </c>
      <c r="F57" s="31">
        <v>0.40470502108754497</v>
      </c>
      <c r="G57" s="31">
        <v>2.2595656530948585</v>
      </c>
      <c r="H57" s="31">
        <v>2.6642706741824034</v>
      </c>
      <c r="I57" s="31">
        <v>33.058595652942344</v>
      </c>
      <c r="J57" s="31"/>
      <c r="K57" s="31">
        <v>-0.92840919020886015</v>
      </c>
      <c r="L57" s="31">
        <v>-1.8446331054269589</v>
      </c>
      <c r="M57" s="31">
        <v>3.3631516571733093</v>
      </c>
      <c r="N57" s="31">
        <v>2.4469277419552111</v>
      </c>
      <c r="O57" s="31">
        <v>-0.52370416912131523</v>
      </c>
      <c r="P57" s="31"/>
      <c r="Q57" s="31">
        <v>-1.4399280843394142</v>
      </c>
      <c r="R57" s="31">
        <v>28.384490405304525</v>
      </c>
      <c r="S57" s="31"/>
      <c r="T57" s="31">
        <v>-3.1910780082161141</v>
      </c>
      <c r="U57" s="31">
        <v>-3.4116875508572733</v>
      </c>
      <c r="V57" s="31">
        <v>2.4293067082705702</v>
      </c>
      <c r="W57" s="31"/>
      <c r="X57" s="31">
        <v>28.279102445878891</v>
      </c>
      <c r="Y57" s="31">
        <v>26.9</v>
      </c>
      <c r="Z57" s="31">
        <v>32.412418214552318</v>
      </c>
      <c r="AA57" s="31">
        <v>-1.3575695808239261</v>
      </c>
      <c r="AB57" s="31">
        <v>-0.441345665605827</v>
      </c>
      <c r="AC57" s="32">
        <v>35.739373913886027</v>
      </c>
      <c r="AD57" s="45"/>
      <c r="AE57" s="34">
        <v>1114.6389999999999</v>
      </c>
      <c r="AF57" s="34">
        <v>1138.6500000000001</v>
      </c>
      <c r="AG57" s="38">
        <v>1.137255552366085</v>
      </c>
    </row>
    <row r="58" spans="2:33" x14ac:dyDescent="0.25">
      <c r="B58" s="44" t="s">
        <v>96</v>
      </c>
      <c r="C58" s="31">
        <v>35.829074692609872</v>
      </c>
      <c r="D58" s="31">
        <v>36.346099276009383</v>
      </c>
      <c r="E58" s="31">
        <v>32.964265600335999</v>
      </c>
      <c r="F58" s="31">
        <v>1.0969633700491945</v>
      </c>
      <c r="G58" s="31">
        <v>2.2848703056241826</v>
      </c>
      <c r="H58" s="31">
        <v>3.3818336756733771</v>
      </c>
      <c r="I58" s="31">
        <v>32.500783173357704</v>
      </c>
      <c r="J58" s="31"/>
      <c r="K58" s="31">
        <v>-0.12627340233032247</v>
      </c>
      <c r="L58" s="31">
        <v>-0.57993878664969278</v>
      </c>
      <c r="M58" s="31">
        <v>1.1975393170381208</v>
      </c>
      <c r="N58" s="31">
        <v>0.74387393271875046</v>
      </c>
      <c r="O58" s="31">
        <v>0.97068996771887228</v>
      </c>
      <c r="P58" s="31"/>
      <c r="Q58" s="31">
        <v>0.51702458339950164</v>
      </c>
      <c r="R58" s="31">
        <v>28.214285714285715</v>
      </c>
      <c r="S58" s="31"/>
      <c r="T58" s="31">
        <v>0.24046242373279947</v>
      </c>
      <c r="U58" s="31">
        <v>0.34667895446139796</v>
      </c>
      <c r="V58" s="31">
        <v>2.0145561771768095</v>
      </c>
      <c r="W58" s="31"/>
      <c r="X58" s="31">
        <v>28.112244897959187</v>
      </c>
      <c r="Y58" s="31">
        <v>28.4</v>
      </c>
      <c r="Z58" s="31">
        <v>34.163435374149664</v>
      </c>
      <c r="AA58" s="31">
        <v>0.44968469136895228</v>
      </c>
      <c r="AB58" s="31">
        <v>0.90335007568832282</v>
      </c>
      <c r="AC58" s="32">
        <v>34.507702867933105</v>
      </c>
      <c r="AD58" s="45"/>
      <c r="AE58" s="34">
        <v>1152.3630000000001</v>
      </c>
      <c r="AF58" s="34">
        <v>1176</v>
      </c>
      <c r="AG58" s="38">
        <v>0.45242854769230689</v>
      </c>
    </row>
    <row r="59" spans="2:33" x14ac:dyDescent="0.25">
      <c r="B59" s="44" t="s">
        <v>97</v>
      </c>
      <c r="C59" s="31">
        <v>34.611337586362076</v>
      </c>
      <c r="D59" s="31">
        <v>37.554927601450615</v>
      </c>
      <c r="E59" s="31">
        <v>33.777993223389892</v>
      </c>
      <c r="F59" s="31">
        <v>1.4448275405670117</v>
      </c>
      <c r="G59" s="31">
        <v>2.3321068374937131</v>
      </c>
      <c r="H59" s="31">
        <v>3.7769343780607247</v>
      </c>
      <c r="I59" s="31">
        <v>31.448037165471053</v>
      </c>
      <c r="J59" s="31"/>
      <c r="K59" s="31">
        <v>1.3760054556077734</v>
      </c>
      <c r="L59" s="31">
        <v>1.498762474521534</v>
      </c>
      <c r="M59" s="31">
        <v>-1.2678018370966462</v>
      </c>
      <c r="N59" s="31">
        <v>-1.1450448181828854</v>
      </c>
      <c r="O59" s="31">
        <v>2.8208329961747851</v>
      </c>
      <c r="P59" s="31"/>
      <c r="Q59" s="31">
        <v>2.9435900150885463</v>
      </c>
      <c r="R59" s="31">
        <v>29.885268975491343</v>
      </c>
      <c r="S59" s="31"/>
      <c r="T59" s="31">
        <v>1.7992925589644493</v>
      </c>
      <c r="U59" s="31">
        <v>1.9342126161420972</v>
      </c>
      <c r="V59" s="31">
        <v>1.8177396299335575</v>
      </c>
      <c r="W59" s="31"/>
      <c r="X59" s="31">
        <v>29.796492859172023</v>
      </c>
      <c r="Y59" s="31">
        <v>31.3</v>
      </c>
      <c r="Z59" s="31">
        <v>36.648475633377238</v>
      </c>
      <c r="AA59" s="31">
        <v>2.547432961855097</v>
      </c>
      <c r="AB59" s="31">
        <v>2.4246759429413363</v>
      </c>
      <c r="AC59" s="32">
        <v>34.909220557482065</v>
      </c>
      <c r="AD59" s="45"/>
      <c r="AE59" s="34">
        <v>1208.864</v>
      </c>
      <c r="AF59" s="34">
        <v>1239.0719999999999</v>
      </c>
      <c r="AG59" s="38">
        <v>-0.4264854569044445</v>
      </c>
    </row>
    <row r="60" spans="2:33" x14ac:dyDescent="0.25">
      <c r="B60" s="44" t="s">
        <v>98</v>
      </c>
      <c r="C60" s="31">
        <v>35.455339104715456</v>
      </c>
      <c r="D60" s="31">
        <v>38.931841166241419</v>
      </c>
      <c r="E60" s="31">
        <v>35.009952058814974</v>
      </c>
      <c r="F60" s="31">
        <v>1.6922036050576732</v>
      </c>
      <c r="G60" s="31">
        <v>2.2296855023687705</v>
      </c>
      <c r="H60" s="31">
        <v>3.9218891074264435</v>
      </c>
      <c r="I60" s="31">
        <v>32.351223989294361</v>
      </c>
      <c r="J60" s="31"/>
      <c r="K60" s="31">
        <v>1.9350616761181259</v>
      </c>
      <c r="L60" s="31">
        <v>1.784298456468288</v>
      </c>
      <c r="M60" s="31">
        <v>-1.693067976529957</v>
      </c>
      <c r="N60" s="31">
        <v>-1.8438311961797946</v>
      </c>
      <c r="O60" s="31">
        <v>3.6272652811757995</v>
      </c>
      <c r="P60" s="31"/>
      <c r="Q60" s="31">
        <v>3.4765020615259608</v>
      </c>
      <c r="R60" s="31">
        <v>31.041626676068123</v>
      </c>
      <c r="S60" s="31"/>
      <c r="T60" s="31">
        <v>3.0953142422487487</v>
      </c>
      <c r="U60" s="31">
        <v>3.1420688809768338</v>
      </c>
      <c r="V60" s="31">
        <v>1.8440972465053853</v>
      </c>
      <c r="W60" s="31"/>
      <c r="X60" s="31">
        <v>30.93456021303167</v>
      </c>
      <c r="Y60" s="31">
        <v>31.3</v>
      </c>
      <c r="Z60" s="31">
        <v>37.496587256490713</v>
      </c>
      <c r="AA60" s="31">
        <v>2.9824744755033192</v>
      </c>
      <c r="AB60" s="31">
        <v>3.133237695153158</v>
      </c>
      <c r="AC60" s="32">
        <v>36.749538936398757</v>
      </c>
      <c r="AD60" s="45"/>
      <c r="AE60" s="34">
        <v>1272.6010000000001</v>
      </c>
      <c r="AF60" s="34">
        <v>1307.5989999999999</v>
      </c>
      <c r="AG60" s="38">
        <v>0.47212062206145333</v>
      </c>
    </row>
    <row r="61" spans="2:33" x14ac:dyDescent="0.25">
      <c r="B61" s="44" t="s">
        <v>99</v>
      </c>
      <c r="C61" s="31">
        <v>36.029051829411401</v>
      </c>
      <c r="D61" s="31">
        <v>39.93836768237302</v>
      </c>
      <c r="E61" s="31">
        <v>35.668809740767259</v>
      </c>
      <c r="F61" s="31">
        <v>2.0459664434680698</v>
      </c>
      <c r="G61" s="31">
        <v>2.2235914981376936</v>
      </c>
      <c r="H61" s="31">
        <v>4.2695579416057639</v>
      </c>
      <c r="I61" s="31">
        <v>32.944455661910375</v>
      </c>
      <c r="J61" s="31"/>
      <c r="K61" s="31">
        <v>2.3696769707999508</v>
      </c>
      <c r="L61" s="31">
        <v>1.8633494094935525</v>
      </c>
      <c r="M61" s="31">
        <v>-2.0843376276773218</v>
      </c>
      <c r="N61" s="31">
        <v>-2.5906651889837198</v>
      </c>
      <c r="O61" s="31">
        <v>4.4156434142680192</v>
      </c>
      <c r="P61" s="31"/>
      <c r="Q61" s="31">
        <v>3.9093158529616221</v>
      </c>
      <c r="R61" s="31">
        <v>33.572103788913942</v>
      </c>
      <c r="S61" s="31"/>
      <c r="T61" s="31">
        <v>3.0630636000515588</v>
      </c>
      <c r="U61" s="31">
        <v>3.1564955709222424</v>
      </c>
      <c r="V61" s="31">
        <v>1.9482875648305371</v>
      </c>
      <c r="W61" s="31"/>
      <c r="X61" s="31">
        <v>33.463197742885889</v>
      </c>
      <c r="Y61" s="31">
        <v>33.4</v>
      </c>
      <c r="Z61" s="31">
        <v>37.345262659601808</v>
      </c>
      <c r="AA61" s="31">
        <v>3.3529709355043726</v>
      </c>
      <c r="AB61" s="31">
        <v>3.8592984968107702</v>
      </c>
      <c r="AC61" s="32">
        <v>39.16230116834668</v>
      </c>
      <c r="AD61" s="45"/>
      <c r="AE61" s="34">
        <v>1342.153</v>
      </c>
      <c r="AF61" s="34">
        <v>1377.3340000000001</v>
      </c>
      <c r="AG61" s="38">
        <v>0.82380687378821449</v>
      </c>
    </row>
    <row r="62" spans="2:33" x14ac:dyDescent="0.25">
      <c r="B62" s="44" t="s">
        <v>100</v>
      </c>
      <c r="C62" s="31">
        <v>36.667637232210275</v>
      </c>
      <c r="D62" s="31">
        <v>39.941075156318625</v>
      </c>
      <c r="E62" s="31">
        <v>35.81859213475304</v>
      </c>
      <c r="F62" s="31">
        <v>1.8521351619446187</v>
      </c>
      <c r="G62" s="31">
        <v>2.2703478596209723</v>
      </c>
      <c r="H62" s="31">
        <v>4.122483021565591</v>
      </c>
      <c r="I62" s="31">
        <v>33.359019244693208</v>
      </c>
      <c r="J62" s="31"/>
      <c r="K62" s="31">
        <v>1.774512948055281</v>
      </c>
      <c r="L62" s="31">
        <v>1.4213027621637362</v>
      </c>
      <c r="M62" s="31">
        <v>-1.4494327126648936</v>
      </c>
      <c r="N62" s="31">
        <v>-1.8026428985564384</v>
      </c>
      <c r="O62" s="31">
        <v>3.6266481099998997</v>
      </c>
      <c r="P62" s="31"/>
      <c r="Q62" s="31">
        <v>3.2734379241083542</v>
      </c>
      <c r="R62" s="31">
        <v>34.46238406046033</v>
      </c>
      <c r="S62" s="31"/>
      <c r="T62" s="31">
        <v>3.0343685954130559</v>
      </c>
      <c r="U62" s="31">
        <v>3.0343685954130559</v>
      </c>
      <c r="V62" s="31">
        <v>1.9795307021841957</v>
      </c>
      <c r="W62" s="31"/>
      <c r="X62" s="31">
        <v>34.311233253177605</v>
      </c>
      <c r="Y62" s="31">
        <v>32.4</v>
      </c>
      <c r="Z62" s="31">
        <v>34.945860529027826</v>
      </c>
      <c r="AA62" s="31">
        <v>3.0016560715219858</v>
      </c>
      <c r="AB62" s="31">
        <v>3.3548662574135308</v>
      </c>
      <c r="AC62" s="32">
        <v>40.520100929416394</v>
      </c>
      <c r="AD62" s="45"/>
      <c r="AE62" s="34">
        <v>1418.4169999999999</v>
      </c>
      <c r="AF62" s="34">
        <v>1455.5</v>
      </c>
      <c r="AG62" s="38">
        <v>0.37689762226780488</v>
      </c>
    </row>
    <row r="63" spans="2:33" x14ac:dyDescent="0.25">
      <c r="B63" s="44" t="s">
        <v>101</v>
      </c>
      <c r="C63" s="31">
        <v>37.102852471480332</v>
      </c>
      <c r="D63" s="31">
        <v>39.926661306437992</v>
      </c>
      <c r="E63" s="31">
        <v>35.808592738123664</v>
      </c>
      <c r="F63" s="31">
        <v>1.8163774049540622</v>
      </c>
      <c r="G63" s="31">
        <v>2.3016911633602577</v>
      </c>
      <c r="H63" s="31">
        <v>4.1180685683143192</v>
      </c>
      <c r="I63" s="31">
        <v>33.798036003243048</v>
      </c>
      <c r="J63" s="31"/>
      <c r="K63" s="31">
        <v>1.2786671934839633</v>
      </c>
      <c r="L63" s="31">
        <v>1.0074314300035998</v>
      </c>
      <c r="M63" s="31">
        <v>-0.91855031606285586</v>
      </c>
      <c r="N63" s="31">
        <v>-1.1897860795432196</v>
      </c>
      <c r="O63" s="31">
        <v>3.0950445984380255</v>
      </c>
      <c r="P63" s="31"/>
      <c r="Q63" s="31">
        <v>2.8238088349576618</v>
      </c>
      <c r="R63" s="31">
        <v>35.253507632135033</v>
      </c>
      <c r="S63" s="31"/>
      <c r="T63" s="31">
        <v>2.519217765457475</v>
      </c>
      <c r="U63" s="31">
        <v>2.4057109984491221</v>
      </c>
      <c r="V63" s="31">
        <v>2.0484371793534755</v>
      </c>
      <c r="W63" s="31"/>
      <c r="X63" s="31">
        <v>35.122258534472579</v>
      </c>
      <c r="Y63" s="31">
        <v>32.4</v>
      </c>
      <c r="Z63" s="31">
        <v>35.138599047131557</v>
      </c>
      <c r="AA63" s="31">
        <v>2.6274091592627102</v>
      </c>
      <c r="AB63" s="31">
        <v>2.8986449227430744</v>
      </c>
      <c r="AC63" s="32">
        <v>41.582433700811769</v>
      </c>
      <c r="AD63" s="45"/>
      <c r="AE63" s="34">
        <v>1486.2550000000001</v>
      </c>
      <c r="AF63" s="34">
        <v>1523.82</v>
      </c>
      <c r="AG63" s="38">
        <v>0.39171247805360565</v>
      </c>
    </row>
    <row r="64" spans="2:33" x14ac:dyDescent="0.25">
      <c r="B64" s="44" t="s">
        <v>102</v>
      </c>
      <c r="C64" s="31">
        <v>37.317971008198889</v>
      </c>
      <c r="D64" s="31">
        <v>40.256172157499385</v>
      </c>
      <c r="E64" s="31">
        <v>36.13207631518781</v>
      </c>
      <c r="F64" s="31">
        <v>1.792477050392701</v>
      </c>
      <c r="G64" s="31">
        <v>2.3316187919188773</v>
      </c>
      <c r="H64" s="31">
        <v>4.1240958423115783</v>
      </c>
      <c r="I64" s="31">
        <v>33.774209329029745</v>
      </c>
      <c r="J64" s="31"/>
      <c r="K64" s="31">
        <v>1.9739222500571398</v>
      </c>
      <c r="L64" s="31">
        <v>1.1457240989077944</v>
      </c>
      <c r="M64" s="31">
        <v>-1.1383158494388252</v>
      </c>
      <c r="N64" s="31">
        <v>-1.9665140005881705</v>
      </c>
      <c r="O64" s="31">
        <v>3.7663993004498408</v>
      </c>
      <c r="P64" s="31"/>
      <c r="Q64" s="31">
        <v>2.9382011493004954</v>
      </c>
      <c r="R64" s="31">
        <v>35.751404340030831</v>
      </c>
      <c r="S64" s="31"/>
      <c r="T64" s="31">
        <v>2.1243155352268648</v>
      </c>
      <c r="U64" s="31">
        <v>1.8599176662481434</v>
      </c>
      <c r="V64" s="31">
        <v>2.1204836820532607</v>
      </c>
      <c r="W64" s="31"/>
      <c r="X64" s="31">
        <v>35.619526684815547</v>
      </c>
      <c r="Y64" s="31">
        <v>34.200000000000003</v>
      </c>
      <c r="Z64" s="31">
        <v>37.4332212373264</v>
      </c>
      <c r="AA64" s="31">
        <v>2.9354549878594116</v>
      </c>
      <c r="AB64" s="31">
        <v>3.7636531390087566</v>
      </c>
      <c r="AC64" s="32">
        <v>42.273387396524001</v>
      </c>
      <c r="AD64" s="45"/>
      <c r="AE64" s="34">
        <v>1565.8219999999999</v>
      </c>
      <c r="AF64" s="34">
        <v>1592.385</v>
      </c>
      <c r="AG64" s="38">
        <v>1.4997113110772489</v>
      </c>
    </row>
    <row r="65" spans="1:71" x14ac:dyDescent="0.25">
      <c r="B65" s="44" t="s">
        <v>103</v>
      </c>
      <c r="C65" s="31">
        <v>36.016649620746705</v>
      </c>
      <c r="D65" s="31">
        <v>43.456862030387015</v>
      </c>
      <c r="E65" s="31">
        <v>37.928993372622131</v>
      </c>
      <c r="F65" s="31">
        <v>3.0053462490658434</v>
      </c>
      <c r="G65" s="31">
        <v>2.5225224086990412</v>
      </c>
      <c r="H65" s="31">
        <v>5.527868657764885</v>
      </c>
      <c r="I65" s="31">
        <v>32.230181196339309</v>
      </c>
      <c r="J65" s="31"/>
      <c r="K65" s="31">
        <v>4.1026082798243806</v>
      </c>
      <c r="L65" s="31">
        <v>4.4348661605744608</v>
      </c>
      <c r="M65" s="31">
        <v>-5.4552839930283339</v>
      </c>
      <c r="N65" s="31">
        <v>-5.1230261122782528</v>
      </c>
      <c r="O65" s="31">
        <v>7.1079545288902253</v>
      </c>
      <c r="P65" s="31"/>
      <c r="Q65" s="31">
        <v>7.4402124096403055</v>
      </c>
      <c r="R65" s="31">
        <v>50.633741343025122</v>
      </c>
      <c r="S65" s="31"/>
      <c r="T65" s="31">
        <v>10.349410826043808</v>
      </c>
      <c r="U65" s="31">
        <v>10.986248080359879</v>
      </c>
      <c r="V65" s="31">
        <v>2.1218222098966568</v>
      </c>
      <c r="W65" s="31"/>
      <c r="X65" s="31">
        <v>50.601601098425</v>
      </c>
      <c r="Y65" s="31">
        <v>47.5</v>
      </c>
      <c r="Z65" s="31">
        <v>46.925464201552757</v>
      </c>
      <c r="AA65" s="31">
        <v>6.835529719598302</v>
      </c>
      <c r="AB65" s="31">
        <v>6.5032718388482218</v>
      </c>
      <c r="AC65" s="32">
        <v>53.532422097829468</v>
      </c>
      <c r="AD65" s="45"/>
      <c r="AE65" s="34">
        <v>1582.979</v>
      </c>
      <c r="AF65" s="34">
        <v>1555.682</v>
      </c>
      <c r="AG65" s="38">
        <v>-1.2644002859310604</v>
      </c>
    </row>
    <row r="66" spans="1:71" x14ac:dyDescent="0.25">
      <c r="B66" s="44" t="s">
        <v>104</v>
      </c>
      <c r="C66" s="31">
        <v>36.120416588526346</v>
      </c>
      <c r="D66" s="31">
        <v>46.454463246646817</v>
      </c>
      <c r="E66" s="31">
        <v>40.769787055852561</v>
      </c>
      <c r="F66" s="31">
        <v>3.0029003974238098</v>
      </c>
      <c r="G66" s="31">
        <v>2.6817757933704467</v>
      </c>
      <c r="H66" s="31">
        <v>5.6846761907942565</v>
      </c>
      <c r="I66" s="31">
        <v>32.360240149823895</v>
      </c>
      <c r="J66" s="31"/>
      <c r="K66" s="31">
        <v>5.2415188658183745</v>
      </c>
      <c r="L66" s="31">
        <v>7.3311462606966593</v>
      </c>
      <c r="M66" s="31">
        <v>-8.2908592523705416</v>
      </c>
      <c r="N66" s="31">
        <v>-6.2012318574922549</v>
      </c>
      <c r="O66" s="31">
        <v>8.2444192632421842</v>
      </c>
      <c r="P66" s="31"/>
      <c r="Q66" s="31">
        <v>10.334046658120471</v>
      </c>
      <c r="R66" s="31">
        <v>63.932765447847316</v>
      </c>
      <c r="S66" s="31"/>
      <c r="T66" s="31">
        <v>12.754555473633102</v>
      </c>
      <c r="U66" s="31">
        <v>12.894886925604421</v>
      </c>
      <c r="V66" s="31">
        <v>1.8135833138517738</v>
      </c>
      <c r="W66" s="31"/>
      <c r="X66" s="31">
        <v>64.719804612805063</v>
      </c>
      <c r="Y66" s="31">
        <v>54.6</v>
      </c>
      <c r="Z66" s="31">
        <v>54.074312867586642</v>
      </c>
      <c r="AA66" s="31">
        <v>10.083697916800469</v>
      </c>
      <c r="AB66" s="31">
        <v>7.9940705219221826</v>
      </c>
      <c r="AC66" s="32">
        <v>70.796414708020663</v>
      </c>
      <c r="AD66" s="45"/>
      <c r="AE66" s="34">
        <v>1557.028</v>
      </c>
      <c r="AF66" s="34">
        <v>1588.231</v>
      </c>
      <c r="AG66" s="38">
        <v>-3.6734946753841484</v>
      </c>
    </row>
    <row r="67" spans="1:71" x14ac:dyDescent="0.25">
      <c r="B67" s="44" t="s">
        <v>105</v>
      </c>
      <c r="C67" s="31">
        <v>37.010473497425707</v>
      </c>
      <c r="D67" s="31">
        <v>45.738203723623513</v>
      </c>
      <c r="E67" s="31">
        <v>40.703258278080604</v>
      </c>
      <c r="F67" s="31">
        <v>2.444614678622921</v>
      </c>
      <c r="G67" s="31">
        <v>2.5903307669199904</v>
      </c>
      <c r="H67" s="31">
        <v>5.0349454455429115</v>
      </c>
      <c r="I67" s="31">
        <v>33.220319408191187</v>
      </c>
      <c r="J67" s="31"/>
      <c r="K67" s="31">
        <v>4.3554613012941914</v>
      </c>
      <c r="L67" s="31">
        <v>6.2831155475748899</v>
      </c>
      <c r="M67" s="31">
        <v>-6.1156526231660324</v>
      </c>
      <c r="N67" s="31">
        <v>-4.1879983768853348</v>
      </c>
      <c r="O67" s="31">
        <v>6.8000759799171124</v>
      </c>
      <c r="P67" s="31"/>
      <c r="Q67" s="31">
        <v>8.72773022619781</v>
      </c>
      <c r="R67" s="31">
        <v>70.593571806718785</v>
      </c>
      <c r="S67" s="31"/>
      <c r="T67" s="31">
        <v>8.2326518300822631</v>
      </c>
      <c r="U67" s="31">
        <v>7.7430408588648758</v>
      </c>
      <c r="V67" s="31">
        <v>2.5280389821252065</v>
      </c>
      <c r="W67" s="31"/>
      <c r="X67" s="31">
        <v>70.87252587450584</v>
      </c>
      <c r="Y67" s="31">
        <v>58.9</v>
      </c>
      <c r="Z67" s="31">
        <v>49.525323268347144</v>
      </c>
      <c r="AA67" s="31">
        <v>8.7782885485706981</v>
      </c>
      <c r="AB67" s="31">
        <v>6.8506343022899996</v>
      </c>
      <c r="AC67" s="32">
        <v>76.214551582082308</v>
      </c>
      <c r="AD67" s="45"/>
      <c r="AE67" s="34">
        <v>1627.8230000000001</v>
      </c>
      <c r="AF67" s="34">
        <v>1649.0170000000001</v>
      </c>
      <c r="AG67" s="38">
        <v>-2.3859106224077351</v>
      </c>
    </row>
    <row r="68" spans="1:71" x14ac:dyDescent="0.25">
      <c r="B68" s="44" t="s">
        <v>106</v>
      </c>
      <c r="C68" s="31">
        <v>37.325339281061218</v>
      </c>
      <c r="D68" s="31">
        <v>44.573236180736345</v>
      </c>
      <c r="E68" s="31">
        <v>40.131206207821457</v>
      </c>
      <c r="F68" s="31">
        <v>1.8421102959281492</v>
      </c>
      <c r="G68" s="31">
        <v>2.5999196769867399</v>
      </c>
      <c r="H68" s="31">
        <v>4.442029972914888</v>
      </c>
      <c r="I68" s="31">
        <v>33.459316154726984</v>
      </c>
      <c r="J68" s="31"/>
      <c r="K68" s="31">
        <v>3.6787504200252057</v>
      </c>
      <c r="L68" s="31">
        <v>5.4057866037469733</v>
      </c>
      <c r="M68" s="31">
        <v>-4.6160631683125715</v>
      </c>
      <c r="N68" s="31">
        <v>-2.889026984590803</v>
      </c>
      <c r="O68" s="31">
        <v>5.5208607159533543</v>
      </c>
      <c r="P68" s="31"/>
      <c r="Q68" s="31">
        <v>7.2478968996751227</v>
      </c>
      <c r="R68" s="31">
        <v>74.583536976734592</v>
      </c>
      <c r="S68" s="31"/>
      <c r="T68" s="31">
        <v>7.0325666788585526</v>
      </c>
      <c r="U68" s="31">
        <v>6.4429336068140692</v>
      </c>
      <c r="V68" s="31">
        <v>2.6077487802137647</v>
      </c>
      <c r="W68" s="31"/>
      <c r="X68" s="31">
        <v>74.265558846563778</v>
      </c>
      <c r="Y68" s="31">
        <v>65</v>
      </c>
      <c r="Z68" s="31">
        <v>54.641597427910234</v>
      </c>
      <c r="AA68" s="31">
        <v>7.3860716070100958</v>
      </c>
      <c r="AB68" s="31">
        <v>5.6590354232883282</v>
      </c>
      <c r="AC68" s="32">
        <v>82.123228889510443</v>
      </c>
      <c r="AD68" s="45"/>
      <c r="AE68" s="34">
        <v>1673.2439999999999</v>
      </c>
      <c r="AF68" s="34">
        <v>1698.23</v>
      </c>
      <c r="AG68" s="38">
        <v>-2.4997081184804415</v>
      </c>
    </row>
    <row r="69" spans="1:71" x14ac:dyDescent="0.25">
      <c r="A69" s="7"/>
      <c r="B69" s="47" t="s">
        <v>107</v>
      </c>
      <c r="C69" s="31">
        <v>36.856235209428405</v>
      </c>
      <c r="D69" s="31">
        <v>44.071628821930069</v>
      </c>
      <c r="E69" s="31">
        <v>39.6006813733417</v>
      </c>
      <c r="F69" s="31">
        <v>1.8798624502199279</v>
      </c>
      <c r="G69" s="31">
        <v>2.5910849983684368</v>
      </c>
      <c r="H69" s="31">
        <v>4.4709474485883645</v>
      </c>
      <c r="I69" s="31">
        <v>32.807813421014657</v>
      </c>
      <c r="J69" s="31"/>
      <c r="K69" s="31">
        <v>3.7574270748280645</v>
      </c>
      <c r="L69" s="31">
        <v>5.3355311622817316</v>
      </c>
      <c r="M69" s="31">
        <v>-4.9146863312079541</v>
      </c>
      <c r="N69" s="31">
        <v>-3.3365822437542874</v>
      </c>
      <c r="O69" s="31">
        <v>5.6372895250479935</v>
      </c>
      <c r="P69" s="31"/>
      <c r="Q69" s="31">
        <v>7.2153936125016598</v>
      </c>
      <c r="R69" s="31">
        <v>76.201342114425628</v>
      </c>
      <c r="S69" s="31"/>
      <c r="T69" s="31">
        <v>5.5561254918598602</v>
      </c>
      <c r="U69" s="31">
        <v>5.0357639860920091</v>
      </c>
      <c r="V69" s="31">
        <v>2.2509199641345843</v>
      </c>
      <c r="W69" s="31"/>
      <c r="X69" s="31">
        <v>77.471553502551188</v>
      </c>
      <c r="Y69" s="31">
        <v>69.7</v>
      </c>
      <c r="Z69" s="31">
        <v>58.717052474473846</v>
      </c>
      <c r="AA69" s="31">
        <v>7.2337088537383094</v>
      </c>
      <c r="AB69" s="31">
        <v>5.6556047662846431</v>
      </c>
      <c r="AC69" s="32">
        <v>83.928259895591538</v>
      </c>
      <c r="AD69" s="45"/>
      <c r="AE69" s="34">
        <v>1725.3389999999999</v>
      </c>
      <c r="AF69" s="34">
        <v>1763.4860000000001</v>
      </c>
      <c r="AG69" s="38">
        <v>-2.1563249275151577</v>
      </c>
    </row>
    <row r="70" spans="1:71" x14ac:dyDescent="0.25">
      <c r="A70" s="7"/>
      <c r="B70" s="47" t="s">
        <v>108</v>
      </c>
      <c r="C70" s="31">
        <v>36.74711852905974</v>
      </c>
      <c r="D70" s="31">
        <v>42.522921768015465</v>
      </c>
      <c r="E70" s="31">
        <v>38.52398172134869</v>
      </c>
      <c r="F70" s="31">
        <v>1.4526682606620382</v>
      </c>
      <c r="G70" s="31">
        <v>2.546271786004735</v>
      </c>
      <c r="H70" s="31">
        <v>3.9989400466667742</v>
      </c>
      <c r="I70" s="31">
        <v>32.704605086999884</v>
      </c>
      <c r="J70" s="31"/>
      <c r="K70" s="31">
        <v>3.1080228066673219</v>
      </c>
      <c r="L70" s="31">
        <v>4.3231349782936856</v>
      </c>
      <c r="M70" s="31">
        <v>-3.6396535637881797</v>
      </c>
      <c r="N70" s="31">
        <v>-2.4245413921618169</v>
      </c>
      <c r="O70" s="31">
        <v>4.5606910673293619</v>
      </c>
      <c r="P70" s="31"/>
      <c r="Q70" s="31">
        <v>5.7758032389557243</v>
      </c>
      <c r="R70" s="31">
        <v>76.9569005573059</v>
      </c>
      <c r="S70" s="31"/>
      <c r="T70" s="31">
        <v>4.3480815787095732</v>
      </c>
      <c r="U70" s="31">
        <v>3.5814448294844423</v>
      </c>
      <c r="V70" s="31">
        <v>2.1087084147100676</v>
      </c>
      <c r="W70" s="31"/>
      <c r="X70" s="31">
        <v>79.217787377962253</v>
      </c>
      <c r="Y70" s="31">
        <v>70.7</v>
      </c>
      <c r="Z70" s="31">
        <v>56.327202914321063</v>
      </c>
      <c r="AA70" s="31">
        <v>5.6164221807431085</v>
      </c>
      <c r="AB70" s="31">
        <v>4.4013100091167461</v>
      </c>
      <c r="AC70" s="32">
        <v>85.361002254618313</v>
      </c>
      <c r="AD70" s="45"/>
      <c r="AE70" s="34">
        <v>1803.8530000000001</v>
      </c>
      <c r="AF70" s="34">
        <v>1844.4090000000001</v>
      </c>
      <c r="AG70" s="38">
        <v>-1.5676943722466632</v>
      </c>
    </row>
    <row r="71" spans="1:71" x14ac:dyDescent="0.25">
      <c r="A71" s="7"/>
      <c r="B71" s="47" t="s">
        <v>109</v>
      </c>
      <c r="C71" s="31">
        <v>36.771277015512396</v>
      </c>
      <c r="D71" s="31">
        <v>42.055791712079106</v>
      </c>
      <c r="E71" s="31">
        <v>37.617068109058103</v>
      </c>
      <c r="F71" s="31">
        <v>1.9291310032398354</v>
      </c>
      <c r="G71" s="31">
        <v>2.509592599781167</v>
      </c>
      <c r="H71" s="31">
        <v>4.4387236030210024</v>
      </c>
      <c r="I71" s="31">
        <v>32.633501901456967</v>
      </c>
      <c r="J71" s="31"/>
      <c r="K71" s="31">
        <v>2.7194564396230749</v>
      </c>
      <c r="L71" s="31">
        <v>3.3553836933268779</v>
      </c>
      <c r="M71" s="31">
        <v>-3.4268349646262881</v>
      </c>
      <c r="N71" s="31">
        <v>-2.790907710922486</v>
      </c>
      <c r="O71" s="31">
        <v>4.6485874428629117</v>
      </c>
      <c r="P71" s="31"/>
      <c r="Q71" s="31">
        <v>5.2845146965667125</v>
      </c>
      <c r="R71" s="31">
        <v>79.18540738829023</v>
      </c>
      <c r="S71" s="31"/>
      <c r="T71" s="31">
        <v>4.5078287131732688</v>
      </c>
      <c r="U71" s="31">
        <v>4.1880042913420255</v>
      </c>
      <c r="V71" s="31">
        <v>1.8355511665753086</v>
      </c>
      <c r="W71" s="31"/>
      <c r="X71" s="31">
        <v>81.624307423349421</v>
      </c>
      <c r="Y71" s="31">
        <v>72.900000000000006</v>
      </c>
      <c r="Z71" s="31">
        <v>53.461687456011759</v>
      </c>
      <c r="AA71" s="31">
        <v>5.052831283286161</v>
      </c>
      <c r="AB71" s="31">
        <v>4.4169040295823585</v>
      </c>
      <c r="AC71" s="32">
        <v>86.456518168885225</v>
      </c>
      <c r="AD71" s="45"/>
      <c r="AE71" s="48">
        <v>1875.404</v>
      </c>
      <c r="AF71" s="49">
        <v>1902.4970000000001</v>
      </c>
      <c r="AG71" s="50">
        <v>-0.64477675850893945</v>
      </c>
    </row>
    <row r="72" spans="1:71" x14ac:dyDescent="0.25">
      <c r="A72" s="7"/>
      <c r="B72" s="47" t="s">
        <v>110</v>
      </c>
      <c r="C72" s="31">
        <v>36.972154650380418</v>
      </c>
      <c r="D72" s="31">
        <v>41.229077169918746</v>
      </c>
      <c r="E72" s="31">
        <v>37.071580145955181</v>
      </c>
      <c r="F72" s="31">
        <v>1.6691682625122926</v>
      </c>
      <c r="G72" s="31">
        <v>2.4883287614512706</v>
      </c>
      <c r="H72" s="31">
        <v>4.1574970239635629</v>
      </c>
      <c r="I72" s="31">
        <v>32.817763055742461</v>
      </c>
      <c r="J72" s="31"/>
      <c r="K72" s="31">
        <v>2.4109530506245225</v>
      </c>
      <c r="L72" s="31">
        <v>2.5877542570260337</v>
      </c>
      <c r="M72" s="31">
        <v>-2.4656073702189327</v>
      </c>
      <c r="N72" s="31">
        <v>-2.2888061638174215</v>
      </c>
      <c r="O72" s="31">
        <v>4.0801213131368153</v>
      </c>
      <c r="P72" s="31"/>
      <c r="Q72" s="31">
        <v>4.2569225195383265</v>
      </c>
      <c r="R72" s="31">
        <v>78.897719698806839</v>
      </c>
      <c r="S72" s="31"/>
      <c r="T72" s="31">
        <v>3.1441436778634646</v>
      </c>
      <c r="U72" s="31">
        <v>2.6046788468505775</v>
      </c>
      <c r="V72" s="31">
        <v>1.8048237668857721</v>
      </c>
      <c r="W72" s="31"/>
      <c r="X72" s="31">
        <v>81.327844707894386</v>
      </c>
      <c r="Y72" s="31">
        <v>74</v>
      </c>
      <c r="Z72" s="31">
        <v>51.956784446386507</v>
      </c>
      <c r="AA72" s="31">
        <v>4.3723927332953787</v>
      </c>
      <c r="AB72" s="31">
        <v>4.1955915268938675</v>
      </c>
      <c r="AC72" s="32">
        <v>86.446664251332763</v>
      </c>
      <c r="AD72" s="45"/>
      <c r="AE72" s="51">
        <v>1932.1</v>
      </c>
      <c r="AF72" s="34">
        <v>1966.9770000000001</v>
      </c>
      <c r="AG72" s="52">
        <v>-9.5691709399446268E-2</v>
      </c>
    </row>
    <row r="73" spans="1:71" x14ac:dyDescent="0.25">
      <c r="A73" s="7"/>
      <c r="B73" s="53" t="s">
        <v>111</v>
      </c>
      <c r="C73" s="31">
        <v>37.525929862112974</v>
      </c>
      <c r="D73" s="31">
        <v>40.416665632038061</v>
      </c>
      <c r="E73" s="31">
        <v>36.14323563956188</v>
      </c>
      <c r="F73" s="31">
        <v>1.8101862083179174</v>
      </c>
      <c r="G73" s="31">
        <v>2.4632437841582635</v>
      </c>
      <c r="H73" s="31">
        <v>4.2734299924761805</v>
      </c>
      <c r="I73" s="31">
        <v>33.611607043089379</v>
      </c>
      <c r="J73" s="31"/>
      <c r="K73" s="31">
        <v>0.97196982788842445</v>
      </c>
      <c r="L73" s="31">
        <v>1.0805495616071672</v>
      </c>
      <c r="M73" s="31">
        <v>-0.92118364823289578</v>
      </c>
      <c r="N73" s="31">
        <v>-0.81260391451415293</v>
      </c>
      <c r="O73" s="31">
        <v>2.782156036206342</v>
      </c>
      <c r="P73" s="31"/>
      <c r="Q73" s="31">
        <v>2.8907357699250849</v>
      </c>
      <c r="R73" s="31">
        <v>77.424315774943082</v>
      </c>
      <c r="S73" s="31"/>
      <c r="T73" s="31">
        <v>3.3254287707867229</v>
      </c>
      <c r="U73" s="31">
        <v>4.9259412844127821</v>
      </c>
      <c r="V73" s="31">
        <v>1.8418210125620469</v>
      </c>
      <c r="W73" s="31"/>
      <c r="X73" s="31">
        <v>83.504912110836969</v>
      </c>
      <c r="Y73" s="31">
        <v>74.2</v>
      </c>
      <c r="Z73" s="31">
        <v>61.421654116626904</v>
      </c>
      <c r="AA73" s="31">
        <v>2.7220830301871519</v>
      </c>
      <c r="AB73" s="31">
        <v>2.6135032964684091</v>
      </c>
      <c r="AC73" s="32">
        <v>86.295971652831611</v>
      </c>
      <c r="AD73" s="45"/>
      <c r="AE73" s="51">
        <v>2013.605</v>
      </c>
      <c r="AF73" s="34">
        <v>2057.364</v>
      </c>
      <c r="AG73" s="43">
        <v>-0.17888278367770738</v>
      </c>
    </row>
    <row r="74" spans="1:71" x14ac:dyDescent="0.25">
      <c r="A74" s="7"/>
      <c r="B74" s="47" t="s">
        <v>112</v>
      </c>
      <c r="C74" s="31">
        <v>37.192682703706105</v>
      </c>
      <c r="D74" s="31">
        <v>40.093662688535595</v>
      </c>
      <c r="E74" s="31">
        <v>35.484570289421427</v>
      </c>
      <c r="F74" s="31">
        <v>2.2089204920126089</v>
      </c>
      <c r="G74" s="31">
        <v>2.400171907101555</v>
      </c>
      <c r="H74" s="31">
        <v>4.6090923991141644</v>
      </c>
      <c r="I74" s="31">
        <v>33.390333941932752</v>
      </c>
      <c r="J74" s="31"/>
      <c r="K74" s="31">
        <v>0.69468172597357514</v>
      </c>
      <c r="L74" s="31">
        <v>0.69205949281687518</v>
      </c>
      <c r="M74" s="31">
        <v>-0.89036252958822359</v>
      </c>
      <c r="N74" s="31">
        <v>-0.89298476274492322</v>
      </c>
      <c r="O74" s="31">
        <v>2.903602217986184</v>
      </c>
      <c r="P74" s="31"/>
      <c r="Q74" s="31">
        <v>2.9009799848294842</v>
      </c>
      <c r="R74" s="31">
        <v>73.735588459062456</v>
      </c>
      <c r="S74" s="31"/>
      <c r="T74" s="31">
        <v>1.8398538599052414</v>
      </c>
      <c r="U74" s="31">
        <v>3.8499472081295663</v>
      </c>
      <c r="V74" s="31">
        <v>2.0883282320250349</v>
      </c>
      <c r="W74" s="31"/>
      <c r="X74" s="31">
        <v>82.275414057470584</v>
      </c>
      <c r="Y74" s="31">
        <v>70.2</v>
      </c>
      <c r="Z74" s="31">
        <v>63.019839644173928</v>
      </c>
      <c r="AA74" s="31">
        <v>2.8621484194838209</v>
      </c>
      <c r="AB74" s="31">
        <v>2.8647706526405208</v>
      </c>
      <c r="AC74" s="32">
        <v>85.005631768127429</v>
      </c>
      <c r="AD74" s="45"/>
      <c r="AE74" s="34">
        <v>2098.808</v>
      </c>
      <c r="AF74" s="34">
        <v>2135.875</v>
      </c>
      <c r="AG74" s="52">
        <v>7.6797579784496861E-2</v>
      </c>
    </row>
    <row r="75" spans="1:71" x14ac:dyDescent="0.25">
      <c r="A75" s="7"/>
      <c r="B75" s="47" t="s">
        <v>113</v>
      </c>
      <c r="C75" s="31">
        <v>37.411492139816545</v>
      </c>
      <c r="D75" s="31">
        <v>39.481394889857135</v>
      </c>
      <c r="E75" s="31">
        <v>35.035012101613994</v>
      </c>
      <c r="F75" s="31">
        <v>2.1001280319017037</v>
      </c>
      <c r="G75" s="31">
        <v>2.3462547563414433</v>
      </c>
      <c r="H75" s="31">
        <v>4.446382788243147</v>
      </c>
      <c r="I75" s="31">
        <v>33.840492400664864</v>
      </c>
      <c r="J75" s="31"/>
      <c r="K75" s="31">
        <v>0.17486681294204587</v>
      </c>
      <c r="L75" s="31">
        <v>-3.0225281861104476E-2</v>
      </c>
      <c r="M75" s="31">
        <v>-0.43138884020026902</v>
      </c>
      <c r="N75" s="31">
        <v>-0.63648093500341929</v>
      </c>
      <c r="O75" s="31">
        <v>2.2749948448437491</v>
      </c>
      <c r="P75" s="31"/>
      <c r="Q75" s="31">
        <v>2.0699027500405993</v>
      </c>
      <c r="R75" s="31">
        <v>72.319403695903333</v>
      </c>
      <c r="S75" s="31"/>
      <c r="T75" s="31">
        <v>1.6016179036719806</v>
      </c>
      <c r="U75" s="31">
        <v>0.80715764117667899</v>
      </c>
      <c r="V75" s="31">
        <v>1.8128728417331552</v>
      </c>
      <c r="W75" s="31"/>
      <c r="X75" s="31">
        <v>80.290127102312184</v>
      </c>
      <c r="Y75" s="31">
        <v>66.900000000000006</v>
      </c>
      <c r="Z75" s="31">
        <v>58.859183434631703</v>
      </c>
      <c r="AA75" s="31">
        <v>1.8603499968026529</v>
      </c>
      <c r="AB75" s="31">
        <v>2.0654420916058029</v>
      </c>
      <c r="AC75" s="32">
        <v>84.751368303570402</v>
      </c>
      <c r="AD75" s="45"/>
      <c r="AE75" s="34">
        <v>2173.6770000000001</v>
      </c>
      <c r="AF75" s="34">
        <v>2213.0990000000002</v>
      </c>
      <c r="AG75" s="52">
        <v>0.37946515769249345</v>
      </c>
    </row>
    <row r="76" spans="1:71" x14ac:dyDescent="0.25">
      <c r="A76" s="7"/>
      <c r="B76" s="47" t="s">
        <v>114</v>
      </c>
      <c r="C76" s="31">
        <v>36.883523300641698</v>
      </c>
      <c r="D76" s="31">
        <v>39.582420921457654</v>
      </c>
      <c r="E76" s="31">
        <v>35.344300245621653</v>
      </c>
      <c r="F76" s="31">
        <v>1.8960048723351073</v>
      </c>
      <c r="G76" s="31">
        <v>2.3421158035008993</v>
      </c>
      <c r="H76" s="31">
        <v>4.238120675836007</v>
      </c>
      <c r="I76" s="31">
        <v>33.146982257589521</v>
      </c>
      <c r="J76" s="31"/>
      <c r="K76" s="31">
        <v>1.1560289462728623</v>
      </c>
      <c r="L76" s="31">
        <v>0.80289274848084813</v>
      </c>
      <c r="M76" s="31">
        <v>-1.3216699064249686</v>
      </c>
      <c r="N76" s="31">
        <v>-1.6748061042169833</v>
      </c>
      <c r="O76" s="31">
        <v>3.0520338186079692</v>
      </c>
      <c r="P76" s="31"/>
      <c r="Q76" s="31">
        <v>2.6988976208159556</v>
      </c>
      <c r="R76" s="31">
        <v>77.133323351171356</v>
      </c>
      <c r="S76" s="31"/>
      <c r="T76" s="31">
        <v>2.4983637846852029</v>
      </c>
      <c r="U76" s="31">
        <v>0.76564629502488069</v>
      </c>
      <c r="V76" s="31">
        <v>1.7214009834667625</v>
      </c>
      <c r="W76" s="31"/>
      <c r="X76" s="31">
        <v>85.19258923043634</v>
      </c>
      <c r="Y76" s="31">
        <v>74.5</v>
      </c>
      <c r="Z76" s="31">
        <v>67.135562296904851</v>
      </c>
      <c r="AA76" s="31">
        <v>2.9442519499810427</v>
      </c>
      <c r="AB76" s="31">
        <v>3.2973881477730567</v>
      </c>
      <c r="AC76" s="32">
        <v>84.601398345918867</v>
      </c>
      <c r="AD76" s="45"/>
      <c r="AE76" s="51">
        <v>2244.509</v>
      </c>
      <c r="AF76" s="34">
        <v>2130.4670000000001</v>
      </c>
      <c r="AG76" s="52">
        <v>0.55448633250701107</v>
      </c>
    </row>
    <row r="77" spans="1:71" x14ac:dyDescent="0.25">
      <c r="A77" s="7"/>
      <c r="B77" s="47" t="s">
        <v>115</v>
      </c>
      <c r="C77" s="31">
        <v>38.006382476677203</v>
      </c>
      <c r="D77" s="31">
        <v>53.103232291840527</v>
      </c>
      <c r="E77" s="31">
        <v>47.078487005799289</v>
      </c>
      <c r="F77" s="31">
        <v>3.4519952193772534</v>
      </c>
      <c r="G77" s="31">
        <v>2.5727500666639811</v>
      </c>
      <c r="H77" s="31">
        <v>6.0247452860412336</v>
      </c>
      <c r="I77" s="31">
        <v>34.084286292542657</v>
      </c>
      <c r="J77" s="31"/>
      <c r="K77" s="31">
        <v>11.604529571120977</v>
      </c>
      <c r="L77" s="31">
        <v>11.644854595786072</v>
      </c>
      <c r="M77" s="31">
        <v>-14.080391965023953</v>
      </c>
      <c r="N77" s="31">
        <v>-14.040066940358859</v>
      </c>
      <c r="O77" s="31">
        <v>15.05652479049823</v>
      </c>
      <c r="P77" s="31"/>
      <c r="Q77" s="31">
        <v>15.096849815163321</v>
      </c>
      <c r="R77" s="31">
        <v>86.537211314714597</v>
      </c>
      <c r="S77" s="31"/>
      <c r="T77" s="31">
        <v>16.209562780204539</v>
      </c>
      <c r="U77" s="31">
        <v>16.235077339809813</v>
      </c>
      <c r="V77" s="31">
        <v>1.2105507499937653</v>
      </c>
      <c r="W77" s="31"/>
      <c r="X77" s="31">
        <v>96.486233225877328</v>
      </c>
      <c r="Y77" s="31">
        <v>83</v>
      </c>
      <c r="Z77" s="31">
        <v>73.502871720835557</v>
      </c>
      <c r="AA77" s="31">
        <v>15.310893949596277</v>
      </c>
      <c r="AB77" s="31">
        <v>15.27056892493118</v>
      </c>
      <c r="AC77" s="32">
        <v>107.63839730197921</v>
      </c>
      <c r="AD77" s="45"/>
      <c r="AE77" s="54">
        <v>2085.0839999999998</v>
      </c>
      <c r="AF77" s="34">
        <v>2230.37</v>
      </c>
      <c r="AG77" s="52">
        <v>-0.30244458233298133</v>
      </c>
      <c r="AH77" s="55"/>
      <c r="BS77" s="7">
        <v>60</v>
      </c>
    </row>
    <row r="78" spans="1:71" x14ac:dyDescent="0.25">
      <c r="A78" s="7"/>
      <c r="B78" s="47" t="s">
        <v>116</v>
      </c>
      <c r="C78" s="31">
        <v>38.990778688524593</v>
      </c>
      <c r="D78" s="31">
        <v>44.338377252404825</v>
      </c>
      <c r="E78" s="31">
        <v>39.696094702614822</v>
      </c>
      <c r="F78" s="31">
        <v>2.3021101476764665</v>
      </c>
      <c r="G78" s="31">
        <v>2.3401724021135348</v>
      </c>
      <c r="H78" s="31">
        <v>4.6422825497900018</v>
      </c>
      <c r="I78" s="31">
        <v>35.237095244546815</v>
      </c>
      <c r="J78" s="31"/>
      <c r="K78" s="31">
        <v>3.8891333693383068</v>
      </c>
      <c r="L78" s="31">
        <v>3.0454884162037663</v>
      </c>
      <c r="M78" s="31">
        <v>-3.1829189811678633</v>
      </c>
      <c r="N78" s="31">
        <v>-4.0265639343024029</v>
      </c>
      <c r="O78" s="31">
        <v>6.1912435170147733</v>
      </c>
      <c r="P78" s="31"/>
      <c r="Q78" s="31">
        <v>5.3475985638802328</v>
      </c>
      <c r="R78" s="31">
        <v>83.186433113912756</v>
      </c>
      <c r="S78" s="31"/>
      <c r="T78" s="31">
        <v>5.4536140089418774</v>
      </c>
      <c r="U78" s="31">
        <v>7.3307732692047143</v>
      </c>
      <c r="V78" s="31">
        <v>2.4384399132908818</v>
      </c>
      <c r="W78" s="31"/>
      <c r="X78" s="31">
        <v>96.60320712423804</v>
      </c>
      <c r="Y78" s="31">
        <v>80.5</v>
      </c>
      <c r="Z78" s="31">
        <v>67.397726004888796</v>
      </c>
      <c r="AA78" s="31">
        <v>5.9205222869529868</v>
      </c>
      <c r="AB78" s="31">
        <v>6.764167240087529</v>
      </c>
      <c r="AC78" s="32">
        <v>100.99677381113669</v>
      </c>
      <c r="AD78" s="45"/>
      <c r="AE78" s="54">
        <v>2361.92</v>
      </c>
      <c r="AF78" s="56">
        <v>2464.8249999999998</v>
      </c>
      <c r="AG78" s="57">
        <v>1.7841179210937241</v>
      </c>
      <c r="BS78" s="7">
        <v>60</v>
      </c>
    </row>
    <row r="79" spans="1:71" x14ac:dyDescent="0.25">
      <c r="A79" s="7"/>
      <c r="B79" s="47" t="s">
        <v>117</v>
      </c>
      <c r="C79" s="58">
        <v>40.29624169637713</v>
      </c>
      <c r="D79" s="59">
        <v>45.327783811475008</v>
      </c>
      <c r="E79" s="59">
        <v>41.163566634407161</v>
      </c>
      <c r="F79" s="59">
        <v>1.7982158446499423</v>
      </c>
      <c r="G79" s="59">
        <v>2.3660013324178997</v>
      </c>
      <c r="H79" s="59">
        <v>4.164217177067842</v>
      </c>
      <c r="I79" s="59">
        <v>36.24051357229385</v>
      </c>
      <c r="J79" s="59"/>
      <c r="K79" s="59">
        <v>4.1082820966799609</v>
      </c>
      <c r="L79" s="59">
        <v>3.2333262704479346</v>
      </c>
      <c r="M79" s="59">
        <v>-1.1957295262161642</v>
      </c>
      <c r="N79" s="59">
        <v>-2.0706853524481907</v>
      </c>
      <c r="O79" s="59">
        <v>5.9064979413299028</v>
      </c>
      <c r="P79" s="59"/>
      <c r="Q79" s="59">
        <v>5.0315421150978761</v>
      </c>
      <c r="R79" s="31">
        <v>84.868662550680384</v>
      </c>
      <c r="S79" s="59"/>
      <c r="T79" s="59">
        <v>4.3614165928719171</v>
      </c>
      <c r="U79" s="59">
        <v>1.2828340943886092</v>
      </c>
      <c r="V79" s="59">
        <v>4.3687797488145517</v>
      </c>
      <c r="W79" s="59"/>
      <c r="X79" s="59">
        <v>95.7</v>
      </c>
      <c r="Y79" s="59">
        <v>81.400000000000006</v>
      </c>
      <c r="Z79" s="59">
        <v>69.62644823950005</v>
      </c>
      <c r="AA79" s="59">
        <v>5.3784329245867912</v>
      </c>
      <c r="AB79" s="59">
        <v>6.2533887508188171</v>
      </c>
      <c r="AC79" s="60">
        <v>99.424929687735613</v>
      </c>
      <c r="AD79" s="45"/>
      <c r="AE79" s="51">
        <v>2553.2530000000002</v>
      </c>
      <c r="AF79" s="34">
        <v>2653.3939999999998</v>
      </c>
      <c r="AG79" s="43">
        <v>1.0266045567831412</v>
      </c>
      <c r="BS79" s="7">
        <v>60</v>
      </c>
    </row>
    <row r="80" spans="1:71" x14ac:dyDescent="0.25">
      <c r="A80" s="7"/>
      <c r="B80" s="61" t="s">
        <v>118</v>
      </c>
      <c r="C80" s="62">
        <v>40.306667862625503</v>
      </c>
      <c r="D80" s="63">
        <v>44.729828487739461</v>
      </c>
      <c r="E80" s="63">
        <v>39.729924066416885</v>
      </c>
      <c r="F80" s="63">
        <v>2.6051806584047479</v>
      </c>
      <c r="G80" s="63">
        <v>2.3947237629178257</v>
      </c>
      <c r="H80" s="63">
        <v>4.9999044213225732</v>
      </c>
      <c r="I80" s="63">
        <v>36.057313386308429</v>
      </c>
      <c r="J80" s="63"/>
      <c r="K80" s="63">
        <v>1.9153046581696032</v>
      </c>
      <c r="L80" s="63">
        <v>1.8179799667092114</v>
      </c>
      <c r="M80" s="63">
        <v>-1.425041319397472</v>
      </c>
      <c r="N80" s="63">
        <v>-1.5223660108578643</v>
      </c>
      <c r="O80" s="63">
        <v>4.5204853165743515</v>
      </c>
      <c r="P80" s="63"/>
      <c r="Q80" s="64">
        <v>4.4231606251139599</v>
      </c>
      <c r="R80" s="64">
        <v>89.3</v>
      </c>
      <c r="S80" s="64"/>
      <c r="T80" s="64">
        <v>5.8406291723768797</v>
      </c>
      <c r="U80" s="64">
        <v>1.1233435479981413</v>
      </c>
      <c r="V80" s="64">
        <v>3.7556538463800679</v>
      </c>
      <c r="W80" s="64"/>
      <c r="X80" s="64">
        <v>98.1</v>
      </c>
      <c r="Y80" s="64">
        <v>83.2</v>
      </c>
      <c r="Z80" s="64">
        <v>71.448627196103914</v>
      </c>
      <c r="AA80" s="64">
        <v>5.3853070575295412</v>
      </c>
      <c r="AB80" s="64">
        <v>5.4826317489899328</v>
      </c>
      <c r="AC80" s="65">
        <v>100.58571348747478</v>
      </c>
      <c r="AD80" s="45"/>
      <c r="AE80" s="66">
        <v>2720.2719999999999</v>
      </c>
      <c r="AF80" s="67">
        <v>2757.1296969999999</v>
      </c>
      <c r="AG80" s="68">
        <v>-0.21599243979247262</v>
      </c>
      <c r="BS80" s="7">
        <v>60</v>
      </c>
    </row>
    <row r="81" spans="1:71" x14ac:dyDescent="0.25">
      <c r="B81" s="69" t="s">
        <v>119</v>
      </c>
      <c r="C81" s="70">
        <v>40.893017256342048</v>
      </c>
      <c r="D81" s="71">
        <v>44.024340577227356</v>
      </c>
      <c r="E81" s="71">
        <v>39.143595052586363</v>
      </c>
      <c r="F81" s="71">
        <v>2.3896524150155525</v>
      </c>
      <c r="G81" s="71">
        <v>2.4910931096254343</v>
      </c>
      <c r="H81" s="71">
        <v>4.8807455246409868</v>
      </c>
      <c r="I81" s="71">
        <v>36.477369412950637</v>
      </c>
      <c r="J81" s="71"/>
      <c r="K81" s="71">
        <v>0.31926811027442276</v>
      </c>
      <c r="L81" s="71">
        <v>0.74167090586975737</v>
      </c>
      <c r="M81" s="71">
        <v>-0.80321853747731076</v>
      </c>
      <c r="N81" s="71">
        <v>-0.38081574188197603</v>
      </c>
      <c r="O81" s="71">
        <v>2.7089205252899746</v>
      </c>
      <c r="P81" s="71"/>
      <c r="Q81" s="71">
        <v>3.1313233208853091</v>
      </c>
      <c r="R81" s="71">
        <v>91.690627283912079</v>
      </c>
      <c r="S81" s="71"/>
      <c r="T81" s="71">
        <v>5.1213830022386917</v>
      </c>
      <c r="U81" s="71">
        <v>4.0636212127586955</v>
      </c>
      <c r="V81" s="71">
        <v>3.1933991584677384</v>
      </c>
      <c r="W81" s="71"/>
      <c r="X81" s="71">
        <v>98.777579475392969</v>
      </c>
      <c r="Y81" s="71">
        <v>83.564071277616264</v>
      </c>
      <c r="Z81" s="71">
        <v>70.24924369836431</v>
      </c>
      <c r="AA81" s="71">
        <v>3.9383121447164791</v>
      </c>
      <c r="AB81" s="71">
        <v>3.5159093491211442</v>
      </c>
      <c r="AC81" s="72">
        <v>102.50771702044274</v>
      </c>
      <c r="AD81" s="45"/>
      <c r="AE81" s="73">
        <v>2785.6140260000002</v>
      </c>
      <c r="AF81" s="74">
        <v>2827.4832340000003</v>
      </c>
      <c r="AG81" s="75">
        <v>-0.7584086152736802</v>
      </c>
      <c r="BS81" s="7">
        <v>60</v>
      </c>
    </row>
    <row r="82" spans="1:71" x14ac:dyDescent="0.25">
      <c r="B82" s="69" t="s">
        <v>120</v>
      </c>
      <c r="C82" s="70">
        <v>40.839990083024489</v>
      </c>
      <c r="D82" s="71">
        <v>43.534969420920099</v>
      </c>
      <c r="E82" s="71">
        <v>38.941680989340249</v>
      </c>
      <c r="F82" s="71">
        <v>2.1199635329498867</v>
      </c>
      <c r="G82" s="71">
        <v>2.4733248986299596</v>
      </c>
      <c r="H82" s="71">
        <v>4.5932884315798468</v>
      </c>
      <c r="I82" s="71">
        <v>36.679998193564593</v>
      </c>
      <c r="J82" s="71"/>
      <c r="K82" s="71">
        <v>0.15728435360537854</v>
      </c>
      <c r="L82" s="71">
        <v>0.57501580494573012</v>
      </c>
      <c r="M82" s="71">
        <v>-0.22541386165626517</v>
      </c>
      <c r="N82" s="71">
        <v>0.19231758968408649</v>
      </c>
      <c r="O82" s="71">
        <v>2.2772478865552648</v>
      </c>
      <c r="P82" s="71"/>
      <c r="Q82" s="71">
        <v>2.6949793378956164</v>
      </c>
      <c r="R82" s="71">
        <v>92.763531041871346</v>
      </c>
      <c r="S82" s="71"/>
      <c r="T82" s="71">
        <v>3.9296679842443427</v>
      </c>
      <c r="U82" s="71">
        <v>0.89539796468368926</v>
      </c>
      <c r="V82" s="71">
        <v>3.091709891522167</v>
      </c>
      <c r="W82" s="71"/>
      <c r="X82" s="71">
        <v>96.357306720094442</v>
      </c>
      <c r="Y82" s="71">
        <v>83.171161821328127</v>
      </c>
      <c r="Z82" s="71">
        <v>69.481721782745211</v>
      </c>
      <c r="AA82" s="71">
        <v>3.121112860074267</v>
      </c>
      <c r="AB82" s="71">
        <v>2.7033814087339159</v>
      </c>
      <c r="AC82" s="72">
        <v>103.63285271553117</v>
      </c>
      <c r="AD82" s="76"/>
      <c r="AE82" s="73">
        <v>2875.0615680000001</v>
      </c>
      <c r="AF82" s="74">
        <v>2926.6497380000001</v>
      </c>
      <c r="AG82" s="75">
        <v>-0.53209945657123114</v>
      </c>
      <c r="BS82" s="7">
        <v>60</v>
      </c>
    </row>
    <row r="83" spans="1:71" x14ac:dyDescent="0.25">
      <c r="B83" s="69" t="s">
        <v>121</v>
      </c>
      <c r="C83" s="70">
        <v>40.926670665910116</v>
      </c>
      <c r="D83" s="71">
        <v>43.226989038419582</v>
      </c>
      <c r="E83" s="71">
        <v>38.796496776432612</v>
      </c>
      <c r="F83" s="71">
        <v>1.9804927853407679</v>
      </c>
      <c r="G83" s="71">
        <v>2.4499994766462017</v>
      </c>
      <c r="H83" s="71">
        <v>4.4304922619869691</v>
      </c>
      <c r="I83" s="71">
        <v>36.861182880351663</v>
      </c>
      <c r="J83" s="71"/>
      <c r="K83" s="71">
        <v>0.12373944763200742</v>
      </c>
      <c r="L83" s="71">
        <v>0.31982558716869652</v>
      </c>
      <c r="M83" s="71">
        <v>0.37482924888523217</v>
      </c>
      <c r="N83" s="71">
        <v>0.57091538842192124</v>
      </c>
      <c r="O83" s="71">
        <v>2.1042322329727763</v>
      </c>
      <c r="P83" s="71"/>
      <c r="Q83" s="71">
        <v>2.3003183725094649</v>
      </c>
      <c r="R83" s="71">
        <v>93.161001763025126</v>
      </c>
      <c r="S83" s="71"/>
      <c r="T83" s="71">
        <v>3.2799007409156906</v>
      </c>
      <c r="U83" s="71">
        <v>2.4729648404618514</v>
      </c>
      <c r="V83" s="71">
        <v>3.2231028983910552</v>
      </c>
      <c r="W83" s="71"/>
      <c r="X83" s="71">
        <v>95.479821529204358</v>
      </c>
      <c r="Y83" s="71">
        <v>82.127309142783844</v>
      </c>
      <c r="Z83" s="71">
        <v>67.879920957104716</v>
      </c>
      <c r="AA83" s="71">
        <v>2.9145200613591289</v>
      </c>
      <c r="AB83" s="71">
        <v>2.7184339218224394</v>
      </c>
      <c r="AC83" s="72">
        <v>103.80085425992525</v>
      </c>
      <c r="AD83" s="76"/>
      <c r="AE83" s="73">
        <v>2984.8320960000001</v>
      </c>
      <c r="AF83" s="74">
        <v>3040.2162050000002</v>
      </c>
      <c r="AG83" s="75">
        <v>-0.17933249644488569</v>
      </c>
    </row>
    <row r="84" spans="1:71" x14ac:dyDescent="0.25">
      <c r="B84" s="69" t="s">
        <v>122</v>
      </c>
      <c r="C84" s="70">
        <v>41.121457115861084</v>
      </c>
      <c r="D84" s="71">
        <v>42.755398251061678</v>
      </c>
      <c r="E84" s="71">
        <v>38.497964345866883</v>
      </c>
      <c r="F84" s="71">
        <v>1.8204392784787071</v>
      </c>
      <c r="G84" s="71">
        <v>2.4369946267160745</v>
      </c>
      <c r="H84" s="71">
        <v>4.257433905194782</v>
      </c>
      <c r="I84" s="71">
        <v>37.029353998644609</v>
      </c>
      <c r="J84" s="71"/>
      <c r="K84" s="71">
        <v>-0.24673503672184294</v>
      </c>
      <c r="L84" s="71">
        <v>-0.18649814327812209</v>
      </c>
      <c r="M84" s="71">
        <v>1.1142813395246436</v>
      </c>
      <c r="N84" s="71">
        <v>1.1745182329683646</v>
      </c>
      <c r="O84" s="71">
        <v>1.5737042417568639</v>
      </c>
      <c r="P84" s="71"/>
      <c r="Q84" s="71">
        <v>1.6339411352005846</v>
      </c>
      <c r="R84" s="71">
        <v>93.192661565826455</v>
      </c>
      <c r="S84" s="71"/>
      <c r="T84" s="71">
        <v>3.1352605940579132</v>
      </c>
      <c r="U84" s="71">
        <v>3.1540234410025105</v>
      </c>
      <c r="V84" s="71">
        <v>3.3299182980022852</v>
      </c>
      <c r="W84" s="71"/>
      <c r="X84" s="71">
        <v>95.061624897069535</v>
      </c>
      <c r="Y84" s="71">
        <v>80.610489515476331</v>
      </c>
      <c r="Z84" s="71">
        <v>65.961559354474147</v>
      </c>
      <c r="AA84" s="71">
        <v>2.2836190115266874</v>
      </c>
      <c r="AB84" s="71">
        <v>2.2233821180829665</v>
      </c>
      <c r="AC84" s="72">
        <v>103.52664529888709</v>
      </c>
      <c r="AD84" s="76"/>
      <c r="AE84" s="73">
        <v>3094.4904059999999</v>
      </c>
      <c r="AF84" s="74">
        <v>3150.5576609999998</v>
      </c>
      <c r="AG84" s="75">
        <v>-4.8740788309487471E-2</v>
      </c>
    </row>
    <row r="85" spans="1:71" x14ac:dyDescent="0.25">
      <c r="B85" s="77" t="s">
        <v>123</v>
      </c>
      <c r="C85" s="78">
        <v>41.223728273165101</v>
      </c>
      <c r="D85" s="79">
        <v>42.453192353273415</v>
      </c>
      <c r="E85" s="79">
        <v>38.38266405947298</v>
      </c>
      <c r="F85" s="79">
        <v>1.6542068330308228</v>
      </c>
      <c r="G85" s="79">
        <v>2.4163214607696153</v>
      </c>
      <c r="H85" s="79">
        <v>4.0705282938004386</v>
      </c>
      <c r="I85" s="79">
        <v>37.137295768515038</v>
      </c>
      <c r="J85" s="79"/>
      <c r="K85" s="79">
        <v>-0.43654580034515483</v>
      </c>
      <c r="L85" s="79">
        <v>-0.42474275292250757</v>
      </c>
      <c r="M85" s="79">
        <v>1.594986875442878</v>
      </c>
      <c r="N85" s="79">
        <v>1.6067899228655251</v>
      </c>
      <c r="O85" s="79">
        <v>1.2176610326856681</v>
      </c>
      <c r="P85" s="79"/>
      <c r="Q85" s="79">
        <v>1.2294640801083154</v>
      </c>
      <c r="R85" s="79">
        <v>92.918594679221826</v>
      </c>
      <c r="S85" s="79"/>
      <c r="T85" s="79">
        <v>3.0299654207968474</v>
      </c>
      <c r="U85" s="79">
        <v>3.0235767015179755</v>
      </c>
      <c r="V85" s="79">
        <v>3.4181320566545494</v>
      </c>
      <c r="W85" s="79"/>
      <c r="X85" s="79">
        <v>94.298719514612415</v>
      </c>
      <c r="Y85" s="79">
        <v>78.712156857643805</v>
      </c>
      <c r="Z85" s="79">
        <v>63.915276523706687</v>
      </c>
      <c r="AA85" s="79">
        <v>1.946879004183836</v>
      </c>
      <c r="AB85" s="79">
        <v>1.9350759567611886</v>
      </c>
      <c r="AC85" s="80">
        <v>102.98249743267553</v>
      </c>
      <c r="AD85" s="76"/>
      <c r="AE85" s="81">
        <v>3207.4755620000001</v>
      </c>
      <c r="AF85" s="82">
        <v>3264.2523614976558</v>
      </c>
      <c r="AG85" s="83">
        <v>-4.1097795214994903E-3</v>
      </c>
    </row>
    <row r="86" spans="1:71" s="17" customFormat="1" x14ac:dyDescent="0.25">
      <c r="A86" s="84"/>
      <c r="B86" s="85" t="s">
        <v>124</v>
      </c>
      <c r="C86" s="115" t="s">
        <v>125</v>
      </c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86"/>
      <c r="AD86" s="60"/>
      <c r="AE86" s="87"/>
      <c r="AF86" s="87"/>
      <c r="AG86" s="88"/>
    </row>
    <row r="87" spans="1:71" s="17" customFormat="1" x14ac:dyDescent="0.25">
      <c r="A87" s="84"/>
      <c r="B87" s="85"/>
      <c r="C87" s="89" t="s">
        <v>126</v>
      </c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90"/>
      <c r="AD87" s="91"/>
      <c r="AE87" s="87"/>
      <c r="AF87" s="87"/>
      <c r="AG87" s="90"/>
    </row>
    <row r="88" spans="1:71" s="17" customFormat="1" x14ac:dyDescent="0.25">
      <c r="A88" s="84"/>
      <c r="B88" s="85"/>
      <c r="C88" s="116" t="s">
        <v>127</v>
      </c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92"/>
      <c r="AD88" s="60"/>
      <c r="AE88" s="87"/>
      <c r="AF88" s="87"/>
      <c r="AG88" s="90"/>
    </row>
    <row r="89" spans="1:71" s="17" customFormat="1" x14ac:dyDescent="0.25">
      <c r="A89" s="84"/>
      <c r="B89" s="85"/>
      <c r="C89" s="117" t="s">
        <v>128</v>
      </c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93"/>
      <c r="AD89" s="60"/>
      <c r="AE89" s="87"/>
      <c r="AF89" s="87"/>
      <c r="AG89" s="90"/>
    </row>
    <row r="90" spans="1:71" s="17" customFormat="1" x14ac:dyDescent="0.25">
      <c r="A90" s="84"/>
      <c r="B90" s="85"/>
      <c r="C90" s="94" t="s">
        <v>129</v>
      </c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90"/>
      <c r="AD90" s="45"/>
      <c r="AE90" s="87"/>
      <c r="AF90" s="87"/>
      <c r="AG90" s="90"/>
    </row>
    <row r="91" spans="1:71" s="17" customFormat="1" ht="16.5" thickBot="1" x14ac:dyDescent="0.3">
      <c r="A91" s="84"/>
      <c r="B91" s="95"/>
      <c r="C91" s="96" t="s">
        <v>130</v>
      </c>
      <c r="D91" s="97"/>
      <c r="E91" s="97"/>
      <c r="F91" s="97"/>
      <c r="G91" s="97"/>
      <c r="H91" s="97"/>
      <c r="I91" s="97"/>
      <c r="J91" s="97"/>
      <c r="K91" s="97"/>
      <c r="L91" s="98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9"/>
      <c r="AD91" s="45"/>
      <c r="AE91" s="97"/>
      <c r="AF91" s="97"/>
      <c r="AG91" s="99"/>
    </row>
    <row r="92" spans="1:71" x14ac:dyDescent="0.25">
      <c r="AD92" s="100"/>
    </row>
    <row r="93" spans="1:71" x14ac:dyDescent="0.25">
      <c r="AG93" s="46"/>
      <c r="AH93" s="46"/>
      <c r="AI93" s="46"/>
    </row>
    <row r="94" spans="1:71" x14ac:dyDescent="0.25"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</row>
    <row r="95" spans="1:71" x14ac:dyDescent="0.25"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</row>
    <row r="96" spans="1:71" x14ac:dyDescent="0.25">
      <c r="B96" s="101"/>
    </row>
    <row r="97" spans="2:2" x14ac:dyDescent="0.25">
      <c r="B97" s="101"/>
    </row>
    <row r="98" spans="2:2" x14ac:dyDescent="0.25">
      <c r="B98" s="101"/>
    </row>
    <row r="99" spans="2:2" x14ac:dyDescent="0.25">
      <c r="B99" s="101"/>
    </row>
    <row r="100" spans="2:2" x14ac:dyDescent="0.25">
      <c r="B100" s="101"/>
    </row>
    <row r="101" spans="2:2" x14ac:dyDescent="0.25">
      <c r="B101" s="101"/>
    </row>
  </sheetData>
  <mergeCells count="10">
    <mergeCell ref="AE3:AG3"/>
    <mergeCell ref="C86:AB86"/>
    <mergeCell ref="C88:AB88"/>
    <mergeCell ref="C89:AB89"/>
    <mergeCell ref="C1:AC1"/>
    <mergeCell ref="C3:I3"/>
    <mergeCell ref="K3:O3"/>
    <mergeCell ref="Q3:R3"/>
    <mergeCell ref="T3:V3"/>
    <mergeCell ref="X3:AC3"/>
  </mergeCells>
  <pageMargins left="0.74803149606299213" right="0.74803149606299213" top="0.98425196850393704" bottom="0.98425196850393704" header="0.51181102362204722" footer="0.51181102362204722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0D75-77DC-4AB7-BBAD-6304DCAE8552}">
  <dimension ref="A1:Z100"/>
  <sheetViews>
    <sheetView showGridLines="0" workbookViewId="0">
      <selection activeCell="J29" sqref="J29"/>
    </sheetView>
  </sheetViews>
  <sheetFormatPr defaultColWidth="10" defaultRowHeight="12.75" x14ac:dyDescent="0.2"/>
  <cols>
    <col min="1" max="1" width="10" style="107"/>
    <col min="2" max="2" width="29.42578125" style="107" customWidth="1"/>
    <col min="3" max="3" width="7.7109375" style="107" customWidth="1"/>
    <col min="4" max="9" width="7.42578125" style="107" customWidth="1"/>
    <col min="10" max="16384" width="10" style="107"/>
  </cols>
  <sheetData>
    <row r="1" spans="1:26" ht="40.15" customHeight="1" x14ac:dyDescent="0.2">
      <c r="A1" s="105" t="s">
        <v>132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7.25" x14ac:dyDescent="0.3">
      <c r="A2" s="106"/>
      <c r="B2" s="108" t="s">
        <v>133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x14ac:dyDescent="0.2">
      <c r="A3" s="106"/>
      <c r="B3" s="109"/>
      <c r="C3" s="109"/>
      <c r="D3" s="109"/>
      <c r="E3" s="109"/>
      <c r="F3" s="109"/>
      <c r="G3" s="109"/>
      <c r="H3" s="109"/>
      <c r="I3" s="109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x14ac:dyDescent="0.2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</row>
    <row r="5" spans="1:26" x14ac:dyDescent="0.2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</row>
    <row r="6" spans="1:26" x14ac:dyDescent="0.2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</row>
    <row r="7" spans="1:26" x14ac:dyDescent="0.2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</row>
    <row r="8" spans="1:26" x14ac:dyDescent="0.2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</row>
    <row r="9" spans="1:26" x14ac:dyDescent="0.2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</row>
    <row r="10" spans="1:26" x14ac:dyDescent="0.2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</row>
    <row r="11" spans="1:26" x14ac:dyDescent="0.2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</row>
    <row r="12" spans="1:26" x14ac:dyDescent="0.2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</row>
    <row r="13" spans="1:26" x14ac:dyDescent="0.2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</row>
    <row r="14" spans="1:26" x14ac:dyDescent="0.2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</row>
    <row r="15" spans="1:26" x14ac:dyDescent="0.2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</row>
    <row r="16" spans="1:26" x14ac:dyDescent="0.2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</row>
    <row r="17" spans="1:26" x14ac:dyDescent="0.2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</row>
    <row r="18" spans="1:26" x14ac:dyDescent="0.2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</row>
    <row r="19" spans="1:26" x14ac:dyDescent="0.2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</row>
    <row r="20" spans="1:26" x14ac:dyDescent="0.2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</row>
    <row r="21" spans="1:26" x14ac:dyDescent="0.2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</row>
    <row r="22" spans="1:26" x14ac:dyDescent="0.2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</row>
    <row r="23" spans="1:26" ht="24.75" customHeight="1" x14ac:dyDescent="0.2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</row>
    <row r="24" spans="1:26" x14ac:dyDescent="0.2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x14ac:dyDescent="0.2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x14ac:dyDescent="0.2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x14ac:dyDescent="0.2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x14ac:dyDescent="0.2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x14ac:dyDescent="0.2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x14ac:dyDescent="0.2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x14ac:dyDescent="0.2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x14ac:dyDescent="0.2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x14ac:dyDescent="0.2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x14ac:dyDescent="0.2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x14ac:dyDescent="0.2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x14ac:dyDescent="0.2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x14ac:dyDescent="0.2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x14ac:dyDescent="0.2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x14ac:dyDescent="0.2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x14ac:dyDescent="0.2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x14ac:dyDescent="0.2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x14ac:dyDescent="0.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x14ac:dyDescent="0.2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x14ac:dyDescent="0.2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x14ac:dyDescent="0.2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x14ac:dyDescent="0.2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x14ac:dyDescent="0.2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x14ac:dyDescent="0.2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x14ac:dyDescent="0.2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x14ac:dyDescent="0.2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x14ac:dyDescent="0.2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x14ac:dyDescent="0.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x14ac:dyDescent="0.2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x14ac:dyDescent="0.2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x14ac:dyDescent="0.2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x14ac:dyDescent="0.2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x14ac:dyDescent="0.2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x14ac:dyDescent="0.2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x14ac:dyDescent="0.2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x14ac:dyDescent="0.2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x14ac:dyDescent="0.2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x14ac:dyDescent="0.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x14ac:dyDescent="0.2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x14ac:dyDescent="0.2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x14ac:dyDescent="0.2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x14ac:dyDescent="0.2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x14ac:dyDescent="0.2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x14ac:dyDescent="0.2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x14ac:dyDescent="0.2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x14ac:dyDescent="0.2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x14ac:dyDescent="0.2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x14ac:dyDescent="0.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x14ac:dyDescent="0.2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x14ac:dyDescent="0.2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x14ac:dyDescent="0.2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x14ac:dyDescent="0.2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x14ac:dyDescent="0.2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x14ac:dyDescent="0.2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x14ac:dyDescent="0.2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x14ac:dyDescent="0.2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x14ac:dyDescent="0.2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x14ac:dyDescent="0.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x14ac:dyDescent="0.2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x14ac:dyDescent="0.2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x14ac:dyDescent="0.2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x14ac:dyDescent="0.2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x14ac:dyDescent="0.2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x14ac:dyDescent="0.2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x14ac:dyDescent="0.2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x14ac:dyDescent="0.2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x14ac:dyDescent="0.2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x14ac:dyDescent="0.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x14ac:dyDescent="0.2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x14ac:dyDescent="0.2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x14ac:dyDescent="0.2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x14ac:dyDescent="0.2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x14ac:dyDescent="0.2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x14ac:dyDescent="0.2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x14ac:dyDescent="0.2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x14ac:dyDescent="0.2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</sheetData>
  <hyperlinks>
    <hyperlink ref="A1" location="Contents!A1" display="Contents!A1" xr:uid="{25A1EF3E-EF9D-4417-BE76-046F4F1749DE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Chart Data</vt:lpstr>
      <vt:lpstr>Aggregates (per cent of GDP)</vt:lpstr>
      <vt:lpstr>T5.3</vt:lpstr>
      <vt:lpstr>Chart1</vt:lpstr>
      <vt:lpstr>Chart2</vt:lpstr>
      <vt:lpstr>Chart1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2024-09-26T14:39:44Z</dcterms:created>
  <dcterms:modified xsi:type="dcterms:W3CDTF">2024-09-27T07:34:34Z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2024-09-26T14:41:54Z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bb0af3d7-aac5-4bd7-8411-17436012afc0</vt:lpwstr>
  </property>
  <property fmtid="{D5CDD505-2E9C-101B-9397-08002B2CF9AE}" pid="8" name="MSIP_Label_231f5784-19ed-4d1e-9a93-4ea41014d730_ContentBits">
    <vt:lpwstr>0</vt:lpwstr>
  </property>
</Properties>
</file>